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Junior\Downloads\"/>
    </mc:Choice>
  </mc:AlternateContent>
  <bookViews>
    <workbookView xWindow="0" yWindow="0" windowWidth="15345" windowHeight="4545"/>
  </bookViews>
  <sheets>
    <sheet name="Cadastro" sheetId="1" r:id="rId1"/>
    <sheet name="Calculo de horas" sheetId="3" r:id="rId2"/>
  </sheets>
  <definedNames>
    <definedName name="INSS">#REF!</definedName>
    <definedName name="IRRF">#REF!</definedName>
  </definedNames>
  <calcPr calcId="162913"/>
</workbook>
</file>

<file path=xl/calcChain.xml><?xml version="1.0" encoding="utf-8"?>
<calcChain xmlns="http://schemas.openxmlformats.org/spreadsheetml/2006/main">
  <c r="Z15" i="1" l="1"/>
  <c r="Z14" i="1"/>
  <c r="Z13" i="1"/>
  <c r="Z12" i="1"/>
  <c r="V8" i="1" l="1"/>
  <c r="V12" i="1"/>
  <c r="V16" i="1"/>
  <c r="V20" i="1"/>
  <c r="V24" i="1"/>
  <c r="V28" i="1"/>
  <c r="V32" i="1"/>
  <c r="V36" i="1"/>
  <c r="V40" i="1"/>
  <c r="U5" i="1"/>
  <c r="V5" i="1" s="1"/>
  <c r="U6" i="1"/>
  <c r="V6" i="1" s="1"/>
  <c r="U7" i="1"/>
  <c r="V7" i="1" s="1"/>
  <c r="U8" i="1"/>
  <c r="U9" i="1"/>
  <c r="V9" i="1" s="1"/>
  <c r="U10" i="1"/>
  <c r="V10" i="1" s="1"/>
  <c r="U11" i="1"/>
  <c r="V11" i="1" s="1"/>
  <c r="U12" i="1"/>
  <c r="U13" i="1"/>
  <c r="V13" i="1" s="1"/>
  <c r="U14" i="1"/>
  <c r="V14" i="1" s="1"/>
  <c r="U15" i="1"/>
  <c r="V15" i="1" s="1"/>
  <c r="U16" i="1"/>
  <c r="U17" i="1"/>
  <c r="V17" i="1" s="1"/>
  <c r="U18" i="1"/>
  <c r="V18" i="1" s="1"/>
  <c r="U19" i="1"/>
  <c r="V19" i="1" s="1"/>
  <c r="U20" i="1"/>
  <c r="U21" i="1"/>
  <c r="V21" i="1" s="1"/>
  <c r="U22" i="1"/>
  <c r="V22" i="1" s="1"/>
  <c r="U23" i="1"/>
  <c r="V23" i="1" s="1"/>
  <c r="U24" i="1"/>
  <c r="U25" i="1"/>
  <c r="V25" i="1" s="1"/>
  <c r="U26" i="1"/>
  <c r="V26" i="1" s="1"/>
  <c r="U27" i="1"/>
  <c r="V27" i="1" s="1"/>
  <c r="U28" i="1"/>
  <c r="U29" i="1"/>
  <c r="V29" i="1" s="1"/>
  <c r="U30" i="1"/>
  <c r="V30" i="1" s="1"/>
  <c r="U31" i="1"/>
  <c r="V31" i="1" s="1"/>
  <c r="U32" i="1"/>
  <c r="U33" i="1"/>
  <c r="V33" i="1" s="1"/>
  <c r="U34" i="1"/>
  <c r="V34" i="1" s="1"/>
  <c r="U35" i="1"/>
  <c r="V35" i="1" s="1"/>
  <c r="U36" i="1"/>
  <c r="U37" i="1"/>
  <c r="V37" i="1" s="1"/>
  <c r="U38" i="1"/>
  <c r="V38" i="1" s="1"/>
  <c r="U39" i="1"/>
  <c r="V39" i="1" s="1"/>
  <c r="U40" i="1"/>
  <c r="U4" i="1"/>
  <c r="V4" i="1" s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" i="1"/>
  <c r="N16" i="1"/>
  <c r="P16" i="1" s="1"/>
  <c r="Q16" i="1" s="1"/>
  <c r="R16" i="1" s="1"/>
  <c r="N28" i="1"/>
  <c r="P28" i="1" s="1"/>
  <c r="Q28" i="1" s="1"/>
  <c r="R28" i="1" s="1"/>
  <c r="M5" i="1"/>
  <c r="N5" i="1" s="1"/>
  <c r="P5" i="1" s="1"/>
  <c r="Q5" i="1" s="1"/>
  <c r="R5" i="1" s="1"/>
  <c r="M6" i="1"/>
  <c r="N6" i="1" s="1"/>
  <c r="P6" i="1" s="1"/>
  <c r="Q6" i="1" s="1"/>
  <c r="R6" i="1" s="1"/>
  <c r="M7" i="1"/>
  <c r="N7" i="1" s="1"/>
  <c r="P7" i="1" s="1"/>
  <c r="Q7" i="1" s="1"/>
  <c r="R7" i="1" s="1"/>
  <c r="M16" i="1"/>
  <c r="M17" i="1"/>
  <c r="N17" i="1" s="1"/>
  <c r="P17" i="1" s="1"/>
  <c r="Q17" i="1" s="1"/>
  <c r="R17" i="1" s="1"/>
  <c r="M18" i="1"/>
  <c r="N18" i="1" s="1"/>
  <c r="P18" i="1" s="1"/>
  <c r="Q18" i="1" s="1"/>
  <c r="R18" i="1" s="1"/>
  <c r="M19" i="1"/>
  <c r="N19" i="1" s="1"/>
  <c r="P19" i="1" s="1"/>
  <c r="Q19" i="1" s="1"/>
  <c r="R19" i="1" s="1"/>
  <c r="M28" i="1"/>
  <c r="M29" i="1"/>
  <c r="N29" i="1" s="1"/>
  <c r="P29" i="1" s="1"/>
  <c r="Q29" i="1" s="1"/>
  <c r="R29" i="1" s="1"/>
  <c r="M30" i="1"/>
  <c r="N30" i="1" s="1"/>
  <c r="P30" i="1" s="1"/>
  <c r="Q30" i="1" s="1"/>
  <c r="R30" i="1" s="1"/>
  <c r="M31" i="1"/>
  <c r="N31" i="1" s="1"/>
  <c r="P31" i="1" s="1"/>
  <c r="Q31" i="1" s="1"/>
  <c r="R31" i="1" s="1"/>
  <c r="M4" i="1"/>
  <c r="N4" i="1" s="1"/>
  <c r="P4" i="1" s="1"/>
  <c r="Q4" i="1" s="1"/>
  <c r="R4" i="1" s="1"/>
  <c r="J8" i="1"/>
  <c r="J12" i="1"/>
  <c r="J16" i="1"/>
  <c r="J20" i="1"/>
  <c r="J24" i="1"/>
  <c r="J28" i="1"/>
  <c r="J32" i="1"/>
  <c r="J36" i="1"/>
  <c r="J40" i="1"/>
  <c r="I8" i="1"/>
  <c r="K8" i="1" s="1"/>
  <c r="L8" i="1" s="1"/>
  <c r="I12" i="1"/>
  <c r="K12" i="1" s="1"/>
  <c r="L12" i="1" s="1"/>
  <c r="I16" i="1"/>
  <c r="K16" i="1" s="1"/>
  <c r="L16" i="1" s="1"/>
  <c r="I20" i="1"/>
  <c r="I24" i="1"/>
  <c r="K24" i="1" s="1"/>
  <c r="L24" i="1" s="1"/>
  <c r="I28" i="1"/>
  <c r="K28" i="1" s="1"/>
  <c r="L28" i="1" s="1"/>
  <c r="I32" i="1"/>
  <c r="K32" i="1" s="1"/>
  <c r="L32" i="1" s="1"/>
  <c r="I36" i="1"/>
  <c r="I40" i="1"/>
  <c r="K40" i="1" s="1"/>
  <c r="L40" i="1" s="1"/>
  <c r="G5" i="1"/>
  <c r="J5" i="1" s="1"/>
  <c r="G6" i="1"/>
  <c r="G7" i="1"/>
  <c r="J7" i="1" s="1"/>
  <c r="G8" i="1"/>
  <c r="G9" i="1"/>
  <c r="J9" i="1" s="1"/>
  <c r="G10" i="1"/>
  <c r="G11" i="1"/>
  <c r="J11" i="1" s="1"/>
  <c r="G12" i="1"/>
  <c r="G13" i="1"/>
  <c r="J13" i="1" s="1"/>
  <c r="G14" i="1"/>
  <c r="G15" i="1"/>
  <c r="J15" i="1" s="1"/>
  <c r="G16" i="1"/>
  <c r="G17" i="1"/>
  <c r="J17" i="1" s="1"/>
  <c r="G18" i="1"/>
  <c r="G19" i="1"/>
  <c r="J19" i="1" s="1"/>
  <c r="G20" i="1"/>
  <c r="G21" i="1"/>
  <c r="J21" i="1" s="1"/>
  <c r="G22" i="1"/>
  <c r="G23" i="1"/>
  <c r="J23" i="1" s="1"/>
  <c r="G24" i="1"/>
  <c r="G25" i="1"/>
  <c r="J25" i="1" s="1"/>
  <c r="G26" i="1"/>
  <c r="G27" i="1"/>
  <c r="J27" i="1" s="1"/>
  <c r="G28" i="1"/>
  <c r="G29" i="1"/>
  <c r="J29" i="1" s="1"/>
  <c r="G30" i="1"/>
  <c r="G31" i="1"/>
  <c r="J31" i="1" s="1"/>
  <c r="G32" i="1"/>
  <c r="G33" i="1"/>
  <c r="J33" i="1" s="1"/>
  <c r="G34" i="1"/>
  <c r="G35" i="1"/>
  <c r="J35" i="1" s="1"/>
  <c r="G36" i="1"/>
  <c r="G37" i="1"/>
  <c r="J37" i="1" s="1"/>
  <c r="G38" i="1"/>
  <c r="G39" i="1"/>
  <c r="J39" i="1" s="1"/>
  <c r="G40" i="1"/>
  <c r="G4" i="1"/>
  <c r="J4" i="1" s="1"/>
  <c r="J38" i="1" l="1"/>
  <c r="I38" i="1"/>
  <c r="K38" i="1" s="1"/>
  <c r="L38" i="1" s="1"/>
  <c r="J30" i="1"/>
  <c r="I30" i="1"/>
  <c r="J18" i="1"/>
  <c r="I18" i="1"/>
  <c r="K18" i="1" s="1"/>
  <c r="L18" i="1" s="1"/>
  <c r="J10" i="1"/>
  <c r="I10" i="1"/>
  <c r="K36" i="1"/>
  <c r="L36" i="1" s="1"/>
  <c r="K20" i="1"/>
  <c r="L20" i="1" s="1"/>
  <c r="J34" i="1"/>
  <c r="I34" i="1"/>
  <c r="K34" i="1" s="1"/>
  <c r="L34" i="1" s="1"/>
  <c r="J26" i="1"/>
  <c r="I26" i="1"/>
  <c r="K26" i="1" s="1"/>
  <c r="L26" i="1" s="1"/>
  <c r="J14" i="1"/>
  <c r="I14" i="1"/>
  <c r="K14" i="1" s="1"/>
  <c r="L14" i="1" s="1"/>
  <c r="J6" i="1"/>
  <c r="I6" i="1"/>
  <c r="K6" i="1" s="1"/>
  <c r="L6" i="1" s="1"/>
  <c r="J22" i="1"/>
  <c r="I22" i="1"/>
  <c r="I4" i="1"/>
  <c r="K4" i="1" s="1"/>
  <c r="L4" i="1" s="1"/>
  <c r="I37" i="1"/>
  <c r="K37" i="1" s="1"/>
  <c r="L37" i="1" s="1"/>
  <c r="I33" i="1"/>
  <c r="K33" i="1" s="1"/>
  <c r="L33" i="1" s="1"/>
  <c r="I29" i="1"/>
  <c r="K29" i="1" s="1"/>
  <c r="L29" i="1" s="1"/>
  <c r="I25" i="1"/>
  <c r="K25" i="1" s="1"/>
  <c r="L25" i="1" s="1"/>
  <c r="I21" i="1"/>
  <c r="K21" i="1" s="1"/>
  <c r="L21" i="1" s="1"/>
  <c r="I17" i="1"/>
  <c r="K17" i="1" s="1"/>
  <c r="L17" i="1" s="1"/>
  <c r="I13" i="1"/>
  <c r="K13" i="1" s="1"/>
  <c r="L13" i="1" s="1"/>
  <c r="I9" i="1"/>
  <c r="K9" i="1" s="1"/>
  <c r="L9" i="1" s="1"/>
  <c r="I5" i="1"/>
  <c r="K5" i="1" s="1"/>
  <c r="L5" i="1" s="1"/>
  <c r="I39" i="1"/>
  <c r="K39" i="1" s="1"/>
  <c r="L39" i="1" s="1"/>
  <c r="I35" i="1"/>
  <c r="K35" i="1" s="1"/>
  <c r="L35" i="1" s="1"/>
  <c r="I31" i="1"/>
  <c r="K31" i="1" s="1"/>
  <c r="L31" i="1" s="1"/>
  <c r="I27" i="1"/>
  <c r="K27" i="1" s="1"/>
  <c r="L27" i="1" s="1"/>
  <c r="I23" i="1"/>
  <c r="K23" i="1" s="1"/>
  <c r="L23" i="1" s="1"/>
  <c r="I19" i="1"/>
  <c r="K19" i="1" s="1"/>
  <c r="L19" i="1" s="1"/>
  <c r="I15" i="1"/>
  <c r="K15" i="1" s="1"/>
  <c r="L15" i="1" s="1"/>
  <c r="I11" i="1"/>
  <c r="K11" i="1" s="1"/>
  <c r="L11" i="1" s="1"/>
  <c r="I7" i="1"/>
  <c r="K7" i="1" s="1"/>
  <c r="L7" i="1" s="1"/>
  <c r="AB7" i="1"/>
  <c r="Z23" i="1"/>
  <c r="AA7" i="1"/>
  <c r="Z5" i="1"/>
  <c r="Z4" i="1"/>
  <c r="M10" i="1" l="1"/>
  <c r="N10" i="1" s="1"/>
  <c r="P10" i="1" s="1"/>
  <c r="Q10" i="1" s="1"/>
  <c r="R10" i="1" s="1"/>
  <c r="M14" i="1"/>
  <c r="N14" i="1" s="1"/>
  <c r="P14" i="1" s="1"/>
  <c r="Q14" i="1" s="1"/>
  <c r="R14" i="1" s="1"/>
  <c r="W14" i="1" s="1"/>
  <c r="M22" i="1"/>
  <c r="N22" i="1" s="1"/>
  <c r="P22" i="1" s="1"/>
  <c r="Q22" i="1" s="1"/>
  <c r="R22" i="1" s="1"/>
  <c r="M26" i="1"/>
  <c r="N26" i="1" s="1"/>
  <c r="P26" i="1" s="1"/>
  <c r="Q26" i="1" s="1"/>
  <c r="R26" i="1" s="1"/>
  <c r="M34" i="1"/>
  <c r="N34" i="1" s="1"/>
  <c r="P34" i="1" s="1"/>
  <c r="Q34" i="1" s="1"/>
  <c r="R34" i="1" s="1"/>
  <c r="M38" i="1"/>
  <c r="N38" i="1" s="1"/>
  <c r="P38" i="1" s="1"/>
  <c r="Q38" i="1" s="1"/>
  <c r="R38" i="1" s="1"/>
  <c r="W38" i="1" s="1"/>
  <c r="M8" i="1"/>
  <c r="N8" i="1" s="1"/>
  <c r="P8" i="1" s="1"/>
  <c r="Q8" i="1" s="1"/>
  <c r="R8" i="1" s="1"/>
  <c r="M12" i="1"/>
  <c r="N12" i="1" s="1"/>
  <c r="P12" i="1" s="1"/>
  <c r="Q12" i="1" s="1"/>
  <c r="R12" i="1" s="1"/>
  <c r="M20" i="1"/>
  <c r="N20" i="1" s="1"/>
  <c r="P20" i="1" s="1"/>
  <c r="Q20" i="1" s="1"/>
  <c r="R20" i="1" s="1"/>
  <c r="M24" i="1"/>
  <c r="N24" i="1" s="1"/>
  <c r="P24" i="1" s="1"/>
  <c r="Q24" i="1" s="1"/>
  <c r="R24" i="1" s="1"/>
  <c r="W24" i="1" s="1"/>
  <c r="M32" i="1"/>
  <c r="N32" i="1" s="1"/>
  <c r="P32" i="1" s="1"/>
  <c r="Q32" i="1" s="1"/>
  <c r="R32" i="1" s="1"/>
  <c r="M36" i="1"/>
  <c r="N36" i="1" s="1"/>
  <c r="P36" i="1" s="1"/>
  <c r="Q36" i="1" s="1"/>
  <c r="R36" i="1" s="1"/>
  <c r="M40" i="1"/>
  <c r="N40" i="1" s="1"/>
  <c r="P40" i="1" s="1"/>
  <c r="Q40" i="1" s="1"/>
  <c r="R40" i="1" s="1"/>
  <c r="M9" i="1"/>
  <c r="N9" i="1" s="1"/>
  <c r="P9" i="1" s="1"/>
  <c r="Q9" i="1" s="1"/>
  <c r="R9" i="1" s="1"/>
  <c r="W9" i="1" s="1"/>
  <c r="M13" i="1"/>
  <c r="N13" i="1" s="1"/>
  <c r="P13" i="1" s="1"/>
  <c r="Q13" i="1" s="1"/>
  <c r="R13" i="1" s="1"/>
  <c r="M21" i="1"/>
  <c r="N21" i="1" s="1"/>
  <c r="P21" i="1" s="1"/>
  <c r="Q21" i="1" s="1"/>
  <c r="R21" i="1" s="1"/>
  <c r="M25" i="1"/>
  <c r="N25" i="1" s="1"/>
  <c r="P25" i="1" s="1"/>
  <c r="Q25" i="1" s="1"/>
  <c r="R25" i="1" s="1"/>
  <c r="M33" i="1"/>
  <c r="N33" i="1" s="1"/>
  <c r="P33" i="1" s="1"/>
  <c r="Q33" i="1" s="1"/>
  <c r="R33" i="1" s="1"/>
  <c r="W33" i="1" s="1"/>
  <c r="M37" i="1"/>
  <c r="N37" i="1" s="1"/>
  <c r="P37" i="1" s="1"/>
  <c r="Q37" i="1" s="1"/>
  <c r="R37" i="1" s="1"/>
  <c r="M27" i="1"/>
  <c r="N27" i="1" s="1"/>
  <c r="P27" i="1" s="1"/>
  <c r="Q27" i="1" s="1"/>
  <c r="R27" i="1" s="1"/>
  <c r="M11" i="1"/>
  <c r="N11" i="1" s="1"/>
  <c r="P11" i="1" s="1"/>
  <c r="Q11" i="1" s="1"/>
  <c r="R11" i="1" s="1"/>
  <c r="M35" i="1"/>
  <c r="N35" i="1" s="1"/>
  <c r="P35" i="1" s="1"/>
  <c r="Q35" i="1" s="1"/>
  <c r="R35" i="1" s="1"/>
  <c r="W35" i="1" s="1"/>
  <c r="M15" i="1"/>
  <c r="N15" i="1" s="1"/>
  <c r="P15" i="1" s="1"/>
  <c r="Q15" i="1" s="1"/>
  <c r="R15" i="1" s="1"/>
  <c r="M39" i="1"/>
  <c r="N39" i="1" s="1"/>
  <c r="P39" i="1" s="1"/>
  <c r="Q39" i="1" s="1"/>
  <c r="R39" i="1" s="1"/>
  <c r="M23" i="1"/>
  <c r="N23" i="1" s="1"/>
  <c r="P23" i="1" s="1"/>
  <c r="Q23" i="1" s="1"/>
  <c r="R23" i="1" s="1"/>
  <c r="W19" i="1"/>
  <c r="S6" i="1"/>
  <c r="S10" i="1"/>
  <c r="S14" i="1"/>
  <c r="S18" i="1"/>
  <c r="W18" i="1" s="1"/>
  <c r="S22" i="1"/>
  <c r="S26" i="1"/>
  <c r="S30" i="1"/>
  <c r="S34" i="1"/>
  <c r="S38" i="1"/>
  <c r="S19" i="1"/>
  <c r="S39" i="1"/>
  <c r="S7" i="1"/>
  <c r="W7" i="1" s="1"/>
  <c r="S8" i="1"/>
  <c r="S12" i="1"/>
  <c r="S16" i="1"/>
  <c r="W16" i="1" s="1"/>
  <c r="S20" i="1"/>
  <c r="S24" i="1"/>
  <c r="S28" i="1"/>
  <c r="W28" i="1" s="1"/>
  <c r="S32" i="1"/>
  <c r="S36" i="1"/>
  <c r="S40" i="1"/>
  <c r="S15" i="1"/>
  <c r="S23" i="1"/>
  <c r="S35" i="1"/>
  <c r="S5" i="1"/>
  <c r="S9" i="1"/>
  <c r="S13" i="1"/>
  <c r="S17" i="1"/>
  <c r="W17" i="1" s="1"/>
  <c r="S21" i="1"/>
  <c r="S25" i="1"/>
  <c r="S29" i="1"/>
  <c r="W29" i="1" s="1"/>
  <c r="S33" i="1"/>
  <c r="S37" i="1"/>
  <c r="S4" i="1"/>
  <c r="W4" i="1" s="1"/>
  <c r="S11" i="1"/>
  <c r="S27" i="1"/>
  <c r="S31" i="1"/>
  <c r="W31" i="1" s="1"/>
  <c r="K22" i="1"/>
  <c r="L22" i="1" s="1"/>
  <c r="W5" i="1"/>
  <c r="W6" i="1"/>
  <c r="K10" i="1"/>
  <c r="L10" i="1" s="1"/>
  <c r="K30" i="1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I2522" i="3"/>
  <c r="I2521" i="3"/>
  <c r="I2520" i="3"/>
  <c r="L2520" i="3" s="1"/>
  <c r="M2520" i="3" s="1"/>
  <c r="I2519" i="3"/>
  <c r="I2518" i="3"/>
  <c r="L2518" i="3" s="1"/>
  <c r="M2518" i="3" s="1"/>
  <c r="I2517" i="3"/>
  <c r="I2516" i="3"/>
  <c r="L2516" i="3" s="1"/>
  <c r="M2516" i="3" s="1"/>
  <c r="I2515" i="3"/>
  <c r="I2514" i="3"/>
  <c r="L2514" i="3" s="1"/>
  <c r="M2514" i="3" s="1"/>
  <c r="I2513" i="3"/>
  <c r="I2512" i="3"/>
  <c r="L2512" i="3" s="1"/>
  <c r="M2512" i="3" s="1"/>
  <c r="I2511" i="3"/>
  <c r="I2510" i="3"/>
  <c r="L2510" i="3" s="1"/>
  <c r="M2510" i="3" s="1"/>
  <c r="I2509" i="3"/>
  <c r="I2508" i="3"/>
  <c r="L2508" i="3" s="1"/>
  <c r="M2508" i="3" s="1"/>
  <c r="I2507" i="3"/>
  <c r="I2506" i="3"/>
  <c r="L2506" i="3" s="1"/>
  <c r="M2506" i="3" s="1"/>
  <c r="I2505" i="3"/>
  <c r="I2504" i="3"/>
  <c r="L2504" i="3" s="1"/>
  <c r="M2504" i="3" s="1"/>
  <c r="I2503" i="3"/>
  <c r="I2502" i="3"/>
  <c r="L2502" i="3" s="1"/>
  <c r="M2502" i="3" s="1"/>
  <c r="I2501" i="3"/>
  <c r="I2500" i="3"/>
  <c r="L2500" i="3" s="1"/>
  <c r="M2500" i="3" s="1"/>
  <c r="I2499" i="3"/>
  <c r="I2498" i="3"/>
  <c r="L2498" i="3" s="1"/>
  <c r="M2498" i="3" s="1"/>
  <c r="I2497" i="3"/>
  <c r="I2496" i="3"/>
  <c r="L2496" i="3" s="1"/>
  <c r="M2496" i="3" s="1"/>
  <c r="I2495" i="3"/>
  <c r="I2494" i="3"/>
  <c r="L2494" i="3" s="1"/>
  <c r="M2494" i="3" s="1"/>
  <c r="I2493" i="3"/>
  <c r="I2492" i="3"/>
  <c r="L2492" i="3" s="1"/>
  <c r="M2492" i="3" s="1"/>
  <c r="I2491" i="3"/>
  <c r="I2490" i="3"/>
  <c r="L2490" i="3" s="1"/>
  <c r="M2490" i="3" s="1"/>
  <c r="I2489" i="3"/>
  <c r="I2488" i="3"/>
  <c r="L2488" i="3" s="1"/>
  <c r="M2488" i="3" s="1"/>
  <c r="I2487" i="3"/>
  <c r="I2486" i="3"/>
  <c r="L2486" i="3" s="1"/>
  <c r="M2486" i="3" s="1"/>
  <c r="I2485" i="3"/>
  <c r="I2484" i="3"/>
  <c r="L2484" i="3" s="1"/>
  <c r="M2484" i="3" s="1"/>
  <c r="I2483" i="3"/>
  <c r="I2482" i="3"/>
  <c r="L2482" i="3" s="1"/>
  <c r="M2482" i="3" s="1"/>
  <c r="I2481" i="3"/>
  <c r="I2480" i="3"/>
  <c r="L2480" i="3" s="1"/>
  <c r="M2480" i="3" s="1"/>
  <c r="I2479" i="3"/>
  <c r="I2478" i="3"/>
  <c r="L2478" i="3" s="1"/>
  <c r="M2478" i="3" s="1"/>
  <c r="I2477" i="3"/>
  <c r="I2476" i="3"/>
  <c r="L2476" i="3" s="1"/>
  <c r="M2476" i="3" s="1"/>
  <c r="I2475" i="3"/>
  <c r="I2474" i="3"/>
  <c r="L2474" i="3" s="1"/>
  <c r="M2474" i="3" s="1"/>
  <c r="I2473" i="3"/>
  <c r="I2472" i="3"/>
  <c r="L2472" i="3" s="1"/>
  <c r="M2472" i="3" s="1"/>
  <c r="I2471" i="3"/>
  <c r="I2470" i="3"/>
  <c r="L2470" i="3" s="1"/>
  <c r="M2470" i="3" s="1"/>
  <c r="I2469" i="3"/>
  <c r="I2468" i="3"/>
  <c r="L2468" i="3" s="1"/>
  <c r="M2468" i="3" s="1"/>
  <c r="I2467" i="3"/>
  <c r="I2466" i="3"/>
  <c r="L2466" i="3" s="1"/>
  <c r="M2466" i="3" s="1"/>
  <c r="I2465" i="3"/>
  <c r="I2464" i="3"/>
  <c r="L2464" i="3" s="1"/>
  <c r="M2464" i="3" s="1"/>
  <c r="I2463" i="3"/>
  <c r="I2462" i="3"/>
  <c r="L2462" i="3" s="1"/>
  <c r="M2462" i="3" s="1"/>
  <c r="I2461" i="3"/>
  <c r="I2460" i="3"/>
  <c r="L2460" i="3" s="1"/>
  <c r="M2460" i="3" s="1"/>
  <c r="I2459" i="3"/>
  <c r="I2458" i="3"/>
  <c r="L2458" i="3" s="1"/>
  <c r="M2458" i="3" s="1"/>
  <c r="I2457" i="3"/>
  <c r="I2456" i="3"/>
  <c r="L2456" i="3" s="1"/>
  <c r="M2456" i="3" s="1"/>
  <c r="I2455" i="3"/>
  <c r="I2454" i="3"/>
  <c r="L2454" i="3" s="1"/>
  <c r="M2454" i="3" s="1"/>
  <c r="I2453" i="3"/>
  <c r="I2452" i="3"/>
  <c r="L2452" i="3" s="1"/>
  <c r="M2452" i="3" s="1"/>
  <c r="I2451" i="3"/>
  <c r="I2450" i="3"/>
  <c r="L2450" i="3" s="1"/>
  <c r="M2450" i="3" s="1"/>
  <c r="I2449" i="3"/>
  <c r="I2448" i="3"/>
  <c r="L2448" i="3" s="1"/>
  <c r="M2448" i="3" s="1"/>
  <c r="I2447" i="3"/>
  <c r="I2446" i="3"/>
  <c r="L2446" i="3" s="1"/>
  <c r="M2446" i="3" s="1"/>
  <c r="I2445" i="3"/>
  <c r="I2444" i="3"/>
  <c r="L2444" i="3" s="1"/>
  <c r="M2444" i="3" s="1"/>
  <c r="I2443" i="3"/>
  <c r="I2442" i="3"/>
  <c r="L2442" i="3" s="1"/>
  <c r="M2442" i="3" s="1"/>
  <c r="I2441" i="3"/>
  <c r="I2440" i="3"/>
  <c r="L2440" i="3" s="1"/>
  <c r="M2440" i="3" s="1"/>
  <c r="I2439" i="3"/>
  <c r="I2438" i="3"/>
  <c r="L2438" i="3" s="1"/>
  <c r="M2438" i="3" s="1"/>
  <c r="I2437" i="3"/>
  <c r="I2436" i="3"/>
  <c r="L2436" i="3" s="1"/>
  <c r="M2436" i="3" s="1"/>
  <c r="I2435" i="3"/>
  <c r="I2434" i="3"/>
  <c r="L2434" i="3" s="1"/>
  <c r="M2434" i="3" s="1"/>
  <c r="I2433" i="3"/>
  <c r="I2432" i="3"/>
  <c r="L2432" i="3" s="1"/>
  <c r="M2432" i="3" s="1"/>
  <c r="I2431" i="3"/>
  <c r="I2430" i="3"/>
  <c r="L2430" i="3" s="1"/>
  <c r="M2430" i="3" s="1"/>
  <c r="I2429" i="3"/>
  <c r="I2428" i="3"/>
  <c r="L2428" i="3" s="1"/>
  <c r="M2428" i="3" s="1"/>
  <c r="I2427" i="3"/>
  <c r="I2426" i="3"/>
  <c r="L2426" i="3" s="1"/>
  <c r="M2426" i="3" s="1"/>
  <c r="I2425" i="3"/>
  <c r="I2424" i="3"/>
  <c r="L2424" i="3" s="1"/>
  <c r="M2424" i="3" s="1"/>
  <c r="I2423" i="3"/>
  <c r="I2422" i="3"/>
  <c r="L2422" i="3" s="1"/>
  <c r="M2422" i="3" s="1"/>
  <c r="I2421" i="3"/>
  <c r="I2420" i="3"/>
  <c r="L2420" i="3" s="1"/>
  <c r="M2420" i="3" s="1"/>
  <c r="I2419" i="3"/>
  <c r="I2418" i="3"/>
  <c r="L2418" i="3" s="1"/>
  <c r="M2418" i="3" s="1"/>
  <c r="I2417" i="3"/>
  <c r="I2416" i="3"/>
  <c r="L2416" i="3" s="1"/>
  <c r="M2416" i="3" s="1"/>
  <c r="I2415" i="3"/>
  <c r="I2414" i="3"/>
  <c r="L2414" i="3" s="1"/>
  <c r="M2414" i="3" s="1"/>
  <c r="I2413" i="3"/>
  <c r="I2412" i="3"/>
  <c r="L2412" i="3" s="1"/>
  <c r="M2412" i="3" s="1"/>
  <c r="I2411" i="3"/>
  <c r="I2410" i="3"/>
  <c r="L2410" i="3" s="1"/>
  <c r="M2410" i="3" s="1"/>
  <c r="I2409" i="3"/>
  <c r="I2408" i="3"/>
  <c r="L2408" i="3" s="1"/>
  <c r="M2408" i="3" s="1"/>
  <c r="I2407" i="3"/>
  <c r="I2406" i="3"/>
  <c r="L2406" i="3" s="1"/>
  <c r="M2406" i="3" s="1"/>
  <c r="I2405" i="3"/>
  <c r="I2404" i="3"/>
  <c r="L2404" i="3" s="1"/>
  <c r="M2404" i="3" s="1"/>
  <c r="I2403" i="3"/>
  <c r="I2402" i="3"/>
  <c r="L2402" i="3" s="1"/>
  <c r="M2402" i="3" s="1"/>
  <c r="I2401" i="3"/>
  <c r="I2400" i="3"/>
  <c r="L2400" i="3" s="1"/>
  <c r="M2400" i="3" s="1"/>
  <c r="I2399" i="3"/>
  <c r="I2398" i="3"/>
  <c r="L2398" i="3" s="1"/>
  <c r="M2398" i="3" s="1"/>
  <c r="I2397" i="3"/>
  <c r="I2396" i="3"/>
  <c r="L2396" i="3" s="1"/>
  <c r="M2396" i="3" s="1"/>
  <c r="I2395" i="3"/>
  <c r="I2394" i="3"/>
  <c r="L2394" i="3" s="1"/>
  <c r="M2394" i="3" s="1"/>
  <c r="I2393" i="3"/>
  <c r="I2392" i="3"/>
  <c r="L2392" i="3" s="1"/>
  <c r="M2392" i="3" s="1"/>
  <c r="I2391" i="3"/>
  <c r="I2390" i="3"/>
  <c r="L2390" i="3" s="1"/>
  <c r="M2390" i="3" s="1"/>
  <c r="I2389" i="3"/>
  <c r="I2388" i="3"/>
  <c r="L2388" i="3" s="1"/>
  <c r="M2388" i="3" s="1"/>
  <c r="I2387" i="3"/>
  <c r="I2386" i="3"/>
  <c r="L2386" i="3" s="1"/>
  <c r="M2386" i="3" s="1"/>
  <c r="I2385" i="3"/>
  <c r="I2384" i="3"/>
  <c r="L2384" i="3" s="1"/>
  <c r="M2384" i="3" s="1"/>
  <c r="I2383" i="3"/>
  <c r="I2382" i="3"/>
  <c r="L2382" i="3" s="1"/>
  <c r="M2382" i="3" s="1"/>
  <c r="I2381" i="3"/>
  <c r="I2380" i="3"/>
  <c r="L2380" i="3" s="1"/>
  <c r="M2380" i="3" s="1"/>
  <c r="I2379" i="3"/>
  <c r="I2378" i="3"/>
  <c r="L2378" i="3" s="1"/>
  <c r="M2378" i="3" s="1"/>
  <c r="I2377" i="3"/>
  <c r="I2376" i="3"/>
  <c r="L2376" i="3" s="1"/>
  <c r="M2376" i="3" s="1"/>
  <c r="I2375" i="3"/>
  <c r="I2374" i="3"/>
  <c r="L2374" i="3" s="1"/>
  <c r="M2374" i="3" s="1"/>
  <c r="I2373" i="3"/>
  <c r="I2372" i="3"/>
  <c r="L2372" i="3" s="1"/>
  <c r="M2372" i="3" s="1"/>
  <c r="I2371" i="3"/>
  <c r="I2370" i="3"/>
  <c r="L2370" i="3" s="1"/>
  <c r="M2370" i="3" s="1"/>
  <c r="I2369" i="3"/>
  <c r="I2368" i="3"/>
  <c r="L2368" i="3" s="1"/>
  <c r="M2368" i="3" s="1"/>
  <c r="I2367" i="3"/>
  <c r="I2366" i="3"/>
  <c r="L2366" i="3" s="1"/>
  <c r="M2366" i="3" s="1"/>
  <c r="I2365" i="3"/>
  <c r="I2364" i="3"/>
  <c r="L2364" i="3" s="1"/>
  <c r="M2364" i="3" s="1"/>
  <c r="I2363" i="3"/>
  <c r="I2362" i="3"/>
  <c r="L2362" i="3" s="1"/>
  <c r="M2362" i="3" s="1"/>
  <c r="I2361" i="3"/>
  <c r="I2360" i="3"/>
  <c r="L2360" i="3" s="1"/>
  <c r="M2360" i="3" s="1"/>
  <c r="I2359" i="3"/>
  <c r="I2358" i="3"/>
  <c r="L2358" i="3" s="1"/>
  <c r="M2358" i="3" s="1"/>
  <c r="I2357" i="3"/>
  <c r="I2356" i="3"/>
  <c r="L2356" i="3" s="1"/>
  <c r="M2356" i="3" s="1"/>
  <c r="I2355" i="3"/>
  <c r="I2354" i="3"/>
  <c r="L2354" i="3" s="1"/>
  <c r="M2354" i="3" s="1"/>
  <c r="I2353" i="3"/>
  <c r="I2352" i="3"/>
  <c r="L2352" i="3" s="1"/>
  <c r="M2352" i="3" s="1"/>
  <c r="I2351" i="3"/>
  <c r="L2351" i="3" s="1"/>
  <c r="M2351" i="3" s="1"/>
  <c r="I2350" i="3"/>
  <c r="L2350" i="3" s="1"/>
  <c r="M2350" i="3" s="1"/>
  <c r="I2349" i="3"/>
  <c r="L2349" i="3" s="1"/>
  <c r="M2349" i="3" s="1"/>
  <c r="I2348" i="3"/>
  <c r="L2348" i="3" s="1"/>
  <c r="M2348" i="3" s="1"/>
  <c r="I2347" i="3"/>
  <c r="L2347" i="3" s="1"/>
  <c r="M2347" i="3" s="1"/>
  <c r="I2346" i="3"/>
  <c r="L2346" i="3" s="1"/>
  <c r="M2346" i="3" s="1"/>
  <c r="I2345" i="3"/>
  <c r="L2345" i="3" s="1"/>
  <c r="M2345" i="3" s="1"/>
  <c r="I2344" i="3"/>
  <c r="L2344" i="3" s="1"/>
  <c r="M2344" i="3" s="1"/>
  <c r="I2343" i="3"/>
  <c r="L2343" i="3" s="1"/>
  <c r="M2343" i="3" s="1"/>
  <c r="I2342" i="3"/>
  <c r="L2342" i="3" s="1"/>
  <c r="M2342" i="3" s="1"/>
  <c r="I2341" i="3"/>
  <c r="L2341" i="3" s="1"/>
  <c r="M2341" i="3" s="1"/>
  <c r="I2340" i="3"/>
  <c r="L2340" i="3" s="1"/>
  <c r="M2340" i="3" s="1"/>
  <c r="I2339" i="3"/>
  <c r="L2339" i="3" s="1"/>
  <c r="M2339" i="3" s="1"/>
  <c r="I2338" i="3"/>
  <c r="L2338" i="3" s="1"/>
  <c r="M2338" i="3" s="1"/>
  <c r="I2337" i="3"/>
  <c r="L2337" i="3" s="1"/>
  <c r="M2337" i="3" s="1"/>
  <c r="I2336" i="3"/>
  <c r="L2336" i="3" s="1"/>
  <c r="M2336" i="3" s="1"/>
  <c r="I2335" i="3"/>
  <c r="L2335" i="3" s="1"/>
  <c r="M2335" i="3" s="1"/>
  <c r="I2334" i="3"/>
  <c r="L2334" i="3" s="1"/>
  <c r="M2334" i="3" s="1"/>
  <c r="I2333" i="3"/>
  <c r="L2333" i="3" s="1"/>
  <c r="M2333" i="3" s="1"/>
  <c r="I2332" i="3"/>
  <c r="L2332" i="3" s="1"/>
  <c r="M2332" i="3" s="1"/>
  <c r="I2331" i="3"/>
  <c r="L2331" i="3" s="1"/>
  <c r="M2331" i="3" s="1"/>
  <c r="I2330" i="3"/>
  <c r="L2330" i="3" s="1"/>
  <c r="M2330" i="3" s="1"/>
  <c r="I2329" i="3"/>
  <c r="L2329" i="3" s="1"/>
  <c r="M2329" i="3" s="1"/>
  <c r="I2328" i="3"/>
  <c r="L2328" i="3" s="1"/>
  <c r="M2328" i="3" s="1"/>
  <c r="I2327" i="3"/>
  <c r="L2327" i="3" s="1"/>
  <c r="M2327" i="3" s="1"/>
  <c r="I2326" i="3"/>
  <c r="L2326" i="3" s="1"/>
  <c r="M2326" i="3" s="1"/>
  <c r="I2325" i="3"/>
  <c r="L2325" i="3" s="1"/>
  <c r="M2325" i="3" s="1"/>
  <c r="I2324" i="3"/>
  <c r="L2324" i="3" s="1"/>
  <c r="M2324" i="3" s="1"/>
  <c r="I2323" i="3"/>
  <c r="L2323" i="3" s="1"/>
  <c r="M2323" i="3" s="1"/>
  <c r="I2322" i="3"/>
  <c r="L2322" i="3" s="1"/>
  <c r="M2322" i="3" s="1"/>
  <c r="I2321" i="3"/>
  <c r="L2321" i="3" s="1"/>
  <c r="M2321" i="3" s="1"/>
  <c r="I2320" i="3"/>
  <c r="L2320" i="3" s="1"/>
  <c r="M2320" i="3" s="1"/>
  <c r="I2319" i="3"/>
  <c r="L2319" i="3" s="1"/>
  <c r="M2319" i="3" s="1"/>
  <c r="I2318" i="3"/>
  <c r="L2318" i="3" s="1"/>
  <c r="M2318" i="3" s="1"/>
  <c r="I2317" i="3"/>
  <c r="L2317" i="3" s="1"/>
  <c r="M2317" i="3" s="1"/>
  <c r="I2316" i="3"/>
  <c r="L2316" i="3" s="1"/>
  <c r="M2316" i="3" s="1"/>
  <c r="I2315" i="3"/>
  <c r="L2315" i="3" s="1"/>
  <c r="M2315" i="3" s="1"/>
  <c r="I2314" i="3"/>
  <c r="L2314" i="3" s="1"/>
  <c r="M2314" i="3" s="1"/>
  <c r="I2313" i="3"/>
  <c r="L2313" i="3" s="1"/>
  <c r="M2313" i="3" s="1"/>
  <c r="I2312" i="3"/>
  <c r="L2312" i="3" s="1"/>
  <c r="M2312" i="3" s="1"/>
  <c r="I2311" i="3"/>
  <c r="L2311" i="3" s="1"/>
  <c r="M2311" i="3" s="1"/>
  <c r="I2310" i="3"/>
  <c r="I2309" i="3"/>
  <c r="L2309" i="3" s="1"/>
  <c r="M2309" i="3" s="1"/>
  <c r="I2308" i="3"/>
  <c r="I2307" i="3"/>
  <c r="L2307" i="3" s="1"/>
  <c r="M2307" i="3" s="1"/>
  <c r="I2306" i="3"/>
  <c r="I2305" i="3"/>
  <c r="L2305" i="3" s="1"/>
  <c r="M2305" i="3" s="1"/>
  <c r="I2304" i="3"/>
  <c r="I2303" i="3"/>
  <c r="L2303" i="3" s="1"/>
  <c r="M2303" i="3" s="1"/>
  <c r="I2302" i="3"/>
  <c r="I2301" i="3"/>
  <c r="L2301" i="3" s="1"/>
  <c r="M2301" i="3" s="1"/>
  <c r="I2300" i="3"/>
  <c r="I2299" i="3"/>
  <c r="L2299" i="3" s="1"/>
  <c r="M2299" i="3" s="1"/>
  <c r="I2298" i="3"/>
  <c r="I2297" i="3"/>
  <c r="L2297" i="3" s="1"/>
  <c r="M2297" i="3" s="1"/>
  <c r="I2296" i="3"/>
  <c r="I2295" i="3"/>
  <c r="L2295" i="3" s="1"/>
  <c r="M2295" i="3" s="1"/>
  <c r="I2294" i="3"/>
  <c r="I2293" i="3"/>
  <c r="L2293" i="3" s="1"/>
  <c r="M2293" i="3" s="1"/>
  <c r="I2292" i="3"/>
  <c r="I2291" i="3"/>
  <c r="L2291" i="3" s="1"/>
  <c r="M2291" i="3" s="1"/>
  <c r="I2290" i="3"/>
  <c r="I2289" i="3"/>
  <c r="L2289" i="3" s="1"/>
  <c r="M2289" i="3" s="1"/>
  <c r="I2288" i="3"/>
  <c r="I2287" i="3"/>
  <c r="L2287" i="3" s="1"/>
  <c r="M2287" i="3" s="1"/>
  <c r="I2286" i="3"/>
  <c r="I2285" i="3"/>
  <c r="L2285" i="3" s="1"/>
  <c r="M2285" i="3" s="1"/>
  <c r="I2284" i="3"/>
  <c r="I2283" i="3"/>
  <c r="L2283" i="3" s="1"/>
  <c r="M2283" i="3" s="1"/>
  <c r="I2282" i="3"/>
  <c r="I2281" i="3"/>
  <c r="L2281" i="3" s="1"/>
  <c r="M2281" i="3" s="1"/>
  <c r="I2280" i="3"/>
  <c r="I2279" i="3"/>
  <c r="L2279" i="3" s="1"/>
  <c r="M2279" i="3" s="1"/>
  <c r="I2278" i="3"/>
  <c r="I2277" i="3"/>
  <c r="L2277" i="3" s="1"/>
  <c r="M2277" i="3" s="1"/>
  <c r="I2276" i="3"/>
  <c r="I2275" i="3"/>
  <c r="L2275" i="3" s="1"/>
  <c r="M2275" i="3" s="1"/>
  <c r="I2274" i="3"/>
  <c r="I2273" i="3"/>
  <c r="L2273" i="3" s="1"/>
  <c r="M2273" i="3" s="1"/>
  <c r="I2272" i="3"/>
  <c r="I2271" i="3"/>
  <c r="L2271" i="3" s="1"/>
  <c r="M2271" i="3" s="1"/>
  <c r="I2270" i="3"/>
  <c r="I2269" i="3"/>
  <c r="L2269" i="3" s="1"/>
  <c r="M2269" i="3" s="1"/>
  <c r="I2268" i="3"/>
  <c r="I2267" i="3"/>
  <c r="L2267" i="3" s="1"/>
  <c r="M2267" i="3" s="1"/>
  <c r="I2266" i="3"/>
  <c r="I2265" i="3"/>
  <c r="L2265" i="3" s="1"/>
  <c r="M2265" i="3" s="1"/>
  <c r="I2264" i="3"/>
  <c r="I2263" i="3"/>
  <c r="L2263" i="3" s="1"/>
  <c r="M2263" i="3" s="1"/>
  <c r="I2262" i="3"/>
  <c r="I2261" i="3"/>
  <c r="L2261" i="3" s="1"/>
  <c r="M2261" i="3" s="1"/>
  <c r="I2260" i="3"/>
  <c r="I2259" i="3"/>
  <c r="L2259" i="3" s="1"/>
  <c r="M2259" i="3" s="1"/>
  <c r="I2258" i="3"/>
  <c r="I2257" i="3"/>
  <c r="L2257" i="3" s="1"/>
  <c r="M2257" i="3" s="1"/>
  <c r="I2256" i="3"/>
  <c r="I2255" i="3"/>
  <c r="L2255" i="3" s="1"/>
  <c r="M2255" i="3" s="1"/>
  <c r="I2254" i="3"/>
  <c r="I2253" i="3"/>
  <c r="L2253" i="3" s="1"/>
  <c r="M2253" i="3" s="1"/>
  <c r="I2252" i="3"/>
  <c r="I2251" i="3"/>
  <c r="L2251" i="3" s="1"/>
  <c r="M2251" i="3" s="1"/>
  <c r="I2250" i="3"/>
  <c r="I2249" i="3"/>
  <c r="L2249" i="3" s="1"/>
  <c r="M2249" i="3" s="1"/>
  <c r="I2248" i="3"/>
  <c r="I2247" i="3"/>
  <c r="L2247" i="3" s="1"/>
  <c r="M2247" i="3" s="1"/>
  <c r="I2246" i="3"/>
  <c r="I2245" i="3"/>
  <c r="L2245" i="3" s="1"/>
  <c r="M2245" i="3" s="1"/>
  <c r="I2244" i="3"/>
  <c r="I2243" i="3"/>
  <c r="L2243" i="3" s="1"/>
  <c r="M2243" i="3" s="1"/>
  <c r="I2242" i="3"/>
  <c r="I2241" i="3"/>
  <c r="L2241" i="3" s="1"/>
  <c r="M2241" i="3" s="1"/>
  <c r="I2240" i="3"/>
  <c r="I2239" i="3"/>
  <c r="L2239" i="3" s="1"/>
  <c r="M2239" i="3" s="1"/>
  <c r="I2238" i="3"/>
  <c r="I2237" i="3"/>
  <c r="L2237" i="3" s="1"/>
  <c r="M2237" i="3" s="1"/>
  <c r="I2236" i="3"/>
  <c r="I2235" i="3"/>
  <c r="L2235" i="3" s="1"/>
  <c r="M2235" i="3" s="1"/>
  <c r="I2234" i="3"/>
  <c r="I2233" i="3"/>
  <c r="L2233" i="3" s="1"/>
  <c r="M2233" i="3" s="1"/>
  <c r="I2232" i="3"/>
  <c r="I2231" i="3"/>
  <c r="L2231" i="3" s="1"/>
  <c r="M2231" i="3" s="1"/>
  <c r="I2230" i="3"/>
  <c r="I2229" i="3"/>
  <c r="L2229" i="3" s="1"/>
  <c r="M2229" i="3" s="1"/>
  <c r="I2228" i="3"/>
  <c r="I2227" i="3"/>
  <c r="L2227" i="3" s="1"/>
  <c r="M2227" i="3" s="1"/>
  <c r="I2226" i="3"/>
  <c r="I2225" i="3"/>
  <c r="L2225" i="3" s="1"/>
  <c r="M2225" i="3" s="1"/>
  <c r="I2224" i="3"/>
  <c r="I2223" i="3"/>
  <c r="L2223" i="3" s="1"/>
  <c r="M2223" i="3" s="1"/>
  <c r="I2222" i="3"/>
  <c r="I2221" i="3"/>
  <c r="L2221" i="3" s="1"/>
  <c r="M2221" i="3" s="1"/>
  <c r="I2220" i="3"/>
  <c r="I2219" i="3"/>
  <c r="L2219" i="3" s="1"/>
  <c r="M2219" i="3" s="1"/>
  <c r="I2218" i="3"/>
  <c r="I2217" i="3"/>
  <c r="L2217" i="3" s="1"/>
  <c r="M2217" i="3" s="1"/>
  <c r="I2216" i="3"/>
  <c r="I2215" i="3"/>
  <c r="L2215" i="3" s="1"/>
  <c r="M2215" i="3" s="1"/>
  <c r="I2214" i="3"/>
  <c r="I2213" i="3"/>
  <c r="L2213" i="3" s="1"/>
  <c r="M2213" i="3" s="1"/>
  <c r="I2212" i="3"/>
  <c r="I2211" i="3"/>
  <c r="L2211" i="3" s="1"/>
  <c r="M2211" i="3" s="1"/>
  <c r="I2210" i="3"/>
  <c r="I2209" i="3"/>
  <c r="L2209" i="3" s="1"/>
  <c r="M2209" i="3" s="1"/>
  <c r="I2208" i="3"/>
  <c r="I2207" i="3"/>
  <c r="L2207" i="3" s="1"/>
  <c r="M2207" i="3" s="1"/>
  <c r="I2206" i="3"/>
  <c r="I2205" i="3"/>
  <c r="L2205" i="3" s="1"/>
  <c r="M2205" i="3" s="1"/>
  <c r="I2204" i="3"/>
  <c r="I2203" i="3"/>
  <c r="L2203" i="3" s="1"/>
  <c r="M2203" i="3" s="1"/>
  <c r="I2202" i="3"/>
  <c r="I2201" i="3"/>
  <c r="L2201" i="3" s="1"/>
  <c r="M2201" i="3" s="1"/>
  <c r="I2200" i="3"/>
  <c r="I2199" i="3"/>
  <c r="L2199" i="3" s="1"/>
  <c r="M2199" i="3" s="1"/>
  <c r="I2198" i="3"/>
  <c r="I2197" i="3"/>
  <c r="L2197" i="3" s="1"/>
  <c r="M2197" i="3" s="1"/>
  <c r="I2196" i="3"/>
  <c r="I2195" i="3"/>
  <c r="L2195" i="3" s="1"/>
  <c r="M2195" i="3" s="1"/>
  <c r="I2194" i="3"/>
  <c r="I2193" i="3"/>
  <c r="L2193" i="3" s="1"/>
  <c r="M2193" i="3" s="1"/>
  <c r="I2192" i="3"/>
  <c r="I2191" i="3"/>
  <c r="L2191" i="3" s="1"/>
  <c r="M2191" i="3" s="1"/>
  <c r="I2190" i="3"/>
  <c r="I2189" i="3"/>
  <c r="L2189" i="3" s="1"/>
  <c r="M2189" i="3" s="1"/>
  <c r="I2188" i="3"/>
  <c r="I2187" i="3"/>
  <c r="L2187" i="3" s="1"/>
  <c r="M2187" i="3" s="1"/>
  <c r="I2186" i="3"/>
  <c r="I2185" i="3"/>
  <c r="L2185" i="3" s="1"/>
  <c r="M2185" i="3" s="1"/>
  <c r="I2184" i="3"/>
  <c r="I2183" i="3"/>
  <c r="L2183" i="3" s="1"/>
  <c r="M2183" i="3" s="1"/>
  <c r="I2182" i="3"/>
  <c r="I2181" i="3"/>
  <c r="L2181" i="3" s="1"/>
  <c r="M2181" i="3" s="1"/>
  <c r="I2180" i="3"/>
  <c r="I2179" i="3"/>
  <c r="L2179" i="3" s="1"/>
  <c r="M2179" i="3" s="1"/>
  <c r="I2178" i="3"/>
  <c r="I2177" i="3"/>
  <c r="L2177" i="3" s="1"/>
  <c r="M2177" i="3" s="1"/>
  <c r="I2176" i="3"/>
  <c r="I2175" i="3"/>
  <c r="L2175" i="3" s="1"/>
  <c r="M2175" i="3" s="1"/>
  <c r="I2174" i="3"/>
  <c r="I2173" i="3"/>
  <c r="L2173" i="3" s="1"/>
  <c r="M2173" i="3" s="1"/>
  <c r="I2172" i="3"/>
  <c r="I2171" i="3"/>
  <c r="L2171" i="3" s="1"/>
  <c r="M2171" i="3" s="1"/>
  <c r="I2170" i="3"/>
  <c r="I2169" i="3"/>
  <c r="L2169" i="3" s="1"/>
  <c r="M2169" i="3" s="1"/>
  <c r="I2168" i="3"/>
  <c r="I2167" i="3"/>
  <c r="L2167" i="3" s="1"/>
  <c r="M2167" i="3" s="1"/>
  <c r="I2166" i="3"/>
  <c r="I2165" i="3"/>
  <c r="L2165" i="3" s="1"/>
  <c r="M2165" i="3" s="1"/>
  <c r="I2164" i="3"/>
  <c r="I2163" i="3"/>
  <c r="L2163" i="3" s="1"/>
  <c r="M2163" i="3" s="1"/>
  <c r="I2162" i="3"/>
  <c r="I2161" i="3"/>
  <c r="L2161" i="3" s="1"/>
  <c r="M2161" i="3" s="1"/>
  <c r="I2160" i="3"/>
  <c r="I2159" i="3"/>
  <c r="L2159" i="3" s="1"/>
  <c r="M2159" i="3" s="1"/>
  <c r="I2158" i="3"/>
  <c r="I2157" i="3"/>
  <c r="L2157" i="3" s="1"/>
  <c r="M2157" i="3" s="1"/>
  <c r="I2156" i="3"/>
  <c r="I2155" i="3"/>
  <c r="L2155" i="3" s="1"/>
  <c r="M2155" i="3" s="1"/>
  <c r="I2154" i="3"/>
  <c r="I2153" i="3"/>
  <c r="L2153" i="3" s="1"/>
  <c r="M2153" i="3" s="1"/>
  <c r="I2152" i="3"/>
  <c r="I2151" i="3"/>
  <c r="L2151" i="3" s="1"/>
  <c r="M2151" i="3" s="1"/>
  <c r="I2150" i="3"/>
  <c r="I2149" i="3"/>
  <c r="L2149" i="3" s="1"/>
  <c r="M2149" i="3" s="1"/>
  <c r="I2148" i="3"/>
  <c r="I2147" i="3"/>
  <c r="L2147" i="3" s="1"/>
  <c r="M2147" i="3" s="1"/>
  <c r="I2146" i="3"/>
  <c r="I2145" i="3"/>
  <c r="L2145" i="3" s="1"/>
  <c r="M2145" i="3" s="1"/>
  <c r="I2144" i="3"/>
  <c r="I2143" i="3"/>
  <c r="L2143" i="3" s="1"/>
  <c r="M2143" i="3" s="1"/>
  <c r="I2142" i="3"/>
  <c r="I2141" i="3"/>
  <c r="L2141" i="3" s="1"/>
  <c r="M2141" i="3" s="1"/>
  <c r="I2140" i="3"/>
  <c r="I2139" i="3"/>
  <c r="L2139" i="3" s="1"/>
  <c r="M2139" i="3" s="1"/>
  <c r="I2138" i="3"/>
  <c r="I2137" i="3"/>
  <c r="L2137" i="3" s="1"/>
  <c r="M2137" i="3" s="1"/>
  <c r="I2136" i="3"/>
  <c r="I2135" i="3"/>
  <c r="L2135" i="3" s="1"/>
  <c r="M2135" i="3" s="1"/>
  <c r="I2134" i="3"/>
  <c r="I2133" i="3"/>
  <c r="L2133" i="3" s="1"/>
  <c r="M2133" i="3" s="1"/>
  <c r="I2132" i="3"/>
  <c r="I2131" i="3"/>
  <c r="L2131" i="3" s="1"/>
  <c r="M2131" i="3" s="1"/>
  <c r="I2130" i="3"/>
  <c r="I2129" i="3"/>
  <c r="L2129" i="3" s="1"/>
  <c r="M2129" i="3" s="1"/>
  <c r="I2128" i="3"/>
  <c r="I2127" i="3"/>
  <c r="L2127" i="3" s="1"/>
  <c r="M2127" i="3" s="1"/>
  <c r="I2126" i="3"/>
  <c r="I2125" i="3"/>
  <c r="L2125" i="3" s="1"/>
  <c r="M2125" i="3" s="1"/>
  <c r="I2124" i="3"/>
  <c r="I2123" i="3"/>
  <c r="L2123" i="3" s="1"/>
  <c r="M2123" i="3" s="1"/>
  <c r="I2122" i="3"/>
  <c r="I2121" i="3"/>
  <c r="L2121" i="3" s="1"/>
  <c r="M2121" i="3" s="1"/>
  <c r="I2120" i="3"/>
  <c r="I2119" i="3"/>
  <c r="L2119" i="3" s="1"/>
  <c r="M2119" i="3" s="1"/>
  <c r="I2118" i="3"/>
  <c r="I2117" i="3"/>
  <c r="L2117" i="3" s="1"/>
  <c r="M2117" i="3" s="1"/>
  <c r="I2116" i="3"/>
  <c r="I2115" i="3"/>
  <c r="L2115" i="3" s="1"/>
  <c r="M2115" i="3" s="1"/>
  <c r="I2114" i="3"/>
  <c r="I2113" i="3"/>
  <c r="L2113" i="3" s="1"/>
  <c r="M2113" i="3" s="1"/>
  <c r="I2112" i="3"/>
  <c r="I2111" i="3"/>
  <c r="L2111" i="3" s="1"/>
  <c r="M2111" i="3" s="1"/>
  <c r="I2110" i="3"/>
  <c r="I2109" i="3"/>
  <c r="L2109" i="3" s="1"/>
  <c r="M2109" i="3" s="1"/>
  <c r="I2108" i="3"/>
  <c r="I2107" i="3"/>
  <c r="L2107" i="3" s="1"/>
  <c r="M2107" i="3" s="1"/>
  <c r="I2106" i="3"/>
  <c r="I2105" i="3"/>
  <c r="L2105" i="3" s="1"/>
  <c r="M2105" i="3" s="1"/>
  <c r="I2104" i="3"/>
  <c r="I2103" i="3"/>
  <c r="L2103" i="3" s="1"/>
  <c r="M2103" i="3" s="1"/>
  <c r="I2102" i="3"/>
  <c r="I2101" i="3"/>
  <c r="L2101" i="3" s="1"/>
  <c r="M2101" i="3" s="1"/>
  <c r="I2100" i="3"/>
  <c r="I2099" i="3"/>
  <c r="L2099" i="3" s="1"/>
  <c r="M2099" i="3" s="1"/>
  <c r="I2098" i="3"/>
  <c r="I2097" i="3"/>
  <c r="L2097" i="3" s="1"/>
  <c r="M2097" i="3" s="1"/>
  <c r="I2096" i="3"/>
  <c r="I2095" i="3"/>
  <c r="L2095" i="3" s="1"/>
  <c r="M2095" i="3" s="1"/>
  <c r="I2094" i="3"/>
  <c r="I2093" i="3"/>
  <c r="L2093" i="3" s="1"/>
  <c r="M2093" i="3" s="1"/>
  <c r="I2092" i="3"/>
  <c r="I2091" i="3"/>
  <c r="L2091" i="3" s="1"/>
  <c r="M2091" i="3" s="1"/>
  <c r="I2090" i="3"/>
  <c r="I2089" i="3"/>
  <c r="L2089" i="3" s="1"/>
  <c r="M2089" i="3" s="1"/>
  <c r="I2088" i="3"/>
  <c r="I2087" i="3"/>
  <c r="L2087" i="3" s="1"/>
  <c r="M2087" i="3" s="1"/>
  <c r="I2086" i="3"/>
  <c r="I2085" i="3"/>
  <c r="L2085" i="3" s="1"/>
  <c r="M2085" i="3" s="1"/>
  <c r="I2084" i="3"/>
  <c r="I2083" i="3"/>
  <c r="L2083" i="3" s="1"/>
  <c r="M2083" i="3" s="1"/>
  <c r="I2082" i="3"/>
  <c r="I2081" i="3"/>
  <c r="L2081" i="3" s="1"/>
  <c r="M2081" i="3" s="1"/>
  <c r="I2080" i="3"/>
  <c r="I2079" i="3"/>
  <c r="L2079" i="3" s="1"/>
  <c r="M2079" i="3" s="1"/>
  <c r="I2078" i="3"/>
  <c r="I2077" i="3"/>
  <c r="L2077" i="3" s="1"/>
  <c r="M2077" i="3" s="1"/>
  <c r="I2076" i="3"/>
  <c r="I2075" i="3"/>
  <c r="L2075" i="3" s="1"/>
  <c r="M2075" i="3" s="1"/>
  <c r="I2074" i="3"/>
  <c r="I2073" i="3"/>
  <c r="L2073" i="3" s="1"/>
  <c r="M2073" i="3" s="1"/>
  <c r="I2072" i="3"/>
  <c r="I2071" i="3"/>
  <c r="L2071" i="3" s="1"/>
  <c r="M2071" i="3" s="1"/>
  <c r="I2070" i="3"/>
  <c r="I2069" i="3"/>
  <c r="L2069" i="3" s="1"/>
  <c r="M2069" i="3" s="1"/>
  <c r="I2068" i="3"/>
  <c r="I2067" i="3"/>
  <c r="L2067" i="3" s="1"/>
  <c r="M2067" i="3" s="1"/>
  <c r="I2066" i="3"/>
  <c r="I2065" i="3"/>
  <c r="L2065" i="3" s="1"/>
  <c r="M2065" i="3" s="1"/>
  <c r="I2064" i="3"/>
  <c r="I2063" i="3"/>
  <c r="L2063" i="3" s="1"/>
  <c r="M2063" i="3" s="1"/>
  <c r="I2062" i="3"/>
  <c r="I2061" i="3"/>
  <c r="L2061" i="3" s="1"/>
  <c r="M2061" i="3" s="1"/>
  <c r="I2060" i="3"/>
  <c r="I2059" i="3"/>
  <c r="L2059" i="3" s="1"/>
  <c r="M2059" i="3" s="1"/>
  <c r="I2058" i="3"/>
  <c r="I2057" i="3"/>
  <c r="L2057" i="3" s="1"/>
  <c r="M2057" i="3" s="1"/>
  <c r="I2056" i="3"/>
  <c r="I2055" i="3"/>
  <c r="L2055" i="3" s="1"/>
  <c r="M2055" i="3" s="1"/>
  <c r="I2054" i="3"/>
  <c r="I2053" i="3"/>
  <c r="L2053" i="3" s="1"/>
  <c r="M2053" i="3" s="1"/>
  <c r="I2052" i="3"/>
  <c r="I2051" i="3"/>
  <c r="L2051" i="3" s="1"/>
  <c r="M2051" i="3" s="1"/>
  <c r="I2050" i="3"/>
  <c r="I2049" i="3"/>
  <c r="L2049" i="3" s="1"/>
  <c r="M2049" i="3" s="1"/>
  <c r="I2048" i="3"/>
  <c r="I2047" i="3"/>
  <c r="L2047" i="3" s="1"/>
  <c r="M2047" i="3" s="1"/>
  <c r="I2046" i="3"/>
  <c r="I2045" i="3"/>
  <c r="L2045" i="3" s="1"/>
  <c r="M2045" i="3" s="1"/>
  <c r="I2044" i="3"/>
  <c r="I2043" i="3"/>
  <c r="L2043" i="3" s="1"/>
  <c r="M2043" i="3" s="1"/>
  <c r="I2042" i="3"/>
  <c r="I2041" i="3"/>
  <c r="L2041" i="3" s="1"/>
  <c r="M2041" i="3" s="1"/>
  <c r="I2040" i="3"/>
  <c r="I2039" i="3"/>
  <c r="L2039" i="3" s="1"/>
  <c r="M2039" i="3" s="1"/>
  <c r="I2038" i="3"/>
  <c r="I2037" i="3"/>
  <c r="L2037" i="3" s="1"/>
  <c r="M2037" i="3" s="1"/>
  <c r="I2036" i="3"/>
  <c r="I2035" i="3"/>
  <c r="L2035" i="3" s="1"/>
  <c r="M2035" i="3" s="1"/>
  <c r="I2034" i="3"/>
  <c r="I2033" i="3"/>
  <c r="L2033" i="3" s="1"/>
  <c r="M2033" i="3" s="1"/>
  <c r="I2032" i="3"/>
  <c r="I2031" i="3"/>
  <c r="L2031" i="3" s="1"/>
  <c r="M2031" i="3" s="1"/>
  <c r="I2030" i="3"/>
  <c r="I2029" i="3"/>
  <c r="L2029" i="3" s="1"/>
  <c r="M2029" i="3" s="1"/>
  <c r="I2028" i="3"/>
  <c r="I2027" i="3"/>
  <c r="L2027" i="3" s="1"/>
  <c r="M2027" i="3" s="1"/>
  <c r="I2026" i="3"/>
  <c r="I2025" i="3"/>
  <c r="L2025" i="3" s="1"/>
  <c r="M2025" i="3" s="1"/>
  <c r="I2024" i="3"/>
  <c r="I2023" i="3"/>
  <c r="L2023" i="3" s="1"/>
  <c r="M2023" i="3" s="1"/>
  <c r="I2022" i="3"/>
  <c r="I2021" i="3"/>
  <c r="L2021" i="3" s="1"/>
  <c r="M2021" i="3" s="1"/>
  <c r="I2020" i="3"/>
  <c r="I2019" i="3"/>
  <c r="L2019" i="3" s="1"/>
  <c r="M2019" i="3" s="1"/>
  <c r="I2018" i="3"/>
  <c r="I2017" i="3"/>
  <c r="L2017" i="3" s="1"/>
  <c r="M2017" i="3" s="1"/>
  <c r="I2016" i="3"/>
  <c r="I2015" i="3"/>
  <c r="L2015" i="3" s="1"/>
  <c r="M2015" i="3" s="1"/>
  <c r="I2014" i="3"/>
  <c r="I2013" i="3"/>
  <c r="L2013" i="3" s="1"/>
  <c r="M2013" i="3" s="1"/>
  <c r="I2012" i="3"/>
  <c r="I2011" i="3"/>
  <c r="L2011" i="3" s="1"/>
  <c r="M2011" i="3" s="1"/>
  <c r="I2010" i="3"/>
  <c r="I2009" i="3"/>
  <c r="L2009" i="3" s="1"/>
  <c r="M2009" i="3" s="1"/>
  <c r="I2008" i="3"/>
  <c r="I2007" i="3"/>
  <c r="L2007" i="3" s="1"/>
  <c r="M2007" i="3" s="1"/>
  <c r="I2006" i="3"/>
  <c r="I2005" i="3"/>
  <c r="L2005" i="3" s="1"/>
  <c r="M2005" i="3" s="1"/>
  <c r="I2004" i="3"/>
  <c r="I2003" i="3"/>
  <c r="L2003" i="3" s="1"/>
  <c r="M2003" i="3" s="1"/>
  <c r="I2002" i="3"/>
  <c r="I2001" i="3"/>
  <c r="L2001" i="3" s="1"/>
  <c r="M2001" i="3" s="1"/>
  <c r="I2000" i="3"/>
  <c r="I1999" i="3"/>
  <c r="L1999" i="3" s="1"/>
  <c r="M1999" i="3" s="1"/>
  <c r="I1998" i="3"/>
  <c r="I1997" i="3"/>
  <c r="L1997" i="3" s="1"/>
  <c r="M1997" i="3" s="1"/>
  <c r="I1996" i="3"/>
  <c r="I1995" i="3"/>
  <c r="L1995" i="3" s="1"/>
  <c r="M1995" i="3" s="1"/>
  <c r="I1994" i="3"/>
  <c r="I1993" i="3"/>
  <c r="L1993" i="3" s="1"/>
  <c r="M1993" i="3" s="1"/>
  <c r="I1992" i="3"/>
  <c r="I1991" i="3"/>
  <c r="L1991" i="3" s="1"/>
  <c r="M1991" i="3" s="1"/>
  <c r="I1990" i="3"/>
  <c r="I1989" i="3"/>
  <c r="L1989" i="3" s="1"/>
  <c r="M1989" i="3" s="1"/>
  <c r="I1988" i="3"/>
  <c r="I1987" i="3"/>
  <c r="L1987" i="3" s="1"/>
  <c r="M1987" i="3" s="1"/>
  <c r="I1986" i="3"/>
  <c r="I1985" i="3"/>
  <c r="L1985" i="3" s="1"/>
  <c r="M1985" i="3" s="1"/>
  <c r="I1984" i="3"/>
  <c r="I1983" i="3"/>
  <c r="L1983" i="3" s="1"/>
  <c r="M1983" i="3" s="1"/>
  <c r="I1982" i="3"/>
  <c r="I1981" i="3"/>
  <c r="L1981" i="3" s="1"/>
  <c r="M1981" i="3" s="1"/>
  <c r="I1980" i="3"/>
  <c r="I1979" i="3"/>
  <c r="L1979" i="3" s="1"/>
  <c r="M1979" i="3" s="1"/>
  <c r="I1978" i="3"/>
  <c r="I1977" i="3"/>
  <c r="L1977" i="3" s="1"/>
  <c r="M1977" i="3" s="1"/>
  <c r="I1976" i="3"/>
  <c r="I1975" i="3"/>
  <c r="L1975" i="3" s="1"/>
  <c r="M1975" i="3" s="1"/>
  <c r="I1974" i="3"/>
  <c r="I1973" i="3"/>
  <c r="L1973" i="3" s="1"/>
  <c r="M1973" i="3" s="1"/>
  <c r="I1972" i="3"/>
  <c r="I1971" i="3"/>
  <c r="L1971" i="3" s="1"/>
  <c r="M1971" i="3" s="1"/>
  <c r="I1970" i="3"/>
  <c r="I1969" i="3"/>
  <c r="L1969" i="3" s="1"/>
  <c r="M1969" i="3" s="1"/>
  <c r="I1968" i="3"/>
  <c r="I1967" i="3"/>
  <c r="L1967" i="3" s="1"/>
  <c r="M1967" i="3" s="1"/>
  <c r="I1966" i="3"/>
  <c r="I1965" i="3"/>
  <c r="L1965" i="3" s="1"/>
  <c r="M1965" i="3" s="1"/>
  <c r="I1964" i="3"/>
  <c r="I1963" i="3"/>
  <c r="L1963" i="3" s="1"/>
  <c r="M1963" i="3" s="1"/>
  <c r="I1962" i="3"/>
  <c r="I1961" i="3"/>
  <c r="L1961" i="3" s="1"/>
  <c r="M1961" i="3" s="1"/>
  <c r="I1960" i="3"/>
  <c r="I1959" i="3"/>
  <c r="L1959" i="3" s="1"/>
  <c r="M1959" i="3" s="1"/>
  <c r="I1958" i="3"/>
  <c r="I1957" i="3"/>
  <c r="L1957" i="3" s="1"/>
  <c r="M1957" i="3" s="1"/>
  <c r="I1956" i="3"/>
  <c r="I1955" i="3"/>
  <c r="L1955" i="3" s="1"/>
  <c r="M1955" i="3" s="1"/>
  <c r="I1954" i="3"/>
  <c r="I1953" i="3"/>
  <c r="L1953" i="3" s="1"/>
  <c r="M1953" i="3" s="1"/>
  <c r="I1952" i="3"/>
  <c r="I1951" i="3"/>
  <c r="L1951" i="3" s="1"/>
  <c r="M1951" i="3" s="1"/>
  <c r="I1950" i="3"/>
  <c r="I1949" i="3"/>
  <c r="L1949" i="3" s="1"/>
  <c r="M1949" i="3" s="1"/>
  <c r="I1948" i="3"/>
  <c r="I1947" i="3"/>
  <c r="L1947" i="3" s="1"/>
  <c r="M1947" i="3" s="1"/>
  <c r="I1946" i="3"/>
  <c r="I1945" i="3"/>
  <c r="L1945" i="3" s="1"/>
  <c r="M1945" i="3" s="1"/>
  <c r="I1944" i="3"/>
  <c r="I1943" i="3"/>
  <c r="L1943" i="3" s="1"/>
  <c r="M1943" i="3" s="1"/>
  <c r="I1942" i="3"/>
  <c r="I1941" i="3"/>
  <c r="L1941" i="3" s="1"/>
  <c r="M1941" i="3" s="1"/>
  <c r="I1940" i="3"/>
  <c r="I1939" i="3"/>
  <c r="L1939" i="3" s="1"/>
  <c r="M1939" i="3" s="1"/>
  <c r="I1938" i="3"/>
  <c r="I1937" i="3"/>
  <c r="L1937" i="3" s="1"/>
  <c r="M1937" i="3" s="1"/>
  <c r="I1936" i="3"/>
  <c r="I1935" i="3"/>
  <c r="L1935" i="3" s="1"/>
  <c r="M1935" i="3" s="1"/>
  <c r="I1934" i="3"/>
  <c r="I1933" i="3"/>
  <c r="L1933" i="3" s="1"/>
  <c r="M1933" i="3" s="1"/>
  <c r="I1932" i="3"/>
  <c r="I1931" i="3"/>
  <c r="L1931" i="3" s="1"/>
  <c r="M1931" i="3" s="1"/>
  <c r="I1930" i="3"/>
  <c r="I1929" i="3"/>
  <c r="L1929" i="3" s="1"/>
  <c r="M1929" i="3" s="1"/>
  <c r="I1928" i="3"/>
  <c r="I1927" i="3"/>
  <c r="L1927" i="3" s="1"/>
  <c r="M1927" i="3" s="1"/>
  <c r="I1926" i="3"/>
  <c r="I1925" i="3"/>
  <c r="L1925" i="3" s="1"/>
  <c r="M1925" i="3" s="1"/>
  <c r="I1924" i="3"/>
  <c r="I1923" i="3"/>
  <c r="L1923" i="3" s="1"/>
  <c r="M1923" i="3" s="1"/>
  <c r="I1922" i="3"/>
  <c r="I1921" i="3"/>
  <c r="L1921" i="3" s="1"/>
  <c r="M1921" i="3" s="1"/>
  <c r="I1920" i="3"/>
  <c r="I1919" i="3"/>
  <c r="L1919" i="3" s="1"/>
  <c r="M1919" i="3" s="1"/>
  <c r="I1918" i="3"/>
  <c r="I1917" i="3"/>
  <c r="L1917" i="3" s="1"/>
  <c r="M1917" i="3" s="1"/>
  <c r="I1916" i="3"/>
  <c r="I1915" i="3"/>
  <c r="L1915" i="3" s="1"/>
  <c r="M1915" i="3" s="1"/>
  <c r="I1914" i="3"/>
  <c r="I1913" i="3"/>
  <c r="L1913" i="3" s="1"/>
  <c r="M1913" i="3" s="1"/>
  <c r="I1912" i="3"/>
  <c r="I1911" i="3"/>
  <c r="L1911" i="3" s="1"/>
  <c r="M1911" i="3" s="1"/>
  <c r="I1910" i="3"/>
  <c r="I1909" i="3"/>
  <c r="L1909" i="3" s="1"/>
  <c r="M1909" i="3" s="1"/>
  <c r="I1908" i="3"/>
  <c r="I1907" i="3"/>
  <c r="L1907" i="3" s="1"/>
  <c r="M1907" i="3" s="1"/>
  <c r="I1906" i="3"/>
  <c r="I1905" i="3"/>
  <c r="L1905" i="3" s="1"/>
  <c r="M1905" i="3" s="1"/>
  <c r="I1904" i="3"/>
  <c r="I1903" i="3"/>
  <c r="L1903" i="3" s="1"/>
  <c r="M1903" i="3" s="1"/>
  <c r="I1902" i="3"/>
  <c r="I1901" i="3"/>
  <c r="L1901" i="3" s="1"/>
  <c r="M1901" i="3" s="1"/>
  <c r="I1900" i="3"/>
  <c r="I1899" i="3"/>
  <c r="L1899" i="3" s="1"/>
  <c r="M1899" i="3" s="1"/>
  <c r="I1898" i="3"/>
  <c r="I1897" i="3"/>
  <c r="L1897" i="3" s="1"/>
  <c r="M1897" i="3" s="1"/>
  <c r="I1896" i="3"/>
  <c r="I1895" i="3"/>
  <c r="L1895" i="3" s="1"/>
  <c r="M1895" i="3" s="1"/>
  <c r="I1894" i="3"/>
  <c r="I1893" i="3"/>
  <c r="L1893" i="3" s="1"/>
  <c r="M1893" i="3" s="1"/>
  <c r="I1892" i="3"/>
  <c r="I1891" i="3"/>
  <c r="L1891" i="3" s="1"/>
  <c r="M1891" i="3" s="1"/>
  <c r="I1890" i="3"/>
  <c r="I1889" i="3"/>
  <c r="L1889" i="3" s="1"/>
  <c r="M1889" i="3" s="1"/>
  <c r="I1888" i="3"/>
  <c r="I1887" i="3"/>
  <c r="L1887" i="3" s="1"/>
  <c r="M1887" i="3" s="1"/>
  <c r="I1886" i="3"/>
  <c r="I1885" i="3"/>
  <c r="L1885" i="3" s="1"/>
  <c r="M1885" i="3" s="1"/>
  <c r="I1884" i="3"/>
  <c r="I1883" i="3"/>
  <c r="L1883" i="3" s="1"/>
  <c r="M1883" i="3" s="1"/>
  <c r="I1882" i="3"/>
  <c r="I1881" i="3"/>
  <c r="L1881" i="3" s="1"/>
  <c r="M1881" i="3" s="1"/>
  <c r="I1880" i="3"/>
  <c r="I1879" i="3"/>
  <c r="L1879" i="3" s="1"/>
  <c r="M1879" i="3" s="1"/>
  <c r="I1878" i="3"/>
  <c r="I1877" i="3"/>
  <c r="L1877" i="3" s="1"/>
  <c r="M1877" i="3" s="1"/>
  <c r="I1876" i="3"/>
  <c r="I1875" i="3"/>
  <c r="L1875" i="3" s="1"/>
  <c r="M1875" i="3" s="1"/>
  <c r="I1874" i="3"/>
  <c r="I1873" i="3"/>
  <c r="L1873" i="3" s="1"/>
  <c r="M1873" i="3" s="1"/>
  <c r="I1872" i="3"/>
  <c r="I1871" i="3"/>
  <c r="L1871" i="3" s="1"/>
  <c r="M1871" i="3" s="1"/>
  <c r="I1870" i="3"/>
  <c r="I1869" i="3"/>
  <c r="L1869" i="3" s="1"/>
  <c r="M1869" i="3" s="1"/>
  <c r="I1868" i="3"/>
  <c r="I1867" i="3"/>
  <c r="L1867" i="3" s="1"/>
  <c r="M1867" i="3" s="1"/>
  <c r="I1866" i="3"/>
  <c r="I1865" i="3"/>
  <c r="L1865" i="3" s="1"/>
  <c r="M1865" i="3" s="1"/>
  <c r="I1864" i="3"/>
  <c r="I1863" i="3"/>
  <c r="L1863" i="3" s="1"/>
  <c r="M1863" i="3" s="1"/>
  <c r="I1862" i="3"/>
  <c r="I1861" i="3"/>
  <c r="L1861" i="3" s="1"/>
  <c r="M1861" i="3" s="1"/>
  <c r="I1860" i="3"/>
  <c r="I1859" i="3"/>
  <c r="L1859" i="3" s="1"/>
  <c r="M1859" i="3" s="1"/>
  <c r="I1858" i="3"/>
  <c r="I1857" i="3"/>
  <c r="L1857" i="3" s="1"/>
  <c r="M1857" i="3" s="1"/>
  <c r="I1856" i="3"/>
  <c r="I1855" i="3"/>
  <c r="L1855" i="3" s="1"/>
  <c r="M1855" i="3" s="1"/>
  <c r="I1854" i="3"/>
  <c r="I1853" i="3"/>
  <c r="L1853" i="3" s="1"/>
  <c r="M1853" i="3" s="1"/>
  <c r="I1852" i="3"/>
  <c r="I1851" i="3"/>
  <c r="L1851" i="3" s="1"/>
  <c r="M1851" i="3" s="1"/>
  <c r="I1850" i="3"/>
  <c r="I1849" i="3"/>
  <c r="L1849" i="3" s="1"/>
  <c r="M1849" i="3" s="1"/>
  <c r="I1848" i="3"/>
  <c r="I1847" i="3"/>
  <c r="L1847" i="3" s="1"/>
  <c r="M1847" i="3" s="1"/>
  <c r="I1846" i="3"/>
  <c r="I1845" i="3"/>
  <c r="L1845" i="3" s="1"/>
  <c r="M1845" i="3" s="1"/>
  <c r="I1844" i="3"/>
  <c r="I1843" i="3"/>
  <c r="L1843" i="3" s="1"/>
  <c r="M1843" i="3" s="1"/>
  <c r="I1842" i="3"/>
  <c r="I1841" i="3"/>
  <c r="L1841" i="3" s="1"/>
  <c r="M1841" i="3" s="1"/>
  <c r="I1840" i="3"/>
  <c r="I1839" i="3"/>
  <c r="L1839" i="3" s="1"/>
  <c r="M1839" i="3" s="1"/>
  <c r="I1838" i="3"/>
  <c r="I1837" i="3"/>
  <c r="L1837" i="3" s="1"/>
  <c r="M1837" i="3" s="1"/>
  <c r="I1836" i="3"/>
  <c r="I1835" i="3"/>
  <c r="L1835" i="3" s="1"/>
  <c r="M1835" i="3" s="1"/>
  <c r="I1834" i="3"/>
  <c r="I1833" i="3"/>
  <c r="L1833" i="3" s="1"/>
  <c r="M1833" i="3" s="1"/>
  <c r="I1832" i="3"/>
  <c r="I1831" i="3"/>
  <c r="L1831" i="3" s="1"/>
  <c r="M1831" i="3" s="1"/>
  <c r="I1830" i="3"/>
  <c r="I1829" i="3"/>
  <c r="L1829" i="3" s="1"/>
  <c r="M1829" i="3" s="1"/>
  <c r="I1828" i="3"/>
  <c r="I1827" i="3"/>
  <c r="L1827" i="3" s="1"/>
  <c r="M1827" i="3" s="1"/>
  <c r="I1826" i="3"/>
  <c r="I1825" i="3"/>
  <c r="L1825" i="3" s="1"/>
  <c r="M1825" i="3" s="1"/>
  <c r="I1824" i="3"/>
  <c r="I1823" i="3"/>
  <c r="L1823" i="3" s="1"/>
  <c r="M1823" i="3" s="1"/>
  <c r="I1822" i="3"/>
  <c r="I1821" i="3"/>
  <c r="L1821" i="3" s="1"/>
  <c r="M1821" i="3" s="1"/>
  <c r="I1820" i="3"/>
  <c r="I1819" i="3"/>
  <c r="L1819" i="3" s="1"/>
  <c r="M1819" i="3" s="1"/>
  <c r="I1818" i="3"/>
  <c r="I1817" i="3"/>
  <c r="L1817" i="3" s="1"/>
  <c r="M1817" i="3" s="1"/>
  <c r="I1816" i="3"/>
  <c r="I1815" i="3"/>
  <c r="L1815" i="3" s="1"/>
  <c r="M1815" i="3" s="1"/>
  <c r="I1814" i="3"/>
  <c r="I1813" i="3"/>
  <c r="L1813" i="3" s="1"/>
  <c r="M1813" i="3" s="1"/>
  <c r="I1812" i="3"/>
  <c r="I1811" i="3"/>
  <c r="L1811" i="3" s="1"/>
  <c r="M1811" i="3" s="1"/>
  <c r="I1810" i="3"/>
  <c r="I1809" i="3"/>
  <c r="L1809" i="3" s="1"/>
  <c r="M1809" i="3" s="1"/>
  <c r="I1808" i="3"/>
  <c r="I1807" i="3"/>
  <c r="L1807" i="3" s="1"/>
  <c r="M1807" i="3" s="1"/>
  <c r="I1806" i="3"/>
  <c r="I1805" i="3"/>
  <c r="L1805" i="3" s="1"/>
  <c r="M1805" i="3" s="1"/>
  <c r="I1804" i="3"/>
  <c r="I1803" i="3"/>
  <c r="L1803" i="3" s="1"/>
  <c r="M1803" i="3" s="1"/>
  <c r="I1802" i="3"/>
  <c r="I1801" i="3"/>
  <c r="L1801" i="3" s="1"/>
  <c r="M1801" i="3" s="1"/>
  <c r="I1800" i="3"/>
  <c r="I1799" i="3"/>
  <c r="L1799" i="3" s="1"/>
  <c r="M1799" i="3" s="1"/>
  <c r="I1798" i="3"/>
  <c r="I1797" i="3"/>
  <c r="L1797" i="3" s="1"/>
  <c r="M1797" i="3" s="1"/>
  <c r="I1796" i="3"/>
  <c r="I1795" i="3"/>
  <c r="L1795" i="3" s="1"/>
  <c r="M1795" i="3" s="1"/>
  <c r="I1794" i="3"/>
  <c r="I1793" i="3"/>
  <c r="L1793" i="3" s="1"/>
  <c r="M1793" i="3" s="1"/>
  <c r="I1792" i="3"/>
  <c r="I1791" i="3"/>
  <c r="L1791" i="3" s="1"/>
  <c r="M1791" i="3" s="1"/>
  <c r="I1790" i="3"/>
  <c r="L1790" i="3" s="1"/>
  <c r="M1790" i="3" s="1"/>
  <c r="I1789" i="3"/>
  <c r="L1789" i="3" s="1"/>
  <c r="M1789" i="3" s="1"/>
  <c r="I1788" i="3"/>
  <c r="L1788" i="3" s="1"/>
  <c r="M1788" i="3" s="1"/>
  <c r="I1787" i="3"/>
  <c r="L1787" i="3" s="1"/>
  <c r="M1787" i="3" s="1"/>
  <c r="I1786" i="3"/>
  <c r="L1786" i="3" s="1"/>
  <c r="M1786" i="3" s="1"/>
  <c r="I1785" i="3"/>
  <c r="L1785" i="3" s="1"/>
  <c r="M1785" i="3" s="1"/>
  <c r="I1784" i="3"/>
  <c r="L1784" i="3" s="1"/>
  <c r="M1784" i="3" s="1"/>
  <c r="I1783" i="3"/>
  <c r="L1783" i="3" s="1"/>
  <c r="M1783" i="3" s="1"/>
  <c r="I1782" i="3"/>
  <c r="L1782" i="3" s="1"/>
  <c r="M1782" i="3" s="1"/>
  <c r="I1781" i="3"/>
  <c r="L1781" i="3" s="1"/>
  <c r="M1781" i="3" s="1"/>
  <c r="I1780" i="3"/>
  <c r="L1780" i="3" s="1"/>
  <c r="M1780" i="3" s="1"/>
  <c r="I1779" i="3"/>
  <c r="L1779" i="3" s="1"/>
  <c r="M1779" i="3" s="1"/>
  <c r="I1778" i="3"/>
  <c r="L1778" i="3" s="1"/>
  <c r="M1778" i="3" s="1"/>
  <c r="I1777" i="3"/>
  <c r="L1777" i="3" s="1"/>
  <c r="M1777" i="3" s="1"/>
  <c r="I1776" i="3"/>
  <c r="L1776" i="3" s="1"/>
  <c r="M1776" i="3" s="1"/>
  <c r="I1775" i="3"/>
  <c r="L1775" i="3" s="1"/>
  <c r="M1775" i="3" s="1"/>
  <c r="I1774" i="3"/>
  <c r="L1774" i="3" s="1"/>
  <c r="M1774" i="3" s="1"/>
  <c r="I1773" i="3"/>
  <c r="L1773" i="3" s="1"/>
  <c r="M1773" i="3" s="1"/>
  <c r="I1772" i="3"/>
  <c r="L1772" i="3" s="1"/>
  <c r="M1772" i="3" s="1"/>
  <c r="I1771" i="3"/>
  <c r="L1771" i="3" s="1"/>
  <c r="M1771" i="3" s="1"/>
  <c r="I1770" i="3"/>
  <c r="L1770" i="3" s="1"/>
  <c r="M1770" i="3" s="1"/>
  <c r="I1769" i="3"/>
  <c r="L1769" i="3" s="1"/>
  <c r="M1769" i="3" s="1"/>
  <c r="I1768" i="3"/>
  <c r="L1768" i="3" s="1"/>
  <c r="M1768" i="3" s="1"/>
  <c r="I1767" i="3"/>
  <c r="L1767" i="3" s="1"/>
  <c r="M1767" i="3" s="1"/>
  <c r="I1766" i="3"/>
  <c r="L1766" i="3" s="1"/>
  <c r="M1766" i="3" s="1"/>
  <c r="I1765" i="3"/>
  <c r="L1765" i="3" s="1"/>
  <c r="M1765" i="3" s="1"/>
  <c r="I1764" i="3"/>
  <c r="L1764" i="3" s="1"/>
  <c r="M1764" i="3" s="1"/>
  <c r="I1763" i="3"/>
  <c r="L1763" i="3" s="1"/>
  <c r="M1763" i="3" s="1"/>
  <c r="I1762" i="3"/>
  <c r="L1762" i="3" s="1"/>
  <c r="M1762" i="3" s="1"/>
  <c r="I1761" i="3"/>
  <c r="L1761" i="3" s="1"/>
  <c r="M1761" i="3" s="1"/>
  <c r="I1760" i="3"/>
  <c r="L1760" i="3" s="1"/>
  <c r="M1760" i="3" s="1"/>
  <c r="I1759" i="3"/>
  <c r="L1759" i="3" s="1"/>
  <c r="M1759" i="3" s="1"/>
  <c r="I1758" i="3"/>
  <c r="L1758" i="3" s="1"/>
  <c r="M1758" i="3" s="1"/>
  <c r="I1757" i="3"/>
  <c r="L1757" i="3" s="1"/>
  <c r="M1757" i="3" s="1"/>
  <c r="I1756" i="3"/>
  <c r="L1756" i="3" s="1"/>
  <c r="M1756" i="3" s="1"/>
  <c r="I1755" i="3"/>
  <c r="L1755" i="3" s="1"/>
  <c r="M1755" i="3" s="1"/>
  <c r="I1754" i="3"/>
  <c r="L1754" i="3" s="1"/>
  <c r="M1754" i="3" s="1"/>
  <c r="I1753" i="3"/>
  <c r="L1753" i="3" s="1"/>
  <c r="M1753" i="3" s="1"/>
  <c r="I1752" i="3"/>
  <c r="L1752" i="3" s="1"/>
  <c r="M1752" i="3" s="1"/>
  <c r="I1751" i="3"/>
  <c r="L1751" i="3" s="1"/>
  <c r="M1751" i="3" s="1"/>
  <c r="I1750" i="3"/>
  <c r="L1750" i="3" s="1"/>
  <c r="M1750" i="3" s="1"/>
  <c r="I1749" i="3"/>
  <c r="L1749" i="3" s="1"/>
  <c r="M1749" i="3" s="1"/>
  <c r="I1748" i="3"/>
  <c r="L1748" i="3" s="1"/>
  <c r="M1748" i="3" s="1"/>
  <c r="I1747" i="3"/>
  <c r="L1747" i="3" s="1"/>
  <c r="M1747" i="3" s="1"/>
  <c r="I1746" i="3"/>
  <c r="L1746" i="3" s="1"/>
  <c r="M1746" i="3" s="1"/>
  <c r="I1745" i="3"/>
  <c r="L1745" i="3" s="1"/>
  <c r="M1745" i="3" s="1"/>
  <c r="I1744" i="3"/>
  <c r="L1744" i="3" s="1"/>
  <c r="M1744" i="3" s="1"/>
  <c r="I1743" i="3"/>
  <c r="L1743" i="3" s="1"/>
  <c r="M1743" i="3" s="1"/>
  <c r="I1742" i="3"/>
  <c r="L1742" i="3" s="1"/>
  <c r="M1742" i="3" s="1"/>
  <c r="I1741" i="3"/>
  <c r="L1741" i="3" s="1"/>
  <c r="M1741" i="3" s="1"/>
  <c r="I1740" i="3"/>
  <c r="L1740" i="3" s="1"/>
  <c r="M1740" i="3" s="1"/>
  <c r="I1739" i="3"/>
  <c r="L1739" i="3" s="1"/>
  <c r="M1739" i="3" s="1"/>
  <c r="I1738" i="3"/>
  <c r="L1738" i="3" s="1"/>
  <c r="M1738" i="3" s="1"/>
  <c r="I1737" i="3"/>
  <c r="L1737" i="3" s="1"/>
  <c r="M1737" i="3" s="1"/>
  <c r="I1736" i="3"/>
  <c r="L1736" i="3" s="1"/>
  <c r="M1736" i="3" s="1"/>
  <c r="I1735" i="3"/>
  <c r="L1735" i="3" s="1"/>
  <c r="M1735" i="3" s="1"/>
  <c r="I1734" i="3"/>
  <c r="L1734" i="3" s="1"/>
  <c r="M1734" i="3" s="1"/>
  <c r="I1733" i="3"/>
  <c r="L1733" i="3" s="1"/>
  <c r="M1733" i="3" s="1"/>
  <c r="I1732" i="3"/>
  <c r="L1732" i="3" s="1"/>
  <c r="M1732" i="3" s="1"/>
  <c r="I1731" i="3"/>
  <c r="L1731" i="3" s="1"/>
  <c r="M1731" i="3" s="1"/>
  <c r="I1730" i="3"/>
  <c r="L1730" i="3" s="1"/>
  <c r="M1730" i="3" s="1"/>
  <c r="I1729" i="3"/>
  <c r="L1729" i="3" s="1"/>
  <c r="M1729" i="3" s="1"/>
  <c r="I1728" i="3"/>
  <c r="L1728" i="3" s="1"/>
  <c r="M1728" i="3" s="1"/>
  <c r="I1727" i="3"/>
  <c r="L1727" i="3" s="1"/>
  <c r="M1727" i="3" s="1"/>
  <c r="I1726" i="3"/>
  <c r="L1726" i="3" s="1"/>
  <c r="M1726" i="3" s="1"/>
  <c r="I1725" i="3"/>
  <c r="L1725" i="3" s="1"/>
  <c r="M1725" i="3" s="1"/>
  <c r="I1724" i="3"/>
  <c r="L1724" i="3" s="1"/>
  <c r="M1724" i="3" s="1"/>
  <c r="I1723" i="3"/>
  <c r="L1723" i="3" s="1"/>
  <c r="M1723" i="3" s="1"/>
  <c r="I1722" i="3"/>
  <c r="L1722" i="3" s="1"/>
  <c r="M1722" i="3" s="1"/>
  <c r="I1721" i="3"/>
  <c r="L1721" i="3" s="1"/>
  <c r="M1721" i="3" s="1"/>
  <c r="I1720" i="3"/>
  <c r="L1720" i="3" s="1"/>
  <c r="M1720" i="3" s="1"/>
  <c r="I1719" i="3"/>
  <c r="L1719" i="3" s="1"/>
  <c r="M1719" i="3" s="1"/>
  <c r="I1718" i="3"/>
  <c r="L1718" i="3" s="1"/>
  <c r="M1718" i="3" s="1"/>
  <c r="I1717" i="3"/>
  <c r="L1717" i="3" s="1"/>
  <c r="M1717" i="3" s="1"/>
  <c r="I1716" i="3"/>
  <c r="L1716" i="3" s="1"/>
  <c r="M1716" i="3" s="1"/>
  <c r="I1715" i="3"/>
  <c r="L1715" i="3" s="1"/>
  <c r="M1715" i="3" s="1"/>
  <c r="I1714" i="3"/>
  <c r="L1714" i="3" s="1"/>
  <c r="M1714" i="3" s="1"/>
  <c r="I1713" i="3"/>
  <c r="L1713" i="3" s="1"/>
  <c r="M1713" i="3" s="1"/>
  <c r="I1712" i="3"/>
  <c r="L1712" i="3" s="1"/>
  <c r="M1712" i="3" s="1"/>
  <c r="I1711" i="3"/>
  <c r="L1711" i="3" s="1"/>
  <c r="M1711" i="3" s="1"/>
  <c r="I1710" i="3"/>
  <c r="L1710" i="3" s="1"/>
  <c r="M1710" i="3" s="1"/>
  <c r="I1709" i="3"/>
  <c r="L1709" i="3" s="1"/>
  <c r="M1709" i="3" s="1"/>
  <c r="I1708" i="3"/>
  <c r="L1708" i="3" s="1"/>
  <c r="M1708" i="3" s="1"/>
  <c r="I1707" i="3"/>
  <c r="L1707" i="3" s="1"/>
  <c r="M1707" i="3" s="1"/>
  <c r="I1706" i="3"/>
  <c r="L1706" i="3" s="1"/>
  <c r="M1706" i="3" s="1"/>
  <c r="I1705" i="3"/>
  <c r="L1705" i="3" s="1"/>
  <c r="M1705" i="3" s="1"/>
  <c r="I1704" i="3"/>
  <c r="L1704" i="3" s="1"/>
  <c r="M1704" i="3" s="1"/>
  <c r="I1703" i="3"/>
  <c r="L1703" i="3" s="1"/>
  <c r="M1703" i="3" s="1"/>
  <c r="I1702" i="3"/>
  <c r="L1702" i="3" s="1"/>
  <c r="M1702" i="3" s="1"/>
  <c r="I1701" i="3"/>
  <c r="L1701" i="3" s="1"/>
  <c r="M1701" i="3" s="1"/>
  <c r="I1700" i="3"/>
  <c r="L1700" i="3" s="1"/>
  <c r="M1700" i="3" s="1"/>
  <c r="I1699" i="3"/>
  <c r="L1699" i="3" s="1"/>
  <c r="M1699" i="3" s="1"/>
  <c r="I1698" i="3"/>
  <c r="L1698" i="3" s="1"/>
  <c r="M1698" i="3" s="1"/>
  <c r="I1697" i="3"/>
  <c r="L1697" i="3" s="1"/>
  <c r="M1697" i="3" s="1"/>
  <c r="I1696" i="3"/>
  <c r="L1696" i="3" s="1"/>
  <c r="M1696" i="3" s="1"/>
  <c r="I1695" i="3"/>
  <c r="L1695" i="3" s="1"/>
  <c r="M1695" i="3" s="1"/>
  <c r="I1694" i="3"/>
  <c r="L1694" i="3" s="1"/>
  <c r="M1694" i="3" s="1"/>
  <c r="I1693" i="3"/>
  <c r="L1693" i="3" s="1"/>
  <c r="M1693" i="3" s="1"/>
  <c r="I1692" i="3"/>
  <c r="L1692" i="3" s="1"/>
  <c r="M1692" i="3" s="1"/>
  <c r="I1691" i="3"/>
  <c r="L1691" i="3" s="1"/>
  <c r="M1691" i="3" s="1"/>
  <c r="I1690" i="3"/>
  <c r="L1690" i="3" s="1"/>
  <c r="M1690" i="3" s="1"/>
  <c r="I1689" i="3"/>
  <c r="L1689" i="3" s="1"/>
  <c r="M1689" i="3" s="1"/>
  <c r="I1688" i="3"/>
  <c r="L1688" i="3" s="1"/>
  <c r="M1688" i="3" s="1"/>
  <c r="I1687" i="3"/>
  <c r="L1687" i="3" s="1"/>
  <c r="M1687" i="3" s="1"/>
  <c r="I1686" i="3"/>
  <c r="L1686" i="3" s="1"/>
  <c r="M1686" i="3" s="1"/>
  <c r="I1685" i="3"/>
  <c r="L1685" i="3" s="1"/>
  <c r="M1685" i="3" s="1"/>
  <c r="I1684" i="3"/>
  <c r="L1684" i="3" s="1"/>
  <c r="M1684" i="3" s="1"/>
  <c r="I1683" i="3"/>
  <c r="L1683" i="3" s="1"/>
  <c r="M1683" i="3" s="1"/>
  <c r="I1682" i="3"/>
  <c r="L1682" i="3" s="1"/>
  <c r="M1682" i="3" s="1"/>
  <c r="I1681" i="3"/>
  <c r="L1681" i="3" s="1"/>
  <c r="M1681" i="3" s="1"/>
  <c r="I1680" i="3"/>
  <c r="L1680" i="3" s="1"/>
  <c r="M1680" i="3" s="1"/>
  <c r="I1679" i="3"/>
  <c r="L1679" i="3" s="1"/>
  <c r="M1679" i="3" s="1"/>
  <c r="I1678" i="3"/>
  <c r="L1678" i="3" s="1"/>
  <c r="M1678" i="3" s="1"/>
  <c r="I1677" i="3"/>
  <c r="L1677" i="3" s="1"/>
  <c r="M1677" i="3" s="1"/>
  <c r="I1676" i="3"/>
  <c r="L1676" i="3" s="1"/>
  <c r="M1676" i="3" s="1"/>
  <c r="I1675" i="3"/>
  <c r="L1675" i="3" s="1"/>
  <c r="M1675" i="3" s="1"/>
  <c r="I1674" i="3"/>
  <c r="L1674" i="3" s="1"/>
  <c r="M1674" i="3" s="1"/>
  <c r="I1673" i="3"/>
  <c r="L1673" i="3" s="1"/>
  <c r="M1673" i="3" s="1"/>
  <c r="I1672" i="3"/>
  <c r="L1672" i="3" s="1"/>
  <c r="M1672" i="3" s="1"/>
  <c r="I1671" i="3"/>
  <c r="L1671" i="3" s="1"/>
  <c r="M1671" i="3" s="1"/>
  <c r="I1670" i="3"/>
  <c r="L1670" i="3" s="1"/>
  <c r="M1670" i="3" s="1"/>
  <c r="I1669" i="3"/>
  <c r="L1669" i="3" s="1"/>
  <c r="M1669" i="3" s="1"/>
  <c r="I1668" i="3"/>
  <c r="L1668" i="3" s="1"/>
  <c r="M1668" i="3" s="1"/>
  <c r="I1667" i="3"/>
  <c r="L1667" i="3" s="1"/>
  <c r="M1667" i="3" s="1"/>
  <c r="I1666" i="3"/>
  <c r="L1666" i="3" s="1"/>
  <c r="M1666" i="3" s="1"/>
  <c r="I1665" i="3"/>
  <c r="L1665" i="3" s="1"/>
  <c r="M1665" i="3" s="1"/>
  <c r="I1664" i="3"/>
  <c r="L1664" i="3" s="1"/>
  <c r="M1664" i="3" s="1"/>
  <c r="I1663" i="3"/>
  <c r="L1663" i="3" s="1"/>
  <c r="M1663" i="3" s="1"/>
  <c r="I1662" i="3"/>
  <c r="L1662" i="3" s="1"/>
  <c r="M1662" i="3" s="1"/>
  <c r="I1661" i="3"/>
  <c r="L1661" i="3" s="1"/>
  <c r="M1661" i="3" s="1"/>
  <c r="I1660" i="3"/>
  <c r="L1660" i="3" s="1"/>
  <c r="M1660" i="3" s="1"/>
  <c r="I1659" i="3"/>
  <c r="L1659" i="3" s="1"/>
  <c r="M1659" i="3" s="1"/>
  <c r="I1658" i="3"/>
  <c r="L1658" i="3" s="1"/>
  <c r="M1658" i="3" s="1"/>
  <c r="I1657" i="3"/>
  <c r="L1657" i="3" s="1"/>
  <c r="M1657" i="3" s="1"/>
  <c r="I1656" i="3"/>
  <c r="L1656" i="3" s="1"/>
  <c r="M1656" i="3" s="1"/>
  <c r="I1655" i="3"/>
  <c r="L1655" i="3" s="1"/>
  <c r="M1655" i="3" s="1"/>
  <c r="I1654" i="3"/>
  <c r="L1654" i="3" s="1"/>
  <c r="M1654" i="3" s="1"/>
  <c r="I1653" i="3"/>
  <c r="L1653" i="3" s="1"/>
  <c r="M1653" i="3" s="1"/>
  <c r="I1652" i="3"/>
  <c r="L1652" i="3" s="1"/>
  <c r="M1652" i="3" s="1"/>
  <c r="I1651" i="3"/>
  <c r="L1651" i="3" s="1"/>
  <c r="M1651" i="3" s="1"/>
  <c r="I1650" i="3"/>
  <c r="L1650" i="3" s="1"/>
  <c r="M1650" i="3" s="1"/>
  <c r="I1649" i="3"/>
  <c r="L1649" i="3" s="1"/>
  <c r="M1649" i="3" s="1"/>
  <c r="I1648" i="3"/>
  <c r="L1648" i="3" s="1"/>
  <c r="M1648" i="3" s="1"/>
  <c r="I1647" i="3"/>
  <c r="L1647" i="3" s="1"/>
  <c r="M1647" i="3" s="1"/>
  <c r="I1646" i="3"/>
  <c r="L1646" i="3" s="1"/>
  <c r="M1646" i="3" s="1"/>
  <c r="I1645" i="3"/>
  <c r="L1645" i="3" s="1"/>
  <c r="M1645" i="3" s="1"/>
  <c r="I1644" i="3"/>
  <c r="L1644" i="3" s="1"/>
  <c r="M1644" i="3" s="1"/>
  <c r="I1643" i="3"/>
  <c r="L1643" i="3" s="1"/>
  <c r="M1643" i="3" s="1"/>
  <c r="I1642" i="3"/>
  <c r="L1642" i="3" s="1"/>
  <c r="M1642" i="3" s="1"/>
  <c r="I1641" i="3"/>
  <c r="L1641" i="3" s="1"/>
  <c r="M1641" i="3" s="1"/>
  <c r="I1640" i="3"/>
  <c r="L1640" i="3" s="1"/>
  <c r="M1640" i="3" s="1"/>
  <c r="I1639" i="3"/>
  <c r="L1639" i="3" s="1"/>
  <c r="M1639" i="3" s="1"/>
  <c r="I1638" i="3"/>
  <c r="L1638" i="3" s="1"/>
  <c r="M1638" i="3" s="1"/>
  <c r="I1637" i="3"/>
  <c r="L1637" i="3" s="1"/>
  <c r="M1637" i="3" s="1"/>
  <c r="I1636" i="3"/>
  <c r="L1636" i="3" s="1"/>
  <c r="M1636" i="3" s="1"/>
  <c r="I1635" i="3"/>
  <c r="L1635" i="3" s="1"/>
  <c r="M1635" i="3" s="1"/>
  <c r="I1634" i="3"/>
  <c r="L1634" i="3" s="1"/>
  <c r="M1634" i="3" s="1"/>
  <c r="I1633" i="3"/>
  <c r="L1633" i="3" s="1"/>
  <c r="M1633" i="3" s="1"/>
  <c r="I1632" i="3"/>
  <c r="L1632" i="3" s="1"/>
  <c r="M1632" i="3" s="1"/>
  <c r="I1631" i="3"/>
  <c r="L1631" i="3" s="1"/>
  <c r="M1631" i="3" s="1"/>
  <c r="I1630" i="3"/>
  <c r="L1630" i="3" s="1"/>
  <c r="M1630" i="3" s="1"/>
  <c r="I1629" i="3"/>
  <c r="L1629" i="3" s="1"/>
  <c r="M1629" i="3" s="1"/>
  <c r="I1628" i="3"/>
  <c r="L1628" i="3" s="1"/>
  <c r="M1628" i="3" s="1"/>
  <c r="I1627" i="3"/>
  <c r="L1627" i="3" s="1"/>
  <c r="M1627" i="3" s="1"/>
  <c r="I1626" i="3"/>
  <c r="L1626" i="3" s="1"/>
  <c r="M1626" i="3" s="1"/>
  <c r="I1625" i="3"/>
  <c r="L1625" i="3" s="1"/>
  <c r="M1625" i="3" s="1"/>
  <c r="I1624" i="3"/>
  <c r="L1624" i="3" s="1"/>
  <c r="M1624" i="3" s="1"/>
  <c r="I1623" i="3"/>
  <c r="L1623" i="3" s="1"/>
  <c r="M1623" i="3" s="1"/>
  <c r="I1622" i="3"/>
  <c r="L1622" i="3" s="1"/>
  <c r="M1622" i="3" s="1"/>
  <c r="I1621" i="3"/>
  <c r="L1621" i="3" s="1"/>
  <c r="M1621" i="3" s="1"/>
  <c r="I1620" i="3"/>
  <c r="L1620" i="3" s="1"/>
  <c r="M1620" i="3" s="1"/>
  <c r="I1619" i="3"/>
  <c r="L1619" i="3" s="1"/>
  <c r="M1619" i="3" s="1"/>
  <c r="I1618" i="3"/>
  <c r="L1618" i="3" s="1"/>
  <c r="M1618" i="3" s="1"/>
  <c r="I1617" i="3"/>
  <c r="L1617" i="3" s="1"/>
  <c r="M1617" i="3" s="1"/>
  <c r="I1616" i="3"/>
  <c r="L1616" i="3" s="1"/>
  <c r="M1616" i="3" s="1"/>
  <c r="I1615" i="3"/>
  <c r="L1615" i="3" s="1"/>
  <c r="M1615" i="3" s="1"/>
  <c r="I1614" i="3"/>
  <c r="L1614" i="3" s="1"/>
  <c r="M1614" i="3" s="1"/>
  <c r="I1613" i="3"/>
  <c r="L1613" i="3" s="1"/>
  <c r="M1613" i="3" s="1"/>
  <c r="I1612" i="3"/>
  <c r="L1612" i="3" s="1"/>
  <c r="M1612" i="3" s="1"/>
  <c r="I1611" i="3"/>
  <c r="L1611" i="3" s="1"/>
  <c r="M1611" i="3" s="1"/>
  <c r="I1610" i="3"/>
  <c r="L1610" i="3" s="1"/>
  <c r="M1610" i="3" s="1"/>
  <c r="I1609" i="3"/>
  <c r="L1609" i="3" s="1"/>
  <c r="M1609" i="3" s="1"/>
  <c r="I1608" i="3"/>
  <c r="L1608" i="3" s="1"/>
  <c r="M1608" i="3" s="1"/>
  <c r="I1607" i="3"/>
  <c r="L1607" i="3" s="1"/>
  <c r="M1607" i="3" s="1"/>
  <c r="I1606" i="3"/>
  <c r="L1606" i="3" s="1"/>
  <c r="M1606" i="3" s="1"/>
  <c r="I1605" i="3"/>
  <c r="L1605" i="3" s="1"/>
  <c r="M1605" i="3" s="1"/>
  <c r="I1604" i="3"/>
  <c r="L1604" i="3" s="1"/>
  <c r="M1604" i="3" s="1"/>
  <c r="I1603" i="3"/>
  <c r="L1603" i="3" s="1"/>
  <c r="M1603" i="3" s="1"/>
  <c r="I1602" i="3"/>
  <c r="L1602" i="3" s="1"/>
  <c r="M1602" i="3" s="1"/>
  <c r="I1601" i="3"/>
  <c r="L1601" i="3" s="1"/>
  <c r="M1601" i="3" s="1"/>
  <c r="I1600" i="3"/>
  <c r="L1600" i="3" s="1"/>
  <c r="M1600" i="3" s="1"/>
  <c r="I1599" i="3"/>
  <c r="L1599" i="3" s="1"/>
  <c r="M1599" i="3" s="1"/>
  <c r="I1598" i="3"/>
  <c r="L1598" i="3" s="1"/>
  <c r="M1598" i="3" s="1"/>
  <c r="I1597" i="3"/>
  <c r="L1597" i="3" s="1"/>
  <c r="M1597" i="3" s="1"/>
  <c r="I1596" i="3"/>
  <c r="L1596" i="3" s="1"/>
  <c r="M1596" i="3" s="1"/>
  <c r="I1595" i="3"/>
  <c r="L1595" i="3" s="1"/>
  <c r="M1595" i="3" s="1"/>
  <c r="I1594" i="3"/>
  <c r="L1594" i="3" s="1"/>
  <c r="M1594" i="3" s="1"/>
  <c r="I1593" i="3"/>
  <c r="L1593" i="3" s="1"/>
  <c r="M1593" i="3" s="1"/>
  <c r="I1592" i="3"/>
  <c r="L1592" i="3" s="1"/>
  <c r="M1592" i="3" s="1"/>
  <c r="I1591" i="3"/>
  <c r="L1591" i="3" s="1"/>
  <c r="M1591" i="3" s="1"/>
  <c r="I1590" i="3"/>
  <c r="L1590" i="3" s="1"/>
  <c r="M1590" i="3" s="1"/>
  <c r="I1589" i="3"/>
  <c r="L1589" i="3" s="1"/>
  <c r="M1589" i="3" s="1"/>
  <c r="I1588" i="3"/>
  <c r="L1588" i="3" s="1"/>
  <c r="M1588" i="3" s="1"/>
  <c r="I1587" i="3"/>
  <c r="L1587" i="3" s="1"/>
  <c r="M1587" i="3" s="1"/>
  <c r="I1586" i="3"/>
  <c r="L1586" i="3" s="1"/>
  <c r="M1586" i="3" s="1"/>
  <c r="I1585" i="3"/>
  <c r="L1585" i="3" s="1"/>
  <c r="M1585" i="3" s="1"/>
  <c r="I1584" i="3"/>
  <c r="L1584" i="3" s="1"/>
  <c r="M1584" i="3" s="1"/>
  <c r="I1583" i="3"/>
  <c r="L1583" i="3" s="1"/>
  <c r="M1583" i="3" s="1"/>
  <c r="I1582" i="3"/>
  <c r="L1582" i="3" s="1"/>
  <c r="M1582" i="3" s="1"/>
  <c r="I1581" i="3"/>
  <c r="L1581" i="3" s="1"/>
  <c r="M1581" i="3" s="1"/>
  <c r="I1580" i="3"/>
  <c r="L1580" i="3" s="1"/>
  <c r="M1580" i="3" s="1"/>
  <c r="I1579" i="3"/>
  <c r="L1579" i="3" s="1"/>
  <c r="M1579" i="3" s="1"/>
  <c r="I1578" i="3"/>
  <c r="L1578" i="3" s="1"/>
  <c r="M1578" i="3" s="1"/>
  <c r="I1577" i="3"/>
  <c r="L1577" i="3" s="1"/>
  <c r="M1577" i="3" s="1"/>
  <c r="I1576" i="3"/>
  <c r="L1576" i="3" s="1"/>
  <c r="M1576" i="3" s="1"/>
  <c r="I1575" i="3"/>
  <c r="L1575" i="3" s="1"/>
  <c r="M1575" i="3" s="1"/>
  <c r="I1574" i="3"/>
  <c r="L1574" i="3" s="1"/>
  <c r="M1574" i="3" s="1"/>
  <c r="I1573" i="3"/>
  <c r="L1573" i="3" s="1"/>
  <c r="M1573" i="3" s="1"/>
  <c r="I1572" i="3"/>
  <c r="L1572" i="3" s="1"/>
  <c r="M1572" i="3" s="1"/>
  <c r="I1571" i="3"/>
  <c r="L1571" i="3" s="1"/>
  <c r="M1571" i="3" s="1"/>
  <c r="I1570" i="3"/>
  <c r="L1570" i="3" s="1"/>
  <c r="M1570" i="3" s="1"/>
  <c r="I1569" i="3"/>
  <c r="L1569" i="3" s="1"/>
  <c r="M1569" i="3" s="1"/>
  <c r="I1568" i="3"/>
  <c r="L1568" i="3" s="1"/>
  <c r="M1568" i="3" s="1"/>
  <c r="I1567" i="3"/>
  <c r="L1567" i="3" s="1"/>
  <c r="M1567" i="3" s="1"/>
  <c r="I1566" i="3"/>
  <c r="L1566" i="3" s="1"/>
  <c r="M1566" i="3" s="1"/>
  <c r="I1565" i="3"/>
  <c r="L1565" i="3" s="1"/>
  <c r="M1565" i="3" s="1"/>
  <c r="I1564" i="3"/>
  <c r="L1564" i="3" s="1"/>
  <c r="M1564" i="3" s="1"/>
  <c r="I1563" i="3"/>
  <c r="L1563" i="3" s="1"/>
  <c r="M1563" i="3" s="1"/>
  <c r="I1562" i="3"/>
  <c r="L1562" i="3" s="1"/>
  <c r="M1562" i="3" s="1"/>
  <c r="I1561" i="3"/>
  <c r="L1561" i="3" s="1"/>
  <c r="M1561" i="3" s="1"/>
  <c r="I1560" i="3"/>
  <c r="L1560" i="3" s="1"/>
  <c r="M1560" i="3" s="1"/>
  <c r="I1559" i="3"/>
  <c r="L1559" i="3" s="1"/>
  <c r="M1559" i="3" s="1"/>
  <c r="I1558" i="3"/>
  <c r="L1558" i="3" s="1"/>
  <c r="M1558" i="3" s="1"/>
  <c r="I1557" i="3"/>
  <c r="L1557" i="3" s="1"/>
  <c r="M1557" i="3" s="1"/>
  <c r="I1556" i="3"/>
  <c r="L1556" i="3" s="1"/>
  <c r="M1556" i="3" s="1"/>
  <c r="I1555" i="3"/>
  <c r="L1555" i="3" s="1"/>
  <c r="M1555" i="3" s="1"/>
  <c r="I1554" i="3"/>
  <c r="L1554" i="3" s="1"/>
  <c r="M1554" i="3" s="1"/>
  <c r="I1553" i="3"/>
  <c r="L1553" i="3" s="1"/>
  <c r="M1553" i="3" s="1"/>
  <c r="I1552" i="3"/>
  <c r="L1552" i="3" s="1"/>
  <c r="M1552" i="3" s="1"/>
  <c r="I1551" i="3"/>
  <c r="L1551" i="3" s="1"/>
  <c r="M1551" i="3" s="1"/>
  <c r="I1550" i="3"/>
  <c r="L1550" i="3" s="1"/>
  <c r="M1550" i="3" s="1"/>
  <c r="I1549" i="3"/>
  <c r="L1549" i="3" s="1"/>
  <c r="M1549" i="3" s="1"/>
  <c r="I1548" i="3"/>
  <c r="L1548" i="3" s="1"/>
  <c r="M1548" i="3" s="1"/>
  <c r="I1547" i="3"/>
  <c r="L1547" i="3" s="1"/>
  <c r="M1547" i="3" s="1"/>
  <c r="I1546" i="3"/>
  <c r="L1546" i="3" s="1"/>
  <c r="M1546" i="3" s="1"/>
  <c r="I1545" i="3"/>
  <c r="L1545" i="3" s="1"/>
  <c r="M1545" i="3" s="1"/>
  <c r="I1544" i="3"/>
  <c r="L1544" i="3" s="1"/>
  <c r="M1544" i="3" s="1"/>
  <c r="I1543" i="3"/>
  <c r="L1543" i="3" s="1"/>
  <c r="M1543" i="3" s="1"/>
  <c r="I1542" i="3"/>
  <c r="L1542" i="3" s="1"/>
  <c r="M1542" i="3" s="1"/>
  <c r="I1541" i="3"/>
  <c r="L1541" i="3" s="1"/>
  <c r="M1541" i="3" s="1"/>
  <c r="I1540" i="3"/>
  <c r="L1540" i="3" s="1"/>
  <c r="M1540" i="3" s="1"/>
  <c r="I1539" i="3"/>
  <c r="L1539" i="3" s="1"/>
  <c r="M1539" i="3" s="1"/>
  <c r="I1538" i="3"/>
  <c r="L1538" i="3" s="1"/>
  <c r="M1538" i="3" s="1"/>
  <c r="I1537" i="3"/>
  <c r="L1537" i="3" s="1"/>
  <c r="M1537" i="3" s="1"/>
  <c r="I1536" i="3"/>
  <c r="L1536" i="3" s="1"/>
  <c r="M1536" i="3" s="1"/>
  <c r="I1535" i="3"/>
  <c r="L1535" i="3" s="1"/>
  <c r="M1535" i="3" s="1"/>
  <c r="I1534" i="3"/>
  <c r="L1534" i="3" s="1"/>
  <c r="M1534" i="3" s="1"/>
  <c r="I1533" i="3"/>
  <c r="L1533" i="3" s="1"/>
  <c r="M1533" i="3" s="1"/>
  <c r="I1532" i="3"/>
  <c r="L1532" i="3" s="1"/>
  <c r="M1532" i="3" s="1"/>
  <c r="I1531" i="3"/>
  <c r="L1531" i="3" s="1"/>
  <c r="M1531" i="3" s="1"/>
  <c r="I1530" i="3"/>
  <c r="L1530" i="3" s="1"/>
  <c r="M1530" i="3" s="1"/>
  <c r="I1529" i="3"/>
  <c r="L1529" i="3" s="1"/>
  <c r="M1529" i="3" s="1"/>
  <c r="I1528" i="3"/>
  <c r="L1528" i="3" s="1"/>
  <c r="M1528" i="3" s="1"/>
  <c r="I1527" i="3"/>
  <c r="L1527" i="3" s="1"/>
  <c r="M1527" i="3" s="1"/>
  <c r="I1526" i="3"/>
  <c r="L1526" i="3" s="1"/>
  <c r="M1526" i="3" s="1"/>
  <c r="I1525" i="3"/>
  <c r="L1525" i="3" s="1"/>
  <c r="M1525" i="3" s="1"/>
  <c r="I1524" i="3"/>
  <c r="L1524" i="3" s="1"/>
  <c r="M1524" i="3" s="1"/>
  <c r="I1523" i="3"/>
  <c r="L1523" i="3" s="1"/>
  <c r="M1523" i="3" s="1"/>
  <c r="I1522" i="3"/>
  <c r="L1522" i="3" s="1"/>
  <c r="M1522" i="3" s="1"/>
  <c r="I1521" i="3"/>
  <c r="L1521" i="3" s="1"/>
  <c r="M1521" i="3" s="1"/>
  <c r="I1520" i="3"/>
  <c r="L1520" i="3" s="1"/>
  <c r="M1520" i="3" s="1"/>
  <c r="I1519" i="3"/>
  <c r="L1519" i="3" s="1"/>
  <c r="M1519" i="3" s="1"/>
  <c r="I1518" i="3"/>
  <c r="L1518" i="3" s="1"/>
  <c r="M1518" i="3" s="1"/>
  <c r="I1517" i="3"/>
  <c r="L1517" i="3" s="1"/>
  <c r="M1517" i="3" s="1"/>
  <c r="I1516" i="3"/>
  <c r="L1516" i="3" s="1"/>
  <c r="M1516" i="3" s="1"/>
  <c r="I1515" i="3"/>
  <c r="L1515" i="3" s="1"/>
  <c r="M1515" i="3" s="1"/>
  <c r="I1514" i="3"/>
  <c r="L1514" i="3" s="1"/>
  <c r="M1514" i="3" s="1"/>
  <c r="I1513" i="3"/>
  <c r="L1513" i="3" s="1"/>
  <c r="M1513" i="3" s="1"/>
  <c r="I1512" i="3"/>
  <c r="L1512" i="3" s="1"/>
  <c r="M1512" i="3" s="1"/>
  <c r="I1511" i="3"/>
  <c r="L1511" i="3" s="1"/>
  <c r="M1511" i="3" s="1"/>
  <c r="I1510" i="3"/>
  <c r="L1510" i="3" s="1"/>
  <c r="M1510" i="3" s="1"/>
  <c r="I1509" i="3"/>
  <c r="L1509" i="3" s="1"/>
  <c r="M1509" i="3" s="1"/>
  <c r="I1508" i="3"/>
  <c r="L1508" i="3" s="1"/>
  <c r="M1508" i="3" s="1"/>
  <c r="I1507" i="3"/>
  <c r="L1507" i="3" s="1"/>
  <c r="M1507" i="3" s="1"/>
  <c r="I1506" i="3"/>
  <c r="L1506" i="3" s="1"/>
  <c r="M1506" i="3" s="1"/>
  <c r="I1505" i="3"/>
  <c r="L1505" i="3" s="1"/>
  <c r="M1505" i="3" s="1"/>
  <c r="I1504" i="3"/>
  <c r="L1504" i="3" s="1"/>
  <c r="M1504" i="3" s="1"/>
  <c r="I1503" i="3"/>
  <c r="L1503" i="3" s="1"/>
  <c r="M1503" i="3" s="1"/>
  <c r="I1502" i="3"/>
  <c r="L1502" i="3" s="1"/>
  <c r="M1502" i="3" s="1"/>
  <c r="I1501" i="3"/>
  <c r="L1501" i="3" s="1"/>
  <c r="M1501" i="3" s="1"/>
  <c r="I1500" i="3"/>
  <c r="L1500" i="3" s="1"/>
  <c r="M1500" i="3" s="1"/>
  <c r="I1499" i="3"/>
  <c r="L1499" i="3" s="1"/>
  <c r="M1499" i="3" s="1"/>
  <c r="I1498" i="3"/>
  <c r="L1498" i="3" s="1"/>
  <c r="M1498" i="3" s="1"/>
  <c r="I1497" i="3"/>
  <c r="L1497" i="3" s="1"/>
  <c r="M1497" i="3" s="1"/>
  <c r="I1496" i="3"/>
  <c r="L1496" i="3" s="1"/>
  <c r="M1496" i="3" s="1"/>
  <c r="I1495" i="3"/>
  <c r="L1495" i="3" s="1"/>
  <c r="M1495" i="3" s="1"/>
  <c r="I1494" i="3"/>
  <c r="L1494" i="3" s="1"/>
  <c r="M1494" i="3" s="1"/>
  <c r="I1493" i="3"/>
  <c r="L1493" i="3" s="1"/>
  <c r="M1493" i="3" s="1"/>
  <c r="I1492" i="3"/>
  <c r="L1492" i="3" s="1"/>
  <c r="M1492" i="3" s="1"/>
  <c r="I1491" i="3"/>
  <c r="L1491" i="3" s="1"/>
  <c r="M1491" i="3" s="1"/>
  <c r="I1490" i="3"/>
  <c r="L1490" i="3" s="1"/>
  <c r="M1490" i="3" s="1"/>
  <c r="I1489" i="3"/>
  <c r="L1489" i="3" s="1"/>
  <c r="M1489" i="3" s="1"/>
  <c r="I1488" i="3"/>
  <c r="L1488" i="3" s="1"/>
  <c r="M1488" i="3" s="1"/>
  <c r="I1487" i="3"/>
  <c r="L1487" i="3" s="1"/>
  <c r="M1487" i="3" s="1"/>
  <c r="I1486" i="3"/>
  <c r="L1486" i="3" s="1"/>
  <c r="M1486" i="3" s="1"/>
  <c r="I1485" i="3"/>
  <c r="L1485" i="3" s="1"/>
  <c r="M1485" i="3" s="1"/>
  <c r="I1484" i="3"/>
  <c r="L1484" i="3" s="1"/>
  <c r="M1484" i="3" s="1"/>
  <c r="I1483" i="3"/>
  <c r="L1483" i="3" s="1"/>
  <c r="M1483" i="3" s="1"/>
  <c r="I1482" i="3"/>
  <c r="L1482" i="3" s="1"/>
  <c r="M1482" i="3" s="1"/>
  <c r="I1481" i="3"/>
  <c r="L1481" i="3" s="1"/>
  <c r="M1481" i="3" s="1"/>
  <c r="I1480" i="3"/>
  <c r="L1480" i="3" s="1"/>
  <c r="M1480" i="3" s="1"/>
  <c r="I1479" i="3"/>
  <c r="L1479" i="3" s="1"/>
  <c r="M1479" i="3" s="1"/>
  <c r="I1478" i="3"/>
  <c r="L1478" i="3" s="1"/>
  <c r="M1478" i="3" s="1"/>
  <c r="I1477" i="3"/>
  <c r="L1477" i="3" s="1"/>
  <c r="M1477" i="3" s="1"/>
  <c r="I1476" i="3"/>
  <c r="L1476" i="3" s="1"/>
  <c r="M1476" i="3" s="1"/>
  <c r="I1475" i="3"/>
  <c r="L1475" i="3" s="1"/>
  <c r="M1475" i="3" s="1"/>
  <c r="I1474" i="3"/>
  <c r="L1474" i="3" s="1"/>
  <c r="M1474" i="3" s="1"/>
  <c r="I1473" i="3"/>
  <c r="L1473" i="3" s="1"/>
  <c r="M1473" i="3" s="1"/>
  <c r="I1472" i="3"/>
  <c r="L1472" i="3" s="1"/>
  <c r="M1472" i="3" s="1"/>
  <c r="I1471" i="3"/>
  <c r="L1471" i="3" s="1"/>
  <c r="M1471" i="3" s="1"/>
  <c r="I1470" i="3"/>
  <c r="L1470" i="3" s="1"/>
  <c r="M1470" i="3" s="1"/>
  <c r="I1469" i="3"/>
  <c r="L1469" i="3" s="1"/>
  <c r="M1469" i="3" s="1"/>
  <c r="I1468" i="3"/>
  <c r="L1468" i="3" s="1"/>
  <c r="M1468" i="3" s="1"/>
  <c r="I1467" i="3"/>
  <c r="L1467" i="3" s="1"/>
  <c r="M1467" i="3" s="1"/>
  <c r="I1466" i="3"/>
  <c r="L1466" i="3" s="1"/>
  <c r="M1466" i="3" s="1"/>
  <c r="I1465" i="3"/>
  <c r="L1465" i="3" s="1"/>
  <c r="M1465" i="3" s="1"/>
  <c r="I1464" i="3"/>
  <c r="L1464" i="3" s="1"/>
  <c r="M1464" i="3" s="1"/>
  <c r="I1463" i="3"/>
  <c r="L1463" i="3" s="1"/>
  <c r="M1463" i="3" s="1"/>
  <c r="I1462" i="3"/>
  <c r="L1462" i="3" s="1"/>
  <c r="M1462" i="3" s="1"/>
  <c r="I1461" i="3"/>
  <c r="L1461" i="3" s="1"/>
  <c r="M1461" i="3" s="1"/>
  <c r="I1460" i="3"/>
  <c r="L1460" i="3" s="1"/>
  <c r="M1460" i="3" s="1"/>
  <c r="I1459" i="3"/>
  <c r="L1459" i="3" s="1"/>
  <c r="M1459" i="3" s="1"/>
  <c r="I1458" i="3"/>
  <c r="L1458" i="3" s="1"/>
  <c r="M1458" i="3" s="1"/>
  <c r="I1457" i="3"/>
  <c r="L1457" i="3" s="1"/>
  <c r="M1457" i="3" s="1"/>
  <c r="I1456" i="3"/>
  <c r="L1456" i="3" s="1"/>
  <c r="M1456" i="3" s="1"/>
  <c r="I1455" i="3"/>
  <c r="L1455" i="3" s="1"/>
  <c r="M1455" i="3" s="1"/>
  <c r="I1454" i="3"/>
  <c r="L1454" i="3" s="1"/>
  <c r="M1454" i="3" s="1"/>
  <c r="I1453" i="3"/>
  <c r="L1453" i="3" s="1"/>
  <c r="M1453" i="3" s="1"/>
  <c r="I1452" i="3"/>
  <c r="L1452" i="3" s="1"/>
  <c r="M1452" i="3" s="1"/>
  <c r="I1451" i="3"/>
  <c r="L1451" i="3" s="1"/>
  <c r="M1451" i="3" s="1"/>
  <c r="I1450" i="3"/>
  <c r="L1450" i="3" s="1"/>
  <c r="M1450" i="3" s="1"/>
  <c r="I1449" i="3"/>
  <c r="L1449" i="3" s="1"/>
  <c r="M1449" i="3" s="1"/>
  <c r="I1448" i="3"/>
  <c r="L1448" i="3" s="1"/>
  <c r="M1448" i="3" s="1"/>
  <c r="I1447" i="3"/>
  <c r="L1447" i="3" s="1"/>
  <c r="M1447" i="3" s="1"/>
  <c r="I1446" i="3"/>
  <c r="L1446" i="3" s="1"/>
  <c r="M1446" i="3" s="1"/>
  <c r="I1445" i="3"/>
  <c r="L1445" i="3" s="1"/>
  <c r="M1445" i="3" s="1"/>
  <c r="I1444" i="3"/>
  <c r="L1444" i="3" s="1"/>
  <c r="M1444" i="3" s="1"/>
  <c r="I1443" i="3"/>
  <c r="L1443" i="3" s="1"/>
  <c r="M1443" i="3" s="1"/>
  <c r="I1442" i="3"/>
  <c r="L1442" i="3" s="1"/>
  <c r="M1442" i="3" s="1"/>
  <c r="I1441" i="3"/>
  <c r="L1441" i="3" s="1"/>
  <c r="M1441" i="3" s="1"/>
  <c r="I1440" i="3"/>
  <c r="L1440" i="3" s="1"/>
  <c r="M1440" i="3" s="1"/>
  <c r="I1439" i="3"/>
  <c r="L1439" i="3" s="1"/>
  <c r="M1439" i="3" s="1"/>
  <c r="I1438" i="3"/>
  <c r="L1438" i="3" s="1"/>
  <c r="M1438" i="3" s="1"/>
  <c r="I1437" i="3"/>
  <c r="L1437" i="3" s="1"/>
  <c r="M1437" i="3" s="1"/>
  <c r="I1436" i="3"/>
  <c r="L1436" i="3" s="1"/>
  <c r="M1436" i="3" s="1"/>
  <c r="I1435" i="3"/>
  <c r="L1435" i="3" s="1"/>
  <c r="M1435" i="3" s="1"/>
  <c r="I1434" i="3"/>
  <c r="L1434" i="3" s="1"/>
  <c r="M1434" i="3" s="1"/>
  <c r="I1433" i="3"/>
  <c r="L1433" i="3" s="1"/>
  <c r="M1433" i="3" s="1"/>
  <c r="I1432" i="3"/>
  <c r="L1432" i="3" s="1"/>
  <c r="M1432" i="3" s="1"/>
  <c r="I1431" i="3"/>
  <c r="L1431" i="3" s="1"/>
  <c r="M1431" i="3" s="1"/>
  <c r="I1430" i="3"/>
  <c r="L1430" i="3" s="1"/>
  <c r="M1430" i="3" s="1"/>
  <c r="I1429" i="3"/>
  <c r="L1429" i="3" s="1"/>
  <c r="M1429" i="3" s="1"/>
  <c r="I1428" i="3"/>
  <c r="L1428" i="3" s="1"/>
  <c r="M1428" i="3" s="1"/>
  <c r="I1427" i="3"/>
  <c r="L1427" i="3" s="1"/>
  <c r="M1427" i="3" s="1"/>
  <c r="I1426" i="3"/>
  <c r="L1426" i="3" s="1"/>
  <c r="M1426" i="3" s="1"/>
  <c r="I1425" i="3"/>
  <c r="L1425" i="3" s="1"/>
  <c r="M1425" i="3" s="1"/>
  <c r="I1424" i="3"/>
  <c r="L1424" i="3" s="1"/>
  <c r="M1424" i="3" s="1"/>
  <c r="I1423" i="3"/>
  <c r="L1423" i="3" s="1"/>
  <c r="M1423" i="3" s="1"/>
  <c r="I1422" i="3"/>
  <c r="L1422" i="3" s="1"/>
  <c r="M1422" i="3" s="1"/>
  <c r="I1421" i="3"/>
  <c r="L1421" i="3" s="1"/>
  <c r="M1421" i="3" s="1"/>
  <c r="I1420" i="3"/>
  <c r="L1420" i="3" s="1"/>
  <c r="M1420" i="3" s="1"/>
  <c r="I1419" i="3"/>
  <c r="L1419" i="3" s="1"/>
  <c r="M1419" i="3" s="1"/>
  <c r="I1418" i="3"/>
  <c r="L1418" i="3" s="1"/>
  <c r="M1418" i="3" s="1"/>
  <c r="I1417" i="3"/>
  <c r="L1417" i="3" s="1"/>
  <c r="M1417" i="3" s="1"/>
  <c r="I1416" i="3"/>
  <c r="L1416" i="3" s="1"/>
  <c r="M1416" i="3" s="1"/>
  <c r="I1415" i="3"/>
  <c r="L1415" i="3" s="1"/>
  <c r="M1415" i="3" s="1"/>
  <c r="I1414" i="3"/>
  <c r="L1414" i="3" s="1"/>
  <c r="M1414" i="3" s="1"/>
  <c r="I1413" i="3"/>
  <c r="L1413" i="3" s="1"/>
  <c r="M1413" i="3" s="1"/>
  <c r="I1412" i="3"/>
  <c r="L1412" i="3" s="1"/>
  <c r="M1412" i="3" s="1"/>
  <c r="I1411" i="3"/>
  <c r="L1411" i="3" s="1"/>
  <c r="M1411" i="3" s="1"/>
  <c r="I1410" i="3"/>
  <c r="L1410" i="3" s="1"/>
  <c r="M1410" i="3" s="1"/>
  <c r="I1409" i="3"/>
  <c r="L1409" i="3" s="1"/>
  <c r="M1409" i="3" s="1"/>
  <c r="I1408" i="3"/>
  <c r="L1408" i="3" s="1"/>
  <c r="M1408" i="3" s="1"/>
  <c r="I1407" i="3"/>
  <c r="L1407" i="3" s="1"/>
  <c r="M1407" i="3" s="1"/>
  <c r="I1406" i="3"/>
  <c r="L1406" i="3" s="1"/>
  <c r="M1406" i="3" s="1"/>
  <c r="I1405" i="3"/>
  <c r="L1405" i="3" s="1"/>
  <c r="M1405" i="3" s="1"/>
  <c r="I1404" i="3"/>
  <c r="L1404" i="3" s="1"/>
  <c r="M1404" i="3" s="1"/>
  <c r="I1403" i="3"/>
  <c r="L1403" i="3" s="1"/>
  <c r="M1403" i="3" s="1"/>
  <c r="I1402" i="3"/>
  <c r="L1402" i="3" s="1"/>
  <c r="M1402" i="3" s="1"/>
  <c r="I1401" i="3"/>
  <c r="L1401" i="3" s="1"/>
  <c r="M1401" i="3" s="1"/>
  <c r="I1400" i="3"/>
  <c r="L1400" i="3" s="1"/>
  <c r="M1400" i="3" s="1"/>
  <c r="I1399" i="3"/>
  <c r="L1399" i="3" s="1"/>
  <c r="M1399" i="3" s="1"/>
  <c r="I1398" i="3"/>
  <c r="L1398" i="3" s="1"/>
  <c r="M1398" i="3" s="1"/>
  <c r="I1397" i="3"/>
  <c r="L1397" i="3" s="1"/>
  <c r="M1397" i="3" s="1"/>
  <c r="I1396" i="3"/>
  <c r="L1396" i="3" s="1"/>
  <c r="M1396" i="3" s="1"/>
  <c r="I1395" i="3"/>
  <c r="L1395" i="3" s="1"/>
  <c r="M1395" i="3" s="1"/>
  <c r="I1394" i="3"/>
  <c r="L1394" i="3" s="1"/>
  <c r="M1394" i="3" s="1"/>
  <c r="I1393" i="3"/>
  <c r="L1393" i="3" s="1"/>
  <c r="M1393" i="3" s="1"/>
  <c r="I1392" i="3"/>
  <c r="L1392" i="3" s="1"/>
  <c r="M1392" i="3" s="1"/>
  <c r="I1391" i="3"/>
  <c r="L1391" i="3" s="1"/>
  <c r="M1391" i="3" s="1"/>
  <c r="I1390" i="3"/>
  <c r="L1390" i="3" s="1"/>
  <c r="M1390" i="3" s="1"/>
  <c r="I1389" i="3"/>
  <c r="L1389" i="3" s="1"/>
  <c r="M1389" i="3" s="1"/>
  <c r="I1388" i="3"/>
  <c r="L1388" i="3" s="1"/>
  <c r="M1388" i="3" s="1"/>
  <c r="I1387" i="3"/>
  <c r="L1387" i="3" s="1"/>
  <c r="M1387" i="3" s="1"/>
  <c r="I1386" i="3"/>
  <c r="L1386" i="3" s="1"/>
  <c r="M1386" i="3" s="1"/>
  <c r="I1385" i="3"/>
  <c r="L1385" i="3" s="1"/>
  <c r="M1385" i="3" s="1"/>
  <c r="I1384" i="3"/>
  <c r="L1384" i="3" s="1"/>
  <c r="M1384" i="3" s="1"/>
  <c r="I1383" i="3"/>
  <c r="L1383" i="3" s="1"/>
  <c r="M1383" i="3" s="1"/>
  <c r="I1382" i="3"/>
  <c r="L1382" i="3" s="1"/>
  <c r="M1382" i="3" s="1"/>
  <c r="I1381" i="3"/>
  <c r="L1381" i="3" s="1"/>
  <c r="M1381" i="3" s="1"/>
  <c r="I1380" i="3"/>
  <c r="L1380" i="3" s="1"/>
  <c r="M1380" i="3" s="1"/>
  <c r="I1379" i="3"/>
  <c r="L1379" i="3" s="1"/>
  <c r="M1379" i="3" s="1"/>
  <c r="I1378" i="3"/>
  <c r="L1378" i="3" s="1"/>
  <c r="M1378" i="3" s="1"/>
  <c r="I1377" i="3"/>
  <c r="L1377" i="3" s="1"/>
  <c r="M1377" i="3" s="1"/>
  <c r="I1376" i="3"/>
  <c r="L1376" i="3" s="1"/>
  <c r="M1376" i="3" s="1"/>
  <c r="I1375" i="3"/>
  <c r="L1375" i="3" s="1"/>
  <c r="M1375" i="3" s="1"/>
  <c r="I1374" i="3"/>
  <c r="L1374" i="3" s="1"/>
  <c r="M1374" i="3" s="1"/>
  <c r="I1373" i="3"/>
  <c r="L1373" i="3" s="1"/>
  <c r="M1373" i="3" s="1"/>
  <c r="I1372" i="3"/>
  <c r="L1372" i="3" s="1"/>
  <c r="M1372" i="3" s="1"/>
  <c r="I1371" i="3"/>
  <c r="L1371" i="3" s="1"/>
  <c r="M1371" i="3" s="1"/>
  <c r="I1370" i="3"/>
  <c r="L1370" i="3" s="1"/>
  <c r="M1370" i="3" s="1"/>
  <c r="I1369" i="3"/>
  <c r="L1369" i="3" s="1"/>
  <c r="M1369" i="3" s="1"/>
  <c r="I1368" i="3"/>
  <c r="L1368" i="3" s="1"/>
  <c r="M1368" i="3" s="1"/>
  <c r="I1367" i="3"/>
  <c r="L1367" i="3" s="1"/>
  <c r="M1367" i="3" s="1"/>
  <c r="I1366" i="3"/>
  <c r="L1366" i="3" s="1"/>
  <c r="M1366" i="3" s="1"/>
  <c r="I1365" i="3"/>
  <c r="L1365" i="3" s="1"/>
  <c r="M1365" i="3" s="1"/>
  <c r="I1364" i="3"/>
  <c r="L1364" i="3" s="1"/>
  <c r="M1364" i="3" s="1"/>
  <c r="I1363" i="3"/>
  <c r="L1363" i="3" s="1"/>
  <c r="M1363" i="3" s="1"/>
  <c r="I1362" i="3"/>
  <c r="L1362" i="3" s="1"/>
  <c r="M1362" i="3" s="1"/>
  <c r="I1361" i="3"/>
  <c r="L1361" i="3" s="1"/>
  <c r="M1361" i="3" s="1"/>
  <c r="I1360" i="3"/>
  <c r="L1360" i="3" s="1"/>
  <c r="M1360" i="3" s="1"/>
  <c r="I1359" i="3"/>
  <c r="L1359" i="3" s="1"/>
  <c r="M1359" i="3" s="1"/>
  <c r="I1358" i="3"/>
  <c r="L1358" i="3" s="1"/>
  <c r="M1358" i="3" s="1"/>
  <c r="I1357" i="3"/>
  <c r="L1357" i="3" s="1"/>
  <c r="M1357" i="3" s="1"/>
  <c r="I1356" i="3"/>
  <c r="L1356" i="3" s="1"/>
  <c r="M1356" i="3" s="1"/>
  <c r="I1355" i="3"/>
  <c r="L1355" i="3" s="1"/>
  <c r="M1355" i="3" s="1"/>
  <c r="I1354" i="3"/>
  <c r="L1354" i="3" s="1"/>
  <c r="M1354" i="3" s="1"/>
  <c r="I1353" i="3"/>
  <c r="L1353" i="3" s="1"/>
  <c r="M1353" i="3" s="1"/>
  <c r="I1352" i="3"/>
  <c r="L1352" i="3" s="1"/>
  <c r="M1352" i="3" s="1"/>
  <c r="I1351" i="3"/>
  <c r="L1351" i="3" s="1"/>
  <c r="M1351" i="3" s="1"/>
  <c r="I1350" i="3"/>
  <c r="L1350" i="3" s="1"/>
  <c r="M1350" i="3" s="1"/>
  <c r="I1349" i="3"/>
  <c r="L1349" i="3" s="1"/>
  <c r="M1349" i="3" s="1"/>
  <c r="I1348" i="3"/>
  <c r="L1348" i="3" s="1"/>
  <c r="M1348" i="3" s="1"/>
  <c r="I1347" i="3"/>
  <c r="L1347" i="3" s="1"/>
  <c r="M1347" i="3" s="1"/>
  <c r="I1346" i="3"/>
  <c r="L1346" i="3" s="1"/>
  <c r="M1346" i="3" s="1"/>
  <c r="I1345" i="3"/>
  <c r="L1345" i="3" s="1"/>
  <c r="M1345" i="3" s="1"/>
  <c r="I1344" i="3"/>
  <c r="L1344" i="3" s="1"/>
  <c r="M1344" i="3" s="1"/>
  <c r="I1343" i="3"/>
  <c r="L1343" i="3" s="1"/>
  <c r="M1343" i="3" s="1"/>
  <c r="I1342" i="3"/>
  <c r="L1342" i="3" s="1"/>
  <c r="M1342" i="3" s="1"/>
  <c r="I1341" i="3"/>
  <c r="L1341" i="3" s="1"/>
  <c r="M1341" i="3" s="1"/>
  <c r="I1340" i="3"/>
  <c r="L1340" i="3" s="1"/>
  <c r="M1340" i="3" s="1"/>
  <c r="I1339" i="3"/>
  <c r="L1339" i="3" s="1"/>
  <c r="M1339" i="3" s="1"/>
  <c r="I1338" i="3"/>
  <c r="L1338" i="3" s="1"/>
  <c r="M1338" i="3" s="1"/>
  <c r="I1337" i="3"/>
  <c r="L1337" i="3" s="1"/>
  <c r="M1337" i="3" s="1"/>
  <c r="I1336" i="3"/>
  <c r="L1336" i="3" s="1"/>
  <c r="M1336" i="3" s="1"/>
  <c r="I1335" i="3"/>
  <c r="L1335" i="3" s="1"/>
  <c r="M1335" i="3" s="1"/>
  <c r="I1334" i="3"/>
  <c r="L1334" i="3" s="1"/>
  <c r="M1334" i="3" s="1"/>
  <c r="I1333" i="3"/>
  <c r="L1333" i="3" s="1"/>
  <c r="M1333" i="3" s="1"/>
  <c r="I1332" i="3"/>
  <c r="L1332" i="3" s="1"/>
  <c r="M1332" i="3" s="1"/>
  <c r="I1331" i="3"/>
  <c r="L1331" i="3" s="1"/>
  <c r="M1331" i="3" s="1"/>
  <c r="I1330" i="3"/>
  <c r="L1330" i="3" s="1"/>
  <c r="M1330" i="3" s="1"/>
  <c r="I1329" i="3"/>
  <c r="L1329" i="3" s="1"/>
  <c r="M1329" i="3" s="1"/>
  <c r="I1328" i="3"/>
  <c r="L1328" i="3" s="1"/>
  <c r="M1328" i="3" s="1"/>
  <c r="I1327" i="3"/>
  <c r="L1327" i="3" s="1"/>
  <c r="M1327" i="3" s="1"/>
  <c r="I1326" i="3"/>
  <c r="L1326" i="3" s="1"/>
  <c r="M1326" i="3" s="1"/>
  <c r="I1325" i="3"/>
  <c r="L1325" i="3" s="1"/>
  <c r="M1325" i="3" s="1"/>
  <c r="I1324" i="3"/>
  <c r="L1324" i="3" s="1"/>
  <c r="M1324" i="3" s="1"/>
  <c r="I1323" i="3"/>
  <c r="L1323" i="3" s="1"/>
  <c r="M1323" i="3" s="1"/>
  <c r="I1322" i="3"/>
  <c r="L1322" i="3" s="1"/>
  <c r="M1322" i="3" s="1"/>
  <c r="I1321" i="3"/>
  <c r="L1321" i="3" s="1"/>
  <c r="M1321" i="3" s="1"/>
  <c r="I1320" i="3"/>
  <c r="L1320" i="3" s="1"/>
  <c r="M1320" i="3" s="1"/>
  <c r="I1319" i="3"/>
  <c r="L1319" i="3" s="1"/>
  <c r="M1319" i="3" s="1"/>
  <c r="I1318" i="3"/>
  <c r="L1318" i="3" s="1"/>
  <c r="M1318" i="3" s="1"/>
  <c r="I1317" i="3"/>
  <c r="L1317" i="3" s="1"/>
  <c r="M1317" i="3" s="1"/>
  <c r="I1316" i="3"/>
  <c r="L1316" i="3" s="1"/>
  <c r="M1316" i="3" s="1"/>
  <c r="I1315" i="3"/>
  <c r="L1315" i="3" s="1"/>
  <c r="M1315" i="3" s="1"/>
  <c r="I1314" i="3"/>
  <c r="L1314" i="3" s="1"/>
  <c r="M1314" i="3" s="1"/>
  <c r="I1313" i="3"/>
  <c r="L1313" i="3" s="1"/>
  <c r="M1313" i="3" s="1"/>
  <c r="I1312" i="3"/>
  <c r="L1312" i="3" s="1"/>
  <c r="M1312" i="3" s="1"/>
  <c r="I1311" i="3"/>
  <c r="L1311" i="3" s="1"/>
  <c r="M1311" i="3" s="1"/>
  <c r="I1310" i="3"/>
  <c r="L1310" i="3" s="1"/>
  <c r="M1310" i="3" s="1"/>
  <c r="I1309" i="3"/>
  <c r="L1309" i="3" s="1"/>
  <c r="M1309" i="3" s="1"/>
  <c r="I1308" i="3"/>
  <c r="L1308" i="3" s="1"/>
  <c r="M1308" i="3" s="1"/>
  <c r="I1307" i="3"/>
  <c r="L1307" i="3" s="1"/>
  <c r="M1307" i="3" s="1"/>
  <c r="I1306" i="3"/>
  <c r="L1306" i="3" s="1"/>
  <c r="M1306" i="3" s="1"/>
  <c r="I1305" i="3"/>
  <c r="L1305" i="3" s="1"/>
  <c r="M1305" i="3" s="1"/>
  <c r="I1304" i="3"/>
  <c r="L1304" i="3" s="1"/>
  <c r="M1304" i="3" s="1"/>
  <c r="I1303" i="3"/>
  <c r="L1303" i="3" s="1"/>
  <c r="M1303" i="3" s="1"/>
  <c r="I1302" i="3"/>
  <c r="L1302" i="3" s="1"/>
  <c r="M1302" i="3" s="1"/>
  <c r="I1301" i="3"/>
  <c r="L1301" i="3" s="1"/>
  <c r="M1301" i="3" s="1"/>
  <c r="I1300" i="3"/>
  <c r="L1300" i="3" s="1"/>
  <c r="M1300" i="3" s="1"/>
  <c r="I1299" i="3"/>
  <c r="L1299" i="3" s="1"/>
  <c r="M1299" i="3" s="1"/>
  <c r="I1298" i="3"/>
  <c r="L1298" i="3" s="1"/>
  <c r="M1298" i="3" s="1"/>
  <c r="I1297" i="3"/>
  <c r="L1297" i="3" s="1"/>
  <c r="M1297" i="3" s="1"/>
  <c r="I1296" i="3"/>
  <c r="L1296" i="3" s="1"/>
  <c r="M1296" i="3" s="1"/>
  <c r="I1295" i="3"/>
  <c r="L1295" i="3" s="1"/>
  <c r="M1295" i="3" s="1"/>
  <c r="I1294" i="3"/>
  <c r="L1294" i="3" s="1"/>
  <c r="M1294" i="3" s="1"/>
  <c r="I1293" i="3"/>
  <c r="L1293" i="3" s="1"/>
  <c r="M1293" i="3" s="1"/>
  <c r="I1292" i="3"/>
  <c r="L1292" i="3" s="1"/>
  <c r="M1292" i="3" s="1"/>
  <c r="I1291" i="3"/>
  <c r="L1291" i="3" s="1"/>
  <c r="M1291" i="3" s="1"/>
  <c r="I1290" i="3"/>
  <c r="L1290" i="3" s="1"/>
  <c r="M1290" i="3" s="1"/>
  <c r="I1289" i="3"/>
  <c r="L1289" i="3" s="1"/>
  <c r="M1289" i="3" s="1"/>
  <c r="I1288" i="3"/>
  <c r="L1288" i="3" s="1"/>
  <c r="M1288" i="3" s="1"/>
  <c r="I1287" i="3"/>
  <c r="L1287" i="3" s="1"/>
  <c r="M1287" i="3" s="1"/>
  <c r="I1286" i="3"/>
  <c r="L1286" i="3" s="1"/>
  <c r="M1286" i="3" s="1"/>
  <c r="I1285" i="3"/>
  <c r="L1285" i="3" s="1"/>
  <c r="M1285" i="3" s="1"/>
  <c r="I1284" i="3"/>
  <c r="L1284" i="3" s="1"/>
  <c r="M1284" i="3" s="1"/>
  <c r="I1283" i="3"/>
  <c r="L1283" i="3" s="1"/>
  <c r="M1283" i="3" s="1"/>
  <c r="I1282" i="3"/>
  <c r="L1282" i="3" s="1"/>
  <c r="M1282" i="3" s="1"/>
  <c r="I1281" i="3"/>
  <c r="L1281" i="3" s="1"/>
  <c r="M1281" i="3" s="1"/>
  <c r="I1280" i="3"/>
  <c r="L1280" i="3" s="1"/>
  <c r="M1280" i="3" s="1"/>
  <c r="I1279" i="3"/>
  <c r="L1279" i="3" s="1"/>
  <c r="M1279" i="3" s="1"/>
  <c r="I1278" i="3"/>
  <c r="L1278" i="3" s="1"/>
  <c r="M1278" i="3" s="1"/>
  <c r="I1277" i="3"/>
  <c r="L1277" i="3" s="1"/>
  <c r="M1277" i="3" s="1"/>
  <c r="I1276" i="3"/>
  <c r="L1276" i="3" s="1"/>
  <c r="M1276" i="3" s="1"/>
  <c r="I1275" i="3"/>
  <c r="L1275" i="3" s="1"/>
  <c r="M1275" i="3" s="1"/>
  <c r="I1274" i="3"/>
  <c r="L1274" i="3" s="1"/>
  <c r="M1274" i="3" s="1"/>
  <c r="I1273" i="3"/>
  <c r="L1273" i="3" s="1"/>
  <c r="M1273" i="3" s="1"/>
  <c r="I1272" i="3"/>
  <c r="L1272" i="3" s="1"/>
  <c r="M1272" i="3" s="1"/>
  <c r="I1271" i="3"/>
  <c r="L1271" i="3" s="1"/>
  <c r="M1271" i="3" s="1"/>
  <c r="I1270" i="3"/>
  <c r="L1270" i="3" s="1"/>
  <c r="M1270" i="3" s="1"/>
  <c r="I1269" i="3"/>
  <c r="L1269" i="3" s="1"/>
  <c r="M1269" i="3" s="1"/>
  <c r="I1268" i="3"/>
  <c r="L1268" i="3" s="1"/>
  <c r="M1268" i="3" s="1"/>
  <c r="I1267" i="3"/>
  <c r="L1267" i="3" s="1"/>
  <c r="M1267" i="3" s="1"/>
  <c r="I1266" i="3"/>
  <c r="L1266" i="3" s="1"/>
  <c r="M1266" i="3" s="1"/>
  <c r="I1265" i="3"/>
  <c r="L1265" i="3" s="1"/>
  <c r="M1265" i="3" s="1"/>
  <c r="I1264" i="3"/>
  <c r="L1264" i="3" s="1"/>
  <c r="M1264" i="3" s="1"/>
  <c r="I1263" i="3"/>
  <c r="L1263" i="3" s="1"/>
  <c r="M1263" i="3" s="1"/>
  <c r="I1262" i="3"/>
  <c r="L1262" i="3" s="1"/>
  <c r="M1262" i="3" s="1"/>
  <c r="I1261" i="3"/>
  <c r="L1261" i="3" s="1"/>
  <c r="M1261" i="3" s="1"/>
  <c r="I1260" i="3"/>
  <c r="L1260" i="3" s="1"/>
  <c r="M1260" i="3" s="1"/>
  <c r="I1259" i="3"/>
  <c r="L1259" i="3" s="1"/>
  <c r="M1259" i="3" s="1"/>
  <c r="I1258" i="3"/>
  <c r="L1258" i="3" s="1"/>
  <c r="M1258" i="3" s="1"/>
  <c r="I1257" i="3"/>
  <c r="L1257" i="3" s="1"/>
  <c r="M1257" i="3" s="1"/>
  <c r="I1256" i="3"/>
  <c r="L1256" i="3" s="1"/>
  <c r="M1256" i="3" s="1"/>
  <c r="I1255" i="3"/>
  <c r="L1255" i="3" s="1"/>
  <c r="M1255" i="3" s="1"/>
  <c r="I1254" i="3"/>
  <c r="L1254" i="3" s="1"/>
  <c r="M1254" i="3" s="1"/>
  <c r="I1253" i="3"/>
  <c r="L1253" i="3" s="1"/>
  <c r="M1253" i="3" s="1"/>
  <c r="I1252" i="3"/>
  <c r="L1252" i="3" s="1"/>
  <c r="M1252" i="3" s="1"/>
  <c r="I1251" i="3"/>
  <c r="L1251" i="3" s="1"/>
  <c r="M1251" i="3" s="1"/>
  <c r="I1250" i="3"/>
  <c r="L1250" i="3" s="1"/>
  <c r="M1250" i="3" s="1"/>
  <c r="I1249" i="3"/>
  <c r="L1249" i="3" s="1"/>
  <c r="M1249" i="3" s="1"/>
  <c r="I1248" i="3"/>
  <c r="L1248" i="3" s="1"/>
  <c r="M1248" i="3" s="1"/>
  <c r="I1247" i="3"/>
  <c r="L1247" i="3" s="1"/>
  <c r="M1247" i="3" s="1"/>
  <c r="I1246" i="3"/>
  <c r="L1246" i="3" s="1"/>
  <c r="M1246" i="3" s="1"/>
  <c r="I1245" i="3"/>
  <c r="L1245" i="3" s="1"/>
  <c r="M1245" i="3" s="1"/>
  <c r="I1244" i="3"/>
  <c r="L1244" i="3" s="1"/>
  <c r="M1244" i="3" s="1"/>
  <c r="I1243" i="3"/>
  <c r="L1243" i="3" s="1"/>
  <c r="M1243" i="3" s="1"/>
  <c r="I1242" i="3"/>
  <c r="L1242" i="3" s="1"/>
  <c r="M1242" i="3" s="1"/>
  <c r="I1241" i="3"/>
  <c r="L1241" i="3" s="1"/>
  <c r="M1241" i="3" s="1"/>
  <c r="I1240" i="3"/>
  <c r="L1240" i="3" s="1"/>
  <c r="M1240" i="3" s="1"/>
  <c r="I1239" i="3"/>
  <c r="L1239" i="3" s="1"/>
  <c r="M1239" i="3" s="1"/>
  <c r="I1238" i="3"/>
  <c r="L1238" i="3" s="1"/>
  <c r="M1238" i="3" s="1"/>
  <c r="I1237" i="3"/>
  <c r="L1237" i="3" s="1"/>
  <c r="M1237" i="3" s="1"/>
  <c r="I1236" i="3"/>
  <c r="L1236" i="3" s="1"/>
  <c r="M1236" i="3" s="1"/>
  <c r="I1235" i="3"/>
  <c r="L1235" i="3" s="1"/>
  <c r="M1235" i="3" s="1"/>
  <c r="I1234" i="3"/>
  <c r="L1234" i="3" s="1"/>
  <c r="M1234" i="3" s="1"/>
  <c r="I1233" i="3"/>
  <c r="L1233" i="3" s="1"/>
  <c r="M1233" i="3" s="1"/>
  <c r="I1232" i="3"/>
  <c r="L1232" i="3" s="1"/>
  <c r="M1232" i="3" s="1"/>
  <c r="I1231" i="3"/>
  <c r="L1231" i="3" s="1"/>
  <c r="M1231" i="3" s="1"/>
  <c r="I1230" i="3"/>
  <c r="L1230" i="3" s="1"/>
  <c r="M1230" i="3" s="1"/>
  <c r="I1229" i="3"/>
  <c r="L1229" i="3" s="1"/>
  <c r="M1229" i="3" s="1"/>
  <c r="I1228" i="3"/>
  <c r="L1228" i="3" s="1"/>
  <c r="M1228" i="3" s="1"/>
  <c r="I1227" i="3"/>
  <c r="L1227" i="3" s="1"/>
  <c r="M1227" i="3" s="1"/>
  <c r="I1226" i="3"/>
  <c r="L1226" i="3" s="1"/>
  <c r="M1226" i="3" s="1"/>
  <c r="I1225" i="3"/>
  <c r="L1225" i="3" s="1"/>
  <c r="M1225" i="3" s="1"/>
  <c r="I1224" i="3"/>
  <c r="L1224" i="3" s="1"/>
  <c r="M1224" i="3" s="1"/>
  <c r="I1223" i="3"/>
  <c r="L1223" i="3" s="1"/>
  <c r="M1223" i="3" s="1"/>
  <c r="I1222" i="3"/>
  <c r="L1222" i="3" s="1"/>
  <c r="M1222" i="3" s="1"/>
  <c r="I1221" i="3"/>
  <c r="L1221" i="3" s="1"/>
  <c r="M1221" i="3" s="1"/>
  <c r="I1220" i="3"/>
  <c r="L1220" i="3" s="1"/>
  <c r="M1220" i="3" s="1"/>
  <c r="I1219" i="3"/>
  <c r="L1219" i="3" s="1"/>
  <c r="M1219" i="3" s="1"/>
  <c r="I1218" i="3"/>
  <c r="L1218" i="3" s="1"/>
  <c r="M1218" i="3" s="1"/>
  <c r="I1217" i="3"/>
  <c r="L1217" i="3" s="1"/>
  <c r="M1217" i="3" s="1"/>
  <c r="I1216" i="3"/>
  <c r="L1216" i="3" s="1"/>
  <c r="M1216" i="3" s="1"/>
  <c r="I1215" i="3"/>
  <c r="L1215" i="3" s="1"/>
  <c r="M1215" i="3" s="1"/>
  <c r="I1214" i="3"/>
  <c r="L1214" i="3" s="1"/>
  <c r="M1214" i="3" s="1"/>
  <c r="I1213" i="3"/>
  <c r="L1213" i="3" s="1"/>
  <c r="M1213" i="3" s="1"/>
  <c r="I1212" i="3"/>
  <c r="L1212" i="3" s="1"/>
  <c r="M1212" i="3" s="1"/>
  <c r="I1211" i="3"/>
  <c r="L1211" i="3" s="1"/>
  <c r="M1211" i="3" s="1"/>
  <c r="I1210" i="3"/>
  <c r="L1210" i="3" s="1"/>
  <c r="M1210" i="3" s="1"/>
  <c r="I1209" i="3"/>
  <c r="L1209" i="3" s="1"/>
  <c r="M1209" i="3" s="1"/>
  <c r="I1208" i="3"/>
  <c r="L1208" i="3" s="1"/>
  <c r="M1208" i="3" s="1"/>
  <c r="I1207" i="3"/>
  <c r="L1207" i="3" s="1"/>
  <c r="M1207" i="3" s="1"/>
  <c r="I1206" i="3"/>
  <c r="L1206" i="3" s="1"/>
  <c r="M1206" i="3" s="1"/>
  <c r="I1205" i="3"/>
  <c r="L1205" i="3" s="1"/>
  <c r="M1205" i="3" s="1"/>
  <c r="I1204" i="3"/>
  <c r="L1204" i="3" s="1"/>
  <c r="M1204" i="3" s="1"/>
  <c r="I1203" i="3"/>
  <c r="L1203" i="3" s="1"/>
  <c r="M1203" i="3" s="1"/>
  <c r="I1202" i="3"/>
  <c r="L1202" i="3" s="1"/>
  <c r="M1202" i="3" s="1"/>
  <c r="I1201" i="3"/>
  <c r="L1201" i="3" s="1"/>
  <c r="M1201" i="3" s="1"/>
  <c r="I1200" i="3"/>
  <c r="L1200" i="3" s="1"/>
  <c r="M1200" i="3" s="1"/>
  <c r="I1199" i="3"/>
  <c r="L1199" i="3" s="1"/>
  <c r="M1199" i="3" s="1"/>
  <c r="I1198" i="3"/>
  <c r="L1198" i="3" s="1"/>
  <c r="M1198" i="3" s="1"/>
  <c r="I1197" i="3"/>
  <c r="L1197" i="3" s="1"/>
  <c r="M1197" i="3" s="1"/>
  <c r="I1196" i="3"/>
  <c r="L1196" i="3" s="1"/>
  <c r="M1196" i="3" s="1"/>
  <c r="I1195" i="3"/>
  <c r="L1195" i="3" s="1"/>
  <c r="M1195" i="3" s="1"/>
  <c r="I1194" i="3"/>
  <c r="L1194" i="3" s="1"/>
  <c r="M1194" i="3" s="1"/>
  <c r="I1193" i="3"/>
  <c r="L1193" i="3" s="1"/>
  <c r="M1193" i="3" s="1"/>
  <c r="I1192" i="3"/>
  <c r="L1192" i="3" s="1"/>
  <c r="M1192" i="3" s="1"/>
  <c r="I1191" i="3"/>
  <c r="L1191" i="3" s="1"/>
  <c r="M1191" i="3" s="1"/>
  <c r="I1190" i="3"/>
  <c r="L1190" i="3" s="1"/>
  <c r="M1190" i="3" s="1"/>
  <c r="I1189" i="3"/>
  <c r="L1189" i="3" s="1"/>
  <c r="M1189" i="3" s="1"/>
  <c r="I1188" i="3"/>
  <c r="L1188" i="3" s="1"/>
  <c r="M1188" i="3" s="1"/>
  <c r="I1187" i="3"/>
  <c r="L1187" i="3" s="1"/>
  <c r="M1187" i="3" s="1"/>
  <c r="I1186" i="3"/>
  <c r="L1186" i="3" s="1"/>
  <c r="M1186" i="3" s="1"/>
  <c r="I1185" i="3"/>
  <c r="L1185" i="3" s="1"/>
  <c r="M1185" i="3" s="1"/>
  <c r="I1184" i="3"/>
  <c r="L1184" i="3" s="1"/>
  <c r="M1184" i="3" s="1"/>
  <c r="I1183" i="3"/>
  <c r="L1183" i="3" s="1"/>
  <c r="M1183" i="3" s="1"/>
  <c r="I1182" i="3"/>
  <c r="L1182" i="3" s="1"/>
  <c r="M1182" i="3" s="1"/>
  <c r="I1181" i="3"/>
  <c r="L1181" i="3" s="1"/>
  <c r="M1181" i="3" s="1"/>
  <c r="I1180" i="3"/>
  <c r="L1180" i="3" s="1"/>
  <c r="M1180" i="3" s="1"/>
  <c r="I1179" i="3"/>
  <c r="L1179" i="3" s="1"/>
  <c r="M1179" i="3" s="1"/>
  <c r="I1178" i="3"/>
  <c r="L1178" i="3" s="1"/>
  <c r="M1178" i="3" s="1"/>
  <c r="I1177" i="3"/>
  <c r="L1177" i="3" s="1"/>
  <c r="M1177" i="3" s="1"/>
  <c r="I1176" i="3"/>
  <c r="L1176" i="3" s="1"/>
  <c r="M1176" i="3" s="1"/>
  <c r="I1175" i="3"/>
  <c r="L1175" i="3" s="1"/>
  <c r="M1175" i="3" s="1"/>
  <c r="I1174" i="3"/>
  <c r="L1174" i="3" s="1"/>
  <c r="M1174" i="3" s="1"/>
  <c r="I1173" i="3"/>
  <c r="L1173" i="3" s="1"/>
  <c r="M1173" i="3" s="1"/>
  <c r="I1172" i="3"/>
  <c r="L1172" i="3" s="1"/>
  <c r="M1172" i="3" s="1"/>
  <c r="I1171" i="3"/>
  <c r="L1171" i="3" s="1"/>
  <c r="M1171" i="3" s="1"/>
  <c r="I1170" i="3"/>
  <c r="L1170" i="3" s="1"/>
  <c r="M1170" i="3" s="1"/>
  <c r="I1169" i="3"/>
  <c r="L1169" i="3" s="1"/>
  <c r="M1169" i="3" s="1"/>
  <c r="I1168" i="3"/>
  <c r="L1168" i="3" s="1"/>
  <c r="M1168" i="3" s="1"/>
  <c r="I1167" i="3"/>
  <c r="L1167" i="3" s="1"/>
  <c r="M1167" i="3" s="1"/>
  <c r="I1166" i="3"/>
  <c r="L1166" i="3" s="1"/>
  <c r="M1166" i="3" s="1"/>
  <c r="I1165" i="3"/>
  <c r="L1165" i="3" s="1"/>
  <c r="M1165" i="3" s="1"/>
  <c r="I1164" i="3"/>
  <c r="L1164" i="3" s="1"/>
  <c r="M1164" i="3" s="1"/>
  <c r="I1163" i="3"/>
  <c r="L1163" i="3" s="1"/>
  <c r="M1163" i="3" s="1"/>
  <c r="I1162" i="3"/>
  <c r="L1162" i="3" s="1"/>
  <c r="M1162" i="3" s="1"/>
  <c r="I1161" i="3"/>
  <c r="L1161" i="3" s="1"/>
  <c r="M1161" i="3" s="1"/>
  <c r="I1160" i="3"/>
  <c r="L1160" i="3" s="1"/>
  <c r="M1160" i="3" s="1"/>
  <c r="I1159" i="3"/>
  <c r="L1159" i="3" s="1"/>
  <c r="M1159" i="3" s="1"/>
  <c r="I1158" i="3"/>
  <c r="L1158" i="3" s="1"/>
  <c r="M1158" i="3" s="1"/>
  <c r="I1157" i="3"/>
  <c r="L1157" i="3" s="1"/>
  <c r="M1157" i="3" s="1"/>
  <c r="I1156" i="3"/>
  <c r="L1156" i="3" s="1"/>
  <c r="M1156" i="3" s="1"/>
  <c r="I1155" i="3"/>
  <c r="L1155" i="3" s="1"/>
  <c r="M1155" i="3" s="1"/>
  <c r="I1154" i="3"/>
  <c r="L1154" i="3" s="1"/>
  <c r="M1154" i="3" s="1"/>
  <c r="I1153" i="3"/>
  <c r="L1153" i="3" s="1"/>
  <c r="M1153" i="3" s="1"/>
  <c r="I1152" i="3"/>
  <c r="L1152" i="3" s="1"/>
  <c r="M1152" i="3" s="1"/>
  <c r="I1151" i="3"/>
  <c r="L1151" i="3" s="1"/>
  <c r="M1151" i="3" s="1"/>
  <c r="I1150" i="3"/>
  <c r="L1150" i="3" s="1"/>
  <c r="M1150" i="3" s="1"/>
  <c r="I1149" i="3"/>
  <c r="L1149" i="3" s="1"/>
  <c r="M1149" i="3" s="1"/>
  <c r="I1148" i="3"/>
  <c r="L1148" i="3" s="1"/>
  <c r="M1148" i="3" s="1"/>
  <c r="I1147" i="3"/>
  <c r="L1147" i="3" s="1"/>
  <c r="M1147" i="3" s="1"/>
  <c r="I1146" i="3"/>
  <c r="L1146" i="3" s="1"/>
  <c r="M1146" i="3" s="1"/>
  <c r="I1145" i="3"/>
  <c r="L1145" i="3" s="1"/>
  <c r="M1145" i="3" s="1"/>
  <c r="I1144" i="3"/>
  <c r="L1144" i="3" s="1"/>
  <c r="M1144" i="3" s="1"/>
  <c r="I1143" i="3"/>
  <c r="L1143" i="3" s="1"/>
  <c r="M1143" i="3" s="1"/>
  <c r="I1142" i="3"/>
  <c r="L1142" i="3" s="1"/>
  <c r="M1142" i="3" s="1"/>
  <c r="I1141" i="3"/>
  <c r="L1141" i="3" s="1"/>
  <c r="M1141" i="3" s="1"/>
  <c r="I1140" i="3"/>
  <c r="L1140" i="3" s="1"/>
  <c r="M1140" i="3" s="1"/>
  <c r="I1139" i="3"/>
  <c r="L1139" i="3" s="1"/>
  <c r="M1139" i="3" s="1"/>
  <c r="I1138" i="3"/>
  <c r="L1138" i="3" s="1"/>
  <c r="M1138" i="3" s="1"/>
  <c r="I1137" i="3"/>
  <c r="L1137" i="3" s="1"/>
  <c r="M1137" i="3" s="1"/>
  <c r="I1136" i="3"/>
  <c r="L1136" i="3" s="1"/>
  <c r="M1136" i="3" s="1"/>
  <c r="I1135" i="3"/>
  <c r="L1135" i="3" s="1"/>
  <c r="M1135" i="3" s="1"/>
  <c r="I1134" i="3"/>
  <c r="L1134" i="3" s="1"/>
  <c r="M1134" i="3" s="1"/>
  <c r="I1133" i="3"/>
  <c r="L1133" i="3" s="1"/>
  <c r="M1133" i="3" s="1"/>
  <c r="I1132" i="3"/>
  <c r="L1132" i="3" s="1"/>
  <c r="M1132" i="3" s="1"/>
  <c r="I1131" i="3"/>
  <c r="L1131" i="3" s="1"/>
  <c r="M1131" i="3" s="1"/>
  <c r="I1130" i="3"/>
  <c r="L1130" i="3" s="1"/>
  <c r="M1130" i="3" s="1"/>
  <c r="I1129" i="3"/>
  <c r="L1129" i="3" s="1"/>
  <c r="M1129" i="3" s="1"/>
  <c r="I1128" i="3"/>
  <c r="L1128" i="3" s="1"/>
  <c r="M1128" i="3" s="1"/>
  <c r="I1127" i="3"/>
  <c r="L1127" i="3" s="1"/>
  <c r="M1127" i="3" s="1"/>
  <c r="I1126" i="3"/>
  <c r="L1126" i="3" s="1"/>
  <c r="M1126" i="3" s="1"/>
  <c r="I1125" i="3"/>
  <c r="L1125" i="3" s="1"/>
  <c r="M1125" i="3" s="1"/>
  <c r="I1124" i="3"/>
  <c r="L1124" i="3" s="1"/>
  <c r="M1124" i="3" s="1"/>
  <c r="I1123" i="3"/>
  <c r="L1123" i="3" s="1"/>
  <c r="M1123" i="3" s="1"/>
  <c r="I1122" i="3"/>
  <c r="L1122" i="3" s="1"/>
  <c r="M1122" i="3" s="1"/>
  <c r="I1121" i="3"/>
  <c r="L1121" i="3" s="1"/>
  <c r="M1121" i="3" s="1"/>
  <c r="I1120" i="3"/>
  <c r="L1120" i="3" s="1"/>
  <c r="M1120" i="3" s="1"/>
  <c r="I1119" i="3"/>
  <c r="L1119" i="3" s="1"/>
  <c r="M1119" i="3" s="1"/>
  <c r="I1118" i="3"/>
  <c r="L1118" i="3" s="1"/>
  <c r="M1118" i="3" s="1"/>
  <c r="I1117" i="3"/>
  <c r="L1117" i="3" s="1"/>
  <c r="M1117" i="3" s="1"/>
  <c r="I1116" i="3"/>
  <c r="L1116" i="3" s="1"/>
  <c r="M1116" i="3" s="1"/>
  <c r="I1115" i="3"/>
  <c r="L1115" i="3" s="1"/>
  <c r="M1115" i="3" s="1"/>
  <c r="I1114" i="3"/>
  <c r="L1114" i="3" s="1"/>
  <c r="M1114" i="3" s="1"/>
  <c r="I1113" i="3"/>
  <c r="L1113" i="3" s="1"/>
  <c r="M1113" i="3" s="1"/>
  <c r="I1112" i="3"/>
  <c r="L1112" i="3" s="1"/>
  <c r="M1112" i="3" s="1"/>
  <c r="I1111" i="3"/>
  <c r="L1111" i="3" s="1"/>
  <c r="M1111" i="3" s="1"/>
  <c r="I1110" i="3"/>
  <c r="L1110" i="3" s="1"/>
  <c r="M1110" i="3" s="1"/>
  <c r="I1109" i="3"/>
  <c r="L1109" i="3" s="1"/>
  <c r="M1109" i="3" s="1"/>
  <c r="I1108" i="3"/>
  <c r="L1108" i="3" s="1"/>
  <c r="M1108" i="3" s="1"/>
  <c r="I1107" i="3"/>
  <c r="L1107" i="3" s="1"/>
  <c r="M1107" i="3" s="1"/>
  <c r="I1106" i="3"/>
  <c r="L1106" i="3" s="1"/>
  <c r="M1106" i="3" s="1"/>
  <c r="I1105" i="3"/>
  <c r="L1105" i="3" s="1"/>
  <c r="M1105" i="3" s="1"/>
  <c r="I1104" i="3"/>
  <c r="L1104" i="3" s="1"/>
  <c r="M1104" i="3" s="1"/>
  <c r="I1103" i="3"/>
  <c r="L1103" i="3" s="1"/>
  <c r="M1103" i="3" s="1"/>
  <c r="I1102" i="3"/>
  <c r="L1102" i="3" s="1"/>
  <c r="M1102" i="3" s="1"/>
  <c r="I1101" i="3"/>
  <c r="L1101" i="3" s="1"/>
  <c r="M1101" i="3" s="1"/>
  <c r="I1100" i="3"/>
  <c r="L1100" i="3" s="1"/>
  <c r="M1100" i="3" s="1"/>
  <c r="I1099" i="3"/>
  <c r="L1099" i="3" s="1"/>
  <c r="M1099" i="3" s="1"/>
  <c r="I1098" i="3"/>
  <c r="L1098" i="3" s="1"/>
  <c r="M1098" i="3" s="1"/>
  <c r="I1097" i="3"/>
  <c r="L1097" i="3" s="1"/>
  <c r="M1097" i="3" s="1"/>
  <c r="I1096" i="3"/>
  <c r="L1096" i="3" s="1"/>
  <c r="M1096" i="3" s="1"/>
  <c r="I1095" i="3"/>
  <c r="L1095" i="3" s="1"/>
  <c r="M1095" i="3" s="1"/>
  <c r="I1094" i="3"/>
  <c r="L1094" i="3" s="1"/>
  <c r="M1094" i="3" s="1"/>
  <c r="I1093" i="3"/>
  <c r="L1093" i="3" s="1"/>
  <c r="M1093" i="3" s="1"/>
  <c r="I1092" i="3"/>
  <c r="L1092" i="3" s="1"/>
  <c r="M1092" i="3" s="1"/>
  <c r="I1091" i="3"/>
  <c r="L1091" i="3" s="1"/>
  <c r="M1091" i="3" s="1"/>
  <c r="I1090" i="3"/>
  <c r="L1090" i="3" s="1"/>
  <c r="M1090" i="3" s="1"/>
  <c r="I1089" i="3"/>
  <c r="L1089" i="3" s="1"/>
  <c r="M1089" i="3" s="1"/>
  <c r="I1088" i="3"/>
  <c r="L1088" i="3" s="1"/>
  <c r="M1088" i="3" s="1"/>
  <c r="I1087" i="3"/>
  <c r="L1087" i="3" s="1"/>
  <c r="M1087" i="3" s="1"/>
  <c r="I1086" i="3"/>
  <c r="L1086" i="3" s="1"/>
  <c r="M1086" i="3" s="1"/>
  <c r="I1085" i="3"/>
  <c r="L1085" i="3" s="1"/>
  <c r="M1085" i="3" s="1"/>
  <c r="I1084" i="3"/>
  <c r="L1084" i="3" s="1"/>
  <c r="M1084" i="3" s="1"/>
  <c r="I1083" i="3"/>
  <c r="L1083" i="3" s="1"/>
  <c r="M1083" i="3" s="1"/>
  <c r="I1082" i="3"/>
  <c r="L1082" i="3" s="1"/>
  <c r="M1082" i="3" s="1"/>
  <c r="I1081" i="3"/>
  <c r="L1081" i="3" s="1"/>
  <c r="M1081" i="3" s="1"/>
  <c r="I1080" i="3"/>
  <c r="L1080" i="3" s="1"/>
  <c r="M1080" i="3" s="1"/>
  <c r="I1079" i="3"/>
  <c r="L1079" i="3" s="1"/>
  <c r="M1079" i="3" s="1"/>
  <c r="I1078" i="3"/>
  <c r="L1078" i="3" s="1"/>
  <c r="M1078" i="3" s="1"/>
  <c r="I1077" i="3"/>
  <c r="L1077" i="3" s="1"/>
  <c r="M1077" i="3" s="1"/>
  <c r="I1076" i="3"/>
  <c r="L1076" i="3" s="1"/>
  <c r="M1076" i="3" s="1"/>
  <c r="I1075" i="3"/>
  <c r="L1075" i="3" s="1"/>
  <c r="M1075" i="3" s="1"/>
  <c r="I1074" i="3"/>
  <c r="L1074" i="3" s="1"/>
  <c r="M1074" i="3" s="1"/>
  <c r="I1073" i="3"/>
  <c r="L1073" i="3" s="1"/>
  <c r="M1073" i="3" s="1"/>
  <c r="I1072" i="3"/>
  <c r="L1072" i="3" s="1"/>
  <c r="M1072" i="3" s="1"/>
  <c r="I1071" i="3"/>
  <c r="L1071" i="3" s="1"/>
  <c r="M1071" i="3" s="1"/>
  <c r="I1070" i="3"/>
  <c r="L1070" i="3" s="1"/>
  <c r="M1070" i="3" s="1"/>
  <c r="I1069" i="3"/>
  <c r="L1069" i="3" s="1"/>
  <c r="M1069" i="3" s="1"/>
  <c r="I1068" i="3"/>
  <c r="L1068" i="3" s="1"/>
  <c r="M1068" i="3" s="1"/>
  <c r="I1067" i="3"/>
  <c r="L1067" i="3" s="1"/>
  <c r="M1067" i="3" s="1"/>
  <c r="I1066" i="3"/>
  <c r="L1066" i="3" s="1"/>
  <c r="M1066" i="3" s="1"/>
  <c r="I1065" i="3"/>
  <c r="L1065" i="3" s="1"/>
  <c r="M1065" i="3" s="1"/>
  <c r="I1064" i="3"/>
  <c r="L1064" i="3" s="1"/>
  <c r="M1064" i="3" s="1"/>
  <c r="I1063" i="3"/>
  <c r="L1063" i="3" s="1"/>
  <c r="M1063" i="3" s="1"/>
  <c r="I1062" i="3"/>
  <c r="L1062" i="3" s="1"/>
  <c r="M1062" i="3" s="1"/>
  <c r="I1061" i="3"/>
  <c r="L1061" i="3" s="1"/>
  <c r="M1061" i="3" s="1"/>
  <c r="I1060" i="3"/>
  <c r="L1060" i="3" s="1"/>
  <c r="M1060" i="3" s="1"/>
  <c r="I1059" i="3"/>
  <c r="L1059" i="3" s="1"/>
  <c r="M1059" i="3" s="1"/>
  <c r="I1058" i="3"/>
  <c r="L1058" i="3" s="1"/>
  <c r="M1058" i="3" s="1"/>
  <c r="I1057" i="3"/>
  <c r="L1057" i="3" s="1"/>
  <c r="M1057" i="3" s="1"/>
  <c r="I1056" i="3"/>
  <c r="L1056" i="3" s="1"/>
  <c r="M1056" i="3" s="1"/>
  <c r="I1055" i="3"/>
  <c r="L1055" i="3" s="1"/>
  <c r="M1055" i="3" s="1"/>
  <c r="I1054" i="3"/>
  <c r="L1054" i="3" s="1"/>
  <c r="M1054" i="3" s="1"/>
  <c r="I1053" i="3"/>
  <c r="L1053" i="3" s="1"/>
  <c r="M1053" i="3" s="1"/>
  <c r="I1052" i="3"/>
  <c r="L1052" i="3" s="1"/>
  <c r="M1052" i="3" s="1"/>
  <c r="I1051" i="3"/>
  <c r="L1051" i="3" s="1"/>
  <c r="M1051" i="3" s="1"/>
  <c r="I1050" i="3"/>
  <c r="L1050" i="3" s="1"/>
  <c r="M1050" i="3" s="1"/>
  <c r="I1049" i="3"/>
  <c r="L1049" i="3" s="1"/>
  <c r="M1049" i="3" s="1"/>
  <c r="I1048" i="3"/>
  <c r="L1048" i="3" s="1"/>
  <c r="M1048" i="3" s="1"/>
  <c r="I1047" i="3"/>
  <c r="L1047" i="3" s="1"/>
  <c r="M1047" i="3" s="1"/>
  <c r="I1046" i="3"/>
  <c r="L1046" i="3" s="1"/>
  <c r="M1046" i="3" s="1"/>
  <c r="I1045" i="3"/>
  <c r="L1045" i="3" s="1"/>
  <c r="M1045" i="3" s="1"/>
  <c r="I1044" i="3"/>
  <c r="L1044" i="3" s="1"/>
  <c r="M1044" i="3" s="1"/>
  <c r="I1043" i="3"/>
  <c r="L1043" i="3" s="1"/>
  <c r="M1043" i="3" s="1"/>
  <c r="I1042" i="3"/>
  <c r="L1042" i="3" s="1"/>
  <c r="M1042" i="3" s="1"/>
  <c r="I1041" i="3"/>
  <c r="L1041" i="3" s="1"/>
  <c r="M1041" i="3" s="1"/>
  <c r="I1040" i="3"/>
  <c r="L1040" i="3" s="1"/>
  <c r="M1040" i="3" s="1"/>
  <c r="I1039" i="3"/>
  <c r="L1039" i="3" s="1"/>
  <c r="M1039" i="3" s="1"/>
  <c r="I1038" i="3"/>
  <c r="L1038" i="3" s="1"/>
  <c r="M1038" i="3" s="1"/>
  <c r="I1037" i="3"/>
  <c r="L1037" i="3" s="1"/>
  <c r="M1037" i="3" s="1"/>
  <c r="I1036" i="3"/>
  <c r="L1036" i="3" s="1"/>
  <c r="M1036" i="3" s="1"/>
  <c r="I1035" i="3"/>
  <c r="L1035" i="3" s="1"/>
  <c r="M1035" i="3" s="1"/>
  <c r="I1034" i="3"/>
  <c r="L1034" i="3" s="1"/>
  <c r="M1034" i="3" s="1"/>
  <c r="I1033" i="3"/>
  <c r="L1033" i="3" s="1"/>
  <c r="M1033" i="3" s="1"/>
  <c r="I1032" i="3"/>
  <c r="L1032" i="3" s="1"/>
  <c r="M1032" i="3" s="1"/>
  <c r="I1031" i="3"/>
  <c r="L1031" i="3" s="1"/>
  <c r="M1031" i="3" s="1"/>
  <c r="I1030" i="3"/>
  <c r="L1030" i="3" s="1"/>
  <c r="M1030" i="3" s="1"/>
  <c r="I1029" i="3"/>
  <c r="L1029" i="3" s="1"/>
  <c r="M1029" i="3" s="1"/>
  <c r="I1028" i="3"/>
  <c r="L1028" i="3" s="1"/>
  <c r="M1028" i="3" s="1"/>
  <c r="I1027" i="3"/>
  <c r="L1027" i="3" s="1"/>
  <c r="M1027" i="3" s="1"/>
  <c r="I1026" i="3"/>
  <c r="L1026" i="3" s="1"/>
  <c r="M1026" i="3" s="1"/>
  <c r="I1025" i="3"/>
  <c r="L1025" i="3" s="1"/>
  <c r="M1025" i="3" s="1"/>
  <c r="I1024" i="3"/>
  <c r="L1024" i="3" s="1"/>
  <c r="M1024" i="3" s="1"/>
  <c r="I1023" i="3"/>
  <c r="L1023" i="3" s="1"/>
  <c r="M1023" i="3" s="1"/>
  <c r="I1022" i="3"/>
  <c r="L1022" i="3" s="1"/>
  <c r="M1022" i="3" s="1"/>
  <c r="I1021" i="3"/>
  <c r="L1021" i="3" s="1"/>
  <c r="M1021" i="3" s="1"/>
  <c r="I1020" i="3"/>
  <c r="L1020" i="3" s="1"/>
  <c r="M1020" i="3" s="1"/>
  <c r="I1019" i="3"/>
  <c r="L1019" i="3" s="1"/>
  <c r="M1019" i="3" s="1"/>
  <c r="I1018" i="3"/>
  <c r="L1018" i="3" s="1"/>
  <c r="M1018" i="3" s="1"/>
  <c r="I1017" i="3"/>
  <c r="L1017" i="3" s="1"/>
  <c r="M1017" i="3" s="1"/>
  <c r="I1016" i="3"/>
  <c r="L1016" i="3" s="1"/>
  <c r="M1016" i="3" s="1"/>
  <c r="I1015" i="3"/>
  <c r="L1015" i="3" s="1"/>
  <c r="M1015" i="3" s="1"/>
  <c r="I1014" i="3"/>
  <c r="L1014" i="3" s="1"/>
  <c r="M1014" i="3" s="1"/>
  <c r="I1013" i="3"/>
  <c r="L1013" i="3" s="1"/>
  <c r="M1013" i="3" s="1"/>
  <c r="I1012" i="3"/>
  <c r="L1012" i="3" s="1"/>
  <c r="M1012" i="3" s="1"/>
  <c r="I1011" i="3"/>
  <c r="L1011" i="3" s="1"/>
  <c r="M1011" i="3" s="1"/>
  <c r="I1010" i="3"/>
  <c r="L1010" i="3" s="1"/>
  <c r="M1010" i="3" s="1"/>
  <c r="I1009" i="3"/>
  <c r="L1009" i="3" s="1"/>
  <c r="M1009" i="3" s="1"/>
  <c r="I1008" i="3"/>
  <c r="L1008" i="3" s="1"/>
  <c r="M1008" i="3" s="1"/>
  <c r="I1007" i="3"/>
  <c r="L1007" i="3" s="1"/>
  <c r="M1007" i="3" s="1"/>
  <c r="I1006" i="3"/>
  <c r="L1006" i="3" s="1"/>
  <c r="M1006" i="3" s="1"/>
  <c r="I1005" i="3"/>
  <c r="L1005" i="3" s="1"/>
  <c r="M1005" i="3" s="1"/>
  <c r="I1004" i="3"/>
  <c r="L1004" i="3" s="1"/>
  <c r="M1004" i="3" s="1"/>
  <c r="I1003" i="3"/>
  <c r="L1003" i="3" s="1"/>
  <c r="M1003" i="3" s="1"/>
  <c r="I1002" i="3"/>
  <c r="L1002" i="3" s="1"/>
  <c r="M1002" i="3" s="1"/>
  <c r="I1001" i="3"/>
  <c r="L1001" i="3" s="1"/>
  <c r="M1001" i="3" s="1"/>
  <c r="I1000" i="3"/>
  <c r="L1000" i="3" s="1"/>
  <c r="M1000" i="3" s="1"/>
  <c r="I999" i="3"/>
  <c r="L999" i="3" s="1"/>
  <c r="M999" i="3" s="1"/>
  <c r="I998" i="3"/>
  <c r="L998" i="3" s="1"/>
  <c r="M998" i="3" s="1"/>
  <c r="I997" i="3"/>
  <c r="L997" i="3" s="1"/>
  <c r="M997" i="3" s="1"/>
  <c r="I996" i="3"/>
  <c r="L996" i="3" s="1"/>
  <c r="M996" i="3" s="1"/>
  <c r="I995" i="3"/>
  <c r="L995" i="3" s="1"/>
  <c r="M995" i="3" s="1"/>
  <c r="I994" i="3"/>
  <c r="L994" i="3" s="1"/>
  <c r="M994" i="3" s="1"/>
  <c r="I993" i="3"/>
  <c r="L993" i="3" s="1"/>
  <c r="M993" i="3" s="1"/>
  <c r="I992" i="3"/>
  <c r="L992" i="3" s="1"/>
  <c r="M992" i="3" s="1"/>
  <c r="I991" i="3"/>
  <c r="L991" i="3" s="1"/>
  <c r="M991" i="3" s="1"/>
  <c r="I990" i="3"/>
  <c r="L990" i="3" s="1"/>
  <c r="M990" i="3" s="1"/>
  <c r="I989" i="3"/>
  <c r="L989" i="3" s="1"/>
  <c r="M989" i="3" s="1"/>
  <c r="I988" i="3"/>
  <c r="L988" i="3" s="1"/>
  <c r="M988" i="3" s="1"/>
  <c r="I987" i="3"/>
  <c r="L987" i="3" s="1"/>
  <c r="M987" i="3" s="1"/>
  <c r="I986" i="3"/>
  <c r="L986" i="3" s="1"/>
  <c r="M986" i="3" s="1"/>
  <c r="I985" i="3"/>
  <c r="L985" i="3" s="1"/>
  <c r="M985" i="3" s="1"/>
  <c r="I984" i="3"/>
  <c r="L984" i="3" s="1"/>
  <c r="M984" i="3" s="1"/>
  <c r="I983" i="3"/>
  <c r="L983" i="3" s="1"/>
  <c r="M983" i="3" s="1"/>
  <c r="I982" i="3"/>
  <c r="L982" i="3" s="1"/>
  <c r="M982" i="3" s="1"/>
  <c r="I981" i="3"/>
  <c r="L981" i="3" s="1"/>
  <c r="M981" i="3" s="1"/>
  <c r="I980" i="3"/>
  <c r="L980" i="3" s="1"/>
  <c r="M980" i="3" s="1"/>
  <c r="I979" i="3"/>
  <c r="L979" i="3" s="1"/>
  <c r="M979" i="3" s="1"/>
  <c r="I978" i="3"/>
  <c r="L978" i="3" s="1"/>
  <c r="M978" i="3" s="1"/>
  <c r="I977" i="3"/>
  <c r="L977" i="3" s="1"/>
  <c r="M977" i="3" s="1"/>
  <c r="I976" i="3"/>
  <c r="L976" i="3" s="1"/>
  <c r="M976" i="3" s="1"/>
  <c r="I975" i="3"/>
  <c r="L975" i="3" s="1"/>
  <c r="M975" i="3" s="1"/>
  <c r="I974" i="3"/>
  <c r="L974" i="3" s="1"/>
  <c r="M974" i="3" s="1"/>
  <c r="I973" i="3"/>
  <c r="L973" i="3" s="1"/>
  <c r="M973" i="3" s="1"/>
  <c r="I972" i="3"/>
  <c r="L972" i="3" s="1"/>
  <c r="M972" i="3" s="1"/>
  <c r="I971" i="3"/>
  <c r="L971" i="3" s="1"/>
  <c r="M971" i="3" s="1"/>
  <c r="I970" i="3"/>
  <c r="L970" i="3" s="1"/>
  <c r="M970" i="3" s="1"/>
  <c r="I969" i="3"/>
  <c r="L969" i="3" s="1"/>
  <c r="M969" i="3" s="1"/>
  <c r="I968" i="3"/>
  <c r="L968" i="3" s="1"/>
  <c r="M968" i="3" s="1"/>
  <c r="I967" i="3"/>
  <c r="L967" i="3" s="1"/>
  <c r="M967" i="3" s="1"/>
  <c r="I966" i="3"/>
  <c r="L966" i="3" s="1"/>
  <c r="M966" i="3" s="1"/>
  <c r="I965" i="3"/>
  <c r="L965" i="3" s="1"/>
  <c r="M965" i="3" s="1"/>
  <c r="I964" i="3"/>
  <c r="L964" i="3" s="1"/>
  <c r="M964" i="3" s="1"/>
  <c r="I963" i="3"/>
  <c r="L963" i="3" s="1"/>
  <c r="M963" i="3" s="1"/>
  <c r="I962" i="3"/>
  <c r="L962" i="3" s="1"/>
  <c r="M962" i="3" s="1"/>
  <c r="I961" i="3"/>
  <c r="L961" i="3" s="1"/>
  <c r="M961" i="3" s="1"/>
  <c r="I960" i="3"/>
  <c r="L960" i="3" s="1"/>
  <c r="M960" i="3" s="1"/>
  <c r="I959" i="3"/>
  <c r="L959" i="3" s="1"/>
  <c r="M959" i="3" s="1"/>
  <c r="I958" i="3"/>
  <c r="L958" i="3" s="1"/>
  <c r="M958" i="3" s="1"/>
  <c r="I957" i="3"/>
  <c r="L957" i="3" s="1"/>
  <c r="M957" i="3" s="1"/>
  <c r="I956" i="3"/>
  <c r="L956" i="3" s="1"/>
  <c r="M956" i="3" s="1"/>
  <c r="I955" i="3"/>
  <c r="L955" i="3" s="1"/>
  <c r="M955" i="3" s="1"/>
  <c r="I954" i="3"/>
  <c r="L954" i="3" s="1"/>
  <c r="M954" i="3" s="1"/>
  <c r="I953" i="3"/>
  <c r="L953" i="3" s="1"/>
  <c r="M953" i="3" s="1"/>
  <c r="I952" i="3"/>
  <c r="L952" i="3" s="1"/>
  <c r="M952" i="3" s="1"/>
  <c r="I951" i="3"/>
  <c r="L951" i="3" s="1"/>
  <c r="M951" i="3" s="1"/>
  <c r="I950" i="3"/>
  <c r="L950" i="3" s="1"/>
  <c r="M950" i="3" s="1"/>
  <c r="I949" i="3"/>
  <c r="L949" i="3" s="1"/>
  <c r="M949" i="3" s="1"/>
  <c r="I948" i="3"/>
  <c r="L948" i="3" s="1"/>
  <c r="M948" i="3" s="1"/>
  <c r="I947" i="3"/>
  <c r="L947" i="3" s="1"/>
  <c r="M947" i="3" s="1"/>
  <c r="I946" i="3"/>
  <c r="L946" i="3" s="1"/>
  <c r="M946" i="3" s="1"/>
  <c r="I945" i="3"/>
  <c r="L945" i="3" s="1"/>
  <c r="M945" i="3" s="1"/>
  <c r="I944" i="3"/>
  <c r="L944" i="3" s="1"/>
  <c r="M944" i="3" s="1"/>
  <c r="I943" i="3"/>
  <c r="L943" i="3" s="1"/>
  <c r="M943" i="3" s="1"/>
  <c r="I942" i="3"/>
  <c r="L942" i="3" s="1"/>
  <c r="M942" i="3" s="1"/>
  <c r="I941" i="3"/>
  <c r="L941" i="3" s="1"/>
  <c r="M941" i="3" s="1"/>
  <c r="I940" i="3"/>
  <c r="L940" i="3" s="1"/>
  <c r="M940" i="3" s="1"/>
  <c r="I939" i="3"/>
  <c r="L939" i="3" s="1"/>
  <c r="M939" i="3" s="1"/>
  <c r="I938" i="3"/>
  <c r="L938" i="3" s="1"/>
  <c r="M938" i="3" s="1"/>
  <c r="I937" i="3"/>
  <c r="L937" i="3" s="1"/>
  <c r="M937" i="3" s="1"/>
  <c r="I936" i="3"/>
  <c r="L936" i="3" s="1"/>
  <c r="M936" i="3" s="1"/>
  <c r="I935" i="3"/>
  <c r="L935" i="3" s="1"/>
  <c r="M935" i="3" s="1"/>
  <c r="I934" i="3"/>
  <c r="L934" i="3" s="1"/>
  <c r="M934" i="3" s="1"/>
  <c r="I933" i="3"/>
  <c r="L933" i="3" s="1"/>
  <c r="M933" i="3" s="1"/>
  <c r="I932" i="3"/>
  <c r="L932" i="3" s="1"/>
  <c r="M932" i="3" s="1"/>
  <c r="I931" i="3"/>
  <c r="L931" i="3" s="1"/>
  <c r="M931" i="3" s="1"/>
  <c r="I930" i="3"/>
  <c r="L930" i="3" s="1"/>
  <c r="M930" i="3" s="1"/>
  <c r="I929" i="3"/>
  <c r="L929" i="3" s="1"/>
  <c r="M929" i="3" s="1"/>
  <c r="I928" i="3"/>
  <c r="L928" i="3" s="1"/>
  <c r="M928" i="3" s="1"/>
  <c r="I927" i="3"/>
  <c r="L927" i="3" s="1"/>
  <c r="M927" i="3" s="1"/>
  <c r="I926" i="3"/>
  <c r="L926" i="3" s="1"/>
  <c r="M926" i="3" s="1"/>
  <c r="I925" i="3"/>
  <c r="L925" i="3" s="1"/>
  <c r="M925" i="3" s="1"/>
  <c r="I924" i="3"/>
  <c r="L924" i="3" s="1"/>
  <c r="M924" i="3" s="1"/>
  <c r="I923" i="3"/>
  <c r="L923" i="3" s="1"/>
  <c r="M923" i="3" s="1"/>
  <c r="I922" i="3"/>
  <c r="L922" i="3" s="1"/>
  <c r="M922" i="3" s="1"/>
  <c r="I921" i="3"/>
  <c r="L921" i="3" s="1"/>
  <c r="M921" i="3" s="1"/>
  <c r="I920" i="3"/>
  <c r="L920" i="3" s="1"/>
  <c r="M920" i="3" s="1"/>
  <c r="I919" i="3"/>
  <c r="L919" i="3" s="1"/>
  <c r="M919" i="3" s="1"/>
  <c r="I918" i="3"/>
  <c r="L918" i="3" s="1"/>
  <c r="M918" i="3" s="1"/>
  <c r="I917" i="3"/>
  <c r="L917" i="3" s="1"/>
  <c r="M917" i="3" s="1"/>
  <c r="I916" i="3"/>
  <c r="L916" i="3" s="1"/>
  <c r="M916" i="3" s="1"/>
  <c r="I915" i="3"/>
  <c r="L915" i="3" s="1"/>
  <c r="M915" i="3" s="1"/>
  <c r="I914" i="3"/>
  <c r="L914" i="3" s="1"/>
  <c r="M914" i="3" s="1"/>
  <c r="I913" i="3"/>
  <c r="L913" i="3" s="1"/>
  <c r="M913" i="3" s="1"/>
  <c r="I912" i="3"/>
  <c r="L912" i="3" s="1"/>
  <c r="M912" i="3" s="1"/>
  <c r="I911" i="3"/>
  <c r="L911" i="3" s="1"/>
  <c r="M911" i="3" s="1"/>
  <c r="I910" i="3"/>
  <c r="L910" i="3" s="1"/>
  <c r="M910" i="3" s="1"/>
  <c r="I909" i="3"/>
  <c r="L909" i="3" s="1"/>
  <c r="M909" i="3" s="1"/>
  <c r="I908" i="3"/>
  <c r="L908" i="3" s="1"/>
  <c r="M908" i="3" s="1"/>
  <c r="I907" i="3"/>
  <c r="L907" i="3" s="1"/>
  <c r="M907" i="3" s="1"/>
  <c r="I906" i="3"/>
  <c r="L906" i="3" s="1"/>
  <c r="M906" i="3" s="1"/>
  <c r="I905" i="3"/>
  <c r="L905" i="3" s="1"/>
  <c r="M905" i="3" s="1"/>
  <c r="I904" i="3"/>
  <c r="L904" i="3" s="1"/>
  <c r="M904" i="3" s="1"/>
  <c r="I903" i="3"/>
  <c r="L903" i="3" s="1"/>
  <c r="M903" i="3" s="1"/>
  <c r="I902" i="3"/>
  <c r="L902" i="3" s="1"/>
  <c r="M902" i="3" s="1"/>
  <c r="I901" i="3"/>
  <c r="L901" i="3" s="1"/>
  <c r="M901" i="3" s="1"/>
  <c r="I900" i="3"/>
  <c r="L900" i="3" s="1"/>
  <c r="M900" i="3" s="1"/>
  <c r="I899" i="3"/>
  <c r="L899" i="3" s="1"/>
  <c r="M899" i="3" s="1"/>
  <c r="I898" i="3"/>
  <c r="L898" i="3" s="1"/>
  <c r="M898" i="3" s="1"/>
  <c r="I897" i="3"/>
  <c r="L897" i="3" s="1"/>
  <c r="M897" i="3" s="1"/>
  <c r="I896" i="3"/>
  <c r="L896" i="3" s="1"/>
  <c r="M896" i="3" s="1"/>
  <c r="I895" i="3"/>
  <c r="L895" i="3" s="1"/>
  <c r="M895" i="3" s="1"/>
  <c r="I894" i="3"/>
  <c r="L894" i="3" s="1"/>
  <c r="M894" i="3" s="1"/>
  <c r="I893" i="3"/>
  <c r="L893" i="3" s="1"/>
  <c r="M893" i="3" s="1"/>
  <c r="I892" i="3"/>
  <c r="L892" i="3" s="1"/>
  <c r="M892" i="3" s="1"/>
  <c r="I891" i="3"/>
  <c r="L891" i="3" s="1"/>
  <c r="M891" i="3" s="1"/>
  <c r="I890" i="3"/>
  <c r="L890" i="3" s="1"/>
  <c r="M890" i="3" s="1"/>
  <c r="I889" i="3"/>
  <c r="L889" i="3" s="1"/>
  <c r="M889" i="3" s="1"/>
  <c r="I888" i="3"/>
  <c r="L888" i="3" s="1"/>
  <c r="M888" i="3" s="1"/>
  <c r="I887" i="3"/>
  <c r="L887" i="3" s="1"/>
  <c r="M887" i="3" s="1"/>
  <c r="I886" i="3"/>
  <c r="L886" i="3" s="1"/>
  <c r="M886" i="3" s="1"/>
  <c r="I885" i="3"/>
  <c r="L885" i="3" s="1"/>
  <c r="M885" i="3" s="1"/>
  <c r="I884" i="3"/>
  <c r="L884" i="3" s="1"/>
  <c r="M884" i="3" s="1"/>
  <c r="I883" i="3"/>
  <c r="L883" i="3" s="1"/>
  <c r="M883" i="3" s="1"/>
  <c r="I882" i="3"/>
  <c r="L882" i="3" s="1"/>
  <c r="M882" i="3" s="1"/>
  <c r="I881" i="3"/>
  <c r="L881" i="3" s="1"/>
  <c r="M881" i="3" s="1"/>
  <c r="I880" i="3"/>
  <c r="L880" i="3" s="1"/>
  <c r="M880" i="3" s="1"/>
  <c r="I879" i="3"/>
  <c r="L879" i="3" s="1"/>
  <c r="M879" i="3" s="1"/>
  <c r="I878" i="3"/>
  <c r="L878" i="3" s="1"/>
  <c r="M878" i="3" s="1"/>
  <c r="I877" i="3"/>
  <c r="L877" i="3" s="1"/>
  <c r="M877" i="3" s="1"/>
  <c r="I876" i="3"/>
  <c r="L876" i="3" s="1"/>
  <c r="M876" i="3" s="1"/>
  <c r="I875" i="3"/>
  <c r="L875" i="3" s="1"/>
  <c r="M875" i="3" s="1"/>
  <c r="I874" i="3"/>
  <c r="L874" i="3" s="1"/>
  <c r="M874" i="3" s="1"/>
  <c r="I873" i="3"/>
  <c r="L873" i="3" s="1"/>
  <c r="M873" i="3" s="1"/>
  <c r="I872" i="3"/>
  <c r="L872" i="3" s="1"/>
  <c r="M872" i="3" s="1"/>
  <c r="I871" i="3"/>
  <c r="L871" i="3" s="1"/>
  <c r="M871" i="3" s="1"/>
  <c r="I870" i="3"/>
  <c r="L870" i="3" s="1"/>
  <c r="M870" i="3" s="1"/>
  <c r="I869" i="3"/>
  <c r="L869" i="3" s="1"/>
  <c r="M869" i="3" s="1"/>
  <c r="I868" i="3"/>
  <c r="L868" i="3" s="1"/>
  <c r="M868" i="3" s="1"/>
  <c r="I867" i="3"/>
  <c r="L867" i="3" s="1"/>
  <c r="M867" i="3" s="1"/>
  <c r="I866" i="3"/>
  <c r="L866" i="3" s="1"/>
  <c r="M866" i="3" s="1"/>
  <c r="I865" i="3"/>
  <c r="L865" i="3" s="1"/>
  <c r="M865" i="3" s="1"/>
  <c r="I864" i="3"/>
  <c r="L864" i="3" s="1"/>
  <c r="M864" i="3" s="1"/>
  <c r="I863" i="3"/>
  <c r="L863" i="3" s="1"/>
  <c r="M863" i="3" s="1"/>
  <c r="I862" i="3"/>
  <c r="L862" i="3" s="1"/>
  <c r="M862" i="3" s="1"/>
  <c r="I861" i="3"/>
  <c r="L861" i="3" s="1"/>
  <c r="M861" i="3" s="1"/>
  <c r="I860" i="3"/>
  <c r="L860" i="3" s="1"/>
  <c r="M860" i="3" s="1"/>
  <c r="I859" i="3"/>
  <c r="L859" i="3" s="1"/>
  <c r="M859" i="3" s="1"/>
  <c r="I858" i="3"/>
  <c r="L858" i="3" s="1"/>
  <c r="M858" i="3" s="1"/>
  <c r="I857" i="3"/>
  <c r="L857" i="3" s="1"/>
  <c r="M857" i="3" s="1"/>
  <c r="I856" i="3"/>
  <c r="L856" i="3" s="1"/>
  <c r="M856" i="3" s="1"/>
  <c r="I855" i="3"/>
  <c r="L855" i="3" s="1"/>
  <c r="M855" i="3" s="1"/>
  <c r="I854" i="3"/>
  <c r="L854" i="3" s="1"/>
  <c r="M854" i="3" s="1"/>
  <c r="I853" i="3"/>
  <c r="L853" i="3" s="1"/>
  <c r="M853" i="3" s="1"/>
  <c r="I852" i="3"/>
  <c r="L852" i="3" s="1"/>
  <c r="M852" i="3" s="1"/>
  <c r="I851" i="3"/>
  <c r="L851" i="3" s="1"/>
  <c r="M851" i="3" s="1"/>
  <c r="I850" i="3"/>
  <c r="L850" i="3" s="1"/>
  <c r="M850" i="3" s="1"/>
  <c r="I849" i="3"/>
  <c r="L849" i="3" s="1"/>
  <c r="M849" i="3" s="1"/>
  <c r="I848" i="3"/>
  <c r="L848" i="3" s="1"/>
  <c r="M848" i="3" s="1"/>
  <c r="I847" i="3"/>
  <c r="L847" i="3" s="1"/>
  <c r="M847" i="3" s="1"/>
  <c r="I846" i="3"/>
  <c r="L846" i="3" s="1"/>
  <c r="M846" i="3" s="1"/>
  <c r="I845" i="3"/>
  <c r="L845" i="3" s="1"/>
  <c r="M845" i="3" s="1"/>
  <c r="I844" i="3"/>
  <c r="L844" i="3" s="1"/>
  <c r="M844" i="3" s="1"/>
  <c r="I843" i="3"/>
  <c r="L843" i="3" s="1"/>
  <c r="M843" i="3" s="1"/>
  <c r="I842" i="3"/>
  <c r="L842" i="3" s="1"/>
  <c r="M842" i="3" s="1"/>
  <c r="I841" i="3"/>
  <c r="L841" i="3" s="1"/>
  <c r="M841" i="3" s="1"/>
  <c r="I840" i="3"/>
  <c r="L840" i="3" s="1"/>
  <c r="M840" i="3" s="1"/>
  <c r="I839" i="3"/>
  <c r="L839" i="3" s="1"/>
  <c r="M839" i="3" s="1"/>
  <c r="I838" i="3"/>
  <c r="L838" i="3" s="1"/>
  <c r="M838" i="3" s="1"/>
  <c r="I837" i="3"/>
  <c r="L837" i="3" s="1"/>
  <c r="M837" i="3" s="1"/>
  <c r="I836" i="3"/>
  <c r="L836" i="3" s="1"/>
  <c r="M836" i="3" s="1"/>
  <c r="I835" i="3"/>
  <c r="L835" i="3" s="1"/>
  <c r="M835" i="3" s="1"/>
  <c r="I834" i="3"/>
  <c r="L834" i="3" s="1"/>
  <c r="M834" i="3" s="1"/>
  <c r="I833" i="3"/>
  <c r="L833" i="3" s="1"/>
  <c r="M833" i="3" s="1"/>
  <c r="I832" i="3"/>
  <c r="L832" i="3" s="1"/>
  <c r="M832" i="3" s="1"/>
  <c r="I831" i="3"/>
  <c r="L831" i="3" s="1"/>
  <c r="M831" i="3" s="1"/>
  <c r="I830" i="3"/>
  <c r="L830" i="3" s="1"/>
  <c r="M830" i="3" s="1"/>
  <c r="I829" i="3"/>
  <c r="L829" i="3" s="1"/>
  <c r="M829" i="3" s="1"/>
  <c r="I828" i="3"/>
  <c r="L828" i="3" s="1"/>
  <c r="M828" i="3" s="1"/>
  <c r="I827" i="3"/>
  <c r="L827" i="3" s="1"/>
  <c r="M827" i="3" s="1"/>
  <c r="I826" i="3"/>
  <c r="L826" i="3" s="1"/>
  <c r="M826" i="3" s="1"/>
  <c r="I825" i="3"/>
  <c r="L825" i="3" s="1"/>
  <c r="M825" i="3" s="1"/>
  <c r="I824" i="3"/>
  <c r="L824" i="3" s="1"/>
  <c r="M824" i="3" s="1"/>
  <c r="I823" i="3"/>
  <c r="L823" i="3" s="1"/>
  <c r="M823" i="3" s="1"/>
  <c r="I822" i="3"/>
  <c r="L822" i="3" s="1"/>
  <c r="M822" i="3" s="1"/>
  <c r="I821" i="3"/>
  <c r="L821" i="3" s="1"/>
  <c r="M821" i="3" s="1"/>
  <c r="I820" i="3"/>
  <c r="L820" i="3" s="1"/>
  <c r="M820" i="3" s="1"/>
  <c r="I819" i="3"/>
  <c r="L819" i="3" s="1"/>
  <c r="M819" i="3" s="1"/>
  <c r="I818" i="3"/>
  <c r="L818" i="3" s="1"/>
  <c r="M818" i="3" s="1"/>
  <c r="I817" i="3"/>
  <c r="L817" i="3" s="1"/>
  <c r="M817" i="3" s="1"/>
  <c r="I816" i="3"/>
  <c r="L816" i="3" s="1"/>
  <c r="M816" i="3" s="1"/>
  <c r="I815" i="3"/>
  <c r="L815" i="3" s="1"/>
  <c r="M815" i="3" s="1"/>
  <c r="I814" i="3"/>
  <c r="L814" i="3" s="1"/>
  <c r="M814" i="3" s="1"/>
  <c r="I813" i="3"/>
  <c r="L813" i="3" s="1"/>
  <c r="M813" i="3" s="1"/>
  <c r="I812" i="3"/>
  <c r="L812" i="3" s="1"/>
  <c r="M812" i="3" s="1"/>
  <c r="I811" i="3"/>
  <c r="L811" i="3" s="1"/>
  <c r="M811" i="3" s="1"/>
  <c r="I810" i="3"/>
  <c r="L810" i="3" s="1"/>
  <c r="M810" i="3" s="1"/>
  <c r="I809" i="3"/>
  <c r="L809" i="3" s="1"/>
  <c r="M809" i="3" s="1"/>
  <c r="I808" i="3"/>
  <c r="L808" i="3" s="1"/>
  <c r="M808" i="3" s="1"/>
  <c r="I807" i="3"/>
  <c r="L807" i="3" s="1"/>
  <c r="M807" i="3" s="1"/>
  <c r="I806" i="3"/>
  <c r="L806" i="3" s="1"/>
  <c r="M806" i="3" s="1"/>
  <c r="I805" i="3"/>
  <c r="L805" i="3" s="1"/>
  <c r="M805" i="3" s="1"/>
  <c r="I804" i="3"/>
  <c r="L804" i="3" s="1"/>
  <c r="M804" i="3" s="1"/>
  <c r="I803" i="3"/>
  <c r="L803" i="3" s="1"/>
  <c r="M803" i="3" s="1"/>
  <c r="I802" i="3"/>
  <c r="L802" i="3" s="1"/>
  <c r="M802" i="3" s="1"/>
  <c r="I801" i="3"/>
  <c r="L801" i="3" s="1"/>
  <c r="M801" i="3" s="1"/>
  <c r="I800" i="3"/>
  <c r="L800" i="3" s="1"/>
  <c r="M800" i="3" s="1"/>
  <c r="I799" i="3"/>
  <c r="L799" i="3" s="1"/>
  <c r="M799" i="3" s="1"/>
  <c r="I798" i="3"/>
  <c r="L798" i="3" s="1"/>
  <c r="M798" i="3" s="1"/>
  <c r="I797" i="3"/>
  <c r="L797" i="3" s="1"/>
  <c r="M797" i="3" s="1"/>
  <c r="I796" i="3"/>
  <c r="L796" i="3" s="1"/>
  <c r="M796" i="3" s="1"/>
  <c r="I795" i="3"/>
  <c r="L795" i="3" s="1"/>
  <c r="M795" i="3" s="1"/>
  <c r="I794" i="3"/>
  <c r="L794" i="3" s="1"/>
  <c r="M794" i="3" s="1"/>
  <c r="I793" i="3"/>
  <c r="L793" i="3" s="1"/>
  <c r="M793" i="3" s="1"/>
  <c r="I792" i="3"/>
  <c r="L792" i="3" s="1"/>
  <c r="M792" i="3" s="1"/>
  <c r="I791" i="3"/>
  <c r="L791" i="3" s="1"/>
  <c r="M791" i="3" s="1"/>
  <c r="I790" i="3"/>
  <c r="L790" i="3" s="1"/>
  <c r="M790" i="3" s="1"/>
  <c r="I789" i="3"/>
  <c r="L789" i="3" s="1"/>
  <c r="M789" i="3" s="1"/>
  <c r="I788" i="3"/>
  <c r="L788" i="3" s="1"/>
  <c r="M788" i="3" s="1"/>
  <c r="I787" i="3"/>
  <c r="L787" i="3" s="1"/>
  <c r="M787" i="3" s="1"/>
  <c r="I786" i="3"/>
  <c r="L786" i="3" s="1"/>
  <c r="M786" i="3" s="1"/>
  <c r="I785" i="3"/>
  <c r="L785" i="3" s="1"/>
  <c r="M785" i="3" s="1"/>
  <c r="I784" i="3"/>
  <c r="L784" i="3" s="1"/>
  <c r="M784" i="3" s="1"/>
  <c r="I783" i="3"/>
  <c r="L783" i="3" s="1"/>
  <c r="M783" i="3" s="1"/>
  <c r="I782" i="3"/>
  <c r="L782" i="3" s="1"/>
  <c r="M782" i="3" s="1"/>
  <c r="I781" i="3"/>
  <c r="L781" i="3" s="1"/>
  <c r="M781" i="3" s="1"/>
  <c r="I780" i="3"/>
  <c r="L780" i="3" s="1"/>
  <c r="M780" i="3" s="1"/>
  <c r="I779" i="3"/>
  <c r="L779" i="3" s="1"/>
  <c r="M779" i="3" s="1"/>
  <c r="I778" i="3"/>
  <c r="L778" i="3" s="1"/>
  <c r="M778" i="3" s="1"/>
  <c r="I777" i="3"/>
  <c r="L777" i="3" s="1"/>
  <c r="M777" i="3" s="1"/>
  <c r="I776" i="3"/>
  <c r="L776" i="3" s="1"/>
  <c r="M776" i="3" s="1"/>
  <c r="I775" i="3"/>
  <c r="L775" i="3" s="1"/>
  <c r="M775" i="3" s="1"/>
  <c r="I774" i="3"/>
  <c r="L774" i="3" s="1"/>
  <c r="M774" i="3" s="1"/>
  <c r="I773" i="3"/>
  <c r="L773" i="3" s="1"/>
  <c r="M773" i="3" s="1"/>
  <c r="I772" i="3"/>
  <c r="L772" i="3" s="1"/>
  <c r="M772" i="3" s="1"/>
  <c r="I771" i="3"/>
  <c r="L771" i="3" s="1"/>
  <c r="M771" i="3" s="1"/>
  <c r="I770" i="3"/>
  <c r="L770" i="3" s="1"/>
  <c r="M770" i="3" s="1"/>
  <c r="I769" i="3"/>
  <c r="L769" i="3" s="1"/>
  <c r="M769" i="3" s="1"/>
  <c r="I768" i="3"/>
  <c r="L768" i="3" s="1"/>
  <c r="M768" i="3" s="1"/>
  <c r="I767" i="3"/>
  <c r="L767" i="3" s="1"/>
  <c r="M767" i="3" s="1"/>
  <c r="I766" i="3"/>
  <c r="L766" i="3" s="1"/>
  <c r="M766" i="3" s="1"/>
  <c r="I765" i="3"/>
  <c r="L765" i="3" s="1"/>
  <c r="M765" i="3" s="1"/>
  <c r="I764" i="3"/>
  <c r="L764" i="3" s="1"/>
  <c r="M764" i="3" s="1"/>
  <c r="I763" i="3"/>
  <c r="L763" i="3" s="1"/>
  <c r="M763" i="3" s="1"/>
  <c r="I762" i="3"/>
  <c r="L762" i="3" s="1"/>
  <c r="M762" i="3" s="1"/>
  <c r="I761" i="3"/>
  <c r="L761" i="3" s="1"/>
  <c r="M761" i="3" s="1"/>
  <c r="I760" i="3"/>
  <c r="L760" i="3" s="1"/>
  <c r="M760" i="3" s="1"/>
  <c r="I759" i="3"/>
  <c r="L759" i="3" s="1"/>
  <c r="M759" i="3" s="1"/>
  <c r="I758" i="3"/>
  <c r="L758" i="3" s="1"/>
  <c r="M758" i="3" s="1"/>
  <c r="I757" i="3"/>
  <c r="L757" i="3" s="1"/>
  <c r="M757" i="3" s="1"/>
  <c r="I756" i="3"/>
  <c r="L756" i="3" s="1"/>
  <c r="M756" i="3" s="1"/>
  <c r="I755" i="3"/>
  <c r="L755" i="3" s="1"/>
  <c r="M755" i="3" s="1"/>
  <c r="I754" i="3"/>
  <c r="L754" i="3" s="1"/>
  <c r="M754" i="3" s="1"/>
  <c r="I753" i="3"/>
  <c r="L753" i="3" s="1"/>
  <c r="M753" i="3" s="1"/>
  <c r="I752" i="3"/>
  <c r="L752" i="3" s="1"/>
  <c r="M752" i="3" s="1"/>
  <c r="I751" i="3"/>
  <c r="L751" i="3" s="1"/>
  <c r="M751" i="3" s="1"/>
  <c r="I750" i="3"/>
  <c r="L750" i="3" s="1"/>
  <c r="M750" i="3" s="1"/>
  <c r="I749" i="3"/>
  <c r="L749" i="3" s="1"/>
  <c r="M749" i="3" s="1"/>
  <c r="I748" i="3"/>
  <c r="L748" i="3" s="1"/>
  <c r="M748" i="3" s="1"/>
  <c r="I747" i="3"/>
  <c r="L747" i="3" s="1"/>
  <c r="M747" i="3" s="1"/>
  <c r="I746" i="3"/>
  <c r="L746" i="3" s="1"/>
  <c r="M746" i="3" s="1"/>
  <c r="I745" i="3"/>
  <c r="L745" i="3" s="1"/>
  <c r="M745" i="3" s="1"/>
  <c r="I744" i="3"/>
  <c r="L744" i="3" s="1"/>
  <c r="M744" i="3" s="1"/>
  <c r="I743" i="3"/>
  <c r="L743" i="3" s="1"/>
  <c r="M743" i="3" s="1"/>
  <c r="I742" i="3"/>
  <c r="L742" i="3" s="1"/>
  <c r="M742" i="3" s="1"/>
  <c r="I741" i="3"/>
  <c r="L741" i="3" s="1"/>
  <c r="M741" i="3" s="1"/>
  <c r="I740" i="3"/>
  <c r="L740" i="3" s="1"/>
  <c r="M740" i="3" s="1"/>
  <c r="I739" i="3"/>
  <c r="L739" i="3" s="1"/>
  <c r="M739" i="3" s="1"/>
  <c r="I738" i="3"/>
  <c r="L738" i="3" s="1"/>
  <c r="M738" i="3" s="1"/>
  <c r="I737" i="3"/>
  <c r="L737" i="3" s="1"/>
  <c r="M737" i="3" s="1"/>
  <c r="I736" i="3"/>
  <c r="L736" i="3" s="1"/>
  <c r="M736" i="3" s="1"/>
  <c r="I735" i="3"/>
  <c r="L735" i="3" s="1"/>
  <c r="M735" i="3" s="1"/>
  <c r="I734" i="3"/>
  <c r="L734" i="3" s="1"/>
  <c r="M734" i="3" s="1"/>
  <c r="I733" i="3"/>
  <c r="L733" i="3" s="1"/>
  <c r="M733" i="3" s="1"/>
  <c r="I732" i="3"/>
  <c r="L732" i="3" s="1"/>
  <c r="M732" i="3" s="1"/>
  <c r="I731" i="3"/>
  <c r="L731" i="3" s="1"/>
  <c r="M731" i="3" s="1"/>
  <c r="I730" i="3"/>
  <c r="L730" i="3" s="1"/>
  <c r="M730" i="3" s="1"/>
  <c r="I729" i="3"/>
  <c r="L729" i="3" s="1"/>
  <c r="M729" i="3" s="1"/>
  <c r="I728" i="3"/>
  <c r="L728" i="3" s="1"/>
  <c r="M728" i="3" s="1"/>
  <c r="I727" i="3"/>
  <c r="L727" i="3" s="1"/>
  <c r="M727" i="3" s="1"/>
  <c r="I726" i="3"/>
  <c r="L726" i="3" s="1"/>
  <c r="M726" i="3" s="1"/>
  <c r="I725" i="3"/>
  <c r="L725" i="3" s="1"/>
  <c r="M725" i="3" s="1"/>
  <c r="I724" i="3"/>
  <c r="L724" i="3" s="1"/>
  <c r="M724" i="3" s="1"/>
  <c r="I723" i="3"/>
  <c r="L723" i="3" s="1"/>
  <c r="M723" i="3" s="1"/>
  <c r="I722" i="3"/>
  <c r="L722" i="3" s="1"/>
  <c r="M722" i="3" s="1"/>
  <c r="I721" i="3"/>
  <c r="L721" i="3" s="1"/>
  <c r="M721" i="3" s="1"/>
  <c r="I720" i="3"/>
  <c r="L720" i="3" s="1"/>
  <c r="M720" i="3" s="1"/>
  <c r="I719" i="3"/>
  <c r="L719" i="3" s="1"/>
  <c r="M719" i="3" s="1"/>
  <c r="I718" i="3"/>
  <c r="L718" i="3" s="1"/>
  <c r="M718" i="3" s="1"/>
  <c r="I717" i="3"/>
  <c r="L717" i="3" s="1"/>
  <c r="M717" i="3" s="1"/>
  <c r="I716" i="3"/>
  <c r="L716" i="3" s="1"/>
  <c r="M716" i="3" s="1"/>
  <c r="I715" i="3"/>
  <c r="L715" i="3" s="1"/>
  <c r="M715" i="3" s="1"/>
  <c r="I714" i="3"/>
  <c r="L714" i="3" s="1"/>
  <c r="M714" i="3" s="1"/>
  <c r="I713" i="3"/>
  <c r="L713" i="3" s="1"/>
  <c r="M713" i="3" s="1"/>
  <c r="I712" i="3"/>
  <c r="L712" i="3" s="1"/>
  <c r="M712" i="3" s="1"/>
  <c r="I711" i="3"/>
  <c r="L711" i="3" s="1"/>
  <c r="M711" i="3" s="1"/>
  <c r="I710" i="3"/>
  <c r="L710" i="3" s="1"/>
  <c r="M710" i="3" s="1"/>
  <c r="I709" i="3"/>
  <c r="L709" i="3" s="1"/>
  <c r="M709" i="3" s="1"/>
  <c r="I708" i="3"/>
  <c r="L708" i="3" s="1"/>
  <c r="M708" i="3" s="1"/>
  <c r="I707" i="3"/>
  <c r="L707" i="3" s="1"/>
  <c r="M707" i="3" s="1"/>
  <c r="I706" i="3"/>
  <c r="L706" i="3" s="1"/>
  <c r="M706" i="3" s="1"/>
  <c r="I705" i="3"/>
  <c r="L705" i="3" s="1"/>
  <c r="M705" i="3" s="1"/>
  <c r="I704" i="3"/>
  <c r="L704" i="3" s="1"/>
  <c r="M704" i="3" s="1"/>
  <c r="I703" i="3"/>
  <c r="L703" i="3" s="1"/>
  <c r="M703" i="3" s="1"/>
  <c r="I702" i="3"/>
  <c r="L702" i="3" s="1"/>
  <c r="M702" i="3" s="1"/>
  <c r="I701" i="3"/>
  <c r="L701" i="3" s="1"/>
  <c r="M701" i="3" s="1"/>
  <c r="I700" i="3"/>
  <c r="L700" i="3" s="1"/>
  <c r="M700" i="3" s="1"/>
  <c r="I699" i="3"/>
  <c r="L699" i="3" s="1"/>
  <c r="M699" i="3" s="1"/>
  <c r="I698" i="3"/>
  <c r="L698" i="3" s="1"/>
  <c r="M698" i="3" s="1"/>
  <c r="I697" i="3"/>
  <c r="L697" i="3" s="1"/>
  <c r="M697" i="3" s="1"/>
  <c r="I696" i="3"/>
  <c r="L696" i="3" s="1"/>
  <c r="M696" i="3" s="1"/>
  <c r="I695" i="3"/>
  <c r="L695" i="3" s="1"/>
  <c r="M695" i="3" s="1"/>
  <c r="I694" i="3"/>
  <c r="L694" i="3" s="1"/>
  <c r="M694" i="3" s="1"/>
  <c r="I693" i="3"/>
  <c r="L693" i="3" s="1"/>
  <c r="M693" i="3" s="1"/>
  <c r="I692" i="3"/>
  <c r="L692" i="3" s="1"/>
  <c r="M692" i="3" s="1"/>
  <c r="I691" i="3"/>
  <c r="L691" i="3" s="1"/>
  <c r="M691" i="3" s="1"/>
  <c r="I690" i="3"/>
  <c r="L690" i="3" s="1"/>
  <c r="M690" i="3" s="1"/>
  <c r="I689" i="3"/>
  <c r="L689" i="3" s="1"/>
  <c r="M689" i="3" s="1"/>
  <c r="I688" i="3"/>
  <c r="L688" i="3" s="1"/>
  <c r="M688" i="3" s="1"/>
  <c r="I687" i="3"/>
  <c r="L687" i="3" s="1"/>
  <c r="M687" i="3" s="1"/>
  <c r="I686" i="3"/>
  <c r="L686" i="3" s="1"/>
  <c r="M686" i="3" s="1"/>
  <c r="I685" i="3"/>
  <c r="L685" i="3" s="1"/>
  <c r="M685" i="3" s="1"/>
  <c r="I684" i="3"/>
  <c r="L684" i="3" s="1"/>
  <c r="M684" i="3" s="1"/>
  <c r="I683" i="3"/>
  <c r="L683" i="3" s="1"/>
  <c r="M683" i="3" s="1"/>
  <c r="I682" i="3"/>
  <c r="L682" i="3" s="1"/>
  <c r="M682" i="3" s="1"/>
  <c r="I681" i="3"/>
  <c r="L681" i="3" s="1"/>
  <c r="M681" i="3" s="1"/>
  <c r="I680" i="3"/>
  <c r="L680" i="3" s="1"/>
  <c r="M680" i="3" s="1"/>
  <c r="I679" i="3"/>
  <c r="L679" i="3" s="1"/>
  <c r="M679" i="3" s="1"/>
  <c r="I678" i="3"/>
  <c r="L678" i="3" s="1"/>
  <c r="M678" i="3" s="1"/>
  <c r="I677" i="3"/>
  <c r="L677" i="3" s="1"/>
  <c r="M677" i="3" s="1"/>
  <c r="I676" i="3"/>
  <c r="L676" i="3" s="1"/>
  <c r="M676" i="3" s="1"/>
  <c r="I675" i="3"/>
  <c r="L675" i="3" s="1"/>
  <c r="M675" i="3" s="1"/>
  <c r="I674" i="3"/>
  <c r="L674" i="3" s="1"/>
  <c r="M674" i="3" s="1"/>
  <c r="I673" i="3"/>
  <c r="L673" i="3" s="1"/>
  <c r="M673" i="3" s="1"/>
  <c r="I672" i="3"/>
  <c r="L672" i="3" s="1"/>
  <c r="M672" i="3" s="1"/>
  <c r="I671" i="3"/>
  <c r="L671" i="3" s="1"/>
  <c r="M671" i="3" s="1"/>
  <c r="I670" i="3"/>
  <c r="L670" i="3" s="1"/>
  <c r="M670" i="3" s="1"/>
  <c r="I669" i="3"/>
  <c r="L669" i="3" s="1"/>
  <c r="M669" i="3" s="1"/>
  <c r="I668" i="3"/>
  <c r="L668" i="3" s="1"/>
  <c r="M668" i="3" s="1"/>
  <c r="I667" i="3"/>
  <c r="L667" i="3" s="1"/>
  <c r="M667" i="3" s="1"/>
  <c r="I666" i="3"/>
  <c r="L666" i="3" s="1"/>
  <c r="M666" i="3" s="1"/>
  <c r="I665" i="3"/>
  <c r="L665" i="3" s="1"/>
  <c r="M665" i="3" s="1"/>
  <c r="I664" i="3"/>
  <c r="L664" i="3" s="1"/>
  <c r="M664" i="3" s="1"/>
  <c r="I663" i="3"/>
  <c r="L663" i="3" s="1"/>
  <c r="M663" i="3" s="1"/>
  <c r="I662" i="3"/>
  <c r="L662" i="3" s="1"/>
  <c r="M662" i="3" s="1"/>
  <c r="I661" i="3"/>
  <c r="L661" i="3" s="1"/>
  <c r="M661" i="3" s="1"/>
  <c r="I660" i="3"/>
  <c r="L660" i="3" s="1"/>
  <c r="M660" i="3" s="1"/>
  <c r="I659" i="3"/>
  <c r="L659" i="3" s="1"/>
  <c r="M659" i="3" s="1"/>
  <c r="I658" i="3"/>
  <c r="L658" i="3" s="1"/>
  <c r="M658" i="3" s="1"/>
  <c r="I657" i="3"/>
  <c r="L657" i="3" s="1"/>
  <c r="M657" i="3" s="1"/>
  <c r="I656" i="3"/>
  <c r="L656" i="3" s="1"/>
  <c r="M656" i="3" s="1"/>
  <c r="I655" i="3"/>
  <c r="L655" i="3" s="1"/>
  <c r="M655" i="3" s="1"/>
  <c r="I654" i="3"/>
  <c r="L654" i="3" s="1"/>
  <c r="M654" i="3" s="1"/>
  <c r="I653" i="3"/>
  <c r="L653" i="3" s="1"/>
  <c r="M653" i="3" s="1"/>
  <c r="I652" i="3"/>
  <c r="L652" i="3" s="1"/>
  <c r="M652" i="3" s="1"/>
  <c r="I651" i="3"/>
  <c r="L651" i="3" s="1"/>
  <c r="M651" i="3" s="1"/>
  <c r="I650" i="3"/>
  <c r="L650" i="3" s="1"/>
  <c r="M650" i="3" s="1"/>
  <c r="I649" i="3"/>
  <c r="L649" i="3" s="1"/>
  <c r="M649" i="3" s="1"/>
  <c r="I648" i="3"/>
  <c r="L648" i="3" s="1"/>
  <c r="M648" i="3" s="1"/>
  <c r="I647" i="3"/>
  <c r="L647" i="3" s="1"/>
  <c r="M647" i="3" s="1"/>
  <c r="I646" i="3"/>
  <c r="L646" i="3" s="1"/>
  <c r="M646" i="3" s="1"/>
  <c r="I645" i="3"/>
  <c r="L645" i="3" s="1"/>
  <c r="M645" i="3" s="1"/>
  <c r="I644" i="3"/>
  <c r="L644" i="3" s="1"/>
  <c r="M644" i="3" s="1"/>
  <c r="I643" i="3"/>
  <c r="L643" i="3" s="1"/>
  <c r="M643" i="3" s="1"/>
  <c r="I642" i="3"/>
  <c r="L642" i="3" s="1"/>
  <c r="M642" i="3" s="1"/>
  <c r="I641" i="3"/>
  <c r="L641" i="3" s="1"/>
  <c r="M641" i="3" s="1"/>
  <c r="I640" i="3"/>
  <c r="L640" i="3" s="1"/>
  <c r="M640" i="3" s="1"/>
  <c r="I639" i="3"/>
  <c r="L639" i="3" s="1"/>
  <c r="M639" i="3" s="1"/>
  <c r="I638" i="3"/>
  <c r="L638" i="3" s="1"/>
  <c r="M638" i="3" s="1"/>
  <c r="I637" i="3"/>
  <c r="L637" i="3" s="1"/>
  <c r="M637" i="3" s="1"/>
  <c r="I636" i="3"/>
  <c r="L636" i="3" s="1"/>
  <c r="M636" i="3" s="1"/>
  <c r="I635" i="3"/>
  <c r="L635" i="3" s="1"/>
  <c r="M635" i="3" s="1"/>
  <c r="I634" i="3"/>
  <c r="L634" i="3" s="1"/>
  <c r="M634" i="3" s="1"/>
  <c r="I633" i="3"/>
  <c r="L633" i="3" s="1"/>
  <c r="M633" i="3" s="1"/>
  <c r="I632" i="3"/>
  <c r="L632" i="3" s="1"/>
  <c r="M632" i="3" s="1"/>
  <c r="I631" i="3"/>
  <c r="L631" i="3" s="1"/>
  <c r="M631" i="3" s="1"/>
  <c r="I630" i="3"/>
  <c r="L630" i="3" s="1"/>
  <c r="M630" i="3" s="1"/>
  <c r="I629" i="3"/>
  <c r="L629" i="3" s="1"/>
  <c r="M629" i="3" s="1"/>
  <c r="I628" i="3"/>
  <c r="L628" i="3" s="1"/>
  <c r="M628" i="3" s="1"/>
  <c r="I627" i="3"/>
  <c r="L627" i="3" s="1"/>
  <c r="M627" i="3" s="1"/>
  <c r="I626" i="3"/>
  <c r="L626" i="3" s="1"/>
  <c r="M626" i="3" s="1"/>
  <c r="I625" i="3"/>
  <c r="L625" i="3" s="1"/>
  <c r="M625" i="3" s="1"/>
  <c r="I624" i="3"/>
  <c r="L624" i="3" s="1"/>
  <c r="M624" i="3" s="1"/>
  <c r="I623" i="3"/>
  <c r="L623" i="3" s="1"/>
  <c r="M623" i="3" s="1"/>
  <c r="I622" i="3"/>
  <c r="L622" i="3" s="1"/>
  <c r="M622" i="3" s="1"/>
  <c r="I621" i="3"/>
  <c r="L621" i="3" s="1"/>
  <c r="M621" i="3" s="1"/>
  <c r="I620" i="3"/>
  <c r="L620" i="3" s="1"/>
  <c r="M620" i="3" s="1"/>
  <c r="I619" i="3"/>
  <c r="L619" i="3" s="1"/>
  <c r="M619" i="3" s="1"/>
  <c r="I618" i="3"/>
  <c r="L618" i="3" s="1"/>
  <c r="M618" i="3" s="1"/>
  <c r="I617" i="3"/>
  <c r="L617" i="3" s="1"/>
  <c r="M617" i="3" s="1"/>
  <c r="I616" i="3"/>
  <c r="L616" i="3" s="1"/>
  <c r="M616" i="3" s="1"/>
  <c r="I615" i="3"/>
  <c r="L615" i="3" s="1"/>
  <c r="M615" i="3" s="1"/>
  <c r="I614" i="3"/>
  <c r="L614" i="3" s="1"/>
  <c r="M614" i="3" s="1"/>
  <c r="I613" i="3"/>
  <c r="L613" i="3" s="1"/>
  <c r="M613" i="3" s="1"/>
  <c r="I612" i="3"/>
  <c r="L612" i="3" s="1"/>
  <c r="M612" i="3" s="1"/>
  <c r="I611" i="3"/>
  <c r="L611" i="3" s="1"/>
  <c r="M611" i="3" s="1"/>
  <c r="I610" i="3"/>
  <c r="L610" i="3" s="1"/>
  <c r="M610" i="3" s="1"/>
  <c r="I609" i="3"/>
  <c r="L609" i="3" s="1"/>
  <c r="M609" i="3" s="1"/>
  <c r="I608" i="3"/>
  <c r="L608" i="3" s="1"/>
  <c r="M608" i="3" s="1"/>
  <c r="I607" i="3"/>
  <c r="L607" i="3" s="1"/>
  <c r="M607" i="3" s="1"/>
  <c r="I606" i="3"/>
  <c r="L606" i="3" s="1"/>
  <c r="M606" i="3" s="1"/>
  <c r="I605" i="3"/>
  <c r="L605" i="3" s="1"/>
  <c r="M605" i="3" s="1"/>
  <c r="I604" i="3"/>
  <c r="L604" i="3" s="1"/>
  <c r="M604" i="3" s="1"/>
  <c r="I603" i="3"/>
  <c r="L603" i="3" s="1"/>
  <c r="M603" i="3" s="1"/>
  <c r="I602" i="3"/>
  <c r="L602" i="3" s="1"/>
  <c r="M602" i="3" s="1"/>
  <c r="I601" i="3"/>
  <c r="L601" i="3" s="1"/>
  <c r="M601" i="3" s="1"/>
  <c r="I600" i="3"/>
  <c r="L600" i="3" s="1"/>
  <c r="M600" i="3" s="1"/>
  <c r="I599" i="3"/>
  <c r="L599" i="3" s="1"/>
  <c r="M599" i="3" s="1"/>
  <c r="I598" i="3"/>
  <c r="L598" i="3" s="1"/>
  <c r="M598" i="3" s="1"/>
  <c r="I597" i="3"/>
  <c r="L597" i="3" s="1"/>
  <c r="M597" i="3" s="1"/>
  <c r="I596" i="3"/>
  <c r="L596" i="3" s="1"/>
  <c r="M596" i="3" s="1"/>
  <c r="I595" i="3"/>
  <c r="L595" i="3" s="1"/>
  <c r="M595" i="3" s="1"/>
  <c r="I594" i="3"/>
  <c r="L594" i="3" s="1"/>
  <c r="M594" i="3" s="1"/>
  <c r="I593" i="3"/>
  <c r="L593" i="3" s="1"/>
  <c r="M593" i="3" s="1"/>
  <c r="I592" i="3"/>
  <c r="L592" i="3" s="1"/>
  <c r="M592" i="3" s="1"/>
  <c r="I591" i="3"/>
  <c r="L591" i="3" s="1"/>
  <c r="M591" i="3" s="1"/>
  <c r="I590" i="3"/>
  <c r="L590" i="3" s="1"/>
  <c r="M590" i="3" s="1"/>
  <c r="I589" i="3"/>
  <c r="L589" i="3" s="1"/>
  <c r="M589" i="3" s="1"/>
  <c r="I588" i="3"/>
  <c r="L588" i="3" s="1"/>
  <c r="M588" i="3" s="1"/>
  <c r="I587" i="3"/>
  <c r="L587" i="3" s="1"/>
  <c r="M587" i="3" s="1"/>
  <c r="I586" i="3"/>
  <c r="L586" i="3" s="1"/>
  <c r="M586" i="3" s="1"/>
  <c r="I585" i="3"/>
  <c r="L585" i="3" s="1"/>
  <c r="M585" i="3" s="1"/>
  <c r="I584" i="3"/>
  <c r="L584" i="3" s="1"/>
  <c r="M584" i="3" s="1"/>
  <c r="I583" i="3"/>
  <c r="L583" i="3" s="1"/>
  <c r="M583" i="3" s="1"/>
  <c r="I582" i="3"/>
  <c r="L582" i="3" s="1"/>
  <c r="M582" i="3" s="1"/>
  <c r="I581" i="3"/>
  <c r="L581" i="3" s="1"/>
  <c r="M581" i="3" s="1"/>
  <c r="I580" i="3"/>
  <c r="L580" i="3" s="1"/>
  <c r="M580" i="3" s="1"/>
  <c r="I579" i="3"/>
  <c r="L579" i="3" s="1"/>
  <c r="M579" i="3" s="1"/>
  <c r="I578" i="3"/>
  <c r="L578" i="3" s="1"/>
  <c r="M578" i="3" s="1"/>
  <c r="I577" i="3"/>
  <c r="L577" i="3" s="1"/>
  <c r="M577" i="3" s="1"/>
  <c r="I576" i="3"/>
  <c r="L576" i="3" s="1"/>
  <c r="M576" i="3" s="1"/>
  <c r="I575" i="3"/>
  <c r="L575" i="3" s="1"/>
  <c r="M575" i="3" s="1"/>
  <c r="I574" i="3"/>
  <c r="L574" i="3" s="1"/>
  <c r="M574" i="3" s="1"/>
  <c r="I573" i="3"/>
  <c r="L573" i="3" s="1"/>
  <c r="M573" i="3" s="1"/>
  <c r="I572" i="3"/>
  <c r="L572" i="3" s="1"/>
  <c r="M572" i="3" s="1"/>
  <c r="I571" i="3"/>
  <c r="L571" i="3" s="1"/>
  <c r="M571" i="3" s="1"/>
  <c r="I570" i="3"/>
  <c r="L570" i="3" s="1"/>
  <c r="M570" i="3" s="1"/>
  <c r="I569" i="3"/>
  <c r="L569" i="3" s="1"/>
  <c r="M569" i="3" s="1"/>
  <c r="I568" i="3"/>
  <c r="L568" i="3" s="1"/>
  <c r="M568" i="3" s="1"/>
  <c r="I567" i="3"/>
  <c r="L567" i="3" s="1"/>
  <c r="M567" i="3" s="1"/>
  <c r="I566" i="3"/>
  <c r="L566" i="3" s="1"/>
  <c r="M566" i="3" s="1"/>
  <c r="I565" i="3"/>
  <c r="L565" i="3" s="1"/>
  <c r="M565" i="3" s="1"/>
  <c r="I564" i="3"/>
  <c r="L564" i="3" s="1"/>
  <c r="M564" i="3" s="1"/>
  <c r="I563" i="3"/>
  <c r="L563" i="3" s="1"/>
  <c r="M563" i="3" s="1"/>
  <c r="I562" i="3"/>
  <c r="L562" i="3" s="1"/>
  <c r="M562" i="3" s="1"/>
  <c r="I561" i="3"/>
  <c r="L561" i="3" s="1"/>
  <c r="M561" i="3" s="1"/>
  <c r="I560" i="3"/>
  <c r="L560" i="3" s="1"/>
  <c r="M560" i="3" s="1"/>
  <c r="I559" i="3"/>
  <c r="L559" i="3" s="1"/>
  <c r="M559" i="3" s="1"/>
  <c r="I558" i="3"/>
  <c r="L558" i="3" s="1"/>
  <c r="M558" i="3" s="1"/>
  <c r="I557" i="3"/>
  <c r="L557" i="3" s="1"/>
  <c r="M557" i="3" s="1"/>
  <c r="I556" i="3"/>
  <c r="L556" i="3" s="1"/>
  <c r="M556" i="3" s="1"/>
  <c r="I555" i="3"/>
  <c r="L555" i="3" s="1"/>
  <c r="M555" i="3" s="1"/>
  <c r="I554" i="3"/>
  <c r="L554" i="3" s="1"/>
  <c r="M554" i="3" s="1"/>
  <c r="I553" i="3"/>
  <c r="L553" i="3" s="1"/>
  <c r="M553" i="3" s="1"/>
  <c r="I552" i="3"/>
  <c r="L552" i="3" s="1"/>
  <c r="M552" i="3" s="1"/>
  <c r="I551" i="3"/>
  <c r="L551" i="3" s="1"/>
  <c r="M551" i="3" s="1"/>
  <c r="I550" i="3"/>
  <c r="L550" i="3" s="1"/>
  <c r="M550" i="3" s="1"/>
  <c r="I549" i="3"/>
  <c r="L549" i="3" s="1"/>
  <c r="M549" i="3" s="1"/>
  <c r="I548" i="3"/>
  <c r="L548" i="3" s="1"/>
  <c r="M548" i="3" s="1"/>
  <c r="I547" i="3"/>
  <c r="L547" i="3" s="1"/>
  <c r="M547" i="3" s="1"/>
  <c r="I546" i="3"/>
  <c r="L546" i="3" s="1"/>
  <c r="M546" i="3" s="1"/>
  <c r="I545" i="3"/>
  <c r="L545" i="3" s="1"/>
  <c r="M545" i="3" s="1"/>
  <c r="I544" i="3"/>
  <c r="L544" i="3" s="1"/>
  <c r="M544" i="3" s="1"/>
  <c r="I543" i="3"/>
  <c r="L543" i="3" s="1"/>
  <c r="M543" i="3" s="1"/>
  <c r="I542" i="3"/>
  <c r="L542" i="3" s="1"/>
  <c r="M542" i="3" s="1"/>
  <c r="I541" i="3"/>
  <c r="L541" i="3" s="1"/>
  <c r="M541" i="3" s="1"/>
  <c r="I540" i="3"/>
  <c r="L540" i="3" s="1"/>
  <c r="M540" i="3" s="1"/>
  <c r="I539" i="3"/>
  <c r="L539" i="3" s="1"/>
  <c r="M539" i="3" s="1"/>
  <c r="I538" i="3"/>
  <c r="L538" i="3" s="1"/>
  <c r="M538" i="3" s="1"/>
  <c r="I537" i="3"/>
  <c r="L537" i="3" s="1"/>
  <c r="M537" i="3" s="1"/>
  <c r="I536" i="3"/>
  <c r="L536" i="3" s="1"/>
  <c r="M536" i="3" s="1"/>
  <c r="I535" i="3"/>
  <c r="L535" i="3" s="1"/>
  <c r="M535" i="3" s="1"/>
  <c r="I534" i="3"/>
  <c r="L534" i="3" s="1"/>
  <c r="M534" i="3" s="1"/>
  <c r="I533" i="3"/>
  <c r="L533" i="3" s="1"/>
  <c r="M533" i="3" s="1"/>
  <c r="I532" i="3"/>
  <c r="L532" i="3" s="1"/>
  <c r="M532" i="3" s="1"/>
  <c r="I531" i="3"/>
  <c r="L531" i="3" s="1"/>
  <c r="M531" i="3" s="1"/>
  <c r="I530" i="3"/>
  <c r="L530" i="3" s="1"/>
  <c r="M530" i="3" s="1"/>
  <c r="I529" i="3"/>
  <c r="L529" i="3" s="1"/>
  <c r="M529" i="3" s="1"/>
  <c r="I528" i="3"/>
  <c r="L528" i="3" s="1"/>
  <c r="M528" i="3" s="1"/>
  <c r="I527" i="3"/>
  <c r="L527" i="3" s="1"/>
  <c r="M527" i="3" s="1"/>
  <c r="I526" i="3"/>
  <c r="L526" i="3" s="1"/>
  <c r="M526" i="3" s="1"/>
  <c r="I525" i="3"/>
  <c r="L525" i="3" s="1"/>
  <c r="M525" i="3" s="1"/>
  <c r="I524" i="3"/>
  <c r="L524" i="3" s="1"/>
  <c r="M524" i="3" s="1"/>
  <c r="I523" i="3"/>
  <c r="L523" i="3" s="1"/>
  <c r="M523" i="3" s="1"/>
  <c r="I522" i="3"/>
  <c r="L522" i="3" s="1"/>
  <c r="M522" i="3" s="1"/>
  <c r="I521" i="3"/>
  <c r="L521" i="3" s="1"/>
  <c r="M521" i="3" s="1"/>
  <c r="I520" i="3"/>
  <c r="L520" i="3" s="1"/>
  <c r="M520" i="3" s="1"/>
  <c r="I519" i="3"/>
  <c r="L519" i="3" s="1"/>
  <c r="M519" i="3" s="1"/>
  <c r="I518" i="3"/>
  <c r="L518" i="3" s="1"/>
  <c r="M518" i="3" s="1"/>
  <c r="I517" i="3"/>
  <c r="L517" i="3" s="1"/>
  <c r="M517" i="3" s="1"/>
  <c r="I516" i="3"/>
  <c r="L516" i="3" s="1"/>
  <c r="M516" i="3" s="1"/>
  <c r="I515" i="3"/>
  <c r="L515" i="3" s="1"/>
  <c r="M515" i="3" s="1"/>
  <c r="I514" i="3"/>
  <c r="L514" i="3" s="1"/>
  <c r="M514" i="3" s="1"/>
  <c r="I513" i="3"/>
  <c r="L513" i="3" s="1"/>
  <c r="M513" i="3" s="1"/>
  <c r="I512" i="3"/>
  <c r="L512" i="3" s="1"/>
  <c r="M512" i="3" s="1"/>
  <c r="I511" i="3"/>
  <c r="L511" i="3" s="1"/>
  <c r="M511" i="3" s="1"/>
  <c r="I510" i="3"/>
  <c r="L510" i="3" s="1"/>
  <c r="M510" i="3" s="1"/>
  <c r="I509" i="3"/>
  <c r="L509" i="3" s="1"/>
  <c r="M509" i="3" s="1"/>
  <c r="I508" i="3"/>
  <c r="L508" i="3" s="1"/>
  <c r="M508" i="3" s="1"/>
  <c r="I507" i="3"/>
  <c r="L507" i="3" s="1"/>
  <c r="M507" i="3" s="1"/>
  <c r="I506" i="3"/>
  <c r="L506" i="3" s="1"/>
  <c r="M506" i="3" s="1"/>
  <c r="I505" i="3"/>
  <c r="L505" i="3" s="1"/>
  <c r="M505" i="3" s="1"/>
  <c r="I504" i="3"/>
  <c r="L504" i="3" s="1"/>
  <c r="M504" i="3" s="1"/>
  <c r="I503" i="3"/>
  <c r="L503" i="3" s="1"/>
  <c r="M503" i="3" s="1"/>
  <c r="I502" i="3"/>
  <c r="L502" i="3" s="1"/>
  <c r="M502" i="3" s="1"/>
  <c r="I501" i="3"/>
  <c r="L501" i="3" s="1"/>
  <c r="M501" i="3" s="1"/>
  <c r="I500" i="3"/>
  <c r="L500" i="3" s="1"/>
  <c r="M500" i="3" s="1"/>
  <c r="I499" i="3"/>
  <c r="L499" i="3" s="1"/>
  <c r="M499" i="3" s="1"/>
  <c r="I498" i="3"/>
  <c r="L498" i="3" s="1"/>
  <c r="M498" i="3" s="1"/>
  <c r="I497" i="3"/>
  <c r="L497" i="3" s="1"/>
  <c r="M497" i="3" s="1"/>
  <c r="I496" i="3"/>
  <c r="L496" i="3" s="1"/>
  <c r="M496" i="3" s="1"/>
  <c r="I495" i="3"/>
  <c r="L495" i="3" s="1"/>
  <c r="M495" i="3" s="1"/>
  <c r="I494" i="3"/>
  <c r="L494" i="3" s="1"/>
  <c r="M494" i="3" s="1"/>
  <c r="I493" i="3"/>
  <c r="L493" i="3" s="1"/>
  <c r="M493" i="3" s="1"/>
  <c r="I492" i="3"/>
  <c r="L492" i="3" s="1"/>
  <c r="M492" i="3" s="1"/>
  <c r="I491" i="3"/>
  <c r="L491" i="3" s="1"/>
  <c r="M491" i="3" s="1"/>
  <c r="I490" i="3"/>
  <c r="L490" i="3" s="1"/>
  <c r="M490" i="3" s="1"/>
  <c r="I489" i="3"/>
  <c r="L489" i="3" s="1"/>
  <c r="M489" i="3" s="1"/>
  <c r="I488" i="3"/>
  <c r="L488" i="3" s="1"/>
  <c r="M488" i="3" s="1"/>
  <c r="I487" i="3"/>
  <c r="L487" i="3" s="1"/>
  <c r="M487" i="3" s="1"/>
  <c r="I486" i="3"/>
  <c r="L486" i="3" s="1"/>
  <c r="M486" i="3" s="1"/>
  <c r="I485" i="3"/>
  <c r="L485" i="3" s="1"/>
  <c r="M485" i="3" s="1"/>
  <c r="I484" i="3"/>
  <c r="L484" i="3" s="1"/>
  <c r="M484" i="3" s="1"/>
  <c r="I483" i="3"/>
  <c r="L483" i="3" s="1"/>
  <c r="M483" i="3" s="1"/>
  <c r="I482" i="3"/>
  <c r="L482" i="3" s="1"/>
  <c r="M482" i="3" s="1"/>
  <c r="I481" i="3"/>
  <c r="L481" i="3" s="1"/>
  <c r="M481" i="3" s="1"/>
  <c r="I480" i="3"/>
  <c r="L480" i="3" s="1"/>
  <c r="M480" i="3" s="1"/>
  <c r="I479" i="3"/>
  <c r="L479" i="3" s="1"/>
  <c r="M479" i="3" s="1"/>
  <c r="I478" i="3"/>
  <c r="L478" i="3" s="1"/>
  <c r="M478" i="3" s="1"/>
  <c r="I477" i="3"/>
  <c r="L477" i="3" s="1"/>
  <c r="M477" i="3" s="1"/>
  <c r="I476" i="3"/>
  <c r="L476" i="3" s="1"/>
  <c r="M476" i="3" s="1"/>
  <c r="I475" i="3"/>
  <c r="L475" i="3" s="1"/>
  <c r="M475" i="3" s="1"/>
  <c r="I474" i="3"/>
  <c r="L474" i="3" s="1"/>
  <c r="M474" i="3" s="1"/>
  <c r="I473" i="3"/>
  <c r="L473" i="3" s="1"/>
  <c r="M473" i="3" s="1"/>
  <c r="I472" i="3"/>
  <c r="L472" i="3" s="1"/>
  <c r="M472" i="3" s="1"/>
  <c r="I471" i="3"/>
  <c r="L471" i="3" s="1"/>
  <c r="M471" i="3" s="1"/>
  <c r="I470" i="3"/>
  <c r="L470" i="3" s="1"/>
  <c r="M470" i="3" s="1"/>
  <c r="I469" i="3"/>
  <c r="L469" i="3" s="1"/>
  <c r="M469" i="3" s="1"/>
  <c r="I468" i="3"/>
  <c r="L468" i="3" s="1"/>
  <c r="M468" i="3" s="1"/>
  <c r="I467" i="3"/>
  <c r="L467" i="3" s="1"/>
  <c r="M467" i="3" s="1"/>
  <c r="I466" i="3"/>
  <c r="L466" i="3" s="1"/>
  <c r="M466" i="3" s="1"/>
  <c r="I465" i="3"/>
  <c r="L465" i="3" s="1"/>
  <c r="M465" i="3" s="1"/>
  <c r="I464" i="3"/>
  <c r="L464" i="3" s="1"/>
  <c r="M464" i="3" s="1"/>
  <c r="I463" i="3"/>
  <c r="L463" i="3" s="1"/>
  <c r="M463" i="3" s="1"/>
  <c r="I462" i="3"/>
  <c r="L462" i="3" s="1"/>
  <c r="M462" i="3" s="1"/>
  <c r="I461" i="3"/>
  <c r="L461" i="3" s="1"/>
  <c r="M461" i="3" s="1"/>
  <c r="I460" i="3"/>
  <c r="L460" i="3" s="1"/>
  <c r="M460" i="3" s="1"/>
  <c r="I459" i="3"/>
  <c r="L459" i="3" s="1"/>
  <c r="M459" i="3" s="1"/>
  <c r="I458" i="3"/>
  <c r="L458" i="3" s="1"/>
  <c r="M458" i="3" s="1"/>
  <c r="I457" i="3"/>
  <c r="L457" i="3" s="1"/>
  <c r="M457" i="3" s="1"/>
  <c r="I456" i="3"/>
  <c r="L456" i="3" s="1"/>
  <c r="M456" i="3" s="1"/>
  <c r="I455" i="3"/>
  <c r="L455" i="3" s="1"/>
  <c r="M455" i="3" s="1"/>
  <c r="I454" i="3"/>
  <c r="L454" i="3" s="1"/>
  <c r="M454" i="3" s="1"/>
  <c r="I453" i="3"/>
  <c r="L453" i="3" s="1"/>
  <c r="M453" i="3" s="1"/>
  <c r="I452" i="3"/>
  <c r="L452" i="3" s="1"/>
  <c r="M452" i="3" s="1"/>
  <c r="I451" i="3"/>
  <c r="L451" i="3" s="1"/>
  <c r="M451" i="3" s="1"/>
  <c r="I450" i="3"/>
  <c r="L450" i="3" s="1"/>
  <c r="M450" i="3" s="1"/>
  <c r="I449" i="3"/>
  <c r="L449" i="3" s="1"/>
  <c r="M449" i="3" s="1"/>
  <c r="I448" i="3"/>
  <c r="L448" i="3" s="1"/>
  <c r="M448" i="3" s="1"/>
  <c r="I447" i="3"/>
  <c r="L447" i="3" s="1"/>
  <c r="M447" i="3" s="1"/>
  <c r="I446" i="3"/>
  <c r="L446" i="3" s="1"/>
  <c r="M446" i="3" s="1"/>
  <c r="I445" i="3"/>
  <c r="L445" i="3" s="1"/>
  <c r="M445" i="3" s="1"/>
  <c r="I444" i="3"/>
  <c r="L444" i="3" s="1"/>
  <c r="M444" i="3" s="1"/>
  <c r="I443" i="3"/>
  <c r="L443" i="3" s="1"/>
  <c r="M443" i="3" s="1"/>
  <c r="I442" i="3"/>
  <c r="L442" i="3" s="1"/>
  <c r="M442" i="3" s="1"/>
  <c r="I441" i="3"/>
  <c r="L441" i="3" s="1"/>
  <c r="M441" i="3" s="1"/>
  <c r="I440" i="3"/>
  <c r="L440" i="3" s="1"/>
  <c r="M440" i="3" s="1"/>
  <c r="I439" i="3"/>
  <c r="L439" i="3" s="1"/>
  <c r="M439" i="3" s="1"/>
  <c r="I438" i="3"/>
  <c r="L438" i="3" s="1"/>
  <c r="M438" i="3" s="1"/>
  <c r="I437" i="3"/>
  <c r="L437" i="3" s="1"/>
  <c r="M437" i="3" s="1"/>
  <c r="I436" i="3"/>
  <c r="L436" i="3" s="1"/>
  <c r="M436" i="3" s="1"/>
  <c r="I435" i="3"/>
  <c r="L435" i="3" s="1"/>
  <c r="M435" i="3" s="1"/>
  <c r="I434" i="3"/>
  <c r="L434" i="3" s="1"/>
  <c r="M434" i="3" s="1"/>
  <c r="I433" i="3"/>
  <c r="L433" i="3" s="1"/>
  <c r="M433" i="3" s="1"/>
  <c r="I432" i="3"/>
  <c r="L432" i="3" s="1"/>
  <c r="M432" i="3" s="1"/>
  <c r="I431" i="3"/>
  <c r="L431" i="3" s="1"/>
  <c r="M431" i="3" s="1"/>
  <c r="I430" i="3"/>
  <c r="L430" i="3" s="1"/>
  <c r="M430" i="3" s="1"/>
  <c r="I429" i="3"/>
  <c r="L429" i="3" s="1"/>
  <c r="M429" i="3" s="1"/>
  <c r="I428" i="3"/>
  <c r="L428" i="3" s="1"/>
  <c r="M428" i="3" s="1"/>
  <c r="I427" i="3"/>
  <c r="L427" i="3" s="1"/>
  <c r="M427" i="3" s="1"/>
  <c r="I426" i="3"/>
  <c r="L426" i="3" s="1"/>
  <c r="M426" i="3" s="1"/>
  <c r="I425" i="3"/>
  <c r="L425" i="3" s="1"/>
  <c r="M425" i="3" s="1"/>
  <c r="I424" i="3"/>
  <c r="L424" i="3" s="1"/>
  <c r="M424" i="3" s="1"/>
  <c r="I423" i="3"/>
  <c r="L423" i="3" s="1"/>
  <c r="M423" i="3" s="1"/>
  <c r="I422" i="3"/>
  <c r="L422" i="3" s="1"/>
  <c r="M422" i="3" s="1"/>
  <c r="I421" i="3"/>
  <c r="L421" i="3" s="1"/>
  <c r="M421" i="3" s="1"/>
  <c r="I420" i="3"/>
  <c r="L420" i="3" s="1"/>
  <c r="M420" i="3" s="1"/>
  <c r="I419" i="3"/>
  <c r="L419" i="3" s="1"/>
  <c r="M419" i="3" s="1"/>
  <c r="I418" i="3"/>
  <c r="L418" i="3" s="1"/>
  <c r="M418" i="3" s="1"/>
  <c r="I417" i="3"/>
  <c r="L417" i="3" s="1"/>
  <c r="M417" i="3" s="1"/>
  <c r="I416" i="3"/>
  <c r="L416" i="3" s="1"/>
  <c r="M416" i="3" s="1"/>
  <c r="I415" i="3"/>
  <c r="L415" i="3" s="1"/>
  <c r="M415" i="3" s="1"/>
  <c r="I414" i="3"/>
  <c r="L414" i="3" s="1"/>
  <c r="M414" i="3" s="1"/>
  <c r="I413" i="3"/>
  <c r="L413" i="3" s="1"/>
  <c r="M413" i="3" s="1"/>
  <c r="I412" i="3"/>
  <c r="L412" i="3" s="1"/>
  <c r="M412" i="3" s="1"/>
  <c r="I411" i="3"/>
  <c r="L411" i="3" s="1"/>
  <c r="M411" i="3" s="1"/>
  <c r="I410" i="3"/>
  <c r="L410" i="3" s="1"/>
  <c r="M410" i="3" s="1"/>
  <c r="I409" i="3"/>
  <c r="L409" i="3" s="1"/>
  <c r="M409" i="3" s="1"/>
  <c r="I408" i="3"/>
  <c r="L408" i="3" s="1"/>
  <c r="M408" i="3" s="1"/>
  <c r="I407" i="3"/>
  <c r="L407" i="3" s="1"/>
  <c r="M407" i="3" s="1"/>
  <c r="I406" i="3"/>
  <c r="L406" i="3" s="1"/>
  <c r="M406" i="3" s="1"/>
  <c r="I405" i="3"/>
  <c r="L405" i="3" s="1"/>
  <c r="M405" i="3" s="1"/>
  <c r="I404" i="3"/>
  <c r="L404" i="3" s="1"/>
  <c r="M404" i="3" s="1"/>
  <c r="I403" i="3"/>
  <c r="L403" i="3" s="1"/>
  <c r="M403" i="3" s="1"/>
  <c r="I402" i="3"/>
  <c r="L402" i="3" s="1"/>
  <c r="M402" i="3" s="1"/>
  <c r="I401" i="3"/>
  <c r="L401" i="3" s="1"/>
  <c r="M401" i="3" s="1"/>
  <c r="I400" i="3"/>
  <c r="L400" i="3" s="1"/>
  <c r="M400" i="3" s="1"/>
  <c r="I399" i="3"/>
  <c r="L399" i="3" s="1"/>
  <c r="M399" i="3" s="1"/>
  <c r="I398" i="3"/>
  <c r="L398" i="3" s="1"/>
  <c r="M398" i="3" s="1"/>
  <c r="I397" i="3"/>
  <c r="L397" i="3" s="1"/>
  <c r="M397" i="3" s="1"/>
  <c r="I396" i="3"/>
  <c r="L396" i="3" s="1"/>
  <c r="M396" i="3" s="1"/>
  <c r="I395" i="3"/>
  <c r="L395" i="3" s="1"/>
  <c r="M395" i="3" s="1"/>
  <c r="I394" i="3"/>
  <c r="L394" i="3" s="1"/>
  <c r="M394" i="3" s="1"/>
  <c r="I393" i="3"/>
  <c r="L393" i="3" s="1"/>
  <c r="M393" i="3" s="1"/>
  <c r="I392" i="3"/>
  <c r="L392" i="3" s="1"/>
  <c r="M392" i="3" s="1"/>
  <c r="I391" i="3"/>
  <c r="L391" i="3" s="1"/>
  <c r="M391" i="3" s="1"/>
  <c r="I390" i="3"/>
  <c r="L390" i="3" s="1"/>
  <c r="M390" i="3" s="1"/>
  <c r="I389" i="3"/>
  <c r="L389" i="3" s="1"/>
  <c r="M389" i="3" s="1"/>
  <c r="I388" i="3"/>
  <c r="L388" i="3" s="1"/>
  <c r="M388" i="3" s="1"/>
  <c r="I387" i="3"/>
  <c r="L387" i="3" s="1"/>
  <c r="M387" i="3" s="1"/>
  <c r="I386" i="3"/>
  <c r="L386" i="3" s="1"/>
  <c r="M386" i="3" s="1"/>
  <c r="I385" i="3"/>
  <c r="L385" i="3" s="1"/>
  <c r="M385" i="3" s="1"/>
  <c r="I384" i="3"/>
  <c r="L384" i="3" s="1"/>
  <c r="M384" i="3" s="1"/>
  <c r="I383" i="3"/>
  <c r="L383" i="3" s="1"/>
  <c r="M383" i="3" s="1"/>
  <c r="I382" i="3"/>
  <c r="L382" i="3" s="1"/>
  <c r="M382" i="3" s="1"/>
  <c r="I381" i="3"/>
  <c r="L381" i="3" s="1"/>
  <c r="M381" i="3" s="1"/>
  <c r="I380" i="3"/>
  <c r="L380" i="3" s="1"/>
  <c r="M380" i="3" s="1"/>
  <c r="I379" i="3"/>
  <c r="L379" i="3" s="1"/>
  <c r="M379" i="3" s="1"/>
  <c r="I378" i="3"/>
  <c r="L378" i="3" s="1"/>
  <c r="M378" i="3" s="1"/>
  <c r="I377" i="3"/>
  <c r="L377" i="3" s="1"/>
  <c r="M377" i="3" s="1"/>
  <c r="I376" i="3"/>
  <c r="L376" i="3" s="1"/>
  <c r="M376" i="3" s="1"/>
  <c r="I375" i="3"/>
  <c r="L375" i="3" s="1"/>
  <c r="M375" i="3" s="1"/>
  <c r="I374" i="3"/>
  <c r="L374" i="3" s="1"/>
  <c r="M374" i="3" s="1"/>
  <c r="I373" i="3"/>
  <c r="L373" i="3" s="1"/>
  <c r="M373" i="3" s="1"/>
  <c r="I372" i="3"/>
  <c r="L372" i="3" s="1"/>
  <c r="M372" i="3" s="1"/>
  <c r="I371" i="3"/>
  <c r="L371" i="3" s="1"/>
  <c r="M371" i="3" s="1"/>
  <c r="I370" i="3"/>
  <c r="L370" i="3" s="1"/>
  <c r="M370" i="3" s="1"/>
  <c r="I369" i="3"/>
  <c r="L369" i="3" s="1"/>
  <c r="M369" i="3" s="1"/>
  <c r="I368" i="3"/>
  <c r="L368" i="3" s="1"/>
  <c r="M368" i="3" s="1"/>
  <c r="I367" i="3"/>
  <c r="L367" i="3" s="1"/>
  <c r="M367" i="3" s="1"/>
  <c r="I366" i="3"/>
  <c r="L366" i="3" s="1"/>
  <c r="M366" i="3" s="1"/>
  <c r="I365" i="3"/>
  <c r="L365" i="3" s="1"/>
  <c r="M365" i="3" s="1"/>
  <c r="I364" i="3"/>
  <c r="L364" i="3" s="1"/>
  <c r="M364" i="3" s="1"/>
  <c r="I363" i="3"/>
  <c r="L363" i="3" s="1"/>
  <c r="M363" i="3" s="1"/>
  <c r="I362" i="3"/>
  <c r="L362" i="3" s="1"/>
  <c r="M362" i="3" s="1"/>
  <c r="I361" i="3"/>
  <c r="L361" i="3" s="1"/>
  <c r="M361" i="3" s="1"/>
  <c r="I360" i="3"/>
  <c r="L360" i="3" s="1"/>
  <c r="M360" i="3" s="1"/>
  <c r="I359" i="3"/>
  <c r="L359" i="3" s="1"/>
  <c r="M359" i="3" s="1"/>
  <c r="I358" i="3"/>
  <c r="L358" i="3" s="1"/>
  <c r="M358" i="3" s="1"/>
  <c r="I357" i="3"/>
  <c r="L357" i="3" s="1"/>
  <c r="M357" i="3" s="1"/>
  <c r="I356" i="3"/>
  <c r="L356" i="3" s="1"/>
  <c r="M356" i="3" s="1"/>
  <c r="I355" i="3"/>
  <c r="L355" i="3" s="1"/>
  <c r="M355" i="3" s="1"/>
  <c r="I354" i="3"/>
  <c r="L354" i="3" s="1"/>
  <c r="M354" i="3" s="1"/>
  <c r="I353" i="3"/>
  <c r="L353" i="3" s="1"/>
  <c r="M353" i="3" s="1"/>
  <c r="I352" i="3"/>
  <c r="L352" i="3" s="1"/>
  <c r="M352" i="3" s="1"/>
  <c r="I351" i="3"/>
  <c r="L351" i="3" s="1"/>
  <c r="M351" i="3" s="1"/>
  <c r="I350" i="3"/>
  <c r="L350" i="3" s="1"/>
  <c r="M350" i="3" s="1"/>
  <c r="I349" i="3"/>
  <c r="L349" i="3" s="1"/>
  <c r="M349" i="3" s="1"/>
  <c r="I348" i="3"/>
  <c r="L348" i="3" s="1"/>
  <c r="M348" i="3" s="1"/>
  <c r="I347" i="3"/>
  <c r="L347" i="3" s="1"/>
  <c r="M347" i="3" s="1"/>
  <c r="I346" i="3"/>
  <c r="L346" i="3" s="1"/>
  <c r="M346" i="3" s="1"/>
  <c r="I345" i="3"/>
  <c r="L345" i="3" s="1"/>
  <c r="M345" i="3" s="1"/>
  <c r="I344" i="3"/>
  <c r="L344" i="3" s="1"/>
  <c r="M344" i="3" s="1"/>
  <c r="I343" i="3"/>
  <c r="L343" i="3" s="1"/>
  <c r="M343" i="3" s="1"/>
  <c r="I342" i="3"/>
  <c r="L342" i="3" s="1"/>
  <c r="M342" i="3" s="1"/>
  <c r="I341" i="3"/>
  <c r="L341" i="3" s="1"/>
  <c r="M341" i="3" s="1"/>
  <c r="I340" i="3"/>
  <c r="L340" i="3" s="1"/>
  <c r="M340" i="3" s="1"/>
  <c r="I339" i="3"/>
  <c r="L339" i="3" s="1"/>
  <c r="M339" i="3" s="1"/>
  <c r="I338" i="3"/>
  <c r="L338" i="3" s="1"/>
  <c r="M338" i="3" s="1"/>
  <c r="I337" i="3"/>
  <c r="L337" i="3" s="1"/>
  <c r="M337" i="3" s="1"/>
  <c r="I336" i="3"/>
  <c r="L336" i="3" s="1"/>
  <c r="M336" i="3" s="1"/>
  <c r="I335" i="3"/>
  <c r="L335" i="3" s="1"/>
  <c r="M335" i="3" s="1"/>
  <c r="I334" i="3"/>
  <c r="L334" i="3" s="1"/>
  <c r="M334" i="3" s="1"/>
  <c r="I333" i="3"/>
  <c r="L333" i="3" s="1"/>
  <c r="M333" i="3" s="1"/>
  <c r="I332" i="3"/>
  <c r="L332" i="3" s="1"/>
  <c r="M332" i="3" s="1"/>
  <c r="I331" i="3"/>
  <c r="L331" i="3" s="1"/>
  <c r="M331" i="3" s="1"/>
  <c r="I330" i="3"/>
  <c r="L330" i="3" s="1"/>
  <c r="M330" i="3" s="1"/>
  <c r="I329" i="3"/>
  <c r="L329" i="3" s="1"/>
  <c r="M329" i="3" s="1"/>
  <c r="I328" i="3"/>
  <c r="L328" i="3" s="1"/>
  <c r="M328" i="3" s="1"/>
  <c r="I327" i="3"/>
  <c r="L327" i="3" s="1"/>
  <c r="M327" i="3" s="1"/>
  <c r="I326" i="3"/>
  <c r="L326" i="3" s="1"/>
  <c r="M326" i="3" s="1"/>
  <c r="I325" i="3"/>
  <c r="L325" i="3" s="1"/>
  <c r="M325" i="3" s="1"/>
  <c r="I324" i="3"/>
  <c r="L324" i="3" s="1"/>
  <c r="M324" i="3" s="1"/>
  <c r="I323" i="3"/>
  <c r="L323" i="3" s="1"/>
  <c r="M323" i="3" s="1"/>
  <c r="I322" i="3"/>
  <c r="L322" i="3" s="1"/>
  <c r="M322" i="3" s="1"/>
  <c r="I321" i="3"/>
  <c r="L321" i="3" s="1"/>
  <c r="M321" i="3" s="1"/>
  <c r="I320" i="3"/>
  <c r="L320" i="3" s="1"/>
  <c r="M320" i="3" s="1"/>
  <c r="I319" i="3"/>
  <c r="L319" i="3" s="1"/>
  <c r="M319" i="3" s="1"/>
  <c r="I318" i="3"/>
  <c r="L318" i="3" s="1"/>
  <c r="M318" i="3" s="1"/>
  <c r="I317" i="3"/>
  <c r="L317" i="3" s="1"/>
  <c r="M317" i="3" s="1"/>
  <c r="I316" i="3"/>
  <c r="L316" i="3" s="1"/>
  <c r="M316" i="3" s="1"/>
  <c r="I315" i="3"/>
  <c r="L315" i="3" s="1"/>
  <c r="M315" i="3" s="1"/>
  <c r="I314" i="3"/>
  <c r="L314" i="3" s="1"/>
  <c r="M314" i="3" s="1"/>
  <c r="I313" i="3"/>
  <c r="L313" i="3" s="1"/>
  <c r="M313" i="3" s="1"/>
  <c r="I312" i="3"/>
  <c r="L312" i="3" s="1"/>
  <c r="M312" i="3" s="1"/>
  <c r="I311" i="3"/>
  <c r="L311" i="3" s="1"/>
  <c r="M311" i="3" s="1"/>
  <c r="I310" i="3"/>
  <c r="L310" i="3" s="1"/>
  <c r="M310" i="3" s="1"/>
  <c r="I309" i="3"/>
  <c r="L309" i="3" s="1"/>
  <c r="M309" i="3" s="1"/>
  <c r="I308" i="3"/>
  <c r="L308" i="3" s="1"/>
  <c r="M308" i="3" s="1"/>
  <c r="I307" i="3"/>
  <c r="L307" i="3" s="1"/>
  <c r="M307" i="3" s="1"/>
  <c r="I306" i="3"/>
  <c r="L306" i="3" s="1"/>
  <c r="M306" i="3" s="1"/>
  <c r="I305" i="3"/>
  <c r="L305" i="3" s="1"/>
  <c r="M305" i="3" s="1"/>
  <c r="I304" i="3"/>
  <c r="L304" i="3" s="1"/>
  <c r="M304" i="3" s="1"/>
  <c r="I303" i="3"/>
  <c r="L303" i="3" s="1"/>
  <c r="M303" i="3" s="1"/>
  <c r="I302" i="3"/>
  <c r="L302" i="3" s="1"/>
  <c r="M302" i="3" s="1"/>
  <c r="I301" i="3"/>
  <c r="L301" i="3" s="1"/>
  <c r="M301" i="3" s="1"/>
  <c r="I300" i="3"/>
  <c r="L300" i="3" s="1"/>
  <c r="M300" i="3" s="1"/>
  <c r="I299" i="3"/>
  <c r="L299" i="3" s="1"/>
  <c r="M299" i="3" s="1"/>
  <c r="I298" i="3"/>
  <c r="L298" i="3" s="1"/>
  <c r="M298" i="3" s="1"/>
  <c r="I297" i="3"/>
  <c r="L297" i="3" s="1"/>
  <c r="M297" i="3" s="1"/>
  <c r="I296" i="3"/>
  <c r="L296" i="3" s="1"/>
  <c r="M296" i="3" s="1"/>
  <c r="I295" i="3"/>
  <c r="L295" i="3" s="1"/>
  <c r="M295" i="3" s="1"/>
  <c r="I294" i="3"/>
  <c r="L294" i="3" s="1"/>
  <c r="M294" i="3" s="1"/>
  <c r="I293" i="3"/>
  <c r="L293" i="3" s="1"/>
  <c r="M293" i="3" s="1"/>
  <c r="I292" i="3"/>
  <c r="L292" i="3" s="1"/>
  <c r="M292" i="3" s="1"/>
  <c r="I291" i="3"/>
  <c r="L291" i="3" s="1"/>
  <c r="M291" i="3" s="1"/>
  <c r="I290" i="3"/>
  <c r="L290" i="3" s="1"/>
  <c r="M290" i="3" s="1"/>
  <c r="I289" i="3"/>
  <c r="L289" i="3" s="1"/>
  <c r="M289" i="3" s="1"/>
  <c r="I288" i="3"/>
  <c r="L288" i="3" s="1"/>
  <c r="M288" i="3" s="1"/>
  <c r="I287" i="3"/>
  <c r="L287" i="3" s="1"/>
  <c r="M287" i="3" s="1"/>
  <c r="I286" i="3"/>
  <c r="L286" i="3" s="1"/>
  <c r="M286" i="3" s="1"/>
  <c r="I285" i="3"/>
  <c r="L285" i="3" s="1"/>
  <c r="M285" i="3" s="1"/>
  <c r="I284" i="3"/>
  <c r="L284" i="3" s="1"/>
  <c r="M284" i="3" s="1"/>
  <c r="I283" i="3"/>
  <c r="L283" i="3" s="1"/>
  <c r="M283" i="3" s="1"/>
  <c r="I282" i="3"/>
  <c r="L282" i="3" s="1"/>
  <c r="M282" i="3" s="1"/>
  <c r="I281" i="3"/>
  <c r="L281" i="3" s="1"/>
  <c r="M281" i="3" s="1"/>
  <c r="I280" i="3"/>
  <c r="L280" i="3" s="1"/>
  <c r="M280" i="3" s="1"/>
  <c r="I279" i="3"/>
  <c r="L279" i="3" s="1"/>
  <c r="M279" i="3" s="1"/>
  <c r="I278" i="3"/>
  <c r="L278" i="3" s="1"/>
  <c r="M278" i="3" s="1"/>
  <c r="I277" i="3"/>
  <c r="L277" i="3" s="1"/>
  <c r="M277" i="3" s="1"/>
  <c r="I276" i="3"/>
  <c r="L276" i="3" s="1"/>
  <c r="M276" i="3" s="1"/>
  <c r="I275" i="3"/>
  <c r="L275" i="3" s="1"/>
  <c r="M275" i="3" s="1"/>
  <c r="I274" i="3"/>
  <c r="L274" i="3" s="1"/>
  <c r="M274" i="3" s="1"/>
  <c r="I273" i="3"/>
  <c r="L273" i="3" s="1"/>
  <c r="M273" i="3" s="1"/>
  <c r="I272" i="3"/>
  <c r="L272" i="3" s="1"/>
  <c r="M272" i="3" s="1"/>
  <c r="I271" i="3"/>
  <c r="L271" i="3" s="1"/>
  <c r="M271" i="3" s="1"/>
  <c r="I270" i="3"/>
  <c r="L270" i="3" s="1"/>
  <c r="M270" i="3" s="1"/>
  <c r="I269" i="3"/>
  <c r="L269" i="3" s="1"/>
  <c r="M269" i="3" s="1"/>
  <c r="I268" i="3"/>
  <c r="L268" i="3" s="1"/>
  <c r="M268" i="3" s="1"/>
  <c r="I267" i="3"/>
  <c r="L267" i="3" s="1"/>
  <c r="M267" i="3" s="1"/>
  <c r="I266" i="3"/>
  <c r="L266" i="3" s="1"/>
  <c r="M266" i="3" s="1"/>
  <c r="I265" i="3"/>
  <c r="L265" i="3" s="1"/>
  <c r="M265" i="3" s="1"/>
  <c r="I264" i="3"/>
  <c r="L264" i="3" s="1"/>
  <c r="M264" i="3" s="1"/>
  <c r="I263" i="3"/>
  <c r="L263" i="3" s="1"/>
  <c r="M263" i="3" s="1"/>
  <c r="I262" i="3"/>
  <c r="L262" i="3" s="1"/>
  <c r="M262" i="3" s="1"/>
  <c r="I261" i="3"/>
  <c r="L261" i="3" s="1"/>
  <c r="M261" i="3" s="1"/>
  <c r="I260" i="3"/>
  <c r="L260" i="3" s="1"/>
  <c r="M260" i="3" s="1"/>
  <c r="I259" i="3"/>
  <c r="L259" i="3" s="1"/>
  <c r="M259" i="3" s="1"/>
  <c r="I258" i="3"/>
  <c r="L258" i="3" s="1"/>
  <c r="M258" i="3" s="1"/>
  <c r="I257" i="3"/>
  <c r="L257" i="3" s="1"/>
  <c r="M257" i="3" s="1"/>
  <c r="I256" i="3"/>
  <c r="L256" i="3" s="1"/>
  <c r="M256" i="3" s="1"/>
  <c r="I255" i="3"/>
  <c r="L255" i="3" s="1"/>
  <c r="M255" i="3" s="1"/>
  <c r="I254" i="3"/>
  <c r="L254" i="3" s="1"/>
  <c r="M254" i="3" s="1"/>
  <c r="I253" i="3"/>
  <c r="L253" i="3" s="1"/>
  <c r="M253" i="3" s="1"/>
  <c r="I252" i="3"/>
  <c r="L252" i="3" s="1"/>
  <c r="M252" i="3" s="1"/>
  <c r="I251" i="3"/>
  <c r="L251" i="3" s="1"/>
  <c r="M251" i="3" s="1"/>
  <c r="I250" i="3"/>
  <c r="L250" i="3" s="1"/>
  <c r="M250" i="3" s="1"/>
  <c r="I249" i="3"/>
  <c r="L249" i="3" s="1"/>
  <c r="M249" i="3" s="1"/>
  <c r="I248" i="3"/>
  <c r="L248" i="3" s="1"/>
  <c r="M248" i="3" s="1"/>
  <c r="I247" i="3"/>
  <c r="L247" i="3" s="1"/>
  <c r="M247" i="3" s="1"/>
  <c r="I246" i="3"/>
  <c r="L246" i="3" s="1"/>
  <c r="M246" i="3" s="1"/>
  <c r="I245" i="3"/>
  <c r="L245" i="3" s="1"/>
  <c r="M245" i="3" s="1"/>
  <c r="I244" i="3"/>
  <c r="L244" i="3" s="1"/>
  <c r="M244" i="3" s="1"/>
  <c r="I243" i="3"/>
  <c r="L243" i="3" s="1"/>
  <c r="M243" i="3" s="1"/>
  <c r="I242" i="3"/>
  <c r="L242" i="3" s="1"/>
  <c r="M242" i="3" s="1"/>
  <c r="I241" i="3"/>
  <c r="L241" i="3" s="1"/>
  <c r="M241" i="3" s="1"/>
  <c r="I240" i="3"/>
  <c r="L240" i="3" s="1"/>
  <c r="M240" i="3" s="1"/>
  <c r="I239" i="3"/>
  <c r="L239" i="3" s="1"/>
  <c r="M239" i="3" s="1"/>
  <c r="I238" i="3"/>
  <c r="L238" i="3" s="1"/>
  <c r="M238" i="3" s="1"/>
  <c r="I237" i="3"/>
  <c r="L237" i="3" s="1"/>
  <c r="M237" i="3" s="1"/>
  <c r="I236" i="3"/>
  <c r="L236" i="3" s="1"/>
  <c r="M236" i="3" s="1"/>
  <c r="I235" i="3"/>
  <c r="L235" i="3" s="1"/>
  <c r="M235" i="3" s="1"/>
  <c r="I234" i="3"/>
  <c r="L234" i="3" s="1"/>
  <c r="M234" i="3" s="1"/>
  <c r="I233" i="3"/>
  <c r="L233" i="3" s="1"/>
  <c r="M233" i="3" s="1"/>
  <c r="I232" i="3"/>
  <c r="L232" i="3" s="1"/>
  <c r="M232" i="3" s="1"/>
  <c r="I231" i="3"/>
  <c r="L231" i="3" s="1"/>
  <c r="M231" i="3" s="1"/>
  <c r="I230" i="3"/>
  <c r="L230" i="3" s="1"/>
  <c r="M230" i="3" s="1"/>
  <c r="I229" i="3"/>
  <c r="L229" i="3" s="1"/>
  <c r="M229" i="3" s="1"/>
  <c r="I228" i="3"/>
  <c r="L228" i="3" s="1"/>
  <c r="M228" i="3" s="1"/>
  <c r="I227" i="3"/>
  <c r="L227" i="3" s="1"/>
  <c r="M227" i="3" s="1"/>
  <c r="I226" i="3"/>
  <c r="L226" i="3" s="1"/>
  <c r="M226" i="3" s="1"/>
  <c r="I225" i="3"/>
  <c r="L225" i="3" s="1"/>
  <c r="M225" i="3" s="1"/>
  <c r="I224" i="3"/>
  <c r="L224" i="3" s="1"/>
  <c r="M224" i="3" s="1"/>
  <c r="I223" i="3"/>
  <c r="L223" i="3" s="1"/>
  <c r="M223" i="3" s="1"/>
  <c r="I222" i="3"/>
  <c r="L222" i="3" s="1"/>
  <c r="M222" i="3" s="1"/>
  <c r="I221" i="3"/>
  <c r="L221" i="3" s="1"/>
  <c r="M221" i="3" s="1"/>
  <c r="I220" i="3"/>
  <c r="L220" i="3" s="1"/>
  <c r="M220" i="3" s="1"/>
  <c r="I219" i="3"/>
  <c r="L219" i="3" s="1"/>
  <c r="M219" i="3" s="1"/>
  <c r="I218" i="3"/>
  <c r="L218" i="3" s="1"/>
  <c r="M218" i="3" s="1"/>
  <c r="I217" i="3"/>
  <c r="L217" i="3" s="1"/>
  <c r="M217" i="3" s="1"/>
  <c r="I216" i="3"/>
  <c r="L216" i="3" s="1"/>
  <c r="M216" i="3" s="1"/>
  <c r="I215" i="3"/>
  <c r="L215" i="3" s="1"/>
  <c r="M215" i="3" s="1"/>
  <c r="I214" i="3"/>
  <c r="L214" i="3" s="1"/>
  <c r="M214" i="3" s="1"/>
  <c r="I213" i="3"/>
  <c r="L213" i="3" s="1"/>
  <c r="M213" i="3" s="1"/>
  <c r="I212" i="3"/>
  <c r="L212" i="3" s="1"/>
  <c r="M212" i="3" s="1"/>
  <c r="I211" i="3"/>
  <c r="L211" i="3" s="1"/>
  <c r="M211" i="3" s="1"/>
  <c r="I210" i="3"/>
  <c r="L210" i="3" s="1"/>
  <c r="M210" i="3" s="1"/>
  <c r="I209" i="3"/>
  <c r="L209" i="3" s="1"/>
  <c r="M209" i="3" s="1"/>
  <c r="I208" i="3"/>
  <c r="L208" i="3" s="1"/>
  <c r="M208" i="3" s="1"/>
  <c r="I207" i="3"/>
  <c r="L207" i="3" s="1"/>
  <c r="M207" i="3" s="1"/>
  <c r="I206" i="3"/>
  <c r="L206" i="3" s="1"/>
  <c r="M206" i="3" s="1"/>
  <c r="I205" i="3"/>
  <c r="L205" i="3" s="1"/>
  <c r="M205" i="3" s="1"/>
  <c r="I204" i="3"/>
  <c r="L204" i="3" s="1"/>
  <c r="M204" i="3" s="1"/>
  <c r="I203" i="3"/>
  <c r="L203" i="3" s="1"/>
  <c r="M203" i="3" s="1"/>
  <c r="I202" i="3"/>
  <c r="L202" i="3" s="1"/>
  <c r="M202" i="3" s="1"/>
  <c r="I201" i="3"/>
  <c r="L201" i="3" s="1"/>
  <c r="M201" i="3" s="1"/>
  <c r="I200" i="3"/>
  <c r="L200" i="3" s="1"/>
  <c r="M200" i="3" s="1"/>
  <c r="I199" i="3"/>
  <c r="L199" i="3" s="1"/>
  <c r="M199" i="3" s="1"/>
  <c r="I198" i="3"/>
  <c r="L198" i="3" s="1"/>
  <c r="M198" i="3" s="1"/>
  <c r="I197" i="3"/>
  <c r="L197" i="3" s="1"/>
  <c r="M197" i="3" s="1"/>
  <c r="I196" i="3"/>
  <c r="L196" i="3" s="1"/>
  <c r="M196" i="3" s="1"/>
  <c r="I195" i="3"/>
  <c r="L195" i="3" s="1"/>
  <c r="M195" i="3" s="1"/>
  <c r="I194" i="3"/>
  <c r="L194" i="3" s="1"/>
  <c r="M194" i="3" s="1"/>
  <c r="I193" i="3"/>
  <c r="L193" i="3" s="1"/>
  <c r="M193" i="3" s="1"/>
  <c r="I192" i="3"/>
  <c r="L192" i="3" s="1"/>
  <c r="M192" i="3" s="1"/>
  <c r="I191" i="3"/>
  <c r="L191" i="3" s="1"/>
  <c r="M191" i="3" s="1"/>
  <c r="I190" i="3"/>
  <c r="L190" i="3" s="1"/>
  <c r="M190" i="3" s="1"/>
  <c r="I189" i="3"/>
  <c r="L189" i="3" s="1"/>
  <c r="M189" i="3" s="1"/>
  <c r="I188" i="3"/>
  <c r="L188" i="3" s="1"/>
  <c r="M188" i="3" s="1"/>
  <c r="I187" i="3"/>
  <c r="L187" i="3" s="1"/>
  <c r="M187" i="3" s="1"/>
  <c r="I186" i="3"/>
  <c r="L186" i="3" s="1"/>
  <c r="M186" i="3" s="1"/>
  <c r="I185" i="3"/>
  <c r="L185" i="3" s="1"/>
  <c r="M185" i="3" s="1"/>
  <c r="I184" i="3"/>
  <c r="L184" i="3" s="1"/>
  <c r="M184" i="3" s="1"/>
  <c r="I183" i="3"/>
  <c r="L183" i="3" s="1"/>
  <c r="M183" i="3" s="1"/>
  <c r="I182" i="3"/>
  <c r="L182" i="3" s="1"/>
  <c r="M182" i="3" s="1"/>
  <c r="I181" i="3"/>
  <c r="L181" i="3" s="1"/>
  <c r="M181" i="3" s="1"/>
  <c r="I180" i="3"/>
  <c r="L180" i="3" s="1"/>
  <c r="M180" i="3" s="1"/>
  <c r="I179" i="3"/>
  <c r="L179" i="3" s="1"/>
  <c r="M179" i="3" s="1"/>
  <c r="I178" i="3"/>
  <c r="L178" i="3" s="1"/>
  <c r="M178" i="3" s="1"/>
  <c r="I177" i="3"/>
  <c r="L177" i="3" s="1"/>
  <c r="M177" i="3" s="1"/>
  <c r="I176" i="3"/>
  <c r="L176" i="3" s="1"/>
  <c r="M176" i="3" s="1"/>
  <c r="I175" i="3"/>
  <c r="L175" i="3" s="1"/>
  <c r="M175" i="3" s="1"/>
  <c r="I174" i="3"/>
  <c r="L174" i="3" s="1"/>
  <c r="M174" i="3" s="1"/>
  <c r="I173" i="3"/>
  <c r="L173" i="3" s="1"/>
  <c r="M173" i="3" s="1"/>
  <c r="I172" i="3"/>
  <c r="L172" i="3" s="1"/>
  <c r="M172" i="3" s="1"/>
  <c r="I171" i="3"/>
  <c r="L171" i="3" s="1"/>
  <c r="M171" i="3" s="1"/>
  <c r="I170" i="3"/>
  <c r="L170" i="3" s="1"/>
  <c r="M170" i="3" s="1"/>
  <c r="I169" i="3"/>
  <c r="L169" i="3" s="1"/>
  <c r="M169" i="3" s="1"/>
  <c r="I168" i="3"/>
  <c r="L168" i="3" s="1"/>
  <c r="M168" i="3" s="1"/>
  <c r="I167" i="3"/>
  <c r="L167" i="3" s="1"/>
  <c r="M167" i="3" s="1"/>
  <c r="I166" i="3"/>
  <c r="L166" i="3" s="1"/>
  <c r="M166" i="3" s="1"/>
  <c r="I165" i="3"/>
  <c r="L165" i="3" s="1"/>
  <c r="M165" i="3" s="1"/>
  <c r="I164" i="3"/>
  <c r="L164" i="3" s="1"/>
  <c r="M164" i="3" s="1"/>
  <c r="I163" i="3"/>
  <c r="L163" i="3" s="1"/>
  <c r="M163" i="3" s="1"/>
  <c r="I162" i="3"/>
  <c r="L162" i="3" s="1"/>
  <c r="M162" i="3" s="1"/>
  <c r="I161" i="3"/>
  <c r="L161" i="3" s="1"/>
  <c r="M161" i="3" s="1"/>
  <c r="I160" i="3"/>
  <c r="L160" i="3" s="1"/>
  <c r="M160" i="3" s="1"/>
  <c r="I159" i="3"/>
  <c r="L159" i="3" s="1"/>
  <c r="M159" i="3" s="1"/>
  <c r="I158" i="3"/>
  <c r="L158" i="3" s="1"/>
  <c r="M158" i="3" s="1"/>
  <c r="I157" i="3"/>
  <c r="L157" i="3" s="1"/>
  <c r="M157" i="3" s="1"/>
  <c r="I156" i="3"/>
  <c r="L156" i="3" s="1"/>
  <c r="M156" i="3" s="1"/>
  <c r="I155" i="3"/>
  <c r="L155" i="3" s="1"/>
  <c r="M155" i="3" s="1"/>
  <c r="I154" i="3"/>
  <c r="L154" i="3" s="1"/>
  <c r="M154" i="3" s="1"/>
  <c r="I153" i="3"/>
  <c r="L153" i="3" s="1"/>
  <c r="M153" i="3" s="1"/>
  <c r="I152" i="3"/>
  <c r="L152" i="3" s="1"/>
  <c r="M152" i="3" s="1"/>
  <c r="I151" i="3"/>
  <c r="L151" i="3" s="1"/>
  <c r="M151" i="3" s="1"/>
  <c r="I150" i="3"/>
  <c r="L150" i="3" s="1"/>
  <c r="M150" i="3" s="1"/>
  <c r="I149" i="3"/>
  <c r="L149" i="3" s="1"/>
  <c r="M149" i="3" s="1"/>
  <c r="I148" i="3"/>
  <c r="L148" i="3" s="1"/>
  <c r="M148" i="3" s="1"/>
  <c r="I147" i="3"/>
  <c r="L147" i="3" s="1"/>
  <c r="M147" i="3" s="1"/>
  <c r="I146" i="3"/>
  <c r="L146" i="3" s="1"/>
  <c r="M146" i="3" s="1"/>
  <c r="I145" i="3"/>
  <c r="L145" i="3" s="1"/>
  <c r="M145" i="3" s="1"/>
  <c r="I144" i="3"/>
  <c r="L144" i="3" s="1"/>
  <c r="M144" i="3" s="1"/>
  <c r="I143" i="3"/>
  <c r="L143" i="3" s="1"/>
  <c r="M143" i="3" s="1"/>
  <c r="I142" i="3"/>
  <c r="L142" i="3" s="1"/>
  <c r="M142" i="3" s="1"/>
  <c r="I141" i="3"/>
  <c r="L141" i="3" s="1"/>
  <c r="M141" i="3" s="1"/>
  <c r="I140" i="3"/>
  <c r="L140" i="3" s="1"/>
  <c r="M140" i="3" s="1"/>
  <c r="I139" i="3"/>
  <c r="L139" i="3" s="1"/>
  <c r="M139" i="3" s="1"/>
  <c r="I138" i="3"/>
  <c r="L138" i="3" s="1"/>
  <c r="M138" i="3" s="1"/>
  <c r="I137" i="3"/>
  <c r="L137" i="3" s="1"/>
  <c r="M137" i="3" s="1"/>
  <c r="I136" i="3"/>
  <c r="L136" i="3" s="1"/>
  <c r="M136" i="3" s="1"/>
  <c r="I135" i="3"/>
  <c r="L135" i="3" s="1"/>
  <c r="M135" i="3" s="1"/>
  <c r="I134" i="3"/>
  <c r="L134" i="3" s="1"/>
  <c r="M134" i="3" s="1"/>
  <c r="I133" i="3"/>
  <c r="L133" i="3" s="1"/>
  <c r="M133" i="3" s="1"/>
  <c r="I132" i="3"/>
  <c r="L132" i="3" s="1"/>
  <c r="M132" i="3" s="1"/>
  <c r="I131" i="3"/>
  <c r="L131" i="3" s="1"/>
  <c r="M131" i="3" s="1"/>
  <c r="I130" i="3"/>
  <c r="L130" i="3" s="1"/>
  <c r="M130" i="3" s="1"/>
  <c r="I129" i="3"/>
  <c r="L129" i="3" s="1"/>
  <c r="M129" i="3" s="1"/>
  <c r="I128" i="3"/>
  <c r="L128" i="3" s="1"/>
  <c r="M128" i="3" s="1"/>
  <c r="I127" i="3"/>
  <c r="L127" i="3" s="1"/>
  <c r="M127" i="3" s="1"/>
  <c r="I126" i="3"/>
  <c r="L126" i="3" s="1"/>
  <c r="M126" i="3" s="1"/>
  <c r="I125" i="3"/>
  <c r="L125" i="3" s="1"/>
  <c r="M125" i="3" s="1"/>
  <c r="I124" i="3"/>
  <c r="L124" i="3" s="1"/>
  <c r="M124" i="3" s="1"/>
  <c r="I123" i="3"/>
  <c r="L123" i="3" s="1"/>
  <c r="M123" i="3" s="1"/>
  <c r="I122" i="3"/>
  <c r="L122" i="3" s="1"/>
  <c r="M122" i="3" s="1"/>
  <c r="I121" i="3"/>
  <c r="L121" i="3" s="1"/>
  <c r="M121" i="3" s="1"/>
  <c r="I120" i="3"/>
  <c r="L120" i="3" s="1"/>
  <c r="M120" i="3" s="1"/>
  <c r="I119" i="3"/>
  <c r="L119" i="3" s="1"/>
  <c r="M119" i="3" s="1"/>
  <c r="I118" i="3"/>
  <c r="L118" i="3" s="1"/>
  <c r="M118" i="3" s="1"/>
  <c r="I117" i="3"/>
  <c r="L117" i="3" s="1"/>
  <c r="M117" i="3" s="1"/>
  <c r="I116" i="3"/>
  <c r="L116" i="3" s="1"/>
  <c r="M116" i="3" s="1"/>
  <c r="I115" i="3"/>
  <c r="L115" i="3" s="1"/>
  <c r="M115" i="3" s="1"/>
  <c r="I114" i="3"/>
  <c r="L114" i="3" s="1"/>
  <c r="M114" i="3" s="1"/>
  <c r="I113" i="3"/>
  <c r="L113" i="3" s="1"/>
  <c r="M113" i="3" s="1"/>
  <c r="I112" i="3"/>
  <c r="L112" i="3" s="1"/>
  <c r="M112" i="3" s="1"/>
  <c r="I111" i="3"/>
  <c r="L111" i="3" s="1"/>
  <c r="M111" i="3" s="1"/>
  <c r="I110" i="3"/>
  <c r="L110" i="3" s="1"/>
  <c r="M110" i="3" s="1"/>
  <c r="I109" i="3"/>
  <c r="L109" i="3" s="1"/>
  <c r="M109" i="3" s="1"/>
  <c r="I108" i="3"/>
  <c r="L108" i="3" s="1"/>
  <c r="M108" i="3" s="1"/>
  <c r="I107" i="3"/>
  <c r="L107" i="3" s="1"/>
  <c r="M107" i="3" s="1"/>
  <c r="I106" i="3"/>
  <c r="L106" i="3" s="1"/>
  <c r="M106" i="3" s="1"/>
  <c r="I105" i="3"/>
  <c r="L105" i="3" s="1"/>
  <c r="M105" i="3" s="1"/>
  <c r="I104" i="3"/>
  <c r="L104" i="3" s="1"/>
  <c r="M104" i="3" s="1"/>
  <c r="I103" i="3"/>
  <c r="L103" i="3" s="1"/>
  <c r="M103" i="3" s="1"/>
  <c r="I102" i="3"/>
  <c r="L102" i="3" s="1"/>
  <c r="M102" i="3" s="1"/>
  <c r="I101" i="3"/>
  <c r="L101" i="3" s="1"/>
  <c r="M101" i="3" s="1"/>
  <c r="I100" i="3"/>
  <c r="L100" i="3" s="1"/>
  <c r="M100" i="3" s="1"/>
  <c r="I99" i="3"/>
  <c r="L99" i="3" s="1"/>
  <c r="M99" i="3" s="1"/>
  <c r="I98" i="3"/>
  <c r="L98" i="3" s="1"/>
  <c r="M98" i="3" s="1"/>
  <c r="I97" i="3"/>
  <c r="L97" i="3" s="1"/>
  <c r="M97" i="3" s="1"/>
  <c r="I96" i="3"/>
  <c r="L96" i="3" s="1"/>
  <c r="M96" i="3" s="1"/>
  <c r="I95" i="3"/>
  <c r="L95" i="3" s="1"/>
  <c r="M95" i="3" s="1"/>
  <c r="I94" i="3"/>
  <c r="L94" i="3" s="1"/>
  <c r="M94" i="3" s="1"/>
  <c r="I93" i="3"/>
  <c r="L93" i="3" s="1"/>
  <c r="M93" i="3" s="1"/>
  <c r="I92" i="3"/>
  <c r="L92" i="3" s="1"/>
  <c r="M92" i="3" s="1"/>
  <c r="I91" i="3"/>
  <c r="L91" i="3" s="1"/>
  <c r="M91" i="3" s="1"/>
  <c r="I90" i="3"/>
  <c r="L90" i="3" s="1"/>
  <c r="M90" i="3" s="1"/>
  <c r="I89" i="3"/>
  <c r="L89" i="3" s="1"/>
  <c r="M89" i="3" s="1"/>
  <c r="I88" i="3"/>
  <c r="L88" i="3" s="1"/>
  <c r="M88" i="3" s="1"/>
  <c r="I87" i="3"/>
  <c r="L87" i="3" s="1"/>
  <c r="M87" i="3" s="1"/>
  <c r="I86" i="3"/>
  <c r="L86" i="3" s="1"/>
  <c r="M86" i="3" s="1"/>
  <c r="I85" i="3"/>
  <c r="L85" i="3" s="1"/>
  <c r="M85" i="3" s="1"/>
  <c r="I84" i="3"/>
  <c r="L84" i="3" s="1"/>
  <c r="M84" i="3" s="1"/>
  <c r="I83" i="3"/>
  <c r="L83" i="3" s="1"/>
  <c r="M83" i="3" s="1"/>
  <c r="I82" i="3"/>
  <c r="L82" i="3" s="1"/>
  <c r="M82" i="3" s="1"/>
  <c r="I81" i="3"/>
  <c r="L81" i="3" s="1"/>
  <c r="M81" i="3" s="1"/>
  <c r="I80" i="3"/>
  <c r="L80" i="3" s="1"/>
  <c r="M80" i="3" s="1"/>
  <c r="I79" i="3"/>
  <c r="L79" i="3" s="1"/>
  <c r="M79" i="3" s="1"/>
  <c r="I78" i="3"/>
  <c r="L78" i="3" s="1"/>
  <c r="M78" i="3" s="1"/>
  <c r="I77" i="3"/>
  <c r="L77" i="3" s="1"/>
  <c r="M77" i="3" s="1"/>
  <c r="I76" i="3"/>
  <c r="L76" i="3" s="1"/>
  <c r="M76" i="3" s="1"/>
  <c r="I75" i="3"/>
  <c r="L75" i="3" s="1"/>
  <c r="M75" i="3" s="1"/>
  <c r="I74" i="3"/>
  <c r="L74" i="3" s="1"/>
  <c r="M74" i="3" s="1"/>
  <c r="I73" i="3"/>
  <c r="L73" i="3" s="1"/>
  <c r="M73" i="3" s="1"/>
  <c r="I72" i="3"/>
  <c r="L72" i="3" s="1"/>
  <c r="M72" i="3" s="1"/>
  <c r="I71" i="3"/>
  <c r="L71" i="3" s="1"/>
  <c r="M71" i="3" s="1"/>
  <c r="I70" i="3"/>
  <c r="L70" i="3" s="1"/>
  <c r="M70" i="3" s="1"/>
  <c r="I69" i="3"/>
  <c r="L69" i="3" s="1"/>
  <c r="M69" i="3" s="1"/>
  <c r="I68" i="3"/>
  <c r="L68" i="3" s="1"/>
  <c r="M68" i="3" s="1"/>
  <c r="I67" i="3"/>
  <c r="L67" i="3" s="1"/>
  <c r="M67" i="3" s="1"/>
  <c r="I66" i="3"/>
  <c r="L66" i="3" s="1"/>
  <c r="M66" i="3" s="1"/>
  <c r="I65" i="3"/>
  <c r="L65" i="3" s="1"/>
  <c r="M65" i="3" s="1"/>
  <c r="I64" i="3"/>
  <c r="L64" i="3" s="1"/>
  <c r="M64" i="3" s="1"/>
  <c r="I63" i="3"/>
  <c r="L63" i="3" s="1"/>
  <c r="M63" i="3" s="1"/>
  <c r="I62" i="3"/>
  <c r="L62" i="3" s="1"/>
  <c r="M62" i="3" s="1"/>
  <c r="I61" i="3"/>
  <c r="L61" i="3" s="1"/>
  <c r="M61" i="3" s="1"/>
  <c r="I60" i="3"/>
  <c r="L60" i="3" s="1"/>
  <c r="M60" i="3" s="1"/>
  <c r="I59" i="3"/>
  <c r="L59" i="3" s="1"/>
  <c r="M59" i="3" s="1"/>
  <c r="I58" i="3"/>
  <c r="L58" i="3" s="1"/>
  <c r="M58" i="3" s="1"/>
  <c r="I57" i="3"/>
  <c r="L57" i="3" s="1"/>
  <c r="M57" i="3" s="1"/>
  <c r="I56" i="3"/>
  <c r="L56" i="3" s="1"/>
  <c r="M56" i="3" s="1"/>
  <c r="I55" i="3"/>
  <c r="L55" i="3" s="1"/>
  <c r="M55" i="3" s="1"/>
  <c r="I54" i="3"/>
  <c r="L54" i="3" s="1"/>
  <c r="M54" i="3" s="1"/>
  <c r="I53" i="3"/>
  <c r="L53" i="3" s="1"/>
  <c r="M53" i="3" s="1"/>
  <c r="I52" i="3"/>
  <c r="L52" i="3" s="1"/>
  <c r="M52" i="3" s="1"/>
  <c r="I51" i="3"/>
  <c r="L51" i="3" s="1"/>
  <c r="M51" i="3" s="1"/>
  <c r="I50" i="3"/>
  <c r="L50" i="3" s="1"/>
  <c r="M50" i="3" s="1"/>
  <c r="I49" i="3"/>
  <c r="L49" i="3" s="1"/>
  <c r="M49" i="3" s="1"/>
  <c r="I48" i="3"/>
  <c r="L48" i="3" s="1"/>
  <c r="M48" i="3" s="1"/>
  <c r="I47" i="3"/>
  <c r="L47" i="3" s="1"/>
  <c r="M47" i="3" s="1"/>
  <c r="I46" i="3"/>
  <c r="L46" i="3" s="1"/>
  <c r="M46" i="3" s="1"/>
  <c r="I45" i="3"/>
  <c r="L45" i="3" s="1"/>
  <c r="M45" i="3" s="1"/>
  <c r="I44" i="3"/>
  <c r="L44" i="3" s="1"/>
  <c r="M44" i="3" s="1"/>
  <c r="I43" i="3"/>
  <c r="L43" i="3" s="1"/>
  <c r="M43" i="3" s="1"/>
  <c r="I42" i="3"/>
  <c r="L42" i="3" s="1"/>
  <c r="M42" i="3" s="1"/>
  <c r="I41" i="3"/>
  <c r="L41" i="3" s="1"/>
  <c r="M41" i="3" s="1"/>
  <c r="I40" i="3"/>
  <c r="L40" i="3" s="1"/>
  <c r="M40" i="3" s="1"/>
  <c r="I39" i="3"/>
  <c r="L39" i="3" s="1"/>
  <c r="M39" i="3" s="1"/>
  <c r="I38" i="3"/>
  <c r="L38" i="3" s="1"/>
  <c r="M38" i="3" s="1"/>
  <c r="I37" i="3"/>
  <c r="L37" i="3" s="1"/>
  <c r="M37" i="3" s="1"/>
  <c r="I36" i="3"/>
  <c r="L36" i="3" s="1"/>
  <c r="M36" i="3" s="1"/>
  <c r="I35" i="3"/>
  <c r="L35" i="3" s="1"/>
  <c r="M35" i="3" s="1"/>
  <c r="I34" i="3"/>
  <c r="L34" i="3" s="1"/>
  <c r="M34" i="3" s="1"/>
  <c r="I33" i="3"/>
  <c r="L33" i="3" s="1"/>
  <c r="M33" i="3" s="1"/>
  <c r="I32" i="3"/>
  <c r="L32" i="3" s="1"/>
  <c r="M32" i="3" s="1"/>
  <c r="I31" i="3"/>
  <c r="L31" i="3" s="1"/>
  <c r="M31" i="3" s="1"/>
  <c r="I30" i="3"/>
  <c r="L30" i="3" s="1"/>
  <c r="M30" i="3" s="1"/>
  <c r="I29" i="3"/>
  <c r="L29" i="3" s="1"/>
  <c r="M29" i="3" s="1"/>
  <c r="I28" i="3"/>
  <c r="L28" i="3" s="1"/>
  <c r="M28" i="3" s="1"/>
  <c r="I27" i="3"/>
  <c r="L27" i="3" s="1"/>
  <c r="M27" i="3" s="1"/>
  <c r="I26" i="3"/>
  <c r="L26" i="3" s="1"/>
  <c r="M26" i="3" s="1"/>
  <c r="I25" i="3"/>
  <c r="L25" i="3" s="1"/>
  <c r="M25" i="3" s="1"/>
  <c r="I24" i="3"/>
  <c r="L24" i="3" s="1"/>
  <c r="M24" i="3" s="1"/>
  <c r="I23" i="3"/>
  <c r="L23" i="3" s="1"/>
  <c r="M23" i="3" s="1"/>
  <c r="I22" i="3"/>
  <c r="L22" i="3" s="1"/>
  <c r="M22" i="3" s="1"/>
  <c r="I21" i="3"/>
  <c r="L21" i="3" s="1"/>
  <c r="M21" i="3" s="1"/>
  <c r="I20" i="3"/>
  <c r="L20" i="3" s="1"/>
  <c r="M20" i="3" s="1"/>
  <c r="I19" i="3"/>
  <c r="L19" i="3" s="1"/>
  <c r="M19" i="3" s="1"/>
  <c r="I18" i="3"/>
  <c r="L18" i="3" s="1"/>
  <c r="M18" i="3" s="1"/>
  <c r="I17" i="3"/>
  <c r="L17" i="3" s="1"/>
  <c r="M17" i="3" s="1"/>
  <c r="I16" i="3"/>
  <c r="L16" i="3" s="1"/>
  <c r="M16" i="3" s="1"/>
  <c r="I15" i="3"/>
  <c r="L15" i="3" s="1"/>
  <c r="M15" i="3" s="1"/>
  <c r="I14" i="3"/>
  <c r="L14" i="3" s="1"/>
  <c r="M14" i="3" s="1"/>
  <c r="I13" i="3"/>
  <c r="L13" i="3" s="1"/>
  <c r="M13" i="3" s="1"/>
  <c r="I12" i="3"/>
  <c r="L12" i="3" s="1"/>
  <c r="M12" i="3" s="1"/>
  <c r="I11" i="3"/>
  <c r="L11" i="3" s="1"/>
  <c r="M11" i="3" s="1"/>
  <c r="I10" i="3"/>
  <c r="L10" i="3" s="1"/>
  <c r="M10" i="3" s="1"/>
  <c r="I9" i="3"/>
  <c r="L9" i="3" s="1"/>
  <c r="M9" i="3" s="1"/>
  <c r="I8" i="3"/>
  <c r="L8" i="3" s="1"/>
  <c r="M8" i="3" s="1"/>
  <c r="I7" i="3"/>
  <c r="L7" i="3" s="1"/>
  <c r="M7" i="3" s="1"/>
  <c r="I6" i="3"/>
  <c r="L6" i="3" s="1"/>
  <c r="M6" i="3" s="1"/>
  <c r="I5" i="3"/>
  <c r="L5" i="3" s="1"/>
  <c r="M5" i="3" s="1"/>
  <c r="L1794" i="3" l="1"/>
  <c r="M1794" i="3" s="1"/>
  <c r="L1826" i="3"/>
  <c r="M1826" i="3" s="1"/>
  <c r="L1858" i="3"/>
  <c r="M1858" i="3" s="1"/>
  <c r="L1890" i="3"/>
  <c r="M1890" i="3" s="1"/>
  <c r="L1922" i="3"/>
  <c r="M1922" i="3" s="1"/>
  <c r="L2038" i="3"/>
  <c r="M2038" i="3" s="1"/>
  <c r="L1802" i="3"/>
  <c r="M1802" i="3" s="1"/>
  <c r="L1834" i="3"/>
  <c r="M1834" i="3" s="1"/>
  <c r="L1866" i="3"/>
  <c r="M1866" i="3" s="1"/>
  <c r="L1898" i="3"/>
  <c r="M1898" i="3" s="1"/>
  <c r="L1930" i="3"/>
  <c r="M1930" i="3" s="1"/>
  <c r="L2070" i="3"/>
  <c r="M2070" i="3" s="1"/>
  <c r="L1810" i="3"/>
  <c r="M1810" i="3" s="1"/>
  <c r="L1842" i="3"/>
  <c r="M1842" i="3" s="1"/>
  <c r="L1874" i="3"/>
  <c r="M1874" i="3" s="1"/>
  <c r="L1906" i="3"/>
  <c r="M1906" i="3" s="1"/>
  <c r="L2102" i="3"/>
  <c r="M2102" i="3" s="1"/>
  <c r="L1818" i="3"/>
  <c r="M1818" i="3" s="1"/>
  <c r="L1850" i="3"/>
  <c r="M1850" i="3" s="1"/>
  <c r="L1882" i="3"/>
  <c r="M1882" i="3" s="1"/>
  <c r="L1914" i="3"/>
  <c r="M1914" i="3" s="1"/>
  <c r="L1792" i="3"/>
  <c r="M1792" i="3" s="1"/>
  <c r="L1800" i="3"/>
  <c r="M1800" i="3" s="1"/>
  <c r="L1808" i="3"/>
  <c r="M1808" i="3" s="1"/>
  <c r="L1816" i="3"/>
  <c r="M1816" i="3" s="1"/>
  <c r="L1824" i="3"/>
  <c r="M1824" i="3" s="1"/>
  <c r="L1832" i="3"/>
  <c r="M1832" i="3" s="1"/>
  <c r="L1840" i="3"/>
  <c r="M1840" i="3" s="1"/>
  <c r="L1848" i="3"/>
  <c r="M1848" i="3" s="1"/>
  <c r="L1856" i="3"/>
  <c r="M1856" i="3" s="1"/>
  <c r="L1864" i="3"/>
  <c r="M1864" i="3" s="1"/>
  <c r="L1872" i="3"/>
  <c r="M1872" i="3" s="1"/>
  <c r="L1880" i="3"/>
  <c r="M1880" i="3" s="1"/>
  <c r="L1888" i="3"/>
  <c r="M1888" i="3" s="1"/>
  <c r="L1896" i="3"/>
  <c r="M1896" i="3" s="1"/>
  <c r="L1904" i="3"/>
  <c r="M1904" i="3" s="1"/>
  <c r="L1912" i="3"/>
  <c r="M1912" i="3" s="1"/>
  <c r="L1920" i="3"/>
  <c r="M1920" i="3" s="1"/>
  <c r="L1928" i="3"/>
  <c r="M1928" i="3" s="1"/>
  <c r="L1936" i="3"/>
  <c r="M1936" i="3" s="1"/>
  <c r="L1942" i="3"/>
  <c r="M1942" i="3" s="1"/>
  <c r="L1948" i="3"/>
  <c r="M1948" i="3" s="1"/>
  <c r="L1958" i="3"/>
  <c r="M1958" i="3" s="1"/>
  <c r="L1964" i="3"/>
  <c r="M1964" i="3" s="1"/>
  <c r="L1974" i="3"/>
  <c r="M1974" i="3" s="1"/>
  <c r="L1980" i="3"/>
  <c r="M1980" i="3" s="1"/>
  <c r="L1990" i="3"/>
  <c r="M1990" i="3" s="1"/>
  <c r="L1996" i="3"/>
  <c r="M1996" i="3" s="1"/>
  <c r="L2006" i="3"/>
  <c r="M2006" i="3" s="1"/>
  <c r="L2012" i="3"/>
  <c r="M2012" i="3" s="1"/>
  <c r="L2022" i="3"/>
  <c r="M2022" i="3" s="1"/>
  <c r="L2046" i="3"/>
  <c r="M2046" i="3" s="1"/>
  <c r="L2078" i="3"/>
  <c r="M2078" i="3" s="1"/>
  <c r="L2110" i="3"/>
  <c r="M2110" i="3" s="1"/>
  <c r="L1798" i="3"/>
  <c r="M1798" i="3" s="1"/>
  <c r="L1806" i="3"/>
  <c r="M1806" i="3" s="1"/>
  <c r="L1814" i="3"/>
  <c r="M1814" i="3" s="1"/>
  <c r="L1822" i="3"/>
  <c r="M1822" i="3" s="1"/>
  <c r="L1830" i="3"/>
  <c r="M1830" i="3" s="1"/>
  <c r="L1838" i="3"/>
  <c r="M1838" i="3" s="1"/>
  <c r="L1846" i="3"/>
  <c r="M1846" i="3" s="1"/>
  <c r="L1854" i="3"/>
  <c r="M1854" i="3" s="1"/>
  <c r="L1862" i="3"/>
  <c r="M1862" i="3" s="1"/>
  <c r="L1870" i="3"/>
  <c r="M1870" i="3" s="1"/>
  <c r="L1878" i="3"/>
  <c r="M1878" i="3" s="1"/>
  <c r="L1886" i="3"/>
  <c r="M1886" i="3" s="1"/>
  <c r="L1894" i="3"/>
  <c r="M1894" i="3" s="1"/>
  <c r="L1902" i="3"/>
  <c r="M1902" i="3" s="1"/>
  <c r="L1910" i="3"/>
  <c r="M1910" i="3" s="1"/>
  <c r="L1918" i="3"/>
  <c r="M1918" i="3" s="1"/>
  <c r="L1926" i="3"/>
  <c r="M1926" i="3" s="1"/>
  <c r="L1934" i="3"/>
  <c r="M1934" i="3" s="1"/>
  <c r="L2054" i="3"/>
  <c r="M2054" i="3" s="1"/>
  <c r="L2086" i="3"/>
  <c r="M2086" i="3" s="1"/>
  <c r="L2118" i="3"/>
  <c r="M2118" i="3" s="1"/>
  <c r="L1796" i="3"/>
  <c r="M1796" i="3" s="1"/>
  <c r="L1804" i="3"/>
  <c r="M1804" i="3" s="1"/>
  <c r="L1812" i="3"/>
  <c r="M1812" i="3" s="1"/>
  <c r="L1820" i="3"/>
  <c r="M1820" i="3" s="1"/>
  <c r="L1828" i="3"/>
  <c r="M1828" i="3" s="1"/>
  <c r="L1836" i="3"/>
  <c r="M1836" i="3" s="1"/>
  <c r="L1844" i="3"/>
  <c r="M1844" i="3" s="1"/>
  <c r="L1852" i="3"/>
  <c r="M1852" i="3" s="1"/>
  <c r="L1860" i="3"/>
  <c r="M1860" i="3" s="1"/>
  <c r="L1868" i="3"/>
  <c r="M1868" i="3" s="1"/>
  <c r="L1876" i="3"/>
  <c r="M1876" i="3" s="1"/>
  <c r="L1884" i="3"/>
  <c r="M1884" i="3" s="1"/>
  <c r="L1892" i="3"/>
  <c r="M1892" i="3" s="1"/>
  <c r="L1900" i="3"/>
  <c r="M1900" i="3" s="1"/>
  <c r="L1908" i="3"/>
  <c r="M1908" i="3" s="1"/>
  <c r="L1916" i="3"/>
  <c r="M1916" i="3" s="1"/>
  <c r="L1924" i="3"/>
  <c r="M1924" i="3" s="1"/>
  <c r="L1932" i="3"/>
  <c r="M1932" i="3" s="1"/>
  <c r="L1940" i="3"/>
  <c r="M1940" i="3" s="1"/>
  <c r="L1950" i="3"/>
  <c r="M1950" i="3" s="1"/>
  <c r="L1956" i="3"/>
  <c r="M1956" i="3" s="1"/>
  <c r="L1966" i="3"/>
  <c r="M1966" i="3" s="1"/>
  <c r="L1972" i="3"/>
  <c r="M1972" i="3" s="1"/>
  <c r="L1982" i="3"/>
  <c r="M1982" i="3" s="1"/>
  <c r="L1988" i="3"/>
  <c r="M1988" i="3" s="1"/>
  <c r="L1998" i="3"/>
  <c r="M1998" i="3" s="1"/>
  <c r="L2004" i="3"/>
  <c r="M2004" i="3" s="1"/>
  <c r="L2014" i="3"/>
  <c r="M2014" i="3" s="1"/>
  <c r="L2020" i="3"/>
  <c r="M2020" i="3" s="1"/>
  <c r="L2030" i="3"/>
  <c r="M2030" i="3" s="1"/>
  <c r="L2062" i="3"/>
  <c r="M2062" i="3" s="1"/>
  <c r="L2094" i="3"/>
  <c r="M2094" i="3" s="1"/>
  <c r="L2126" i="3"/>
  <c r="M2126" i="3" s="1"/>
  <c r="L2134" i="3"/>
  <c r="M2134" i="3" s="1"/>
  <c r="L2142" i="3"/>
  <c r="M2142" i="3" s="1"/>
  <c r="L2154" i="3"/>
  <c r="M2154" i="3" s="1"/>
  <c r="L2160" i="3"/>
  <c r="M2160" i="3" s="1"/>
  <c r="L2192" i="3"/>
  <c r="M2192" i="3" s="1"/>
  <c r="L2224" i="3"/>
  <c r="M2224" i="3" s="1"/>
  <c r="L2256" i="3"/>
  <c r="M2256" i="3" s="1"/>
  <c r="L2288" i="3"/>
  <c r="M2288" i="3" s="1"/>
  <c r="L2381" i="3"/>
  <c r="M2381" i="3" s="1"/>
  <c r="L2413" i="3"/>
  <c r="M2413" i="3" s="1"/>
  <c r="L2445" i="3"/>
  <c r="M2445" i="3" s="1"/>
  <c r="L2477" i="3"/>
  <c r="M2477" i="3" s="1"/>
  <c r="L2509" i="3"/>
  <c r="M2509" i="3" s="1"/>
  <c r="L30" i="1"/>
  <c r="W30" i="1"/>
  <c r="L2028" i="3"/>
  <c r="M2028" i="3" s="1"/>
  <c r="L2036" i="3"/>
  <c r="M2036" i="3" s="1"/>
  <c r="L2044" i="3"/>
  <c r="M2044" i="3" s="1"/>
  <c r="L2052" i="3"/>
  <c r="M2052" i="3" s="1"/>
  <c r="L2060" i="3"/>
  <c r="M2060" i="3" s="1"/>
  <c r="L2068" i="3"/>
  <c r="M2068" i="3" s="1"/>
  <c r="L2076" i="3"/>
  <c r="M2076" i="3" s="1"/>
  <c r="L2084" i="3"/>
  <c r="M2084" i="3" s="1"/>
  <c r="L2092" i="3"/>
  <c r="M2092" i="3" s="1"/>
  <c r="L2100" i="3"/>
  <c r="M2100" i="3" s="1"/>
  <c r="L2108" i="3"/>
  <c r="M2108" i="3" s="1"/>
  <c r="L2116" i="3"/>
  <c r="M2116" i="3" s="1"/>
  <c r="L2124" i="3"/>
  <c r="M2124" i="3" s="1"/>
  <c r="L2132" i="3"/>
  <c r="M2132" i="3" s="1"/>
  <c r="L2140" i="3"/>
  <c r="M2140" i="3" s="1"/>
  <c r="L2146" i="3"/>
  <c r="M2146" i="3" s="1"/>
  <c r="L2168" i="3"/>
  <c r="M2168" i="3" s="1"/>
  <c r="L2200" i="3"/>
  <c r="M2200" i="3" s="1"/>
  <c r="L2232" i="3"/>
  <c r="M2232" i="3" s="1"/>
  <c r="L2264" i="3"/>
  <c r="M2264" i="3" s="1"/>
  <c r="L2296" i="3"/>
  <c r="M2296" i="3" s="1"/>
  <c r="L2357" i="3"/>
  <c r="M2357" i="3" s="1"/>
  <c r="L2389" i="3"/>
  <c r="M2389" i="3" s="1"/>
  <c r="L2421" i="3"/>
  <c r="M2421" i="3" s="1"/>
  <c r="L2453" i="3"/>
  <c r="M2453" i="3" s="1"/>
  <c r="L2485" i="3"/>
  <c r="M2485" i="3" s="1"/>
  <c r="L2517" i="3"/>
  <c r="M2517" i="3" s="1"/>
  <c r="L1938" i="3"/>
  <c r="M1938" i="3" s="1"/>
  <c r="L1946" i="3"/>
  <c r="M1946" i="3" s="1"/>
  <c r="L1954" i="3"/>
  <c r="M1954" i="3" s="1"/>
  <c r="L1962" i="3"/>
  <c r="M1962" i="3" s="1"/>
  <c r="L1970" i="3"/>
  <c r="M1970" i="3" s="1"/>
  <c r="L1978" i="3"/>
  <c r="M1978" i="3" s="1"/>
  <c r="L1986" i="3"/>
  <c r="M1986" i="3" s="1"/>
  <c r="L1994" i="3"/>
  <c r="M1994" i="3" s="1"/>
  <c r="L2002" i="3"/>
  <c r="M2002" i="3" s="1"/>
  <c r="L2010" i="3"/>
  <c r="M2010" i="3" s="1"/>
  <c r="L2018" i="3"/>
  <c r="M2018" i="3" s="1"/>
  <c r="L2026" i="3"/>
  <c r="M2026" i="3" s="1"/>
  <c r="L2034" i="3"/>
  <c r="M2034" i="3" s="1"/>
  <c r="L2042" i="3"/>
  <c r="M2042" i="3" s="1"/>
  <c r="L2050" i="3"/>
  <c r="M2050" i="3" s="1"/>
  <c r="L2058" i="3"/>
  <c r="M2058" i="3" s="1"/>
  <c r="L2066" i="3"/>
  <c r="M2066" i="3" s="1"/>
  <c r="L2074" i="3"/>
  <c r="M2074" i="3" s="1"/>
  <c r="L2082" i="3"/>
  <c r="M2082" i="3" s="1"/>
  <c r="L2090" i="3"/>
  <c r="M2090" i="3" s="1"/>
  <c r="L2098" i="3"/>
  <c r="M2098" i="3" s="1"/>
  <c r="L2106" i="3"/>
  <c r="M2106" i="3" s="1"/>
  <c r="L2114" i="3"/>
  <c r="M2114" i="3" s="1"/>
  <c r="L2122" i="3"/>
  <c r="M2122" i="3" s="1"/>
  <c r="L2130" i="3"/>
  <c r="M2130" i="3" s="1"/>
  <c r="L2138" i="3"/>
  <c r="M2138" i="3" s="1"/>
  <c r="L2152" i="3"/>
  <c r="M2152" i="3" s="1"/>
  <c r="L2162" i="3"/>
  <c r="M2162" i="3" s="1"/>
  <c r="L2176" i="3"/>
  <c r="M2176" i="3" s="1"/>
  <c r="L2208" i="3"/>
  <c r="M2208" i="3" s="1"/>
  <c r="L2240" i="3"/>
  <c r="M2240" i="3" s="1"/>
  <c r="L2272" i="3"/>
  <c r="M2272" i="3" s="1"/>
  <c r="L2304" i="3"/>
  <c r="M2304" i="3" s="1"/>
  <c r="L2365" i="3"/>
  <c r="M2365" i="3" s="1"/>
  <c r="L2397" i="3"/>
  <c r="M2397" i="3" s="1"/>
  <c r="L2429" i="3"/>
  <c r="M2429" i="3" s="1"/>
  <c r="L2461" i="3"/>
  <c r="M2461" i="3" s="1"/>
  <c r="L2493" i="3"/>
  <c r="M2493" i="3" s="1"/>
  <c r="L1944" i="3"/>
  <c r="M1944" i="3" s="1"/>
  <c r="L1952" i="3"/>
  <c r="M1952" i="3" s="1"/>
  <c r="L1960" i="3"/>
  <c r="M1960" i="3" s="1"/>
  <c r="L1968" i="3"/>
  <c r="M1968" i="3" s="1"/>
  <c r="L1976" i="3"/>
  <c r="M1976" i="3" s="1"/>
  <c r="L1984" i="3"/>
  <c r="M1984" i="3" s="1"/>
  <c r="L1992" i="3"/>
  <c r="M1992" i="3" s="1"/>
  <c r="L2000" i="3"/>
  <c r="M2000" i="3" s="1"/>
  <c r="L2008" i="3"/>
  <c r="M2008" i="3" s="1"/>
  <c r="L2016" i="3"/>
  <c r="M2016" i="3" s="1"/>
  <c r="L2024" i="3"/>
  <c r="M2024" i="3" s="1"/>
  <c r="L2032" i="3"/>
  <c r="M2032" i="3" s="1"/>
  <c r="L2040" i="3"/>
  <c r="M2040" i="3" s="1"/>
  <c r="L2048" i="3"/>
  <c r="M2048" i="3" s="1"/>
  <c r="L2056" i="3"/>
  <c r="M2056" i="3" s="1"/>
  <c r="L2064" i="3"/>
  <c r="M2064" i="3" s="1"/>
  <c r="L2072" i="3"/>
  <c r="M2072" i="3" s="1"/>
  <c r="L2080" i="3"/>
  <c r="M2080" i="3" s="1"/>
  <c r="L2088" i="3"/>
  <c r="M2088" i="3" s="1"/>
  <c r="L2096" i="3"/>
  <c r="M2096" i="3" s="1"/>
  <c r="L2104" i="3"/>
  <c r="M2104" i="3" s="1"/>
  <c r="L2112" i="3"/>
  <c r="M2112" i="3" s="1"/>
  <c r="L2120" i="3"/>
  <c r="M2120" i="3" s="1"/>
  <c r="L2128" i="3"/>
  <c r="M2128" i="3" s="1"/>
  <c r="L2136" i="3"/>
  <c r="M2136" i="3" s="1"/>
  <c r="L2144" i="3"/>
  <c r="M2144" i="3" s="1"/>
  <c r="L2184" i="3"/>
  <c r="M2184" i="3" s="1"/>
  <c r="L2216" i="3"/>
  <c r="M2216" i="3" s="1"/>
  <c r="L2248" i="3"/>
  <c r="M2248" i="3" s="1"/>
  <c r="L2280" i="3"/>
  <c r="M2280" i="3" s="1"/>
  <c r="L2373" i="3"/>
  <c r="M2373" i="3" s="1"/>
  <c r="L2405" i="3"/>
  <c r="M2405" i="3" s="1"/>
  <c r="L2437" i="3"/>
  <c r="M2437" i="3" s="1"/>
  <c r="L2469" i="3"/>
  <c r="M2469" i="3" s="1"/>
  <c r="L2501" i="3"/>
  <c r="M2501" i="3" s="1"/>
  <c r="L2150" i="3"/>
  <c r="M2150" i="3" s="1"/>
  <c r="L2158" i="3"/>
  <c r="M2158" i="3" s="1"/>
  <c r="L2166" i="3"/>
  <c r="M2166" i="3" s="1"/>
  <c r="L2174" i="3"/>
  <c r="M2174" i="3" s="1"/>
  <c r="L2182" i="3"/>
  <c r="M2182" i="3" s="1"/>
  <c r="L2190" i="3"/>
  <c r="M2190" i="3" s="1"/>
  <c r="L2198" i="3"/>
  <c r="M2198" i="3" s="1"/>
  <c r="L2206" i="3"/>
  <c r="M2206" i="3" s="1"/>
  <c r="L2214" i="3"/>
  <c r="M2214" i="3" s="1"/>
  <c r="L2222" i="3"/>
  <c r="M2222" i="3" s="1"/>
  <c r="L2230" i="3"/>
  <c r="M2230" i="3" s="1"/>
  <c r="L2238" i="3"/>
  <c r="M2238" i="3" s="1"/>
  <c r="L2246" i="3"/>
  <c r="M2246" i="3" s="1"/>
  <c r="L2254" i="3"/>
  <c r="M2254" i="3" s="1"/>
  <c r="L2262" i="3"/>
  <c r="M2262" i="3" s="1"/>
  <c r="L2270" i="3"/>
  <c r="M2270" i="3" s="1"/>
  <c r="L2278" i="3"/>
  <c r="M2278" i="3" s="1"/>
  <c r="L2286" i="3"/>
  <c r="M2286" i="3" s="1"/>
  <c r="L2294" i="3"/>
  <c r="M2294" i="3" s="1"/>
  <c r="L2302" i="3"/>
  <c r="M2302" i="3" s="1"/>
  <c r="L2310" i="3"/>
  <c r="M2310" i="3" s="1"/>
  <c r="L2355" i="3"/>
  <c r="M2355" i="3" s="1"/>
  <c r="L2363" i="3"/>
  <c r="M2363" i="3" s="1"/>
  <c r="L2371" i="3"/>
  <c r="M2371" i="3" s="1"/>
  <c r="L2379" i="3"/>
  <c r="M2379" i="3" s="1"/>
  <c r="L2387" i="3"/>
  <c r="M2387" i="3" s="1"/>
  <c r="L2395" i="3"/>
  <c r="M2395" i="3" s="1"/>
  <c r="L2403" i="3"/>
  <c r="M2403" i="3" s="1"/>
  <c r="L2411" i="3"/>
  <c r="M2411" i="3" s="1"/>
  <c r="L2419" i="3"/>
  <c r="M2419" i="3" s="1"/>
  <c r="L2427" i="3"/>
  <c r="M2427" i="3" s="1"/>
  <c r="L2435" i="3"/>
  <c r="M2435" i="3" s="1"/>
  <c r="L2443" i="3"/>
  <c r="M2443" i="3" s="1"/>
  <c r="L2451" i="3"/>
  <c r="M2451" i="3" s="1"/>
  <c r="L2459" i="3"/>
  <c r="M2459" i="3" s="1"/>
  <c r="L2467" i="3"/>
  <c r="M2467" i="3" s="1"/>
  <c r="L2475" i="3"/>
  <c r="M2475" i="3" s="1"/>
  <c r="L2483" i="3"/>
  <c r="M2483" i="3" s="1"/>
  <c r="L2491" i="3"/>
  <c r="M2491" i="3" s="1"/>
  <c r="L2499" i="3"/>
  <c r="M2499" i="3" s="1"/>
  <c r="L2507" i="3"/>
  <c r="M2507" i="3" s="1"/>
  <c r="L2515" i="3"/>
  <c r="M2515" i="3" s="1"/>
  <c r="L2148" i="3"/>
  <c r="M2148" i="3" s="1"/>
  <c r="L2156" i="3"/>
  <c r="M2156" i="3" s="1"/>
  <c r="L2164" i="3"/>
  <c r="M2164" i="3" s="1"/>
  <c r="L2172" i="3"/>
  <c r="M2172" i="3" s="1"/>
  <c r="L2180" i="3"/>
  <c r="M2180" i="3" s="1"/>
  <c r="L2188" i="3"/>
  <c r="M2188" i="3" s="1"/>
  <c r="L2196" i="3"/>
  <c r="M2196" i="3" s="1"/>
  <c r="L2204" i="3"/>
  <c r="M2204" i="3" s="1"/>
  <c r="L2212" i="3"/>
  <c r="M2212" i="3" s="1"/>
  <c r="L2220" i="3"/>
  <c r="M2220" i="3" s="1"/>
  <c r="L2228" i="3"/>
  <c r="M2228" i="3" s="1"/>
  <c r="L2236" i="3"/>
  <c r="M2236" i="3" s="1"/>
  <c r="L2244" i="3"/>
  <c r="M2244" i="3" s="1"/>
  <c r="L2252" i="3"/>
  <c r="M2252" i="3" s="1"/>
  <c r="L2260" i="3"/>
  <c r="M2260" i="3" s="1"/>
  <c r="L2268" i="3"/>
  <c r="M2268" i="3" s="1"/>
  <c r="L2276" i="3"/>
  <c r="M2276" i="3" s="1"/>
  <c r="L2284" i="3"/>
  <c r="M2284" i="3" s="1"/>
  <c r="L2292" i="3"/>
  <c r="M2292" i="3" s="1"/>
  <c r="L2300" i="3"/>
  <c r="M2300" i="3" s="1"/>
  <c r="L2308" i="3"/>
  <c r="M2308" i="3" s="1"/>
  <c r="L2353" i="3"/>
  <c r="M2353" i="3" s="1"/>
  <c r="L2361" i="3"/>
  <c r="M2361" i="3" s="1"/>
  <c r="L2369" i="3"/>
  <c r="M2369" i="3" s="1"/>
  <c r="L2377" i="3"/>
  <c r="M2377" i="3" s="1"/>
  <c r="L2385" i="3"/>
  <c r="M2385" i="3" s="1"/>
  <c r="L2393" i="3"/>
  <c r="M2393" i="3" s="1"/>
  <c r="L2401" i="3"/>
  <c r="M2401" i="3" s="1"/>
  <c r="L2409" i="3"/>
  <c r="M2409" i="3" s="1"/>
  <c r="L2417" i="3"/>
  <c r="M2417" i="3" s="1"/>
  <c r="L2425" i="3"/>
  <c r="M2425" i="3" s="1"/>
  <c r="L2433" i="3"/>
  <c r="M2433" i="3" s="1"/>
  <c r="L2441" i="3"/>
  <c r="M2441" i="3" s="1"/>
  <c r="L2449" i="3"/>
  <c r="M2449" i="3" s="1"/>
  <c r="L2457" i="3"/>
  <c r="M2457" i="3" s="1"/>
  <c r="L2465" i="3"/>
  <c r="M2465" i="3" s="1"/>
  <c r="L2473" i="3"/>
  <c r="M2473" i="3" s="1"/>
  <c r="L2481" i="3"/>
  <c r="M2481" i="3" s="1"/>
  <c r="L2489" i="3"/>
  <c r="M2489" i="3" s="1"/>
  <c r="L2497" i="3"/>
  <c r="M2497" i="3" s="1"/>
  <c r="L2505" i="3"/>
  <c r="M2505" i="3" s="1"/>
  <c r="L2513" i="3"/>
  <c r="M2513" i="3" s="1"/>
  <c r="L2521" i="3"/>
  <c r="M2521" i="3" s="1"/>
  <c r="L2170" i="3"/>
  <c r="M2170" i="3" s="1"/>
  <c r="L2178" i="3"/>
  <c r="M2178" i="3" s="1"/>
  <c r="L2186" i="3"/>
  <c r="M2186" i="3" s="1"/>
  <c r="L2194" i="3"/>
  <c r="M2194" i="3" s="1"/>
  <c r="L2202" i="3"/>
  <c r="M2202" i="3" s="1"/>
  <c r="L2210" i="3"/>
  <c r="M2210" i="3" s="1"/>
  <c r="L2218" i="3"/>
  <c r="M2218" i="3" s="1"/>
  <c r="L2226" i="3"/>
  <c r="M2226" i="3" s="1"/>
  <c r="L2234" i="3"/>
  <c r="M2234" i="3" s="1"/>
  <c r="L2242" i="3"/>
  <c r="M2242" i="3" s="1"/>
  <c r="L2250" i="3"/>
  <c r="M2250" i="3" s="1"/>
  <c r="L2258" i="3"/>
  <c r="M2258" i="3" s="1"/>
  <c r="L2266" i="3"/>
  <c r="M2266" i="3" s="1"/>
  <c r="L2274" i="3"/>
  <c r="M2274" i="3" s="1"/>
  <c r="L2282" i="3"/>
  <c r="M2282" i="3" s="1"/>
  <c r="L2290" i="3"/>
  <c r="M2290" i="3" s="1"/>
  <c r="L2298" i="3"/>
  <c r="M2298" i="3" s="1"/>
  <c r="L2306" i="3"/>
  <c r="M2306" i="3" s="1"/>
  <c r="L2359" i="3"/>
  <c r="M2359" i="3" s="1"/>
  <c r="L2367" i="3"/>
  <c r="M2367" i="3" s="1"/>
  <c r="L2375" i="3"/>
  <c r="M2375" i="3" s="1"/>
  <c r="L2383" i="3"/>
  <c r="M2383" i="3" s="1"/>
  <c r="L2391" i="3"/>
  <c r="M2391" i="3" s="1"/>
  <c r="L2399" i="3"/>
  <c r="M2399" i="3" s="1"/>
  <c r="L2407" i="3"/>
  <c r="M2407" i="3" s="1"/>
  <c r="L2415" i="3"/>
  <c r="M2415" i="3" s="1"/>
  <c r="L2423" i="3"/>
  <c r="M2423" i="3" s="1"/>
  <c r="L2431" i="3"/>
  <c r="M2431" i="3" s="1"/>
  <c r="L2439" i="3"/>
  <c r="M2439" i="3" s="1"/>
  <c r="L2447" i="3"/>
  <c r="M2447" i="3" s="1"/>
  <c r="L2455" i="3"/>
  <c r="M2455" i="3" s="1"/>
  <c r="L2463" i="3"/>
  <c r="M2463" i="3" s="1"/>
  <c r="L2471" i="3"/>
  <c r="M2471" i="3" s="1"/>
  <c r="L2479" i="3"/>
  <c r="M2479" i="3" s="1"/>
  <c r="L2487" i="3"/>
  <c r="M2487" i="3" s="1"/>
  <c r="L2495" i="3"/>
  <c r="M2495" i="3" s="1"/>
  <c r="L2503" i="3"/>
  <c r="M2503" i="3" s="1"/>
  <c r="L2511" i="3"/>
  <c r="M2511" i="3" s="1"/>
  <c r="L2519" i="3"/>
  <c r="M2519" i="3" s="1"/>
  <c r="L2522" i="3"/>
  <c r="M2522" i="3" s="1"/>
  <c r="W23" i="1"/>
  <c r="W11" i="1"/>
  <c r="W25" i="1"/>
  <c r="W40" i="1"/>
  <c r="W20" i="1"/>
  <c r="W34" i="1"/>
  <c r="W10" i="1"/>
  <c r="W39" i="1"/>
  <c r="W27" i="1"/>
  <c r="W21" i="1"/>
  <c r="W36" i="1"/>
  <c r="W12" i="1"/>
  <c r="W26" i="1"/>
  <c r="W15" i="1"/>
  <c r="W37" i="1"/>
  <c r="W13" i="1"/>
  <c r="W32" i="1"/>
  <c r="W8" i="1"/>
  <c r="W22" i="1"/>
  <c r="K4" i="3"/>
  <c r="I4" i="3"/>
  <c r="L4" i="3" l="1"/>
  <c r="M4" i="3" s="1"/>
  <c r="K3" i="3"/>
  <c r="I3" i="3"/>
  <c r="L3" i="3" s="1"/>
  <c r="M3" i="3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l="1"/>
  <c r="A38" i="1" s="1"/>
  <c r="A39" i="1" s="1"/>
  <c r="A40" i="1" s="1"/>
</calcChain>
</file>

<file path=xl/comments1.xml><?xml version="1.0" encoding="utf-8"?>
<comments xmlns="http://schemas.openxmlformats.org/spreadsheetml/2006/main">
  <authors>
    <author>Junior Santos</author>
  </authors>
  <commentList>
    <comment ref="D3" authorId="0" shapeId="0">
      <text>
        <r>
          <rPr>
            <b/>
            <sz val="9"/>
            <color indexed="81"/>
            <rFont val="Segoe UI"/>
            <family val="2"/>
          </rPr>
          <t>Junior Santos:</t>
        </r>
        <r>
          <rPr>
            <sz val="9"/>
            <color indexed="81"/>
            <rFont val="Segoe UI"/>
            <family val="2"/>
          </rPr>
          <t xml:space="preserve">
Para mensalistas : 220 horas
Outra exemplo seria a escala de 12x36 = 180 horas
</t>
        </r>
      </text>
    </comment>
    <comment ref="I3" authorId="0" shapeId="0">
      <text>
        <r>
          <rPr>
            <b/>
            <sz val="9"/>
            <color indexed="81"/>
            <rFont val="Segoe UI"/>
            <charset val="1"/>
          </rPr>
          <t>Junior Santos:</t>
        </r>
        <r>
          <rPr>
            <sz val="9"/>
            <color indexed="81"/>
            <rFont val="Segoe UI"/>
            <charset val="1"/>
          </rPr>
          <t xml:space="preserve">
Calcula-se:
((horas - int( horas ))*24*valor da hora)*percentual</t>
        </r>
      </text>
    </comment>
    <comment ref="L3" authorId="0" shapeId="0">
      <text>
        <r>
          <rPr>
            <b/>
            <sz val="9"/>
            <color indexed="81"/>
            <rFont val="Segoe UI"/>
            <family val="2"/>
          </rPr>
          <t>Junior Santos:</t>
        </r>
        <r>
          <rPr>
            <sz val="9"/>
            <color indexed="81"/>
            <rFont val="Segoe UI"/>
            <family val="2"/>
          </rPr>
          <t xml:space="preserve">
Exemplo mês de Março / 2015:
Dias úteis +sábados: 26 dias 
Domingos + feriados: 5 dias
Calculo do DSR
Horas Extras: R$ 400,00 
Faça a seguinte conta: (400,00 / 26) x 5 = 59,29  =&gt; este é o valor do DSR</t>
        </r>
      </text>
    </comment>
    <comment ref="N3" authorId="0" shapeId="0">
      <text>
        <r>
          <rPr>
            <b/>
            <sz val="9"/>
            <color indexed="81"/>
            <rFont val="Segoe UI"/>
            <charset val="1"/>
          </rPr>
          <t xml:space="preserve">Junior Santos:
</t>
        </r>
        <r>
          <rPr>
            <sz val="9"/>
            <color indexed="81"/>
            <rFont val="Segoe UI"/>
            <family val="2"/>
          </rPr>
          <t>Calcula-se:
(Salario base-inss)-(numeros de dependentes*dedução por dependentes)</t>
        </r>
      </text>
    </comment>
    <comment ref="O3" authorId="0" shapeId="0">
      <text>
        <r>
          <rPr>
            <b/>
            <sz val="9"/>
            <color indexed="81"/>
            <rFont val="Segoe UI"/>
            <family val="2"/>
          </rPr>
          <t>Junior Santos:</t>
        </r>
        <r>
          <rPr>
            <sz val="9"/>
            <color indexed="81"/>
            <rFont val="Segoe UI"/>
            <family val="2"/>
          </rPr>
          <t xml:space="preserve">
O Calculo se dá atraves da multiplicação do salario base por 40%
</t>
        </r>
      </text>
    </comment>
    <comment ref="S3" authorId="0" shapeId="0">
      <text>
        <r>
          <rPr>
            <b/>
            <sz val="9"/>
            <color indexed="81"/>
            <rFont val="Segoe UI"/>
            <family val="2"/>
          </rPr>
          <t>Junior Santos:</t>
        </r>
        <r>
          <rPr>
            <sz val="9"/>
            <color indexed="81"/>
            <rFont val="Segoe UI"/>
            <family val="2"/>
          </rPr>
          <t xml:space="preserve">
Para calculos vide tabela ao lado</t>
        </r>
      </text>
    </comment>
    <comment ref="T3" authorId="0" shapeId="0">
      <text>
        <r>
          <rPr>
            <b/>
            <sz val="9"/>
            <color indexed="81"/>
            <rFont val="Segoe UI"/>
            <family val="2"/>
          </rPr>
          <t>Junior Santos:</t>
        </r>
        <r>
          <rPr>
            <sz val="9"/>
            <color indexed="81"/>
            <rFont val="Segoe UI"/>
            <family val="2"/>
          </rPr>
          <t xml:space="preserve">
Calculo Baseado em 6% do Salario Base</t>
        </r>
      </text>
    </comment>
    <comment ref="U3" authorId="0" shapeId="0">
      <text>
        <r>
          <rPr>
            <b/>
            <sz val="9"/>
            <color indexed="81"/>
            <rFont val="Segoe UI"/>
            <family val="2"/>
          </rPr>
          <t>Junior Santos:</t>
        </r>
        <r>
          <rPr>
            <sz val="9"/>
            <color indexed="81"/>
            <rFont val="Segoe UI"/>
            <family val="2"/>
          </rPr>
          <t xml:space="preserve">
Valor da Refeição multiplicado pelo numero de dias uteis no mês em questão</t>
        </r>
      </text>
    </comment>
    <comment ref="V3" authorId="0" shapeId="0">
      <text>
        <r>
          <rPr>
            <b/>
            <sz val="9"/>
            <color indexed="81"/>
            <rFont val="Segoe UI"/>
            <family val="2"/>
          </rPr>
          <t>Junior Santos:</t>
        </r>
        <r>
          <rPr>
            <sz val="9"/>
            <color indexed="81"/>
            <rFont val="Segoe UI"/>
            <family val="2"/>
          </rPr>
          <t xml:space="preserve">
A lei manda que participação seja 20% do valor da refeição.
Ex: Pago R$ 15,00 ao dia, multiplico por 22 dias uteis, dará um total R$ 330,00. O valor de desconto sera 330*20%, ou seja 66,00</t>
        </r>
      </text>
    </comment>
  </commentList>
</comments>
</file>

<file path=xl/comments2.xml><?xml version="1.0" encoding="utf-8"?>
<comments xmlns="http://schemas.openxmlformats.org/spreadsheetml/2006/main">
  <authors>
    <author>Junior</author>
  </authors>
  <commentList>
    <comment ref="M1" authorId="0" shapeId="0">
      <text>
        <r>
          <rPr>
            <b/>
            <sz val="9"/>
            <color indexed="81"/>
            <rFont val="Segoe UI"/>
            <charset val="1"/>
          </rPr>
          <t>Junior:</t>
        </r>
        <r>
          <rPr>
            <sz val="9"/>
            <color indexed="81"/>
            <rFont val="Segoe UI"/>
            <charset val="1"/>
          </rPr>
          <t xml:space="preserve">
Exemplo mês de Agosto:
Dias úteis +sábados: 27 dias 
Domingos + feriados: 4 dias
Calculo do DSR
Horas Extras: R$ 400,00 
Faça a seguinte conta: (400,00 / 27) x 4 = 59,29  =&gt; este é o valor do DSR. </t>
        </r>
      </text>
    </comment>
  </commentList>
</comments>
</file>

<file path=xl/sharedStrings.xml><?xml version="1.0" encoding="utf-8"?>
<sst xmlns="http://schemas.openxmlformats.org/spreadsheetml/2006/main" count="143" uniqueCount="99">
  <si>
    <t>Registro</t>
  </si>
  <si>
    <t>Funcionário</t>
  </si>
  <si>
    <t>Departamento</t>
  </si>
  <si>
    <t>Dependente</t>
  </si>
  <si>
    <t>Salário Base</t>
  </si>
  <si>
    <t>INSS</t>
  </si>
  <si>
    <t>Base de Cálculo</t>
  </si>
  <si>
    <t>IRRF</t>
  </si>
  <si>
    <t>Salário Líquido</t>
  </si>
  <si>
    <t>Nome Fictício 0001</t>
  </si>
  <si>
    <t>Administrativo</t>
  </si>
  <si>
    <t xml:space="preserve">de </t>
  </si>
  <si>
    <t>até</t>
  </si>
  <si>
    <t>alíquota</t>
  </si>
  <si>
    <t>Nome Fictício 0002</t>
  </si>
  <si>
    <t>Nome Fictício 0003</t>
  </si>
  <si>
    <t>Financeiro</t>
  </si>
  <si>
    <t>Nome Fictício 0004</t>
  </si>
  <si>
    <t>Contábil</t>
  </si>
  <si>
    <t>Nome Fictício 0005</t>
  </si>
  <si>
    <t>Suporte</t>
  </si>
  <si>
    <t>Nome Fictício 0006</t>
  </si>
  <si>
    <t>Comercial</t>
  </si>
  <si>
    <t>Acima de:</t>
  </si>
  <si>
    <t>Nome Fictício 0007</t>
  </si>
  <si>
    <t>Depto pessoal</t>
  </si>
  <si>
    <t>Nome Fictício 0008</t>
  </si>
  <si>
    <t>Compras</t>
  </si>
  <si>
    <t>Nome Fictício 0009</t>
  </si>
  <si>
    <t>Nome Fictício 0010</t>
  </si>
  <si>
    <t>Parcela a deduzir do IR</t>
  </si>
  <si>
    <t>Nome Fictício 0011</t>
  </si>
  <si>
    <t>Nome Fictício 0012</t>
  </si>
  <si>
    <t>Nome Fictício 0013</t>
  </si>
  <si>
    <t>Nome Fictício 0014</t>
  </si>
  <si>
    <t>Nome Fictício 0015</t>
  </si>
  <si>
    <t>até o fim</t>
  </si>
  <si>
    <t>Nome Fictício 0016</t>
  </si>
  <si>
    <t>Nome Fictício 0017</t>
  </si>
  <si>
    <t>Nome Fictício 0018</t>
  </si>
  <si>
    <t>Nome Fictício 0019</t>
  </si>
  <si>
    <t>Valor por dependente:</t>
  </si>
  <si>
    <t>Nome Fictício 0021</t>
  </si>
  <si>
    <t>Nome Fictício 0022</t>
  </si>
  <si>
    <t>Nome Fictício 0023</t>
  </si>
  <si>
    <t>Nome Fictício 0024</t>
  </si>
  <si>
    <t>Nome Fictício 0025</t>
  </si>
  <si>
    <t>Nome Fictício 0026</t>
  </si>
  <si>
    <t>Nome Fictício 0027</t>
  </si>
  <si>
    <t>Nome Fictício 0028</t>
  </si>
  <si>
    <t>Nome Fictício 0029</t>
  </si>
  <si>
    <t>Nome Fictício 0030</t>
  </si>
  <si>
    <t>Nome Fictício 0031</t>
  </si>
  <si>
    <t>Nome Fictício 0032</t>
  </si>
  <si>
    <t>Nome Fictício 0033</t>
  </si>
  <si>
    <t>Nome Fictício 0034</t>
  </si>
  <si>
    <t>Nome Fictício 0035</t>
  </si>
  <si>
    <t>Nome Fictício 0036</t>
  </si>
  <si>
    <t>Nome Fictício 0037</t>
  </si>
  <si>
    <t>Cálculo</t>
  </si>
  <si>
    <t>2. A Base de Calculo é feito através da subtração do Salário Base  com o INSS e com o Valor Dedutível por Dependente Legal.</t>
  </si>
  <si>
    <t>3. O IRRF é calculado através da multiplicação da Alíquota do IRRF pela Base de Cálculo e subtração da Parcela a Deduzir do IR.</t>
  </si>
  <si>
    <t>4. O salário Líquido é calculado através da subtração do Salário Base com a soma dos engargos (INSS e IRRF).</t>
  </si>
  <si>
    <t>Nome Fictício 0038</t>
  </si>
  <si>
    <t>Folha de Pagamento da Empresa XYZ Ltda.</t>
  </si>
  <si>
    <t>Parcela a Deduzir</t>
  </si>
  <si>
    <t>Aliquota</t>
  </si>
  <si>
    <t>Entrada</t>
  </si>
  <si>
    <t>Saída</t>
  </si>
  <si>
    <t>Normal</t>
  </si>
  <si>
    <t>Extra</t>
  </si>
  <si>
    <t>Total</t>
  </si>
  <si>
    <t>Salário</t>
  </si>
  <si>
    <t>Joao</t>
  </si>
  <si>
    <t>S</t>
  </si>
  <si>
    <t>Hora Normal</t>
  </si>
  <si>
    <t>Hora Extra</t>
  </si>
  <si>
    <t>Ana</t>
  </si>
  <si>
    <t>N</t>
  </si>
  <si>
    <t>Domingo Feriado</t>
  </si>
  <si>
    <t>Pedro</t>
  </si>
  <si>
    <t>Opção Feriado</t>
  </si>
  <si>
    <t>DSR</t>
  </si>
  <si>
    <t>Tabela do INSS - 2015</t>
  </si>
  <si>
    <t>Tabela do IRRF - 2015</t>
  </si>
  <si>
    <t>Salario Familia</t>
  </si>
  <si>
    <t>Auxilio Transporte</t>
  </si>
  <si>
    <t>Auxilio Alimentação</t>
  </si>
  <si>
    <t>Tabela do Salario Familia - 2015</t>
  </si>
  <si>
    <t>Valor</t>
  </si>
  <si>
    <t>Valor Vale Alimentação ao dia (Exemplo)</t>
  </si>
  <si>
    <t>1. O Cálculo do INSS é feito através da multiplicação do Salário Base com a Alíquota do INSS, porém se o Salário Base for maior que R$ 4663,75 o INSS é fixo em R$ 513,01.</t>
  </si>
  <si>
    <t>Adiantamamento Quinzenal</t>
  </si>
  <si>
    <t>Regime de Trabalho</t>
  </si>
  <si>
    <t>Valor Hora</t>
  </si>
  <si>
    <t>Horas 50%</t>
  </si>
  <si>
    <t>Horas 100%</t>
  </si>
  <si>
    <t>Horas Extras</t>
  </si>
  <si>
    <t>Valor Horas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</si>
</sst>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&quot;R$ &quot;#,##0.00_);[Red]\(&quot;R$ &quot;#,##0.00\)"/>
    <numFmt numFmtId="165" formatCode="_(&quot;R$ &quot;* #,##0.00_);_(&quot;R$ &quot;* \(#,##0.00\);_(&quot;R$ &quot;* &quot;-&quot;??_);_(@_)"/>
    <numFmt numFmtId="166" formatCode="0000000"/>
    <numFmt numFmtId="167" formatCode="0.0%"/>
    <numFmt numFmtId="168" formatCode="[h]:mm:ss;@"/>
    <numFmt numFmtId="169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165" fontId="1" fillId="0" borderId="1" xfId="1" applyFont="1" applyBorder="1" applyAlignment="1" applyProtection="1">
      <alignment horizontal="center"/>
    </xf>
    <xf numFmtId="0" fontId="0" fillId="0" borderId="0" xfId="0" applyProtection="1"/>
    <xf numFmtId="0" fontId="0" fillId="0" borderId="1" xfId="0" applyBorder="1" applyAlignment="1" applyProtection="1">
      <alignment horizontal="center"/>
    </xf>
    <xf numFmtId="165" fontId="1" fillId="0" borderId="1" xfId="1" applyFont="1" applyBorder="1" applyProtection="1"/>
    <xf numFmtId="9" fontId="1" fillId="0" borderId="1" xfId="2" applyFont="1" applyBorder="1" applyAlignment="1" applyProtection="1">
      <alignment horizontal="center"/>
    </xf>
    <xf numFmtId="167" fontId="1" fillId="0" borderId="1" xfId="2" applyNumberFormat="1" applyFont="1" applyBorder="1" applyAlignment="1" applyProtection="1">
      <alignment horizontal="center"/>
    </xf>
    <xf numFmtId="0" fontId="0" fillId="2" borderId="1" xfId="0" applyFill="1" applyBorder="1" applyProtection="1"/>
    <xf numFmtId="165" fontId="1" fillId="2" borderId="1" xfId="1" applyFont="1" applyFill="1" applyBorder="1" applyProtection="1"/>
    <xf numFmtId="0" fontId="2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166" fontId="2" fillId="0" borderId="1" xfId="0" applyNumberFormat="1" applyFont="1" applyBorder="1" applyAlignment="1" applyProtection="1">
      <alignment horizontal="center"/>
    </xf>
    <xf numFmtId="0" fontId="2" fillId="0" borderId="1" xfId="0" applyFont="1" applyBorder="1" applyProtection="1"/>
    <xf numFmtId="0" fontId="2" fillId="0" borderId="1" xfId="0" applyFont="1" applyBorder="1" applyAlignment="1" applyProtection="1">
      <alignment horizontal="center"/>
    </xf>
    <xf numFmtId="165" fontId="2" fillId="0" borderId="1" xfId="1" applyFont="1" applyBorder="1" applyProtection="1"/>
    <xf numFmtId="165" fontId="2" fillId="0" borderId="1" xfId="1" quotePrefix="1" applyFont="1" applyBorder="1" applyProtection="1"/>
    <xf numFmtId="43" fontId="2" fillId="0" borderId="0" xfId="0" applyNumberFormat="1" applyFont="1" applyProtection="1">
      <protection locked="0"/>
    </xf>
    <xf numFmtId="0" fontId="2" fillId="0" borderId="1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  <protection locked="0"/>
    </xf>
    <xf numFmtId="165" fontId="2" fillId="0" borderId="0" xfId="1" applyFont="1" applyProtection="1">
      <protection locked="0"/>
    </xf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165" fontId="2" fillId="0" borderId="0" xfId="1" applyFont="1" applyProtection="1"/>
    <xf numFmtId="164" fontId="2" fillId="0" borderId="0" xfId="0" applyNumberFormat="1" applyFont="1" applyProtection="1"/>
    <xf numFmtId="0" fontId="2" fillId="0" borderId="0" xfId="0" applyFont="1" applyAlignment="1" applyProtection="1">
      <alignment horizontal="left"/>
      <protection locked="0"/>
    </xf>
    <xf numFmtId="0" fontId="2" fillId="0" borderId="0" xfId="0" quotePrefix="1" applyFont="1" applyProtection="1">
      <protection locked="0"/>
    </xf>
    <xf numFmtId="165" fontId="2" fillId="0" borderId="0" xfId="0" quotePrefix="1" applyNumberFormat="1" applyFont="1" applyAlignment="1" applyProtection="1">
      <alignment horizontal="left"/>
      <protection locked="0"/>
    </xf>
    <xf numFmtId="167" fontId="2" fillId="0" borderId="1" xfId="2" applyNumberFormat="1" applyFont="1" applyBorder="1" applyProtection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8" fontId="4" fillId="4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5" fontId="3" fillId="2" borderId="1" xfId="1" applyFont="1" applyFill="1" applyBorder="1" applyAlignment="1" applyProtection="1">
      <alignment horizontal="center" vertical="center" wrapText="1"/>
      <protection locked="0"/>
    </xf>
    <xf numFmtId="165" fontId="3" fillId="2" borderId="1" xfId="1" applyFont="1" applyFill="1" applyBorder="1" applyAlignment="1" applyProtection="1">
      <alignment horizontal="center" vertical="center" wrapText="1"/>
    </xf>
    <xf numFmtId="169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9" fontId="2" fillId="0" borderId="1" xfId="1" applyNumberFormat="1" applyFont="1" applyBorder="1" applyProtection="1"/>
    <xf numFmtId="169" fontId="2" fillId="0" borderId="0" xfId="1" applyNumberFormat="1" applyFont="1" applyProtection="1">
      <protection locked="0"/>
    </xf>
    <xf numFmtId="169" fontId="2" fillId="0" borderId="0" xfId="1" applyNumberFormat="1" applyFont="1" applyProtection="1"/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165" fontId="0" fillId="2" borderId="1" xfId="1" applyFont="1" applyFill="1" applyBorder="1" applyAlignment="1" applyProtection="1">
      <alignment horizontal="center"/>
    </xf>
    <xf numFmtId="165" fontId="1" fillId="2" borderId="1" xfId="1" applyFon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left"/>
    </xf>
    <xf numFmtId="0" fontId="0" fillId="2" borderId="3" xfId="0" applyFill="1" applyBorder="1" applyAlignment="1" applyProtection="1">
      <alignment horizontal="left"/>
    </xf>
    <xf numFmtId="0" fontId="0" fillId="2" borderId="4" xfId="0" applyFill="1" applyBorder="1" applyAlignment="1" applyProtection="1">
      <alignment horizontal="left"/>
    </xf>
    <xf numFmtId="0" fontId="9" fillId="5" borderId="0" xfId="0" applyFont="1" applyFill="1" applyBorder="1" applyAlignment="1" applyProtection="1">
      <alignment horizontal="center" vertical="center"/>
      <protection locked="0"/>
    </xf>
    <xf numFmtId="0" fontId="9" fillId="5" borderId="5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5" fontId="4" fillId="4" borderId="1" xfId="1" applyFont="1" applyFill="1" applyBorder="1" applyAlignment="1">
      <alignment horizontal="center" vertical="center"/>
    </xf>
    <xf numFmtId="168" fontId="4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AC50"/>
  <sheetViews>
    <sheetView showGridLines="0" tabSelected="1" zoomScaleNormal="100" workbookViewId="0">
      <selection activeCell="AA11" sqref="AA11"/>
    </sheetView>
  </sheetViews>
  <sheetFormatPr defaultRowHeight="15" x14ac:dyDescent="0.25"/>
  <cols>
    <col min="1" max="1" width="10" style="9" customWidth="1"/>
    <col min="2" max="2" width="17.7109375" style="9" bestFit="1" customWidth="1"/>
    <col min="3" max="3" width="16.85546875" style="9" customWidth="1"/>
    <col min="4" max="4" width="20.28515625" style="18" bestFit="1" customWidth="1"/>
    <col min="5" max="5" width="13.140625" style="18" bestFit="1" customWidth="1"/>
    <col min="6" max="7" width="13.5703125" style="19" customWidth="1"/>
    <col min="8" max="8" width="13.5703125" style="44" customWidth="1"/>
    <col min="9" max="12" width="13.5703125" style="19" customWidth="1"/>
    <col min="13" max="13" width="15.85546875" style="19" customWidth="1"/>
    <col min="14" max="14" width="17.7109375" style="19" bestFit="1" customWidth="1"/>
    <col min="15" max="17" width="17.7109375" style="19" customWidth="1"/>
    <col min="18" max="18" width="12.42578125" style="19" customWidth="1"/>
    <col min="19" max="19" width="16.140625" style="19" bestFit="1" customWidth="1"/>
    <col min="20" max="20" width="20.42578125" style="19" bestFit="1" customWidth="1"/>
    <col min="21" max="22" width="20.42578125" style="19" customWidth="1"/>
    <col min="23" max="23" width="17.28515625" style="19" bestFit="1" customWidth="1"/>
    <col min="24" max="25" width="8.42578125" style="9" customWidth="1"/>
    <col min="26" max="26" width="19.140625" customWidth="1"/>
    <col min="27" max="27" width="15" customWidth="1"/>
    <col min="28" max="28" width="11.7109375" customWidth="1"/>
    <col min="29" max="29" width="21.140625" bestFit="1" customWidth="1"/>
    <col min="30" max="16384" width="9.140625" style="9"/>
  </cols>
  <sheetData>
    <row r="1" spans="1:29" ht="18.75" customHeight="1" x14ac:dyDescent="0.25">
      <c r="A1" s="55" t="s">
        <v>64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Z1" s="49" t="s">
        <v>83</v>
      </c>
      <c r="AA1" s="50"/>
      <c r="AB1" s="50"/>
      <c r="AC1" s="2"/>
    </row>
    <row r="2" spans="1:29" s="10" customForma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Z2" s="37" t="s">
        <v>11</v>
      </c>
      <c r="AA2" s="37" t="s">
        <v>12</v>
      </c>
      <c r="AB2" s="37" t="s">
        <v>13</v>
      </c>
      <c r="AC2" s="2"/>
    </row>
    <row r="3" spans="1:29" ht="28.5" x14ac:dyDescent="0.25">
      <c r="A3" s="38" t="s">
        <v>0</v>
      </c>
      <c r="B3" s="38" t="s">
        <v>1</v>
      </c>
      <c r="C3" s="38" t="s">
        <v>2</v>
      </c>
      <c r="D3" s="38" t="s">
        <v>93</v>
      </c>
      <c r="E3" s="39" t="s">
        <v>3</v>
      </c>
      <c r="F3" s="40" t="s">
        <v>4</v>
      </c>
      <c r="G3" s="40" t="s">
        <v>94</v>
      </c>
      <c r="H3" s="42" t="s">
        <v>97</v>
      </c>
      <c r="I3" s="40" t="s">
        <v>95</v>
      </c>
      <c r="J3" s="40" t="s">
        <v>96</v>
      </c>
      <c r="K3" s="40" t="s">
        <v>98</v>
      </c>
      <c r="L3" s="40" t="s">
        <v>82</v>
      </c>
      <c r="M3" s="41" t="s">
        <v>5</v>
      </c>
      <c r="N3" s="41" t="s">
        <v>6</v>
      </c>
      <c r="O3" s="41" t="s">
        <v>92</v>
      </c>
      <c r="P3" s="41" t="s">
        <v>65</v>
      </c>
      <c r="Q3" s="41" t="s">
        <v>66</v>
      </c>
      <c r="R3" s="41" t="s">
        <v>7</v>
      </c>
      <c r="S3" s="41" t="s">
        <v>85</v>
      </c>
      <c r="T3" s="41" t="s">
        <v>86</v>
      </c>
      <c r="U3" s="41" t="s">
        <v>87</v>
      </c>
      <c r="V3" s="41" t="s">
        <v>87</v>
      </c>
      <c r="W3" s="41" t="s">
        <v>8</v>
      </c>
      <c r="Z3" s="1">
        <v>0</v>
      </c>
      <c r="AA3" s="1">
        <v>1399.12</v>
      </c>
      <c r="AB3" s="5">
        <v>0.08</v>
      </c>
      <c r="AC3" s="2"/>
    </row>
    <row r="4" spans="1:29" x14ac:dyDescent="0.25">
      <c r="A4" s="11">
        <v>1</v>
      </c>
      <c r="B4" s="12" t="s">
        <v>9</v>
      </c>
      <c r="C4" s="12" t="s">
        <v>10</v>
      </c>
      <c r="D4" s="13">
        <v>220</v>
      </c>
      <c r="E4" s="13">
        <v>3</v>
      </c>
      <c r="F4" s="14">
        <v>850</v>
      </c>
      <c r="G4" s="14">
        <f>F4/D4</f>
        <v>3.8636363636363638</v>
      </c>
      <c r="H4" s="43">
        <v>0.5229166666666667</v>
      </c>
      <c r="I4" s="14">
        <f>((H4-INT(H4))*24*G4)*1.5</f>
        <v>72.732954545454547</v>
      </c>
      <c r="J4" s="14">
        <f>((H4-INT(H4))*24*G4)*2</f>
        <v>96.977272727272734</v>
      </c>
      <c r="K4" s="14">
        <f>I4+J4</f>
        <v>169.71022727272728</v>
      </c>
      <c r="L4" s="14">
        <f>(K4/26)*5</f>
        <v>32.636582167832174</v>
      </c>
      <c r="M4" s="15">
        <f>IF(AND(F4&gt;=$Z$3,F4&lt;=$AA$3),F4*$AB$3,IF(AND(F4&gt;=$Z$4,F4&lt;=$AA$4),F4*$AB$4,IF(AND(F4&gt;=$Z$5,F4&lt;=$AA$5),F4*$AB$5,IF(F4&gt;=$AA$7,$AB$7))))</f>
        <v>68</v>
      </c>
      <c r="N4" s="14">
        <f>(F4-M4)-(E4*$AC$18)</f>
        <v>242.87</v>
      </c>
      <c r="O4" s="14">
        <f>F4*40%</f>
        <v>340</v>
      </c>
      <c r="P4" s="14">
        <f>IF(AND(N4&gt;=$Z$11,N4&lt;=$AA$11),$AC$11,IF(AND(N4&gt;=$Z$12,N4&lt;=$AA$12),$AC$12,IF(AND(N4&gt;=$Z$13,N4&lt;=$AA$13),$AC$13,IF(AND(N4&gt;=$Z$14,N4&lt;=$AA$14),$AC$14,IF(N4&gt;=$Z$15,$AC$15)))))</f>
        <v>0</v>
      </c>
      <c r="Q4" s="27">
        <f>IF(P4=$AC$11,$AB$11,IF(P4=$AC$12,$AB$12,IF(P4=$AC$13,$AB$13,IF(P4=$AC$14,$AB$14,IF(P4=$AC$15,$AB$15)))))</f>
        <v>0</v>
      </c>
      <c r="R4" s="14">
        <f>(N4*Q4)-P4</f>
        <v>0</v>
      </c>
      <c r="S4" s="14">
        <f>IF(AND(F4&gt;=$Z$22,F4&lt;=$AA$22),E4*$AB$22,IF(AND(F4&gt;=$Z$23,F4&lt;=$AA$23),E4*$AB$23,0))</f>
        <v>78.599999999999994</v>
      </c>
      <c r="T4" s="14">
        <f>F4*6%</f>
        <v>51</v>
      </c>
      <c r="U4" s="14">
        <f>$AC$25*26</f>
        <v>390</v>
      </c>
      <c r="V4" s="14">
        <f>U4*20%</f>
        <v>78</v>
      </c>
      <c r="W4" s="14">
        <f>(F4+K4+L4+S4)-(M4+O4+R4+T4+V4)</f>
        <v>593.94680944055926</v>
      </c>
      <c r="X4" s="16"/>
      <c r="Z4" s="1">
        <f>AA3+0.01</f>
        <v>1399.1299999999999</v>
      </c>
      <c r="AA4" s="1">
        <v>2331.88</v>
      </c>
      <c r="AB4" s="5">
        <v>0.09</v>
      </c>
      <c r="AC4" s="2"/>
    </row>
    <row r="5" spans="1:29" x14ac:dyDescent="0.25">
      <c r="A5" s="11">
        <f>A4+1</f>
        <v>2</v>
      </c>
      <c r="B5" s="12" t="s">
        <v>14</v>
      </c>
      <c r="C5" s="12" t="s">
        <v>10</v>
      </c>
      <c r="D5" s="13">
        <v>180</v>
      </c>
      <c r="E5" s="13">
        <v>2</v>
      </c>
      <c r="F5" s="14">
        <v>910</v>
      </c>
      <c r="G5" s="14">
        <f t="shared" ref="G5:G40" si="0">F5/D5</f>
        <v>5.0555555555555554</v>
      </c>
      <c r="H5" s="43">
        <v>0.56458333333333299</v>
      </c>
      <c r="I5" s="14">
        <f t="shared" ref="I5:I40" si="1">((H5-INT(H5))*24*G5)*1.5</f>
        <v>102.75416666666661</v>
      </c>
      <c r="J5" s="14">
        <f t="shared" ref="J5:J40" si="2">((H5-INT(H5))*24*G5)*2</f>
        <v>137.00555555555547</v>
      </c>
      <c r="K5" s="14">
        <f t="shared" ref="K5:K40" si="3">I5+J5</f>
        <v>239.75972222222208</v>
      </c>
      <c r="L5" s="14">
        <f t="shared" ref="L5:L40" si="4">(K5/26)*5</f>
        <v>46.107638888888864</v>
      </c>
      <c r="M5" s="15">
        <f t="shared" ref="M5:M40" si="5">IF(AND(F5&gt;=$Z$3,F5&lt;=$AA$3),F5*$AB$3,IF(AND(F5&gt;=$Z$4,F5&lt;=$AA$4),F5*$AB$4,IF(AND(F5&gt;=$Z$5,F5&lt;=$AA$5),F5*$AB$5,IF(F5&gt;=$AA$7,$AB$7))))</f>
        <v>72.8</v>
      </c>
      <c r="N5" s="14">
        <f t="shared" ref="N5:N40" si="6">(F5-M5)-(E5*$AC$18)</f>
        <v>477.78000000000003</v>
      </c>
      <c r="O5" s="14">
        <f t="shared" ref="O5:O40" si="7">F5*40%</f>
        <v>364</v>
      </c>
      <c r="P5" s="14">
        <f t="shared" ref="P5:P40" si="8">IF(AND(N5&gt;=$Z$11,N5&lt;=$AA$11),$AC$11,IF(AND(N5&gt;=$Z$12,N5&lt;=$AA$12),$AC$12,IF(AND(N5&gt;=$Z$13,N5&lt;=$AA$13),$AC$13,IF(AND(N5&gt;=$Z$14,N5&lt;=$AA$14),$AC$14,IF(N5&gt;=$Z$15,$AC$15)))))</f>
        <v>0</v>
      </c>
      <c r="Q5" s="27">
        <f t="shared" ref="Q5:Q40" si="9">IF(P5=$AC$11,$AB$11,IF(P5=$AC$12,$AB$12,IF(P5=$AC$13,$AB$13,IF(P5=$AC$14,$AB$14,IF(P5=$AC$15,$AB$15)))))</f>
        <v>0</v>
      </c>
      <c r="R5" s="14">
        <f t="shared" ref="R5:R40" si="10">(N5*Q5)-P5</f>
        <v>0</v>
      </c>
      <c r="S5" s="14">
        <f t="shared" ref="S5:S40" si="11">IF(AND(F5&gt;=$Z$22,F5&lt;=$AA$22),E5*$AB$22,IF(AND(F5&gt;=$Z$23,F5&lt;=$AA$23),E5*$AB$23,0))</f>
        <v>52.4</v>
      </c>
      <c r="T5" s="14">
        <f t="shared" ref="T5:T40" si="12">F5*6%</f>
        <v>54.6</v>
      </c>
      <c r="U5" s="14">
        <f t="shared" ref="U5:U40" si="13">$AC$25*26</f>
        <v>390</v>
      </c>
      <c r="V5" s="14">
        <f t="shared" ref="V5:V40" si="14">U5*20%</f>
        <v>78</v>
      </c>
      <c r="W5" s="14">
        <f t="shared" ref="W5:W40" si="15">(F5+K5+L5+S5)-(M5+O5+R5+T5+V5)</f>
        <v>678.86736111111099</v>
      </c>
      <c r="X5" s="16"/>
      <c r="Z5" s="1">
        <f>AA4+0.01</f>
        <v>2331.8900000000003</v>
      </c>
      <c r="AA5" s="1">
        <v>4663.75</v>
      </c>
      <c r="AB5" s="5">
        <v>0.11</v>
      </c>
      <c r="AC5" s="2"/>
    </row>
    <row r="6" spans="1:29" x14ac:dyDescent="0.25">
      <c r="A6" s="11">
        <f t="shared" ref="A6:A40" si="16">A5+1</f>
        <v>3</v>
      </c>
      <c r="B6" s="12" t="s">
        <v>15</v>
      </c>
      <c r="C6" s="12" t="s">
        <v>16</v>
      </c>
      <c r="D6" s="13">
        <v>220</v>
      </c>
      <c r="E6" s="13">
        <v>1</v>
      </c>
      <c r="F6" s="14">
        <v>1000</v>
      </c>
      <c r="G6" s="14">
        <f t="shared" si="0"/>
        <v>4.5454545454545459</v>
      </c>
      <c r="H6" s="43">
        <v>0.60624999999999996</v>
      </c>
      <c r="I6" s="14">
        <f t="shared" si="1"/>
        <v>99.204545454545467</v>
      </c>
      <c r="J6" s="14">
        <f t="shared" si="2"/>
        <v>132.27272727272728</v>
      </c>
      <c r="K6" s="14">
        <f t="shared" si="3"/>
        <v>231.47727272727275</v>
      </c>
      <c r="L6" s="14">
        <f t="shared" si="4"/>
        <v>44.51486013986014</v>
      </c>
      <c r="M6" s="15">
        <f t="shared" si="5"/>
        <v>80</v>
      </c>
      <c r="N6" s="14">
        <f t="shared" si="6"/>
        <v>740.29</v>
      </c>
      <c r="O6" s="14">
        <f t="shared" si="7"/>
        <v>400</v>
      </c>
      <c r="P6" s="14">
        <f t="shared" si="8"/>
        <v>0</v>
      </c>
      <c r="Q6" s="27">
        <f t="shared" si="9"/>
        <v>0</v>
      </c>
      <c r="R6" s="14">
        <f t="shared" si="10"/>
        <v>0</v>
      </c>
      <c r="S6" s="14">
        <f t="shared" si="11"/>
        <v>26.2</v>
      </c>
      <c r="T6" s="14">
        <f t="shared" si="12"/>
        <v>60</v>
      </c>
      <c r="U6" s="14">
        <f t="shared" si="13"/>
        <v>390</v>
      </c>
      <c r="V6" s="14">
        <f t="shared" si="14"/>
        <v>78</v>
      </c>
      <c r="W6" s="14">
        <f t="shared" si="15"/>
        <v>684.19213286713284</v>
      </c>
      <c r="X6" s="16"/>
      <c r="Z6" s="37"/>
      <c r="AA6" s="37"/>
      <c r="AB6" s="37"/>
      <c r="AC6" s="2"/>
    </row>
    <row r="7" spans="1:29" x14ac:dyDescent="0.25">
      <c r="A7" s="11">
        <f t="shared" si="16"/>
        <v>4</v>
      </c>
      <c r="B7" s="12" t="s">
        <v>17</v>
      </c>
      <c r="C7" s="12" t="s">
        <v>18</v>
      </c>
      <c r="D7" s="13">
        <v>180</v>
      </c>
      <c r="E7" s="13">
        <v>3</v>
      </c>
      <c r="F7" s="14">
        <v>1100</v>
      </c>
      <c r="G7" s="14">
        <f t="shared" si="0"/>
        <v>6.1111111111111107</v>
      </c>
      <c r="H7" s="43">
        <v>0.64791666666666703</v>
      </c>
      <c r="I7" s="14">
        <f t="shared" si="1"/>
        <v>142.54166666666671</v>
      </c>
      <c r="J7" s="14">
        <f t="shared" si="2"/>
        <v>190.05555555555563</v>
      </c>
      <c r="K7" s="14">
        <f t="shared" si="3"/>
        <v>332.59722222222234</v>
      </c>
      <c r="L7" s="14">
        <f t="shared" si="4"/>
        <v>63.961004273504294</v>
      </c>
      <c r="M7" s="15">
        <f t="shared" si="5"/>
        <v>88</v>
      </c>
      <c r="N7" s="14">
        <f t="shared" si="6"/>
        <v>472.87</v>
      </c>
      <c r="O7" s="14">
        <f t="shared" si="7"/>
        <v>440</v>
      </c>
      <c r="P7" s="14">
        <f t="shared" si="8"/>
        <v>0</v>
      </c>
      <c r="Q7" s="27">
        <f t="shared" si="9"/>
        <v>0</v>
      </c>
      <c r="R7" s="14">
        <f t="shared" si="10"/>
        <v>0</v>
      </c>
      <c r="S7" s="14">
        <f t="shared" si="11"/>
        <v>0</v>
      </c>
      <c r="T7" s="14">
        <f t="shared" si="12"/>
        <v>66</v>
      </c>
      <c r="U7" s="14">
        <f t="shared" si="13"/>
        <v>390</v>
      </c>
      <c r="V7" s="14">
        <f t="shared" si="14"/>
        <v>78</v>
      </c>
      <c r="W7" s="14">
        <f t="shared" si="15"/>
        <v>824.55822649572679</v>
      </c>
      <c r="X7" s="16"/>
      <c r="Z7" s="3" t="s">
        <v>23</v>
      </c>
      <c r="AA7" s="1">
        <f>AA5+0.01</f>
        <v>4663.76</v>
      </c>
      <c r="AB7" s="1">
        <f>AA7*$AB$5</f>
        <v>513.0136</v>
      </c>
      <c r="AC7" s="2"/>
    </row>
    <row r="8" spans="1:29" x14ac:dyDescent="0.25">
      <c r="A8" s="11">
        <f t="shared" si="16"/>
        <v>5</v>
      </c>
      <c r="B8" s="12" t="s">
        <v>19</v>
      </c>
      <c r="C8" s="12" t="s">
        <v>20</v>
      </c>
      <c r="D8" s="13">
        <v>220</v>
      </c>
      <c r="E8" s="13">
        <v>2</v>
      </c>
      <c r="F8" s="14">
        <v>1690</v>
      </c>
      <c r="G8" s="14">
        <f t="shared" si="0"/>
        <v>7.6818181818181817</v>
      </c>
      <c r="H8" s="43">
        <v>0.68958333333333299</v>
      </c>
      <c r="I8" s="14">
        <f t="shared" si="1"/>
        <v>190.70113636363624</v>
      </c>
      <c r="J8" s="14">
        <f t="shared" si="2"/>
        <v>254.26818181818166</v>
      </c>
      <c r="K8" s="14">
        <f t="shared" si="3"/>
        <v>444.96931818181793</v>
      </c>
      <c r="L8" s="14">
        <f t="shared" si="4"/>
        <v>85.571022727272663</v>
      </c>
      <c r="M8" s="15">
        <f t="shared" si="5"/>
        <v>152.1</v>
      </c>
      <c r="N8" s="14">
        <f t="shared" si="6"/>
        <v>1178.48</v>
      </c>
      <c r="O8" s="14">
        <f t="shared" si="7"/>
        <v>676</v>
      </c>
      <c r="P8" s="14">
        <f t="shared" si="8"/>
        <v>0</v>
      </c>
      <c r="Q8" s="27">
        <f t="shared" si="9"/>
        <v>0</v>
      </c>
      <c r="R8" s="14">
        <f t="shared" si="10"/>
        <v>0</v>
      </c>
      <c r="S8" s="14">
        <f t="shared" si="11"/>
        <v>0</v>
      </c>
      <c r="T8" s="14">
        <f t="shared" si="12"/>
        <v>101.39999999999999</v>
      </c>
      <c r="U8" s="14">
        <f t="shared" si="13"/>
        <v>390</v>
      </c>
      <c r="V8" s="14">
        <f t="shared" si="14"/>
        <v>78</v>
      </c>
      <c r="W8" s="14">
        <f t="shared" si="15"/>
        <v>1213.0403409090904</v>
      </c>
      <c r="X8" s="16"/>
      <c r="Z8" s="2"/>
      <c r="AA8" s="2"/>
      <c r="AB8" s="2"/>
      <c r="AC8" s="2"/>
    </row>
    <row r="9" spans="1:29" x14ac:dyDescent="0.25">
      <c r="A9" s="11">
        <f t="shared" si="16"/>
        <v>6</v>
      </c>
      <c r="B9" s="12" t="s">
        <v>21</v>
      </c>
      <c r="C9" s="12" t="s">
        <v>22</v>
      </c>
      <c r="D9" s="13">
        <v>180</v>
      </c>
      <c r="E9" s="13">
        <v>1</v>
      </c>
      <c r="F9" s="14">
        <v>1700</v>
      </c>
      <c r="G9" s="14">
        <f t="shared" si="0"/>
        <v>9.4444444444444446</v>
      </c>
      <c r="H9" s="43">
        <v>0.73124999999999996</v>
      </c>
      <c r="I9" s="14">
        <f t="shared" si="1"/>
        <v>248.62499999999994</v>
      </c>
      <c r="J9" s="14">
        <f t="shared" si="2"/>
        <v>331.49999999999994</v>
      </c>
      <c r="K9" s="14">
        <f t="shared" si="3"/>
        <v>580.12499999999989</v>
      </c>
      <c r="L9" s="14">
        <f t="shared" si="4"/>
        <v>111.56249999999999</v>
      </c>
      <c r="M9" s="15">
        <f t="shared" si="5"/>
        <v>153</v>
      </c>
      <c r="N9" s="14">
        <f t="shared" si="6"/>
        <v>1367.29</v>
      </c>
      <c r="O9" s="14">
        <f t="shared" si="7"/>
        <v>680</v>
      </c>
      <c r="P9" s="14">
        <f t="shared" si="8"/>
        <v>0</v>
      </c>
      <c r="Q9" s="27">
        <f t="shared" si="9"/>
        <v>0</v>
      </c>
      <c r="R9" s="14">
        <f t="shared" si="10"/>
        <v>0</v>
      </c>
      <c r="S9" s="14">
        <f t="shared" si="11"/>
        <v>0</v>
      </c>
      <c r="T9" s="14">
        <f t="shared" si="12"/>
        <v>102</v>
      </c>
      <c r="U9" s="14">
        <f t="shared" si="13"/>
        <v>390</v>
      </c>
      <c r="V9" s="14">
        <f t="shared" si="14"/>
        <v>78</v>
      </c>
      <c r="W9" s="14">
        <f t="shared" si="15"/>
        <v>1378.6875</v>
      </c>
      <c r="X9" s="16"/>
      <c r="Z9" s="51" t="s">
        <v>84</v>
      </c>
      <c r="AA9" s="51"/>
      <c r="AB9" s="51"/>
      <c r="AC9" s="51"/>
    </row>
    <row r="10" spans="1:29" x14ac:dyDescent="0.25">
      <c r="A10" s="11">
        <f t="shared" si="16"/>
        <v>7</v>
      </c>
      <c r="B10" s="12" t="s">
        <v>24</v>
      </c>
      <c r="C10" s="12" t="s">
        <v>25</v>
      </c>
      <c r="D10" s="13">
        <v>220</v>
      </c>
      <c r="E10" s="13">
        <v>0</v>
      </c>
      <c r="F10" s="14">
        <v>2100</v>
      </c>
      <c r="G10" s="14">
        <f t="shared" si="0"/>
        <v>9.545454545454545</v>
      </c>
      <c r="H10" s="43">
        <v>0.77291666666666703</v>
      </c>
      <c r="I10" s="14">
        <f t="shared" si="1"/>
        <v>265.6022727272728</v>
      </c>
      <c r="J10" s="14">
        <f t="shared" si="2"/>
        <v>354.13636363636374</v>
      </c>
      <c r="K10" s="14">
        <f t="shared" si="3"/>
        <v>619.73863636363649</v>
      </c>
      <c r="L10" s="14">
        <f t="shared" si="4"/>
        <v>119.18050699300701</v>
      </c>
      <c r="M10" s="15">
        <f t="shared" si="5"/>
        <v>189</v>
      </c>
      <c r="N10" s="14">
        <f t="shared" si="6"/>
        <v>1911</v>
      </c>
      <c r="O10" s="14">
        <f t="shared" si="7"/>
        <v>840</v>
      </c>
      <c r="P10" s="14">
        <f t="shared" si="8"/>
        <v>142.80000000000001</v>
      </c>
      <c r="Q10" s="27">
        <f t="shared" si="9"/>
        <v>7.4999999999999997E-2</v>
      </c>
      <c r="R10" s="14">
        <f t="shared" si="10"/>
        <v>0.52499999999997726</v>
      </c>
      <c r="S10" s="14">
        <f t="shared" si="11"/>
        <v>0</v>
      </c>
      <c r="T10" s="14">
        <f t="shared" si="12"/>
        <v>126</v>
      </c>
      <c r="U10" s="14">
        <f t="shared" si="13"/>
        <v>390</v>
      </c>
      <c r="V10" s="14">
        <f t="shared" si="14"/>
        <v>78</v>
      </c>
      <c r="W10" s="14">
        <f t="shared" si="15"/>
        <v>1605.3941433566433</v>
      </c>
      <c r="X10" s="16"/>
      <c r="Z10" s="37" t="s">
        <v>11</v>
      </c>
      <c r="AA10" s="37" t="s">
        <v>12</v>
      </c>
      <c r="AB10" s="37" t="s">
        <v>13</v>
      </c>
      <c r="AC10" s="37" t="s">
        <v>30</v>
      </c>
    </row>
    <row r="11" spans="1:29" x14ac:dyDescent="0.25">
      <c r="A11" s="11">
        <f t="shared" si="16"/>
        <v>8</v>
      </c>
      <c r="B11" s="12" t="s">
        <v>26</v>
      </c>
      <c r="C11" s="12" t="s">
        <v>27</v>
      </c>
      <c r="D11" s="13">
        <v>180</v>
      </c>
      <c r="E11" s="13">
        <v>2</v>
      </c>
      <c r="F11" s="14">
        <v>2600</v>
      </c>
      <c r="G11" s="14">
        <f t="shared" si="0"/>
        <v>14.444444444444445</v>
      </c>
      <c r="H11" s="43">
        <v>0.81458333333333299</v>
      </c>
      <c r="I11" s="14">
        <f t="shared" si="1"/>
        <v>423.58333333333314</v>
      </c>
      <c r="J11" s="14">
        <f t="shared" si="2"/>
        <v>564.77777777777749</v>
      </c>
      <c r="K11" s="14">
        <f t="shared" si="3"/>
        <v>988.36111111111063</v>
      </c>
      <c r="L11" s="14">
        <f t="shared" si="4"/>
        <v>190.06944444444434</v>
      </c>
      <c r="M11" s="15">
        <f t="shared" si="5"/>
        <v>286</v>
      </c>
      <c r="N11" s="14">
        <f t="shared" si="6"/>
        <v>1954.58</v>
      </c>
      <c r="O11" s="14">
        <f t="shared" si="7"/>
        <v>1040</v>
      </c>
      <c r="P11" s="14">
        <f t="shared" si="8"/>
        <v>142.80000000000001</v>
      </c>
      <c r="Q11" s="27">
        <f t="shared" si="9"/>
        <v>7.4999999999999997E-2</v>
      </c>
      <c r="R11" s="14">
        <f t="shared" si="10"/>
        <v>3.7934999999999661</v>
      </c>
      <c r="S11" s="14">
        <f t="shared" si="11"/>
        <v>0</v>
      </c>
      <c r="T11" s="14">
        <f t="shared" si="12"/>
        <v>156</v>
      </c>
      <c r="U11" s="14">
        <f t="shared" si="13"/>
        <v>390</v>
      </c>
      <c r="V11" s="14">
        <f t="shared" si="14"/>
        <v>78</v>
      </c>
      <c r="W11" s="14">
        <f t="shared" si="15"/>
        <v>2214.637055555555</v>
      </c>
      <c r="X11" s="16"/>
      <c r="Z11" s="1">
        <v>0</v>
      </c>
      <c r="AA11" s="1">
        <v>1903.98</v>
      </c>
      <c r="AB11" s="6">
        <v>0</v>
      </c>
      <c r="AC11" s="4">
        <v>0</v>
      </c>
    </row>
    <row r="12" spans="1:29" x14ac:dyDescent="0.25">
      <c r="A12" s="11">
        <f t="shared" si="16"/>
        <v>9</v>
      </c>
      <c r="B12" s="12" t="s">
        <v>28</v>
      </c>
      <c r="C12" s="12" t="s">
        <v>25</v>
      </c>
      <c r="D12" s="13">
        <v>220</v>
      </c>
      <c r="E12" s="13">
        <v>1</v>
      </c>
      <c r="F12" s="14">
        <v>3350</v>
      </c>
      <c r="G12" s="14">
        <f t="shared" si="0"/>
        <v>15.227272727272727</v>
      </c>
      <c r="H12" s="43">
        <v>0.85624999999999996</v>
      </c>
      <c r="I12" s="14">
        <f t="shared" si="1"/>
        <v>469.38068181818176</v>
      </c>
      <c r="J12" s="14">
        <f t="shared" si="2"/>
        <v>625.84090909090901</v>
      </c>
      <c r="K12" s="14">
        <f t="shared" si="3"/>
        <v>1095.2215909090908</v>
      </c>
      <c r="L12" s="14">
        <f t="shared" si="4"/>
        <v>210.61953671328669</v>
      </c>
      <c r="M12" s="15">
        <f t="shared" si="5"/>
        <v>368.5</v>
      </c>
      <c r="N12" s="14">
        <f t="shared" si="6"/>
        <v>2801.79</v>
      </c>
      <c r="O12" s="14">
        <f t="shared" si="7"/>
        <v>1340</v>
      </c>
      <c r="P12" s="14">
        <f t="shared" si="8"/>
        <v>142.80000000000001</v>
      </c>
      <c r="Q12" s="27">
        <f t="shared" si="9"/>
        <v>7.4999999999999997E-2</v>
      </c>
      <c r="R12" s="14">
        <f t="shared" si="10"/>
        <v>67.334249999999969</v>
      </c>
      <c r="S12" s="14">
        <f t="shared" si="11"/>
        <v>0</v>
      </c>
      <c r="T12" s="14">
        <f t="shared" si="12"/>
        <v>201</v>
      </c>
      <c r="U12" s="14">
        <f t="shared" si="13"/>
        <v>390</v>
      </c>
      <c r="V12" s="14">
        <f t="shared" si="14"/>
        <v>78</v>
      </c>
      <c r="W12" s="14">
        <f t="shared" si="15"/>
        <v>2601.0068776223779</v>
      </c>
      <c r="X12" s="16"/>
      <c r="Z12" s="1">
        <f>AA11+0.01</f>
        <v>1903.99</v>
      </c>
      <c r="AA12" s="1">
        <v>2826.65</v>
      </c>
      <c r="AB12" s="6">
        <v>7.4999999999999997E-2</v>
      </c>
      <c r="AC12" s="4">
        <v>142.80000000000001</v>
      </c>
    </row>
    <row r="13" spans="1:29" x14ac:dyDescent="0.25">
      <c r="A13" s="11">
        <f t="shared" si="16"/>
        <v>10</v>
      </c>
      <c r="B13" s="12" t="s">
        <v>29</v>
      </c>
      <c r="C13" s="12" t="s">
        <v>25</v>
      </c>
      <c r="D13" s="13">
        <v>180</v>
      </c>
      <c r="E13" s="13">
        <v>0</v>
      </c>
      <c r="F13" s="14">
        <v>3500</v>
      </c>
      <c r="G13" s="14">
        <f t="shared" si="0"/>
        <v>19.444444444444443</v>
      </c>
      <c r="H13" s="43">
        <v>0.89791666666666703</v>
      </c>
      <c r="I13" s="14">
        <f t="shared" si="1"/>
        <v>628.54166666666686</v>
      </c>
      <c r="J13" s="14">
        <f t="shared" si="2"/>
        <v>838.05555555555577</v>
      </c>
      <c r="K13" s="14">
        <f t="shared" si="3"/>
        <v>1466.5972222222226</v>
      </c>
      <c r="L13" s="14">
        <f t="shared" si="4"/>
        <v>282.03792735042742</v>
      </c>
      <c r="M13" s="15">
        <f t="shared" si="5"/>
        <v>385</v>
      </c>
      <c r="N13" s="14">
        <f t="shared" si="6"/>
        <v>3115</v>
      </c>
      <c r="O13" s="14">
        <f t="shared" si="7"/>
        <v>1400</v>
      </c>
      <c r="P13" s="14">
        <f t="shared" si="8"/>
        <v>354.8</v>
      </c>
      <c r="Q13" s="27">
        <f t="shared" si="9"/>
        <v>0.15</v>
      </c>
      <c r="R13" s="14">
        <f t="shared" si="10"/>
        <v>112.44999999999999</v>
      </c>
      <c r="S13" s="14">
        <f t="shared" si="11"/>
        <v>0</v>
      </c>
      <c r="T13" s="14">
        <f t="shared" si="12"/>
        <v>210</v>
      </c>
      <c r="U13" s="14">
        <f t="shared" si="13"/>
        <v>390</v>
      </c>
      <c r="V13" s="14">
        <f t="shared" si="14"/>
        <v>78</v>
      </c>
      <c r="W13" s="14">
        <f t="shared" si="15"/>
        <v>3063.1851495726505</v>
      </c>
      <c r="X13" s="16"/>
      <c r="Z13" s="1">
        <f>AA12+0.01</f>
        <v>2826.6600000000003</v>
      </c>
      <c r="AA13" s="1">
        <v>3751.05</v>
      </c>
      <c r="AB13" s="6">
        <v>0.15</v>
      </c>
      <c r="AC13" s="4">
        <v>354.8</v>
      </c>
    </row>
    <row r="14" spans="1:29" x14ac:dyDescent="0.25">
      <c r="A14" s="11">
        <f t="shared" si="16"/>
        <v>11</v>
      </c>
      <c r="B14" s="12" t="s">
        <v>31</v>
      </c>
      <c r="C14" s="12" t="s">
        <v>27</v>
      </c>
      <c r="D14" s="13">
        <v>220</v>
      </c>
      <c r="E14" s="13">
        <v>0</v>
      </c>
      <c r="F14" s="14">
        <v>3700</v>
      </c>
      <c r="G14" s="14">
        <f t="shared" si="0"/>
        <v>16.818181818181817</v>
      </c>
      <c r="H14" s="43">
        <v>0.93958333333333299</v>
      </c>
      <c r="I14" s="14">
        <f t="shared" si="1"/>
        <v>568.87499999999966</v>
      </c>
      <c r="J14" s="14">
        <f t="shared" si="2"/>
        <v>758.49999999999955</v>
      </c>
      <c r="K14" s="14">
        <f t="shared" si="3"/>
        <v>1327.3749999999991</v>
      </c>
      <c r="L14" s="14">
        <f t="shared" si="4"/>
        <v>255.2644230769229</v>
      </c>
      <c r="M14" s="15">
        <f t="shared" si="5"/>
        <v>407</v>
      </c>
      <c r="N14" s="14">
        <f t="shared" si="6"/>
        <v>3293</v>
      </c>
      <c r="O14" s="14">
        <f t="shared" si="7"/>
        <v>1480</v>
      </c>
      <c r="P14" s="14">
        <f t="shared" si="8"/>
        <v>354.8</v>
      </c>
      <c r="Q14" s="27">
        <f t="shared" si="9"/>
        <v>0.15</v>
      </c>
      <c r="R14" s="14">
        <f t="shared" si="10"/>
        <v>139.14999999999998</v>
      </c>
      <c r="S14" s="14">
        <f t="shared" si="11"/>
        <v>0</v>
      </c>
      <c r="T14" s="14">
        <f t="shared" si="12"/>
        <v>222</v>
      </c>
      <c r="U14" s="14">
        <f t="shared" si="13"/>
        <v>390</v>
      </c>
      <c r="V14" s="14">
        <f t="shared" si="14"/>
        <v>78</v>
      </c>
      <c r="W14" s="14">
        <f t="shared" si="15"/>
        <v>2956.4894230769219</v>
      </c>
      <c r="X14" s="16"/>
      <c r="Z14" s="1">
        <f>AA13+0.01</f>
        <v>3751.0600000000004</v>
      </c>
      <c r="AA14" s="1">
        <v>4664.68</v>
      </c>
      <c r="AB14" s="6">
        <v>0.22500000000000001</v>
      </c>
      <c r="AC14" s="4">
        <v>636.13</v>
      </c>
    </row>
    <row r="15" spans="1:29" x14ac:dyDescent="0.25">
      <c r="A15" s="11">
        <f t="shared" si="16"/>
        <v>12</v>
      </c>
      <c r="B15" s="12" t="s">
        <v>32</v>
      </c>
      <c r="C15" s="12" t="s">
        <v>27</v>
      </c>
      <c r="D15" s="13">
        <v>180</v>
      </c>
      <c r="E15" s="13">
        <v>0</v>
      </c>
      <c r="F15" s="14">
        <v>4200</v>
      </c>
      <c r="G15" s="14">
        <f t="shared" si="0"/>
        <v>23.333333333333332</v>
      </c>
      <c r="H15" s="43">
        <v>0.98124999999999996</v>
      </c>
      <c r="I15" s="14">
        <f t="shared" si="1"/>
        <v>824.24999999999977</v>
      </c>
      <c r="J15" s="14">
        <f t="shared" si="2"/>
        <v>1098.9999999999998</v>
      </c>
      <c r="K15" s="14">
        <f t="shared" si="3"/>
        <v>1923.2499999999995</v>
      </c>
      <c r="L15" s="14">
        <f t="shared" si="4"/>
        <v>369.85576923076911</v>
      </c>
      <c r="M15" s="15">
        <f t="shared" si="5"/>
        <v>462</v>
      </c>
      <c r="N15" s="14">
        <f t="shared" si="6"/>
        <v>3738</v>
      </c>
      <c r="O15" s="14">
        <f t="shared" si="7"/>
        <v>1680</v>
      </c>
      <c r="P15" s="14">
        <f t="shared" si="8"/>
        <v>354.8</v>
      </c>
      <c r="Q15" s="27">
        <f t="shared" si="9"/>
        <v>0.15</v>
      </c>
      <c r="R15" s="14">
        <f t="shared" si="10"/>
        <v>205.89999999999992</v>
      </c>
      <c r="S15" s="14">
        <f t="shared" si="11"/>
        <v>0</v>
      </c>
      <c r="T15" s="14">
        <f t="shared" si="12"/>
        <v>252</v>
      </c>
      <c r="U15" s="14">
        <f t="shared" si="13"/>
        <v>390</v>
      </c>
      <c r="V15" s="14">
        <f t="shared" si="14"/>
        <v>78</v>
      </c>
      <c r="W15" s="14">
        <f t="shared" si="15"/>
        <v>3815.2057692307694</v>
      </c>
      <c r="X15" s="16"/>
      <c r="Z15" s="1">
        <f>AA14+0.01</f>
        <v>4664.6900000000005</v>
      </c>
      <c r="AA15" s="1" t="s">
        <v>36</v>
      </c>
      <c r="AB15" s="6">
        <v>0.27500000000000002</v>
      </c>
      <c r="AC15" s="4">
        <v>869.36</v>
      </c>
    </row>
    <row r="16" spans="1:29" x14ac:dyDescent="0.25">
      <c r="A16" s="11">
        <f t="shared" si="16"/>
        <v>13</v>
      </c>
      <c r="B16" s="12" t="s">
        <v>33</v>
      </c>
      <c r="C16" s="12" t="s">
        <v>18</v>
      </c>
      <c r="D16" s="13">
        <v>220</v>
      </c>
      <c r="E16" s="13">
        <v>1</v>
      </c>
      <c r="F16" s="14">
        <v>850</v>
      </c>
      <c r="G16" s="14">
        <f t="shared" si="0"/>
        <v>3.8636363636363638</v>
      </c>
      <c r="H16" s="43">
        <v>1.02291666666667</v>
      </c>
      <c r="I16" s="14">
        <f t="shared" si="1"/>
        <v>3.1875000000004676</v>
      </c>
      <c r="J16" s="14">
        <f t="shared" si="2"/>
        <v>4.2500000000006235</v>
      </c>
      <c r="K16" s="14">
        <f t="shared" si="3"/>
        <v>7.4375000000010907</v>
      </c>
      <c r="L16" s="14">
        <f t="shared" si="4"/>
        <v>1.4302884615386713</v>
      </c>
      <c r="M16" s="15">
        <f t="shared" si="5"/>
        <v>68</v>
      </c>
      <c r="N16" s="14">
        <f t="shared" si="6"/>
        <v>602.29</v>
      </c>
      <c r="O16" s="14">
        <f t="shared" si="7"/>
        <v>340</v>
      </c>
      <c r="P16" s="14">
        <f t="shared" si="8"/>
        <v>0</v>
      </c>
      <c r="Q16" s="27">
        <f t="shared" si="9"/>
        <v>0</v>
      </c>
      <c r="R16" s="14">
        <f t="shared" si="10"/>
        <v>0</v>
      </c>
      <c r="S16" s="14">
        <f t="shared" si="11"/>
        <v>26.2</v>
      </c>
      <c r="T16" s="14">
        <f t="shared" si="12"/>
        <v>51</v>
      </c>
      <c r="U16" s="14">
        <f t="shared" si="13"/>
        <v>390</v>
      </c>
      <c r="V16" s="14">
        <f t="shared" si="14"/>
        <v>78</v>
      </c>
      <c r="W16" s="14">
        <f t="shared" si="15"/>
        <v>348.06778846153986</v>
      </c>
      <c r="X16" s="16"/>
      <c r="Z16" s="7"/>
      <c r="AA16" s="7"/>
      <c r="AB16" s="7"/>
      <c r="AC16" s="8"/>
    </row>
    <row r="17" spans="1:29" x14ac:dyDescent="0.25">
      <c r="A17" s="11">
        <f t="shared" si="16"/>
        <v>14</v>
      </c>
      <c r="B17" s="12" t="s">
        <v>34</v>
      </c>
      <c r="C17" s="12" t="s">
        <v>20</v>
      </c>
      <c r="D17" s="13">
        <v>180</v>
      </c>
      <c r="E17" s="13">
        <v>1</v>
      </c>
      <c r="F17" s="14">
        <v>910</v>
      </c>
      <c r="G17" s="14">
        <f t="shared" si="0"/>
        <v>5.0555555555555554</v>
      </c>
      <c r="H17" s="43">
        <v>1.0645833333333301</v>
      </c>
      <c r="I17" s="14">
        <f t="shared" si="1"/>
        <v>11.75416666666608</v>
      </c>
      <c r="J17" s="14">
        <f t="shared" si="2"/>
        <v>15.672222222221439</v>
      </c>
      <c r="K17" s="14">
        <f t="shared" si="3"/>
        <v>27.426388888887519</v>
      </c>
      <c r="L17" s="14">
        <f t="shared" si="4"/>
        <v>5.2743055555552925</v>
      </c>
      <c r="M17" s="15">
        <f t="shared" si="5"/>
        <v>72.8</v>
      </c>
      <c r="N17" s="14">
        <f t="shared" si="6"/>
        <v>657.49</v>
      </c>
      <c r="O17" s="14">
        <f t="shared" si="7"/>
        <v>364</v>
      </c>
      <c r="P17" s="14">
        <f t="shared" si="8"/>
        <v>0</v>
      </c>
      <c r="Q17" s="27">
        <f t="shared" si="9"/>
        <v>0</v>
      </c>
      <c r="R17" s="14">
        <f t="shared" si="10"/>
        <v>0</v>
      </c>
      <c r="S17" s="14">
        <f t="shared" si="11"/>
        <v>26.2</v>
      </c>
      <c r="T17" s="14">
        <f t="shared" si="12"/>
        <v>54.6</v>
      </c>
      <c r="U17" s="14">
        <f t="shared" si="13"/>
        <v>390</v>
      </c>
      <c r="V17" s="14">
        <f t="shared" si="14"/>
        <v>78</v>
      </c>
      <c r="W17" s="14">
        <f t="shared" si="15"/>
        <v>399.50069444444284</v>
      </c>
      <c r="X17" s="16"/>
      <c r="Z17" s="2"/>
      <c r="AA17" s="2"/>
      <c r="AB17" s="2"/>
      <c r="AC17" s="2"/>
    </row>
    <row r="18" spans="1:29" x14ac:dyDescent="0.25">
      <c r="A18" s="11">
        <f t="shared" si="16"/>
        <v>15</v>
      </c>
      <c r="B18" s="12" t="s">
        <v>35</v>
      </c>
      <c r="C18" s="12" t="s">
        <v>22</v>
      </c>
      <c r="D18" s="13">
        <v>220</v>
      </c>
      <c r="E18" s="13">
        <v>1</v>
      </c>
      <c r="F18" s="14">
        <v>1000</v>
      </c>
      <c r="G18" s="14">
        <f t="shared" si="0"/>
        <v>4.5454545454545459</v>
      </c>
      <c r="H18" s="43">
        <v>1.10625</v>
      </c>
      <c r="I18" s="14">
        <f t="shared" si="1"/>
        <v>17.38636363636363</v>
      </c>
      <c r="J18" s="14">
        <f t="shared" si="2"/>
        <v>23.181818181818173</v>
      </c>
      <c r="K18" s="14">
        <f t="shared" si="3"/>
        <v>40.568181818181799</v>
      </c>
      <c r="L18" s="14">
        <f t="shared" si="4"/>
        <v>7.8015734265734231</v>
      </c>
      <c r="M18" s="15">
        <f t="shared" si="5"/>
        <v>80</v>
      </c>
      <c r="N18" s="14">
        <f t="shared" si="6"/>
        <v>740.29</v>
      </c>
      <c r="O18" s="14">
        <f t="shared" si="7"/>
        <v>400</v>
      </c>
      <c r="P18" s="14">
        <f t="shared" si="8"/>
        <v>0</v>
      </c>
      <c r="Q18" s="27">
        <f t="shared" si="9"/>
        <v>0</v>
      </c>
      <c r="R18" s="14">
        <f t="shared" si="10"/>
        <v>0</v>
      </c>
      <c r="S18" s="14">
        <f t="shared" si="11"/>
        <v>26.2</v>
      </c>
      <c r="T18" s="14">
        <f t="shared" si="12"/>
        <v>60</v>
      </c>
      <c r="U18" s="14">
        <f t="shared" si="13"/>
        <v>390</v>
      </c>
      <c r="V18" s="14">
        <f t="shared" si="14"/>
        <v>78</v>
      </c>
      <c r="W18" s="14">
        <f t="shared" si="15"/>
        <v>456.56975524475524</v>
      </c>
      <c r="X18" s="16"/>
      <c r="Z18" s="52" t="s">
        <v>41</v>
      </c>
      <c r="AA18" s="53"/>
      <c r="AB18" s="54"/>
      <c r="AC18" s="4">
        <v>179.71</v>
      </c>
    </row>
    <row r="19" spans="1:29" x14ac:dyDescent="0.25">
      <c r="A19" s="11">
        <f t="shared" si="16"/>
        <v>16</v>
      </c>
      <c r="B19" s="12" t="s">
        <v>37</v>
      </c>
      <c r="C19" s="12" t="s">
        <v>16</v>
      </c>
      <c r="D19" s="13">
        <v>180</v>
      </c>
      <c r="E19" s="17">
        <v>1</v>
      </c>
      <c r="F19" s="14">
        <v>1100</v>
      </c>
      <c r="G19" s="14">
        <f t="shared" si="0"/>
        <v>6.1111111111111107</v>
      </c>
      <c r="H19" s="43">
        <v>1.14791666666667</v>
      </c>
      <c r="I19" s="14">
        <f t="shared" si="1"/>
        <v>32.541666666667403</v>
      </c>
      <c r="J19" s="14">
        <f t="shared" si="2"/>
        <v>43.388888888889873</v>
      </c>
      <c r="K19" s="14">
        <f t="shared" si="3"/>
        <v>75.930555555557277</v>
      </c>
      <c r="L19" s="14">
        <f t="shared" si="4"/>
        <v>14.602029914530245</v>
      </c>
      <c r="M19" s="15">
        <f t="shared" si="5"/>
        <v>88</v>
      </c>
      <c r="N19" s="14">
        <f t="shared" si="6"/>
        <v>832.29</v>
      </c>
      <c r="O19" s="14">
        <f t="shared" si="7"/>
        <v>440</v>
      </c>
      <c r="P19" s="14">
        <f t="shared" si="8"/>
        <v>0</v>
      </c>
      <c r="Q19" s="27">
        <f t="shared" si="9"/>
        <v>0</v>
      </c>
      <c r="R19" s="14">
        <f t="shared" si="10"/>
        <v>0</v>
      </c>
      <c r="S19" s="14">
        <f t="shared" si="11"/>
        <v>0</v>
      </c>
      <c r="T19" s="14">
        <f t="shared" si="12"/>
        <v>66</v>
      </c>
      <c r="U19" s="14">
        <f t="shared" si="13"/>
        <v>390</v>
      </c>
      <c r="V19" s="14">
        <f t="shared" si="14"/>
        <v>78</v>
      </c>
      <c r="W19" s="14">
        <f t="shared" si="15"/>
        <v>518.5325854700875</v>
      </c>
      <c r="X19" s="16"/>
    </row>
    <row r="20" spans="1:29" x14ac:dyDescent="0.25">
      <c r="A20" s="11">
        <f t="shared" si="16"/>
        <v>17</v>
      </c>
      <c r="B20" s="12" t="s">
        <v>38</v>
      </c>
      <c r="C20" s="12" t="s">
        <v>10</v>
      </c>
      <c r="D20" s="13">
        <v>220</v>
      </c>
      <c r="E20" s="17">
        <v>1</v>
      </c>
      <c r="F20" s="14">
        <v>1690</v>
      </c>
      <c r="G20" s="14">
        <f t="shared" si="0"/>
        <v>7.6818181818181817</v>
      </c>
      <c r="H20" s="43">
        <v>1.1895833333333301</v>
      </c>
      <c r="I20" s="14">
        <f t="shared" si="1"/>
        <v>52.428409090908197</v>
      </c>
      <c r="J20" s="14">
        <f t="shared" si="2"/>
        <v>69.904545454544262</v>
      </c>
      <c r="K20" s="14">
        <f t="shared" si="3"/>
        <v>122.33295454545245</v>
      </c>
      <c r="L20" s="14">
        <f t="shared" si="4"/>
        <v>23.525568181817778</v>
      </c>
      <c r="M20" s="15">
        <f t="shared" si="5"/>
        <v>152.1</v>
      </c>
      <c r="N20" s="14">
        <f t="shared" si="6"/>
        <v>1358.19</v>
      </c>
      <c r="O20" s="14">
        <f t="shared" si="7"/>
        <v>676</v>
      </c>
      <c r="P20" s="14">
        <f t="shared" si="8"/>
        <v>0</v>
      </c>
      <c r="Q20" s="27">
        <f t="shared" si="9"/>
        <v>0</v>
      </c>
      <c r="R20" s="14">
        <f t="shared" si="10"/>
        <v>0</v>
      </c>
      <c r="S20" s="14">
        <f t="shared" si="11"/>
        <v>0</v>
      </c>
      <c r="T20" s="14">
        <f t="shared" si="12"/>
        <v>101.39999999999999</v>
      </c>
      <c r="U20" s="14">
        <f t="shared" si="13"/>
        <v>390</v>
      </c>
      <c r="V20" s="14">
        <f t="shared" si="14"/>
        <v>78</v>
      </c>
      <c r="W20" s="14">
        <f t="shared" si="15"/>
        <v>828.35852272727016</v>
      </c>
      <c r="X20" s="16"/>
      <c r="Z20" s="49" t="s">
        <v>88</v>
      </c>
      <c r="AA20" s="50"/>
      <c r="AB20" s="50"/>
    </row>
    <row r="21" spans="1:29" x14ac:dyDescent="0.25">
      <c r="A21" s="11">
        <f t="shared" si="16"/>
        <v>18</v>
      </c>
      <c r="B21" s="12" t="s">
        <v>39</v>
      </c>
      <c r="C21" s="12" t="s">
        <v>10</v>
      </c>
      <c r="D21" s="13">
        <v>180</v>
      </c>
      <c r="E21" s="17">
        <v>1</v>
      </c>
      <c r="F21" s="14">
        <v>1700</v>
      </c>
      <c r="G21" s="14">
        <f t="shared" si="0"/>
        <v>9.4444444444444446</v>
      </c>
      <c r="H21" s="43">
        <v>1.23125</v>
      </c>
      <c r="I21" s="14">
        <f t="shared" si="1"/>
        <v>78.624999999999986</v>
      </c>
      <c r="J21" s="14">
        <f t="shared" si="2"/>
        <v>104.83333333333331</v>
      </c>
      <c r="K21" s="14">
        <f t="shared" si="3"/>
        <v>183.45833333333331</v>
      </c>
      <c r="L21" s="14">
        <f t="shared" si="4"/>
        <v>35.280448717948715</v>
      </c>
      <c r="M21" s="15">
        <f t="shared" si="5"/>
        <v>153</v>
      </c>
      <c r="N21" s="14">
        <f t="shared" si="6"/>
        <v>1367.29</v>
      </c>
      <c r="O21" s="14">
        <f t="shared" si="7"/>
        <v>680</v>
      </c>
      <c r="P21" s="14">
        <f t="shared" si="8"/>
        <v>0</v>
      </c>
      <c r="Q21" s="27">
        <f t="shared" si="9"/>
        <v>0</v>
      </c>
      <c r="R21" s="14">
        <f t="shared" si="10"/>
        <v>0</v>
      </c>
      <c r="S21" s="14">
        <f t="shared" si="11"/>
        <v>0</v>
      </c>
      <c r="T21" s="14">
        <f t="shared" si="12"/>
        <v>102</v>
      </c>
      <c r="U21" s="14">
        <f t="shared" si="13"/>
        <v>390</v>
      </c>
      <c r="V21" s="14">
        <f t="shared" si="14"/>
        <v>78</v>
      </c>
      <c r="W21" s="14">
        <f t="shared" si="15"/>
        <v>905.73878205128199</v>
      </c>
      <c r="X21" s="16"/>
      <c r="Z21" s="37" t="s">
        <v>11</v>
      </c>
      <c r="AA21" s="37" t="s">
        <v>12</v>
      </c>
      <c r="AB21" s="37" t="s">
        <v>89</v>
      </c>
    </row>
    <row r="22" spans="1:29" x14ac:dyDescent="0.25">
      <c r="A22" s="11">
        <f t="shared" si="16"/>
        <v>19</v>
      </c>
      <c r="B22" s="12" t="s">
        <v>40</v>
      </c>
      <c r="C22" s="12" t="s">
        <v>16</v>
      </c>
      <c r="D22" s="13">
        <v>220</v>
      </c>
      <c r="E22" s="17">
        <v>1</v>
      </c>
      <c r="F22" s="14">
        <v>2100</v>
      </c>
      <c r="G22" s="14">
        <f t="shared" si="0"/>
        <v>9.545454545454545</v>
      </c>
      <c r="H22" s="43">
        <v>1.27291666666667</v>
      </c>
      <c r="I22" s="14">
        <f t="shared" si="1"/>
        <v>93.784090909092058</v>
      </c>
      <c r="J22" s="14">
        <f t="shared" si="2"/>
        <v>125.04545454545608</v>
      </c>
      <c r="K22" s="14">
        <f t="shared" si="3"/>
        <v>218.82954545454814</v>
      </c>
      <c r="L22" s="14">
        <f t="shared" si="4"/>
        <v>42.082604895105419</v>
      </c>
      <c r="M22" s="15">
        <f t="shared" si="5"/>
        <v>189</v>
      </c>
      <c r="N22" s="14">
        <f t="shared" si="6"/>
        <v>1731.29</v>
      </c>
      <c r="O22" s="14">
        <f t="shared" si="7"/>
        <v>840</v>
      </c>
      <c r="P22" s="14">
        <f t="shared" si="8"/>
        <v>0</v>
      </c>
      <c r="Q22" s="27">
        <f t="shared" si="9"/>
        <v>0</v>
      </c>
      <c r="R22" s="14">
        <f t="shared" si="10"/>
        <v>0</v>
      </c>
      <c r="S22" s="14">
        <f t="shared" si="11"/>
        <v>0</v>
      </c>
      <c r="T22" s="14">
        <f t="shared" si="12"/>
        <v>126</v>
      </c>
      <c r="U22" s="14">
        <f t="shared" si="13"/>
        <v>390</v>
      </c>
      <c r="V22" s="14">
        <f t="shared" si="14"/>
        <v>78</v>
      </c>
      <c r="W22" s="14">
        <f t="shared" si="15"/>
        <v>1127.9121503496535</v>
      </c>
      <c r="X22" s="16"/>
      <c r="Z22" s="1">
        <v>0</v>
      </c>
      <c r="AA22" s="1">
        <v>725.02</v>
      </c>
      <c r="AB22" s="1">
        <v>37.18</v>
      </c>
    </row>
    <row r="23" spans="1:29" x14ac:dyDescent="0.25">
      <c r="A23" s="11">
        <f t="shared" si="16"/>
        <v>20</v>
      </c>
      <c r="B23" s="12" t="s">
        <v>42</v>
      </c>
      <c r="C23" s="12" t="s">
        <v>18</v>
      </c>
      <c r="D23" s="13">
        <v>180</v>
      </c>
      <c r="E23" s="17">
        <v>1</v>
      </c>
      <c r="F23" s="14">
        <v>2600</v>
      </c>
      <c r="G23" s="14">
        <f t="shared" si="0"/>
        <v>14.444444444444445</v>
      </c>
      <c r="H23" s="43">
        <v>1.3145833333333301</v>
      </c>
      <c r="I23" s="14">
        <f t="shared" si="1"/>
        <v>163.58333333333167</v>
      </c>
      <c r="J23" s="14">
        <f t="shared" si="2"/>
        <v>218.11111111110887</v>
      </c>
      <c r="K23" s="14">
        <f t="shared" si="3"/>
        <v>381.69444444444053</v>
      </c>
      <c r="L23" s="14">
        <f t="shared" si="4"/>
        <v>73.402777777777018</v>
      </c>
      <c r="M23" s="15">
        <f t="shared" si="5"/>
        <v>286</v>
      </c>
      <c r="N23" s="14">
        <f t="shared" si="6"/>
        <v>2134.29</v>
      </c>
      <c r="O23" s="14">
        <f t="shared" si="7"/>
        <v>1040</v>
      </c>
      <c r="P23" s="14">
        <f t="shared" si="8"/>
        <v>142.80000000000001</v>
      </c>
      <c r="Q23" s="27">
        <f t="shared" si="9"/>
        <v>7.4999999999999997E-2</v>
      </c>
      <c r="R23" s="14">
        <f t="shared" si="10"/>
        <v>17.271749999999969</v>
      </c>
      <c r="S23" s="14">
        <f t="shared" si="11"/>
        <v>0</v>
      </c>
      <c r="T23" s="14">
        <f t="shared" si="12"/>
        <v>156</v>
      </c>
      <c r="U23" s="14">
        <f t="shared" si="13"/>
        <v>390</v>
      </c>
      <c r="V23" s="14">
        <f t="shared" si="14"/>
        <v>78</v>
      </c>
      <c r="W23" s="14">
        <f t="shared" si="15"/>
        <v>1477.8254722222177</v>
      </c>
      <c r="X23" s="16"/>
      <c r="Z23" s="1">
        <f>AA22+0.01</f>
        <v>725.03</v>
      </c>
      <c r="AA23" s="1">
        <v>1089.72</v>
      </c>
      <c r="AB23" s="1">
        <v>26.2</v>
      </c>
    </row>
    <row r="24" spans="1:29" x14ac:dyDescent="0.25">
      <c r="A24" s="11">
        <f t="shared" si="16"/>
        <v>21</v>
      </c>
      <c r="B24" s="12" t="s">
        <v>43</v>
      </c>
      <c r="C24" s="12" t="s">
        <v>20</v>
      </c>
      <c r="D24" s="13">
        <v>220</v>
      </c>
      <c r="E24" s="17">
        <v>1</v>
      </c>
      <c r="F24" s="14">
        <v>3350</v>
      </c>
      <c r="G24" s="14">
        <f t="shared" si="0"/>
        <v>15.227272727272727</v>
      </c>
      <c r="H24" s="43">
        <v>1.35625</v>
      </c>
      <c r="I24" s="14">
        <f t="shared" si="1"/>
        <v>195.28977272727269</v>
      </c>
      <c r="J24" s="14">
        <f t="shared" si="2"/>
        <v>260.38636363636357</v>
      </c>
      <c r="K24" s="14">
        <f t="shared" si="3"/>
        <v>455.67613636363626</v>
      </c>
      <c r="L24" s="14">
        <f t="shared" si="4"/>
        <v>87.630026223776198</v>
      </c>
      <c r="M24" s="15">
        <f t="shared" si="5"/>
        <v>368.5</v>
      </c>
      <c r="N24" s="14">
        <f t="shared" si="6"/>
        <v>2801.79</v>
      </c>
      <c r="O24" s="14">
        <f t="shared" si="7"/>
        <v>1340</v>
      </c>
      <c r="P24" s="14">
        <f t="shared" si="8"/>
        <v>142.80000000000001</v>
      </c>
      <c r="Q24" s="27">
        <f t="shared" si="9"/>
        <v>7.4999999999999997E-2</v>
      </c>
      <c r="R24" s="14">
        <f t="shared" si="10"/>
        <v>67.334249999999969</v>
      </c>
      <c r="S24" s="14">
        <f t="shared" si="11"/>
        <v>0</v>
      </c>
      <c r="T24" s="14">
        <f t="shared" si="12"/>
        <v>201</v>
      </c>
      <c r="U24" s="14">
        <f t="shared" si="13"/>
        <v>390</v>
      </c>
      <c r="V24" s="14">
        <f t="shared" si="14"/>
        <v>78</v>
      </c>
      <c r="W24" s="14">
        <f t="shared" si="15"/>
        <v>1838.4719125874121</v>
      </c>
      <c r="X24" s="16"/>
    </row>
    <row r="25" spans="1:29" x14ac:dyDescent="0.25">
      <c r="A25" s="11">
        <f t="shared" si="16"/>
        <v>22</v>
      </c>
      <c r="B25" s="12" t="s">
        <v>44</v>
      </c>
      <c r="C25" s="12" t="s">
        <v>22</v>
      </c>
      <c r="D25" s="13">
        <v>180</v>
      </c>
      <c r="E25" s="17">
        <v>1</v>
      </c>
      <c r="F25" s="14">
        <v>3500</v>
      </c>
      <c r="G25" s="14">
        <f t="shared" si="0"/>
        <v>19.444444444444443</v>
      </c>
      <c r="H25" s="43">
        <v>1.39791666666667</v>
      </c>
      <c r="I25" s="14">
        <f t="shared" si="1"/>
        <v>278.54166666666902</v>
      </c>
      <c r="J25" s="14">
        <f t="shared" si="2"/>
        <v>371.38888888889198</v>
      </c>
      <c r="K25" s="14">
        <f t="shared" si="3"/>
        <v>649.930555555561</v>
      </c>
      <c r="L25" s="14">
        <f t="shared" si="4"/>
        <v>124.98664529914635</v>
      </c>
      <c r="M25" s="15">
        <f t="shared" si="5"/>
        <v>385</v>
      </c>
      <c r="N25" s="14">
        <f t="shared" si="6"/>
        <v>2935.29</v>
      </c>
      <c r="O25" s="14">
        <f t="shared" si="7"/>
        <v>1400</v>
      </c>
      <c r="P25" s="14">
        <f t="shared" si="8"/>
        <v>354.8</v>
      </c>
      <c r="Q25" s="27">
        <f t="shared" si="9"/>
        <v>0.15</v>
      </c>
      <c r="R25" s="14">
        <f t="shared" si="10"/>
        <v>85.493499999999983</v>
      </c>
      <c r="S25" s="14">
        <f t="shared" si="11"/>
        <v>0</v>
      </c>
      <c r="T25" s="14">
        <f t="shared" si="12"/>
        <v>210</v>
      </c>
      <c r="U25" s="14">
        <f t="shared" si="13"/>
        <v>390</v>
      </c>
      <c r="V25" s="14">
        <f t="shared" si="14"/>
        <v>78</v>
      </c>
      <c r="W25" s="14">
        <f t="shared" si="15"/>
        <v>2116.4237008547075</v>
      </c>
      <c r="X25" s="16"/>
      <c r="Z25" s="52" t="s">
        <v>90</v>
      </c>
      <c r="AA25" s="53"/>
      <c r="AB25" s="54"/>
      <c r="AC25" s="4">
        <v>15</v>
      </c>
    </row>
    <row r="26" spans="1:29" x14ac:dyDescent="0.25">
      <c r="A26" s="11">
        <f t="shared" si="16"/>
        <v>23</v>
      </c>
      <c r="B26" s="12" t="s">
        <v>45</v>
      </c>
      <c r="C26" s="12" t="s">
        <v>25</v>
      </c>
      <c r="D26" s="13">
        <v>220</v>
      </c>
      <c r="E26" s="17">
        <v>1</v>
      </c>
      <c r="F26" s="14">
        <v>3700</v>
      </c>
      <c r="G26" s="14">
        <f t="shared" si="0"/>
        <v>16.818181818181817</v>
      </c>
      <c r="H26" s="43">
        <v>1.4395833333333301</v>
      </c>
      <c r="I26" s="14">
        <f t="shared" si="1"/>
        <v>266.14772727272526</v>
      </c>
      <c r="J26" s="14">
        <f t="shared" si="2"/>
        <v>354.8636363636337</v>
      </c>
      <c r="K26" s="14">
        <f t="shared" si="3"/>
        <v>621.01136363635896</v>
      </c>
      <c r="L26" s="14">
        <f t="shared" si="4"/>
        <v>119.42526223776134</v>
      </c>
      <c r="M26" s="15">
        <f t="shared" si="5"/>
        <v>407</v>
      </c>
      <c r="N26" s="14">
        <f t="shared" si="6"/>
        <v>3113.29</v>
      </c>
      <c r="O26" s="14">
        <f t="shared" si="7"/>
        <v>1480</v>
      </c>
      <c r="P26" s="14">
        <f t="shared" si="8"/>
        <v>354.8</v>
      </c>
      <c r="Q26" s="27">
        <f t="shared" si="9"/>
        <v>0.15</v>
      </c>
      <c r="R26" s="14">
        <f t="shared" si="10"/>
        <v>112.19349999999997</v>
      </c>
      <c r="S26" s="14">
        <f t="shared" si="11"/>
        <v>0</v>
      </c>
      <c r="T26" s="14">
        <f t="shared" si="12"/>
        <v>222</v>
      </c>
      <c r="U26" s="14">
        <f t="shared" si="13"/>
        <v>390</v>
      </c>
      <c r="V26" s="14">
        <f t="shared" si="14"/>
        <v>78</v>
      </c>
      <c r="W26" s="14">
        <f t="shared" si="15"/>
        <v>2141.2431258741203</v>
      </c>
      <c r="X26" s="16"/>
    </row>
    <row r="27" spans="1:29" x14ac:dyDescent="0.25">
      <c r="A27" s="11">
        <f t="shared" si="16"/>
        <v>24</v>
      </c>
      <c r="B27" s="12" t="s">
        <v>46</v>
      </c>
      <c r="C27" s="12" t="s">
        <v>27</v>
      </c>
      <c r="D27" s="13">
        <v>180</v>
      </c>
      <c r="E27" s="17">
        <v>1</v>
      </c>
      <c r="F27" s="14">
        <v>4200</v>
      </c>
      <c r="G27" s="14">
        <f t="shared" si="0"/>
        <v>23.333333333333332</v>
      </c>
      <c r="H27" s="43">
        <v>1.48125</v>
      </c>
      <c r="I27" s="14">
        <f t="shared" si="1"/>
        <v>404.24999999999989</v>
      </c>
      <c r="J27" s="14">
        <f t="shared" si="2"/>
        <v>538.99999999999989</v>
      </c>
      <c r="K27" s="14">
        <f t="shared" si="3"/>
        <v>943.24999999999977</v>
      </c>
      <c r="L27" s="14">
        <f t="shared" si="4"/>
        <v>181.39423076923072</v>
      </c>
      <c r="M27" s="15">
        <f t="shared" si="5"/>
        <v>462</v>
      </c>
      <c r="N27" s="14">
        <f t="shared" si="6"/>
        <v>3558.29</v>
      </c>
      <c r="O27" s="14">
        <f t="shared" si="7"/>
        <v>1680</v>
      </c>
      <c r="P27" s="14">
        <f t="shared" si="8"/>
        <v>354.8</v>
      </c>
      <c r="Q27" s="27">
        <f t="shared" si="9"/>
        <v>0.15</v>
      </c>
      <c r="R27" s="14">
        <f t="shared" si="10"/>
        <v>178.94349999999991</v>
      </c>
      <c r="S27" s="14">
        <f t="shared" si="11"/>
        <v>0</v>
      </c>
      <c r="T27" s="14">
        <f t="shared" si="12"/>
        <v>252</v>
      </c>
      <c r="U27" s="14">
        <f t="shared" si="13"/>
        <v>390</v>
      </c>
      <c r="V27" s="14">
        <f t="shared" si="14"/>
        <v>78</v>
      </c>
      <c r="W27" s="14">
        <f t="shared" si="15"/>
        <v>2673.7007307692306</v>
      </c>
      <c r="X27" s="16"/>
    </row>
    <row r="28" spans="1:29" x14ac:dyDescent="0.25">
      <c r="A28" s="11">
        <f t="shared" si="16"/>
        <v>25</v>
      </c>
      <c r="B28" s="12" t="s">
        <v>47</v>
      </c>
      <c r="C28" s="12" t="s">
        <v>25</v>
      </c>
      <c r="D28" s="13">
        <v>220</v>
      </c>
      <c r="E28" s="17">
        <v>2</v>
      </c>
      <c r="F28" s="14">
        <v>850</v>
      </c>
      <c r="G28" s="14">
        <f t="shared" si="0"/>
        <v>3.8636363636363638</v>
      </c>
      <c r="H28" s="43">
        <v>1.52291666666667</v>
      </c>
      <c r="I28" s="14">
        <f t="shared" si="1"/>
        <v>72.732954545455016</v>
      </c>
      <c r="J28" s="14">
        <f t="shared" si="2"/>
        <v>96.977272727273359</v>
      </c>
      <c r="K28" s="14">
        <f t="shared" si="3"/>
        <v>169.71022727272839</v>
      </c>
      <c r="L28" s="14">
        <f t="shared" si="4"/>
        <v>32.636582167832387</v>
      </c>
      <c r="M28" s="15">
        <f t="shared" si="5"/>
        <v>68</v>
      </c>
      <c r="N28" s="14">
        <f t="shared" si="6"/>
        <v>422.58</v>
      </c>
      <c r="O28" s="14">
        <f t="shared" si="7"/>
        <v>340</v>
      </c>
      <c r="P28" s="14">
        <f t="shared" si="8"/>
        <v>0</v>
      </c>
      <c r="Q28" s="27">
        <f t="shared" si="9"/>
        <v>0</v>
      </c>
      <c r="R28" s="14">
        <f t="shared" si="10"/>
        <v>0</v>
      </c>
      <c r="S28" s="14">
        <f t="shared" si="11"/>
        <v>52.4</v>
      </c>
      <c r="T28" s="14">
        <f t="shared" si="12"/>
        <v>51</v>
      </c>
      <c r="U28" s="14">
        <f t="shared" si="13"/>
        <v>390</v>
      </c>
      <c r="V28" s="14">
        <f t="shared" si="14"/>
        <v>78</v>
      </c>
      <c r="W28" s="14">
        <f t="shared" si="15"/>
        <v>567.74680944056081</v>
      </c>
      <c r="X28" s="16"/>
    </row>
    <row r="29" spans="1:29" x14ac:dyDescent="0.25">
      <c r="A29" s="11">
        <f t="shared" si="16"/>
        <v>26</v>
      </c>
      <c r="B29" s="12" t="s">
        <v>48</v>
      </c>
      <c r="C29" s="12" t="s">
        <v>25</v>
      </c>
      <c r="D29" s="13">
        <v>180</v>
      </c>
      <c r="E29" s="17">
        <v>2</v>
      </c>
      <c r="F29" s="14">
        <v>910</v>
      </c>
      <c r="G29" s="14">
        <f t="shared" si="0"/>
        <v>5.0555555555555554</v>
      </c>
      <c r="H29" s="43">
        <v>1.5645833333333301</v>
      </c>
      <c r="I29" s="14">
        <f t="shared" si="1"/>
        <v>102.75416666666607</v>
      </c>
      <c r="J29" s="14">
        <f t="shared" si="2"/>
        <v>137.00555555555476</v>
      </c>
      <c r="K29" s="14">
        <f t="shared" si="3"/>
        <v>239.75972222222083</v>
      </c>
      <c r="L29" s="14">
        <f t="shared" si="4"/>
        <v>46.107638888888623</v>
      </c>
      <c r="M29" s="15">
        <f t="shared" si="5"/>
        <v>72.8</v>
      </c>
      <c r="N29" s="14">
        <f t="shared" si="6"/>
        <v>477.78000000000003</v>
      </c>
      <c r="O29" s="14">
        <f t="shared" si="7"/>
        <v>364</v>
      </c>
      <c r="P29" s="14">
        <f t="shared" si="8"/>
        <v>0</v>
      </c>
      <c r="Q29" s="27">
        <f t="shared" si="9"/>
        <v>0</v>
      </c>
      <c r="R29" s="14">
        <f t="shared" si="10"/>
        <v>0</v>
      </c>
      <c r="S29" s="14">
        <f t="shared" si="11"/>
        <v>52.4</v>
      </c>
      <c r="T29" s="14">
        <f t="shared" si="12"/>
        <v>54.6</v>
      </c>
      <c r="U29" s="14">
        <f t="shared" si="13"/>
        <v>390</v>
      </c>
      <c r="V29" s="14">
        <f t="shared" si="14"/>
        <v>78</v>
      </c>
      <c r="W29" s="14">
        <f t="shared" si="15"/>
        <v>678.8673611111094</v>
      </c>
      <c r="X29" s="16"/>
    </row>
    <row r="30" spans="1:29" x14ac:dyDescent="0.25">
      <c r="A30" s="11">
        <f t="shared" si="16"/>
        <v>27</v>
      </c>
      <c r="B30" s="12" t="s">
        <v>49</v>
      </c>
      <c r="C30" s="12" t="s">
        <v>27</v>
      </c>
      <c r="D30" s="13">
        <v>220</v>
      </c>
      <c r="E30" s="17">
        <v>2</v>
      </c>
      <c r="F30" s="14">
        <v>1000</v>
      </c>
      <c r="G30" s="14">
        <f t="shared" si="0"/>
        <v>4.5454545454545459</v>
      </c>
      <c r="H30" s="43">
        <v>1.60625</v>
      </c>
      <c r="I30" s="14">
        <f t="shared" si="1"/>
        <v>99.204545454545467</v>
      </c>
      <c r="J30" s="14">
        <f t="shared" si="2"/>
        <v>132.27272727272728</v>
      </c>
      <c r="K30" s="14">
        <f t="shared" si="3"/>
        <v>231.47727272727275</v>
      </c>
      <c r="L30" s="14">
        <f t="shared" si="4"/>
        <v>44.51486013986014</v>
      </c>
      <c r="M30" s="15">
        <f t="shared" si="5"/>
        <v>80</v>
      </c>
      <c r="N30" s="14">
        <f t="shared" si="6"/>
        <v>560.57999999999993</v>
      </c>
      <c r="O30" s="14">
        <f t="shared" si="7"/>
        <v>400</v>
      </c>
      <c r="P30" s="14">
        <f t="shared" si="8"/>
        <v>0</v>
      </c>
      <c r="Q30" s="27">
        <f t="shared" si="9"/>
        <v>0</v>
      </c>
      <c r="R30" s="14">
        <f t="shared" si="10"/>
        <v>0</v>
      </c>
      <c r="S30" s="14">
        <f t="shared" si="11"/>
        <v>52.4</v>
      </c>
      <c r="T30" s="14">
        <f t="shared" si="12"/>
        <v>60</v>
      </c>
      <c r="U30" s="14">
        <f t="shared" si="13"/>
        <v>390</v>
      </c>
      <c r="V30" s="14">
        <f t="shared" si="14"/>
        <v>78</v>
      </c>
      <c r="W30" s="14">
        <f t="shared" si="15"/>
        <v>710.39213286713289</v>
      </c>
      <c r="X30" s="16"/>
    </row>
    <row r="31" spans="1:29" x14ac:dyDescent="0.25">
      <c r="A31" s="11">
        <f t="shared" si="16"/>
        <v>28</v>
      </c>
      <c r="B31" s="12" t="s">
        <v>50</v>
      </c>
      <c r="C31" s="12" t="s">
        <v>27</v>
      </c>
      <c r="D31" s="13">
        <v>180</v>
      </c>
      <c r="E31" s="17">
        <v>2</v>
      </c>
      <c r="F31" s="14">
        <v>1100</v>
      </c>
      <c r="G31" s="14">
        <f t="shared" si="0"/>
        <v>6.1111111111111107</v>
      </c>
      <c r="H31" s="43">
        <v>1.64791666666667</v>
      </c>
      <c r="I31" s="14">
        <f t="shared" si="1"/>
        <v>142.5416666666674</v>
      </c>
      <c r="J31" s="14">
        <f t="shared" si="2"/>
        <v>190.05555555555654</v>
      </c>
      <c r="K31" s="14">
        <f t="shared" si="3"/>
        <v>332.59722222222393</v>
      </c>
      <c r="L31" s="14">
        <f t="shared" si="4"/>
        <v>63.961004273504606</v>
      </c>
      <c r="M31" s="15">
        <f t="shared" si="5"/>
        <v>88</v>
      </c>
      <c r="N31" s="14">
        <f t="shared" si="6"/>
        <v>652.57999999999993</v>
      </c>
      <c r="O31" s="14">
        <f t="shared" si="7"/>
        <v>440</v>
      </c>
      <c r="P31" s="14">
        <f t="shared" si="8"/>
        <v>0</v>
      </c>
      <c r="Q31" s="27">
        <f t="shared" si="9"/>
        <v>0</v>
      </c>
      <c r="R31" s="14">
        <f t="shared" si="10"/>
        <v>0</v>
      </c>
      <c r="S31" s="14">
        <f t="shared" si="11"/>
        <v>0</v>
      </c>
      <c r="T31" s="14">
        <f t="shared" si="12"/>
        <v>66</v>
      </c>
      <c r="U31" s="14">
        <f t="shared" si="13"/>
        <v>390</v>
      </c>
      <c r="V31" s="14">
        <f t="shared" si="14"/>
        <v>78</v>
      </c>
      <c r="W31" s="14">
        <f t="shared" si="15"/>
        <v>824.5582264957286</v>
      </c>
      <c r="X31" s="16"/>
    </row>
    <row r="32" spans="1:29" x14ac:dyDescent="0.25">
      <c r="A32" s="11">
        <f t="shared" si="16"/>
        <v>29</v>
      </c>
      <c r="B32" s="12" t="s">
        <v>51</v>
      </c>
      <c r="C32" s="12" t="s">
        <v>18</v>
      </c>
      <c r="D32" s="13">
        <v>220</v>
      </c>
      <c r="E32" s="17">
        <v>2</v>
      </c>
      <c r="F32" s="14">
        <v>1690</v>
      </c>
      <c r="G32" s="14">
        <f t="shared" si="0"/>
        <v>7.6818181818181817</v>
      </c>
      <c r="H32" s="43">
        <v>1.6895833333333301</v>
      </c>
      <c r="I32" s="14">
        <f t="shared" si="1"/>
        <v>190.70113636363547</v>
      </c>
      <c r="J32" s="14">
        <f t="shared" si="2"/>
        <v>254.26818181818064</v>
      </c>
      <c r="K32" s="14">
        <f t="shared" si="3"/>
        <v>444.96931818181611</v>
      </c>
      <c r="L32" s="14">
        <f t="shared" si="4"/>
        <v>85.571022727272336</v>
      </c>
      <c r="M32" s="15">
        <f t="shared" si="5"/>
        <v>152.1</v>
      </c>
      <c r="N32" s="14">
        <f t="shared" si="6"/>
        <v>1178.48</v>
      </c>
      <c r="O32" s="14">
        <f t="shared" si="7"/>
        <v>676</v>
      </c>
      <c r="P32" s="14">
        <f t="shared" si="8"/>
        <v>0</v>
      </c>
      <c r="Q32" s="27">
        <f t="shared" si="9"/>
        <v>0</v>
      </c>
      <c r="R32" s="14">
        <f t="shared" si="10"/>
        <v>0</v>
      </c>
      <c r="S32" s="14">
        <f t="shared" si="11"/>
        <v>0</v>
      </c>
      <c r="T32" s="14">
        <f t="shared" si="12"/>
        <v>101.39999999999999</v>
      </c>
      <c r="U32" s="14">
        <f t="shared" si="13"/>
        <v>390</v>
      </c>
      <c r="V32" s="14">
        <f t="shared" si="14"/>
        <v>78</v>
      </c>
      <c r="W32" s="14">
        <f t="shared" si="15"/>
        <v>1213.0403409090886</v>
      </c>
      <c r="X32" s="16"/>
    </row>
    <row r="33" spans="1:24" x14ac:dyDescent="0.25">
      <c r="A33" s="11">
        <f t="shared" si="16"/>
        <v>30</v>
      </c>
      <c r="B33" s="12" t="s">
        <v>52</v>
      </c>
      <c r="C33" s="12" t="s">
        <v>20</v>
      </c>
      <c r="D33" s="13">
        <v>180</v>
      </c>
      <c r="E33" s="17">
        <v>2</v>
      </c>
      <c r="F33" s="14">
        <v>1700</v>
      </c>
      <c r="G33" s="14">
        <f t="shared" si="0"/>
        <v>9.4444444444444446</v>
      </c>
      <c r="H33" s="43">
        <v>1.73125</v>
      </c>
      <c r="I33" s="14">
        <f t="shared" si="1"/>
        <v>248.62499999999994</v>
      </c>
      <c r="J33" s="14">
        <f t="shared" si="2"/>
        <v>331.49999999999994</v>
      </c>
      <c r="K33" s="14">
        <f t="shared" si="3"/>
        <v>580.12499999999989</v>
      </c>
      <c r="L33" s="14">
        <f t="shared" si="4"/>
        <v>111.56249999999999</v>
      </c>
      <c r="M33" s="15">
        <f t="shared" si="5"/>
        <v>153</v>
      </c>
      <c r="N33" s="14">
        <f t="shared" si="6"/>
        <v>1187.58</v>
      </c>
      <c r="O33" s="14">
        <f t="shared" si="7"/>
        <v>680</v>
      </c>
      <c r="P33" s="14">
        <f t="shared" si="8"/>
        <v>0</v>
      </c>
      <c r="Q33" s="27">
        <f t="shared" si="9"/>
        <v>0</v>
      </c>
      <c r="R33" s="14">
        <f t="shared" si="10"/>
        <v>0</v>
      </c>
      <c r="S33" s="14">
        <f t="shared" si="11"/>
        <v>0</v>
      </c>
      <c r="T33" s="14">
        <f t="shared" si="12"/>
        <v>102</v>
      </c>
      <c r="U33" s="14">
        <f t="shared" si="13"/>
        <v>390</v>
      </c>
      <c r="V33" s="14">
        <f t="shared" si="14"/>
        <v>78</v>
      </c>
      <c r="W33" s="14">
        <f t="shared" si="15"/>
        <v>1378.6875</v>
      </c>
      <c r="X33" s="16"/>
    </row>
    <row r="34" spans="1:24" x14ac:dyDescent="0.25">
      <c r="A34" s="11">
        <f t="shared" si="16"/>
        <v>31</v>
      </c>
      <c r="B34" s="12" t="s">
        <v>53</v>
      </c>
      <c r="C34" s="12" t="s">
        <v>22</v>
      </c>
      <c r="D34" s="13">
        <v>220</v>
      </c>
      <c r="E34" s="17">
        <v>2</v>
      </c>
      <c r="F34" s="14">
        <v>2100</v>
      </c>
      <c r="G34" s="14">
        <f t="shared" si="0"/>
        <v>9.545454545454545</v>
      </c>
      <c r="H34" s="43">
        <v>1.77291666666667</v>
      </c>
      <c r="I34" s="14">
        <f t="shared" si="1"/>
        <v>265.60227272727388</v>
      </c>
      <c r="J34" s="14">
        <f t="shared" si="2"/>
        <v>354.13636363636522</v>
      </c>
      <c r="K34" s="14">
        <f t="shared" si="3"/>
        <v>619.7386363636391</v>
      </c>
      <c r="L34" s="14">
        <f t="shared" si="4"/>
        <v>119.18050699300751</v>
      </c>
      <c r="M34" s="15">
        <f t="shared" si="5"/>
        <v>189</v>
      </c>
      <c r="N34" s="14">
        <f t="shared" si="6"/>
        <v>1551.58</v>
      </c>
      <c r="O34" s="14">
        <f t="shared" si="7"/>
        <v>840</v>
      </c>
      <c r="P34" s="14">
        <f t="shared" si="8"/>
        <v>0</v>
      </c>
      <c r="Q34" s="27">
        <f t="shared" si="9"/>
        <v>0</v>
      </c>
      <c r="R34" s="14">
        <f t="shared" si="10"/>
        <v>0</v>
      </c>
      <c r="S34" s="14">
        <f t="shared" si="11"/>
        <v>0</v>
      </c>
      <c r="T34" s="14">
        <f t="shared" si="12"/>
        <v>126</v>
      </c>
      <c r="U34" s="14">
        <f t="shared" si="13"/>
        <v>390</v>
      </c>
      <c r="V34" s="14">
        <f t="shared" si="14"/>
        <v>78</v>
      </c>
      <c r="W34" s="14">
        <f t="shared" si="15"/>
        <v>1605.9191433566466</v>
      </c>
      <c r="X34" s="16"/>
    </row>
    <row r="35" spans="1:24" x14ac:dyDescent="0.25">
      <c r="A35" s="11">
        <f t="shared" si="16"/>
        <v>32</v>
      </c>
      <c r="B35" s="12" t="s">
        <v>54</v>
      </c>
      <c r="C35" s="12" t="s">
        <v>16</v>
      </c>
      <c r="D35" s="13">
        <v>180</v>
      </c>
      <c r="E35" s="17">
        <v>2</v>
      </c>
      <c r="F35" s="14">
        <v>2500</v>
      </c>
      <c r="G35" s="14">
        <f t="shared" si="0"/>
        <v>13.888888888888889</v>
      </c>
      <c r="H35" s="43">
        <v>1.8145833333333301</v>
      </c>
      <c r="I35" s="14">
        <f t="shared" si="1"/>
        <v>407.29166666666504</v>
      </c>
      <c r="J35" s="14">
        <f t="shared" si="2"/>
        <v>543.05555555555338</v>
      </c>
      <c r="K35" s="14">
        <f t="shared" si="3"/>
        <v>950.34722222221842</v>
      </c>
      <c r="L35" s="14">
        <f t="shared" si="4"/>
        <v>182.7590811965805</v>
      </c>
      <c r="M35" s="15">
        <f t="shared" si="5"/>
        <v>275</v>
      </c>
      <c r="N35" s="14">
        <f t="shared" si="6"/>
        <v>1865.58</v>
      </c>
      <c r="O35" s="14">
        <f t="shared" si="7"/>
        <v>1000</v>
      </c>
      <c r="P35" s="14">
        <f t="shared" si="8"/>
        <v>0</v>
      </c>
      <c r="Q35" s="27">
        <f t="shared" si="9"/>
        <v>0</v>
      </c>
      <c r="R35" s="14">
        <f t="shared" si="10"/>
        <v>0</v>
      </c>
      <c r="S35" s="14">
        <f t="shared" si="11"/>
        <v>0</v>
      </c>
      <c r="T35" s="14">
        <f t="shared" si="12"/>
        <v>150</v>
      </c>
      <c r="U35" s="14">
        <f t="shared" si="13"/>
        <v>390</v>
      </c>
      <c r="V35" s="14">
        <f t="shared" si="14"/>
        <v>78</v>
      </c>
      <c r="W35" s="14">
        <f t="shared" si="15"/>
        <v>2130.1063034187991</v>
      </c>
      <c r="X35" s="16"/>
    </row>
    <row r="36" spans="1:24" x14ac:dyDescent="0.25">
      <c r="A36" s="11">
        <f t="shared" si="16"/>
        <v>33</v>
      </c>
      <c r="B36" s="12" t="s">
        <v>55</v>
      </c>
      <c r="C36" s="12" t="s">
        <v>16</v>
      </c>
      <c r="D36" s="13">
        <v>220</v>
      </c>
      <c r="E36" s="17">
        <v>2</v>
      </c>
      <c r="F36" s="14">
        <v>2600</v>
      </c>
      <c r="G36" s="14">
        <f t="shared" si="0"/>
        <v>11.818181818181818</v>
      </c>
      <c r="H36" s="43">
        <v>1.85625</v>
      </c>
      <c r="I36" s="14">
        <f t="shared" si="1"/>
        <v>364.2954545454545</v>
      </c>
      <c r="J36" s="14">
        <f t="shared" si="2"/>
        <v>485.72727272727269</v>
      </c>
      <c r="K36" s="14">
        <f t="shared" si="3"/>
        <v>850.02272727272725</v>
      </c>
      <c r="L36" s="14">
        <f t="shared" si="4"/>
        <v>163.46590909090909</v>
      </c>
      <c r="M36" s="15">
        <f t="shared" si="5"/>
        <v>286</v>
      </c>
      <c r="N36" s="14">
        <f t="shared" si="6"/>
        <v>1954.58</v>
      </c>
      <c r="O36" s="14">
        <f t="shared" si="7"/>
        <v>1040</v>
      </c>
      <c r="P36" s="14">
        <f t="shared" si="8"/>
        <v>142.80000000000001</v>
      </c>
      <c r="Q36" s="27">
        <f t="shared" si="9"/>
        <v>7.4999999999999997E-2</v>
      </c>
      <c r="R36" s="14">
        <f t="shared" si="10"/>
        <v>3.7934999999999661</v>
      </c>
      <c r="S36" s="14">
        <f t="shared" si="11"/>
        <v>0</v>
      </c>
      <c r="T36" s="14">
        <f t="shared" si="12"/>
        <v>156</v>
      </c>
      <c r="U36" s="14">
        <f t="shared" si="13"/>
        <v>390</v>
      </c>
      <c r="V36" s="14">
        <f t="shared" si="14"/>
        <v>78</v>
      </c>
      <c r="W36" s="14">
        <f t="shared" si="15"/>
        <v>2049.6951363636363</v>
      </c>
      <c r="X36" s="16"/>
    </row>
    <row r="37" spans="1:24" x14ac:dyDescent="0.25">
      <c r="A37" s="11">
        <f t="shared" si="16"/>
        <v>34</v>
      </c>
      <c r="B37" s="12" t="s">
        <v>56</v>
      </c>
      <c r="C37" s="12" t="s">
        <v>25</v>
      </c>
      <c r="D37" s="13">
        <v>180</v>
      </c>
      <c r="E37" s="17">
        <v>2</v>
      </c>
      <c r="F37" s="14">
        <v>3350</v>
      </c>
      <c r="G37" s="14">
        <f t="shared" si="0"/>
        <v>18.611111111111111</v>
      </c>
      <c r="H37" s="43">
        <v>1.89791666666667</v>
      </c>
      <c r="I37" s="14">
        <f t="shared" si="1"/>
        <v>601.60416666666902</v>
      </c>
      <c r="J37" s="14">
        <f t="shared" si="2"/>
        <v>802.13888888889198</v>
      </c>
      <c r="K37" s="14">
        <f t="shared" si="3"/>
        <v>1403.7430555555611</v>
      </c>
      <c r="L37" s="14">
        <f t="shared" si="4"/>
        <v>269.95058760683867</v>
      </c>
      <c r="M37" s="15">
        <f t="shared" si="5"/>
        <v>368.5</v>
      </c>
      <c r="N37" s="14">
        <f t="shared" si="6"/>
        <v>2622.08</v>
      </c>
      <c r="O37" s="14">
        <f t="shared" si="7"/>
        <v>1340</v>
      </c>
      <c r="P37" s="14">
        <f t="shared" si="8"/>
        <v>142.80000000000001</v>
      </c>
      <c r="Q37" s="27">
        <f t="shared" si="9"/>
        <v>7.4999999999999997E-2</v>
      </c>
      <c r="R37" s="14">
        <f t="shared" si="10"/>
        <v>53.855999999999966</v>
      </c>
      <c r="S37" s="14">
        <f t="shared" si="11"/>
        <v>0</v>
      </c>
      <c r="T37" s="14">
        <f t="shared" si="12"/>
        <v>201</v>
      </c>
      <c r="U37" s="14">
        <f t="shared" si="13"/>
        <v>390</v>
      </c>
      <c r="V37" s="14">
        <f t="shared" si="14"/>
        <v>78</v>
      </c>
      <c r="W37" s="14">
        <f t="shared" si="15"/>
        <v>2982.3376431624001</v>
      </c>
      <c r="X37" s="16"/>
    </row>
    <row r="38" spans="1:24" x14ac:dyDescent="0.25">
      <c r="A38" s="11">
        <f t="shared" si="16"/>
        <v>35</v>
      </c>
      <c r="B38" s="12" t="s">
        <v>57</v>
      </c>
      <c r="C38" s="12" t="s">
        <v>27</v>
      </c>
      <c r="D38" s="13">
        <v>220</v>
      </c>
      <c r="E38" s="17">
        <v>2</v>
      </c>
      <c r="F38" s="14">
        <v>3500</v>
      </c>
      <c r="G38" s="14">
        <f t="shared" si="0"/>
        <v>15.909090909090908</v>
      </c>
      <c r="H38" s="43">
        <v>1.9395833333333301</v>
      </c>
      <c r="I38" s="14">
        <f t="shared" si="1"/>
        <v>538.12499999999818</v>
      </c>
      <c r="J38" s="14">
        <f t="shared" si="2"/>
        <v>717.4999999999975</v>
      </c>
      <c r="K38" s="14">
        <f t="shared" si="3"/>
        <v>1255.6249999999957</v>
      </c>
      <c r="L38" s="14">
        <f t="shared" si="4"/>
        <v>241.46634615384531</v>
      </c>
      <c r="M38" s="15">
        <f t="shared" si="5"/>
        <v>385</v>
      </c>
      <c r="N38" s="14">
        <f t="shared" si="6"/>
        <v>2755.58</v>
      </c>
      <c r="O38" s="14">
        <f t="shared" si="7"/>
        <v>1400</v>
      </c>
      <c r="P38" s="14">
        <f t="shared" si="8"/>
        <v>142.80000000000001</v>
      </c>
      <c r="Q38" s="27">
        <f t="shared" si="9"/>
        <v>7.4999999999999997E-2</v>
      </c>
      <c r="R38" s="14">
        <f t="shared" si="10"/>
        <v>63.868499999999983</v>
      </c>
      <c r="S38" s="14">
        <f t="shared" si="11"/>
        <v>0</v>
      </c>
      <c r="T38" s="14">
        <f t="shared" si="12"/>
        <v>210</v>
      </c>
      <c r="U38" s="14">
        <f t="shared" si="13"/>
        <v>390</v>
      </c>
      <c r="V38" s="14">
        <f t="shared" si="14"/>
        <v>78</v>
      </c>
      <c r="W38" s="14">
        <f t="shared" si="15"/>
        <v>2860.2228461538411</v>
      </c>
      <c r="X38" s="16"/>
    </row>
    <row r="39" spans="1:24" x14ac:dyDescent="0.25">
      <c r="A39" s="11">
        <f t="shared" si="16"/>
        <v>36</v>
      </c>
      <c r="B39" s="12" t="s">
        <v>58</v>
      </c>
      <c r="C39" s="12" t="s">
        <v>27</v>
      </c>
      <c r="D39" s="13">
        <v>180</v>
      </c>
      <c r="E39" s="17">
        <v>2</v>
      </c>
      <c r="F39" s="14">
        <v>3700</v>
      </c>
      <c r="G39" s="14">
        <f t="shared" si="0"/>
        <v>20.555555555555557</v>
      </c>
      <c r="H39" s="43">
        <v>1.98125</v>
      </c>
      <c r="I39" s="14">
        <f t="shared" si="1"/>
        <v>726.125</v>
      </c>
      <c r="J39" s="14">
        <f t="shared" si="2"/>
        <v>968.16666666666663</v>
      </c>
      <c r="K39" s="14">
        <f t="shared" si="3"/>
        <v>1694.2916666666665</v>
      </c>
      <c r="L39" s="14">
        <f t="shared" si="4"/>
        <v>325.8253205128205</v>
      </c>
      <c r="M39" s="15">
        <f t="shared" si="5"/>
        <v>407</v>
      </c>
      <c r="N39" s="14">
        <f t="shared" si="6"/>
        <v>2933.58</v>
      </c>
      <c r="O39" s="14">
        <f t="shared" si="7"/>
        <v>1480</v>
      </c>
      <c r="P39" s="14">
        <f t="shared" si="8"/>
        <v>354.8</v>
      </c>
      <c r="Q39" s="27">
        <f t="shared" si="9"/>
        <v>0.15</v>
      </c>
      <c r="R39" s="14">
        <f t="shared" si="10"/>
        <v>85.236999999999966</v>
      </c>
      <c r="S39" s="14">
        <f t="shared" si="11"/>
        <v>0</v>
      </c>
      <c r="T39" s="14">
        <f t="shared" si="12"/>
        <v>222</v>
      </c>
      <c r="U39" s="14">
        <f t="shared" si="13"/>
        <v>390</v>
      </c>
      <c r="V39" s="14">
        <f t="shared" si="14"/>
        <v>78</v>
      </c>
      <c r="W39" s="14">
        <f t="shared" si="15"/>
        <v>3447.8799871794863</v>
      </c>
      <c r="X39" s="16"/>
    </row>
    <row r="40" spans="1:24" x14ac:dyDescent="0.25">
      <c r="A40" s="11">
        <f t="shared" si="16"/>
        <v>37</v>
      </c>
      <c r="B40" s="12" t="s">
        <v>63</v>
      </c>
      <c r="C40" s="12" t="s">
        <v>18</v>
      </c>
      <c r="D40" s="13">
        <v>220</v>
      </c>
      <c r="E40" s="17">
        <v>2</v>
      </c>
      <c r="F40" s="14">
        <v>4200</v>
      </c>
      <c r="G40" s="14">
        <f t="shared" si="0"/>
        <v>19.09090909090909</v>
      </c>
      <c r="H40" s="43">
        <v>2.0229166666666698</v>
      </c>
      <c r="I40" s="14">
        <f t="shared" si="1"/>
        <v>15.750000000002156</v>
      </c>
      <c r="J40" s="14">
        <f t="shared" si="2"/>
        <v>21.000000000002874</v>
      </c>
      <c r="K40" s="14">
        <f t="shared" si="3"/>
        <v>36.750000000005031</v>
      </c>
      <c r="L40" s="14">
        <f t="shared" si="4"/>
        <v>7.0673076923086597</v>
      </c>
      <c r="M40" s="15">
        <f t="shared" si="5"/>
        <v>462</v>
      </c>
      <c r="N40" s="14">
        <f t="shared" si="6"/>
        <v>3378.58</v>
      </c>
      <c r="O40" s="14">
        <f t="shared" si="7"/>
        <v>1680</v>
      </c>
      <c r="P40" s="14">
        <f t="shared" si="8"/>
        <v>354.8</v>
      </c>
      <c r="Q40" s="27">
        <f t="shared" si="9"/>
        <v>0.15</v>
      </c>
      <c r="R40" s="14">
        <f t="shared" si="10"/>
        <v>151.98699999999997</v>
      </c>
      <c r="S40" s="14">
        <f t="shared" si="11"/>
        <v>0</v>
      </c>
      <c r="T40" s="14">
        <f t="shared" si="12"/>
        <v>252</v>
      </c>
      <c r="U40" s="14">
        <f t="shared" si="13"/>
        <v>390</v>
      </c>
      <c r="V40" s="14">
        <f t="shared" si="14"/>
        <v>78</v>
      </c>
      <c r="W40" s="14">
        <f t="shared" si="15"/>
        <v>1619.8303076923139</v>
      </c>
      <c r="X40" s="16"/>
    </row>
    <row r="41" spans="1:24" x14ac:dyDescent="0.25">
      <c r="M41" s="9"/>
      <c r="N41" s="18"/>
      <c r="O41" s="18"/>
      <c r="P41" s="18"/>
      <c r="Q41" s="18"/>
    </row>
    <row r="42" spans="1:24" x14ac:dyDescent="0.25">
      <c r="A42" s="46" t="s">
        <v>59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8"/>
    </row>
    <row r="43" spans="1:24" x14ac:dyDescent="0.25">
      <c r="A43" s="20" t="s">
        <v>91</v>
      </c>
      <c r="B43" s="20"/>
      <c r="C43" s="20"/>
      <c r="D43" s="21"/>
      <c r="E43" s="21"/>
      <c r="F43" s="22"/>
      <c r="G43" s="22"/>
      <c r="H43" s="4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4" x14ac:dyDescent="0.25">
      <c r="A44" s="23" t="s">
        <v>60</v>
      </c>
      <c r="B44" s="20"/>
      <c r="C44" s="20"/>
      <c r="D44" s="21"/>
      <c r="E44" s="21"/>
      <c r="F44" s="22"/>
      <c r="G44" s="22"/>
      <c r="H44" s="4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4" x14ac:dyDescent="0.25">
      <c r="A45" s="20" t="s">
        <v>61</v>
      </c>
      <c r="B45" s="20"/>
      <c r="C45" s="20"/>
      <c r="D45" s="21"/>
      <c r="E45" s="21"/>
      <c r="F45" s="22"/>
      <c r="G45" s="22"/>
      <c r="H45" s="4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4" x14ac:dyDescent="0.25">
      <c r="A46" s="20" t="s">
        <v>62</v>
      </c>
      <c r="B46" s="20"/>
      <c r="C46" s="20"/>
      <c r="D46" s="21"/>
      <c r="E46" s="21"/>
      <c r="F46" s="22"/>
      <c r="G46" s="22"/>
      <c r="H46" s="4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4" x14ac:dyDescent="0.25">
      <c r="C47" s="24"/>
    </row>
    <row r="48" spans="1:24" x14ac:dyDescent="0.25">
      <c r="A48" s="25"/>
    </row>
    <row r="49" spans="1:1" x14ac:dyDescent="0.25">
      <c r="A49" s="25"/>
    </row>
    <row r="50" spans="1:1" x14ac:dyDescent="0.25">
      <c r="A50" s="26"/>
    </row>
  </sheetData>
  <mergeCells count="7">
    <mergeCell ref="A42:W42"/>
    <mergeCell ref="Z1:AB1"/>
    <mergeCell ref="Z9:AC9"/>
    <mergeCell ref="Z18:AB18"/>
    <mergeCell ref="Z20:AB20"/>
    <mergeCell ref="Z25:AB25"/>
    <mergeCell ref="A1:W2"/>
  </mergeCells>
  <pageMargins left="0.21" right="0.16" top="0.19685039370078741" bottom="0.19685039370078741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/>
  <dimension ref="A1:AI2522"/>
  <sheetViews>
    <sheetView topLeftCell="B1" zoomScale="120" zoomScaleNormal="120" workbookViewId="0">
      <selection activeCell="M1" sqref="M1:M2"/>
    </sheetView>
  </sheetViews>
  <sheetFormatPr defaultRowHeight="15" x14ac:dyDescent="0.25"/>
  <cols>
    <col min="1" max="1" width="11.42578125" style="29" bestFit="1" customWidth="1"/>
    <col min="2" max="2" width="12.5703125" style="30" bestFit="1" customWidth="1"/>
    <col min="3" max="5" width="9.140625" style="32"/>
    <col min="6" max="6" width="2.140625" style="61" customWidth="1"/>
    <col min="7" max="9" width="9.140625" style="32"/>
    <col min="10" max="10" width="10.140625" style="29" customWidth="1"/>
    <col min="11" max="11" width="9.85546875" style="29" customWidth="1"/>
    <col min="12" max="13" width="10.42578125" style="35" bestFit="1" customWidth="1"/>
    <col min="14" max="34" width="9.140625" style="28"/>
    <col min="35" max="35" width="13.85546875" style="28" bestFit="1" customWidth="1"/>
    <col min="36" max="16384" width="9.140625" style="28"/>
  </cols>
  <sheetData>
    <row r="1" spans="1:35" ht="15.75" customHeight="1" x14ac:dyDescent="0.25">
      <c r="A1" s="58" t="s">
        <v>1</v>
      </c>
      <c r="B1" s="59" t="s">
        <v>72</v>
      </c>
      <c r="C1" s="60" t="s">
        <v>69</v>
      </c>
      <c r="D1" s="60"/>
      <c r="E1" s="60" t="s">
        <v>71</v>
      </c>
      <c r="G1" s="60" t="s">
        <v>70</v>
      </c>
      <c r="H1" s="60"/>
      <c r="I1" s="60" t="s">
        <v>71</v>
      </c>
      <c r="J1" s="57" t="s">
        <v>79</v>
      </c>
      <c r="K1" s="57" t="s">
        <v>75</v>
      </c>
      <c r="L1" s="57" t="s">
        <v>76</v>
      </c>
      <c r="M1" s="57" t="s">
        <v>82</v>
      </c>
      <c r="AI1" s="28" t="s">
        <v>81</v>
      </c>
    </row>
    <row r="2" spans="1:35" x14ac:dyDescent="0.25">
      <c r="A2" s="58"/>
      <c r="B2" s="59"/>
      <c r="C2" s="36" t="s">
        <v>67</v>
      </c>
      <c r="D2" s="36" t="s">
        <v>68</v>
      </c>
      <c r="E2" s="60"/>
      <c r="G2" s="36" t="s">
        <v>67</v>
      </c>
      <c r="H2" s="36" t="s">
        <v>68</v>
      </c>
      <c r="I2" s="60"/>
      <c r="J2" s="57"/>
      <c r="K2" s="57"/>
      <c r="L2" s="57"/>
      <c r="M2" s="57"/>
      <c r="AI2" s="28" t="s">
        <v>74</v>
      </c>
    </row>
    <row r="3" spans="1:35" x14ac:dyDescent="0.25">
      <c r="A3" s="29" t="s">
        <v>73</v>
      </c>
      <c r="B3" s="30">
        <v>1000</v>
      </c>
      <c r="C3" s="32">
        <v>0.33333333333333331</v>
      </c>
      <c r="D3" s="32">
        <v>0.70833333333333337</v>
      </c>
      <c r="E3" s="32">
        <f>D3-C3</f>
        <v>0.37500000000000006</v>
      </c>
      <c r="G3" s="32">
        <v>0.70833333333333337</v>
      </c>
      <c r="H3" s="32">
        <v>0.95833333333333337</v>
      </c>
      <c r="I3" s="32">
        <f>H3-G3</f>
        <v>0.25</v>
      </c>
      <c r="J3" s="29" t="s">
        <v>74</v>
      </c>
      <c r="K3" s="31">
        <f>B3/30</f>
        <v>33.333333333333336</v>
      </c>
      <c r="L3" s="34">
        <f>IF(J3="S",((I3*24)*K3)*2,((I3*24)*K3)*1.5)</f>
        <v>400</v>
      </c>
      <c r="M3" s="34">
        <f>(L3/27)*4</f>
        <v>59.25925925925926</v>
      </c>
      <c r="N3" s="33"/>
      <c r="AI3" s="28" t="s">
        <v>78</v>
      </c>
    </row>
    <row r="4" spans="1:35" x14ac:dyDescent="0.25">
      <c r="A4" s="29" t="s">
        <v>77</v>
      </c>
      <c r="B4" s="30">
        <v>1200</v>
      </c>
      <c r="C4" s="32">
        <v>0.33333333333333331</v>
      </c>
      <c r="D4" s="32">
        <v>0.70833333333333337</v>
      </c>
      <c r="E4" s="32">
        <f>D4-C4</f>
        <v>0.37500000000000006</v>
      </c>
      <c r="G4" s="32">
        <v>0.70833333333333337</v>
      </c>
      <c r="H4" s="32">
        <v>0.95833333333333337</v>
      </c>
      <c r="I4" s="32">
        <f>H4-G4</f>
        <v>0.25</v>
      </c>
      <c r="J4" s="29" t="s">
        <v>78</v>
      </c>
      <c r="K4" s="31">
        <f>B4/30</f>
        <v>40</v>
      </c>
      <c r="L4" s="34">
        <f>IF(J4="S",((I4*24)*K4)*2,((I4*24)*K4)*1.5)</f>
        <v>360</v>
      </c>
      <c r="M4" s="34">
        <f t="shared" ref="M4:M67" si="0">(L4/27)*4</f>
        <v>53.333333333333336</v>
      </c>
    </row>
    <row r="5" spans="1:35" x14ac:dyDescent="0.25">
      <c r="A5" s="29" t="s">
        <v>80</v>
      </c>
      <c r="B5" s="30">
        <v>728</v>
      </c>
      <c r="C5" s="32">
        <v>0.27083333333333331</v>
      </c>
      <c r="D5" s="32">
        <v>0.61458333333333337</v>
      </c>
      <c r="E5" s="32">
        <f>D5-C5</f>
        <v>0.34375000000000006</v>
      </c>
      <c r="G5" s="32">
        <v>0.625</v>
      </c>
      <c r="H5" s="32">
        <v>0.81458333333333333</v>
      </c>
      <c r="I5" s="32">
        <f>H5-G5</f>
        <v>0.18958333333333333</v>
      </c>
      <c r="J5" s="29" t="s">
        <v>78</v>
      </c>
      <c r="K5" s="31">
        <f t="shared" ref="K5:K68" si="1">B5/30</f>
        <v>24.266666666666666</v>
      </c>
      <c r="L5" s="34">
        <f t="shared" ref="L5:L68" si="2">IF(J5="S",((I5*24)*K5)*2,((I5*24)*K5)*1.5)</f>
        <v>165.62</v>
      </c>
      <c r="M5" s="34">
        <f t="shared" si="0"/>
        <v>24.536296296296296</v>
      </c>
    </row>
    <row r="6" spans="1:35" x14ac:dyDescent="0.25">
      <c r="E6" s="32">
        <f t="shared" ref="E6:E69" si="3">D6-C6</f>
        <v>0</v>
      </c>
      <c r="I6" s="32">
        <f t="shared" ref="I6:I69" si="4">H6-G6</f>
        <v>0</v>
      </c>
      <c r="K6" s="31">
        <f t="shared" si="1"/>
        <v>0</v>
      </c>
      <c r="L6" s="34">
        <f t="shared" si="2"/>
        <v>0</v>
      </c>
      <c r="M6" s="34">
        <f t="shared" si="0"/>
        <v>0</v>
      </c>
    </row>
    <row r="7" spans="1:35" x14ac:dyDescent="0.25">
      <c r="E7" s="32">
        <f t="shared" si="3"/>
        <v>0</v>
      </c>
      <c r="I7" s="32">
        <f t="shared" si="4"/>
        <v>0</v>
      </c>
      <c r="K7" s="31">
        <f t="shared" si="1"/>
        <v>0</v>
      </c>
      <c r="L7" s="34">
        <f t="shared" si="2"/>
        <v>0</v>
      </c>
      <c r="M7" s="34">
        <f t="shared" si="0"/>
        <v>0</v>
      </c>
    </row>
    <row r="8" spans="1:35" x14ac:dyDescent="0.25">
      <c r="E8" s="32">
        <f t="shared" si="3"/>
        <v>0</v>
      </c>
      <c r="I8" s="32">
        <f t="shared" si="4"/>
        <v>0</v>
      </c>
      <c r="K8" s="31">
        <f t="shared" si="1"/>
        <v>0</v>
      </c>
      <c r="L8" s="34">
        <f t="shared" si="2"/>
        <v>0</v>
      </c>
      <c r="M8" s="34">
        <f t="shared" si="0"/>
        <v>0</v>
      </c>
    </row>
    <row r="9" spans="1:35" x14ac:dyDescent="0.25">
      <c r="E9" s="32">
        <f t="shared" si="3"/>
        <v>0</v>
      </c>
      <c r="I9" s="32">
        <f t="shared" si="4"/>
        <v>0</v>
      </c>
      <c r="K9" s="31">
        <f t="shared" si="1"/>
        <v>0</v>
      </c>
      <c r="L9" s="34">
        <f t="shared" si="2"/>
        <v>0</v>
      </c>
      <c r="M9" s="34">
        <f t="shared" si="0"/>
        <v>0</v>
      </c>
    </row>
    <row r="10" spans="1:35" x14ac:dyDescent="0.25">
      <c r="E10" s="32">
        <f t="shared" si="3"/>
        <v>0</v>
      </c>
      <c r="I10" s="32">
        <f t="shared" si="4"/>
        <v>0</v>
      </c>
      <c r="K10" s="31">
        <f t="shared" si="1"/>
        <v>0</v>
      </c>
      <c r="L10" s="34">
        <f t="shared" si="2"/>
        <v>0</v>
      </c>
      <c r="M10" s="34">
        <f t="shared" si="0"/>
        <v>0</v>
      </c>
    </row>
    <row r="11" spans="1:35" x14ac:dyDescent="0.25">
      <c r="E11" s="32">
        <f t="shared" si="3"/>
        <v>0</v>
      </c>
      <c r="I11" s="32">
        <f t="shared" si="4"/>
        <v>0</v>
      </c>
      <c r="K11" s="31">
        <f t="shared" si="1"/>
        <v>0</v>
      </c>
      <c r="L11" s="34">
        <f t="shared" si="2"/>
        <v>0</v>
      </c>
      <c r="M11" s="34">
        <f t="shared" si="0"/>
        <v>0</v>
      </c>
    </row>
    <row r="12" spans="1:35" x14ac:dyDescent="0.25">
      <c r="E12" s="32">
        <f t="shared" si="3"/>
        <v>0</v>
      </c>
      <c r="I12" s="32">
        <f t="shared" si="4"/>
        <v>0</v>
      </c>
      <c r="K12" s="31">
        <f t="shared" si="1"/>
        <v>0</v>
      </c>
      <c r="L12" s="34">
        <f t="shared" si="2"/>
        <v>0</v>
      </c>
      <c r="M12" s="34">
        <f t="shared" si="0"/>
        <v>0</v>
      </c>
    </row>
    <row r="13" spans="1:35" x14ac:dyDescent="0.25">
      <c r="E13" s="32">
        <f t="shared" si="3"/>
        <v>0</v>
      </c>
      <c r="I13" s="32">
        <f t="shared" si="4"/>
        <v>0</v>
      </c>
      <c r="K13" s="31">
        <f t="shared" si="1"/>
        <v>0</v>
      </c>
      <c r="L13" s="34">
        <f t="shared" si="2"/>
        <v>0</v>
      </c>
      <c r="M13" s="34">
        <f t="shared" si="0"/>
        <v>0</v>
      </c>
    </row>
    <row r="14" spans="1:35" x14ac:dyDescent="0.25">
      <c r="E14" s="32">
        <f t="shared" si="3"/>
        <v>0</v>
      </c>
      <c r="I14" s="32">
        <f t="shared" si="4"/>
        <v>0</v>
      </c>
      <c r="K14" s="31">
        <f t="shared" si="1"/>
        <v>0</v>
      </c>
      <c r="L14" s="34">
        <f t="shared" si="2"/>
        <v>0</v>
      </c>
      <c r="M14" s="34">
        <f t="shared" si="0"/>
        <v>0</v>
      </c>
    </row>
    <row r="15" spans="1:35" x14ac:dyDescent="0.25">
      <c r="E15" s="32">
        <f t="shared" si="3"/>
        <v>0</v>
      </c>
      <c r="I15" s="32">
        <f t="shared" si="4"/>
        <v>0</v>
      </c>
      <c r="K15" s="31">
        <f t="shared" si="1"/>
        <v>0</v>
      </c>
      <c r="L15" s="34">
        <f t="shared" si="2"/>
        <v>0</v>
      </c>
      <c r="M15" s="34">
        <f t="shared" si="0"/>
        <v>0</v>
      </c>
    </row>
    <row r="16" spans="1:35" x14ac:dyDescent="0.25">
      <c r="E16" s="32">
        <f t="shared" si="3"/>
        <v>0</v>
      </c>
      <c r="I16" s="32">
        <f t="shared" si="4"/>
        <v>0</v>
      </c>
      <c r="K16" s="31">
        <f t="shared" si="1"/>
        <v>0</v>
      </c>
      <c r="L16" s="34">
        <f t="shared" si="2"/>
        <v>0</v>
      </c>
      <c r="M16" s="34">
        <f t="shared" si="0"/>
        <v>0</v>
      </c>
    </row>
    <row r="17" spans="5:13" x14ac:dyDescent="0.25">
      <c r="E17" s="32">
        <f t="shared" si="3"/>
        <v>0</v>
      </c>
      <c r="I17" s="32">
        <f t="shared" si="4"/>
        <v>0</v>
      </c>
      <c r="K17" s="31">
        <f t="shared" si="1"/>
        <v>0</v>
      </c>
      <c r="L17" s="34">
        <f t="shared" si="2"/>
        <v>0</v>
      </c>
      <c r="M17" s="34">
        <f t="shared" si="0"/>
        <v>0</v>
      </c>
    </row>
    <row r="18" spans="5:13" x14ac:dyDescent="0.25">
      <c r="E18" s="32">
        <f t="shared" si="3"/>
        <v>0</v>
      </c>
      <c r="I18" s="32">
        <f t="shared" si="4"/>
        <v>0</v>
      </c>
      <c r="K18" s="31">
        <f t="shared" si="1"/>
        <v>0</v>
      </c>
      <c r="L18" s="34">
        <f t="shared" si="2"/>
        <v>0</v>
      </c>
      <c r="M18" s="34">
        <f t="shared" si="0"/>
        <v>0</v>
      </c>
    </row>
    <row r="19" spans="5:13" x14ac:dyDescent="0.25">
      <c r="E19" s="32">
        <f t="shared" si="3"/>
        <v>0</v>
      </c>
      <c r="I19" s="32">
        <f t="shared" si="4"/>
        <v>0</v>
      </c>
      <c r="K19" s="31">
        <f t="shared" si="1"/>
        <v>0</v>
      </c>
      <c r="L19" s="34">
        <f t="shared" si="2"/>
        <v>0</v>
      </c>
      <c r="M19" s="34">
        <f t="shared" si="0"/>
        <v>0</v>
      </c>
    </row>
    <row r="20" spans="5:13" x14ac:dyDescent="0.25">
      <c r="E20" s="32">
        <f t="shared" si="3"/>
        <v>0</v>
      </c>
      <c r="I20" s="32">
        <f t="shared" si="4"/>
        <v>0</v>
      </c>
      <c r="K20" s="31">
        <f t="shared" si="1"/>
        <v>0</v>
      </c>
      <c r="L20" s="34">
        <f t="shared" si="2"/>
        <v>0</v>
      </c>
      <c r="M20" s="34">
        <f t="shared" si="0"/>
        <v>0</v>
      </c>
    </row>
    <row r="21" spans="5:13" x14ac:dyDescent="0.25">
      <c r="E21" s="32">
        <f t="shared" si="3"/>
        <v>0</v>
      </c>
      <c r="I21" s="32">
        <f t="shared" si="4"/>
        <v>0</v>
      </c>
      <c r="K21" s="31">
        <f t="shared" si="1"/>
        <v>0</v>
      </c>
      <c r="L21" s="34">
        <f t="shared" si="2"/>
        <v>0</v>
      </c>
      <c r="M21" s="34">
        <f t="shared" si="0"/>
        <v>0</v>
      </c>
    </row>
    <row r="22" spans="5:13" x14ac:dyDescent="0.25">
      <c r="E22" s="32">
        <f t="shared" si="3"/>
        <v>0</v>
      </c>
      <c r="I22" s="32">
        <f t="shared" si="4"/>
        <v>0</v>
      </c>
      <c r="K22" s="31">
        <f t="shared" si="1"/>
        <v>0</v>
      </c>
      <c r="L22" s="34">
        <f t="shared" si="2"/>
        <v>0</v>
      </c>
      <c r="M22" s="34">
        <f t="shared" si="0"/>
        <v>0</v>
      </c>
    </row>
    <row r="23" spans="5:13" x14ac:dyDescent="0.25">
      <c r="E23" s="32">
        <f t="shared" si="3"/>
        <v>0</v>
      </c>
      <c r="I23" s="32">
        <f t="shared" si="4"/>
        <v>0</v>
      </c>
      <c r="K23" s="31">
        <f t="shared" si="1"/>
        <v>0</v>
      </c>
      <c r="L23" s="34">
        <f t="shared" si="2"/>
        <v>0</v>
      </c>
      <c r="M23" s="34">
        <f t="shared" si="0"/>
        <v>0</v>
      </c>
    </row>
    <row r="24" spans="5:13" x14ac:dyDescent="0.25">
      <c r="E24" s="32">
        <f t="shared" si="3"/>
        <v>0</v>
      </c>
      <c r="I24" s="32">
        <f t="shared" si="4"/>
        <v>0</v>
      </c>
      <c r="K24" s="31">
        <f t="shared" si="1"/>
        <v>0</v>
      </c>
      <c r="L24" s="34">
        <f t="shared" si="2"/>
        <v>0</v>
      </c>
      <c r="M24" s="34">
        <f t="shared" si="0"/>
        <v>0</v>
      </c>
    </row>
    <row r="25" spans="5:13" x14ac:dyDescent="0.25">
      <c r="E25" s="32">
        <f t="shared" si="3"/>
        <v>0</v>
      </c>
      <c r="I25" s="32">
        <f t="shared" si="4"/>
        <v>0</v>
      </c>
      <c r="K25" s="31">
        <f t="shared" si="1"/>
        <v>0</v>
      </c>
      <c r="L25" s="34">
        <f t="shared" si="2"/>
        <v>0</v>
      </c>
      <c r="M25" s="34">
        <f t="shared" si="0"/>
        <v>0</v>
      </c>
    </row>
    <row r="26" spans="5:13" x14ac:dyDescent="0.25">
      <c r="E26" s="32">
        <f t="shared" si="3"/>
        <v>0</v>
      </c>
      <c r="I26" s="32">
        <f t="shared" si="4"/>
        <v>0</v>
      </c>
      <c r="K26" s="31">
        <f t="shared" si="1"/>
        <v>0</v>
      </c>
      <c r="L26" s="34">
        <f t="shared" si="2"/>
        <v>0</v>
      </c>
      <c r="M26" s="34">
        <f t="shared" si="0"/>
        <v>0</v>
      </c>
    </row>
    <row r="27" spans="5:13" x14ac:dyDescent="0.25">
      <c r="E27" s="32">
        <f t="shared" si="3"/>
        <v>0</v>
      </c>
      <c r="I27" s="32">
        <f t="shared" si="4"/>
        <v>0</v>
      </c>
      <c r="K27" s="31">
        <f t="shared" si="1"/>
        <v>0</v>
      </c>
      <c r="L27" s="34">
        <f t="shared" si="2"/>
        <v>0</v>
      </c>
      <c r="M27" s="34">
        <f t="shared" si="0"/>
        <v>0</v>
      </c>
    </row>
    <row r="28" spans="5:13" x14ac:dyDescent="0.25">
      <c r="E28" s="32">
        <f t="shared" si="3"/>
        <v>0</v>
      </c>
      <c r="I28" s="32">
        <f t="shared" si="4"/>
        <v>0</v>
      </c>
      <c r="K28" s="31">
        <f t="shared" si="1"/>
        <v>0</v>
      </c>
      <c r="L28" s="34">
        <f t="shared" si="2"/>
        <v>0</v>
      </c>
      <c r="M28" s="34">
        <f t="shared" si="0"/>
        <v>0</v>
      </c>
    </row>
    <row r="29" spans="5:13" x14ac:dyDescent="0.25">
      <c r="E29" s="32">
        <f t="shared" si="3"/>
        <v>0</v>
      </c>
      <c r="I29" s="32">
        <f t="shared" si="4"/>
        <v>0</v>
      </c>
      <c r="K29" s="31">
        <f t="shared" si="1"/>
        <v>0</v>
      </c>
      <c r="L29" s="34">
        <f t="shared" si="2"/>
        <v>0</v>
      </c>
      <c r="M29" s="34">
        <f t="shared" si="0"/>
        <v>0</v>
      </c>
    </row>
    <row r="30" spans="5:13" x14ac:dyDescent="0.25">
      <c r="E30" s="32">
        <f t="shared" si="3"/>
        <v>0</v>
      </c>
      <c r="I30" s="32">
        <f t="shared" si="4"/>
        <v>0</v>
      </c>
      <c r="K30" s="31">
        <f t="shared" si="1"/>
        <v>0</v>
      </c>
      <c r="L30" s="34">
        <f t="shared" si="2"/>
        <v>0</v>
      </c>
      <c r="M30" s="34">
        <f t="shared" si="0"/>
        <v>0</v>
      </c>
    </row>
    <row r="31" spans="5:13" x14ac:dyDescent="0.25">
      <c r="E31" s="32">
        <f t="shared" si="3"/>
        <v>0</v>
      </c>
      <c r="I31" s="32">
        <f t="shared" si="4"/>
        <v>0</v>
      </c>
      <c r="K31" s="31">
        <f t="shared" si="1"/>
        <v>0</v>
      </c>
      <c r="L31" s="34">
        <f t="shared" si="2"/>
        <v>0</v>
      </c>
      <c r="M31" s="34">
        <f t="shared" si="0"/>
        <v>0</v>
      </c>
    </row>
    <row r="32" spans="5:13" x14ac:dyDescent="0.25">
      <c r="E32" s="32">
        <f t="shared" si="3"/>
        <v>0</v>
      </c>
      <c r="I32" s="32">
        <f t="shared" si="4"/>
        <v>0</v>
      </c>
      <c r="K32" s="31">
        <f t="shared" si="1"/>
        <v>0</v>
      </c>
      <c r="L32" s="34">
        <f t="shared" si="2"/>
        <v>0</v>
      </c>
      <c r="M32" s="34">
        <f t="shared" si="0"/>
        <v>0</v>
      </c>
    </row>
    <row r="33" spans="5:13" x14ac:dyDescent="0.25">
      <c r="E33" s="32">
        <f t="shared" si="3"/>
        <v>0</v>
      </c>
      <c r="I33" s="32">
        <f t="shared" si="4"/>
        <v>0</v>
      </c>
      <c r="K33" s="31">
        <f t="shared" si="1"/>
        <v>0</v>
      </c>
      <c r="L33" s="34">
        <f t="shared" si="2"/>
        <v>0</v>
      </c>
      <c r="M33" s="34">
        <f t="shared" si="0"/>
        <v>0</v>
      </c>
    </row>
    <row r="34" spans="5:13" x14ac:dyDescent="0.25">
      <c r="E34" s="32">
        <f t="shared" si="3"/>
        <v>0</v>
      </c>
      <c r="I34" s="32">
        <f t="shared" si="4"/>
        <v>0</v>
      </c>
      <c r="K34" s="31">
        <f t="shared" si="1"/>
        <v>0</v>
      </c>
      <c r="L34" s="34">
        <f t="shared" si="2"/>
        <v>0</v>
      </c>
      <c r="M34" s="34">
        <f t="shared" si="0"/>
        <v>0</v>
      </c>
    </row>
    <row r="35" spans="5:13" x14ac:dyDescent="0.25">
      <c r="E35" s="32">
        <f t="shared" si="3"/>
        <v>0</v>
      </c>
      <c r="I35" s="32">
        <f t="shared" si="4"/>
        <v>0</v>
      </c>
      <c r="K35" s="31">
        <f t="shared" si="1"/>
        <v>0</v>
      </c>
      <c r="L35" s="34">
        <f t="shared" si="2"/>
        <v>0</v>
      </c>
      <c r="M35" s="34">
        <f t="shared" si="0"/>
        <v>0</v>
      </c>
    </row>
    <row r="36" spans="5:13" x14ac:dyDescent="0.25">
      <c r="E36" s="32">
        <f t="shared" si="3"/>
        <v>0</v>
      </c>
      <c r="I36" s="32">
        <f t="shared" si="4"/>
        <v>0</v>
      </c>
      <c r="K36" s="31">
        <f t="shared" si="1"/>
        <v>0</v>
      </c>
      <c r="L36" s="34">
        <f t="shared" si="2"/>
        <v>0</v>
      </c>
      <c r="M36" s="34">
        <f t="shared" si="0"/>
        <v>0</v>
      </c>
    </row>
    <row r="37" spans="5:13" x14ac:dyDescent="0.25">
      <c r="E37" s="32">
        <f t="shared" si="3"/>
        <v>0</v>
      </c>
      <c r="I37" s="32">
        <f t="shared" si="4"/>
        <v>0</v>
      </c>
      <c r="K37" s="31">
        <f t="shared" si="1"/>
        <v>0</v>
      </c>
      <c r="L37" s="34">
        <f t="shared" si="2"/>
        <v>0</v>
      </c>
      <c r="M37" s="34">
        <f t="shared" si="0"/>
        <v>0</v>
      </c>
    </row>
    <row r="38" spans="5:13" x14ac:dyDescent="0.25">
      <c r="E38" s="32">
        <f t="shared" si="3"/>
        <v>0</v>
      </c>
      <c r="I38" s="32">
        <f t="shared" si="4"/>
        <v>0</v>
      </c>
      <c r="K38" s="31">
        <f t="shared" si="1"/>
        <v>0</v>
      </c>
      <c r="L38" s="34">
        <f t="shared" si="2"/>
        <v>0</v>
      </c>
      <c r="M38" s="34">
        <f t="shared" si="0"/>
        <v>0</v>
      </c>
    </row>
    <row r="39" spans="5:13" x14ac:dyDescent="0.25">
      <c r="E39" s="32">
        <f t="shared" si="3"/>
        <v>0</v>
      </c>
      <c r="I39" s="32">
        <f t="shared" si="4"/>
        <v>0</v>
      </c>
      <c r="K39" s="31">
        <f t="shared" si="1"/>
        <v>0</v>
      </c>
      <c r="L39" s="34">
        <f t="shared" si="2"/>
        <v>0</v>
      </c>
      <c r="M39" s="34">
        <f t="shared" si="0"/>
        <v>0</v>
      </c>
    </row>
    <row r="40" spans="5:13" x14ac:dyDescent="0.25">
      <c r="E40" s="32">
        <f t="shared" si="3"/>
        <v>0</v>
      </c>
      <c r="I40" s="32">
        <f t="shared" si="4"/>
        <v>0</v>
      </c>
      <c r="K40" s="31">
        <f t="shared" si="1"/>
        <v>0</v>
      </c>
      <c r="L40" s="34">
        <f t="shared" si="2"/>
        <v>0</v>
      </c>
      <c r="M40" s="34">
        <f t="shared" si="0"/>
        <v>0</v>
      </c>
    </row>
    <row r="41" spans="5:13" x14ac:dyDescent="0.25">
      <c r="E41" s="32">
        <f t="shared" si="3"/>
        <v>0</v>
      </c>
      <c r="I41" s="32">
        <f t="shared" si="4"/>
        <v>0</v>
      </c>
      <c r="K41" s="31">
        <f t="shared" si="1"/>
        <v>0</v>
      </c>
      <c r="L41" s="34">
        <f t="shared" si="2"/>
        <v>0</v>
      </c>
      <c r="M41" s="34">
        <f t="shared" si="0"/>
        <v>0</v>
      </c>
    </row>
    <row r="42" spans="5:13" x14ac:dyDescent="0.25">
      <c r="E42" s="32">
        <f t="shared" si="3"/>
        <v>0</v>
      </c>
      <c r="I42" s="32">
        <f t="shared" si="4"/>
        <v>0</v>
      </c>
      <c r="K42" s="31">
        <f t="shared" si="1"/>
        <v>0</v>
      </c>
      <c r="L42" s="34">
        <f t="shared" si="2"/>
        <v>0</v>
      </c>
      <c r="M42" s="34">
        <f t="shared" si="0"/>
        <v>0</v>
      </c>
    </row>
    <row r="43" spans="5:13" x14ac:dyDescent="0.25">
      <c r="E43" s="32">
        <f t="shared" si="3"/>
        <v>0</v>
      </c>
      <c r="I43" s="32">
        <f t="shared" si="4"/>
        <v>0</v>
      </c>
      <c r="K43" s="31">
        <f t="shared" si="1"/>
        <v>0</v>
      </c>
      <c r="L43" s="34">
        <f t="shared" si="2"/>
        <v>0</v>
      </c>
      <c r="M43" s="34">
        <f t="shared" si="0"/>
        <v>0</v>
      </c>
    </row>
    <row r="44" spans="5:13" x14ac:dyDescent="0.25">
      <c r="E44" s="32">
        <f t="shared" si="3"/>
        <v>0</v>
      </c>
      <c r="I44" s="32">
        <f t="shared" si="4"/>
        <v>0</v>
      </c>
      <c r="K44" s="31">
        <f t="shared" si="1"/>
        <v>0</v>
      </c>
      <c r="L44" s="34">
        <f t="shared" si="2"/>
        <v>0</v>
      </c>
      <c r="M44" s="34">
        <f t="shared" si="0"/>
        <v>0</v>
      </c>
    </row>
    <row r="45" spans="5:13" x14ac:dyDescent="0.25">
      <c r="E45" s="32">
        <f t="shared" si="3"/>
        <v>0</v>
      </c>
      <c r="I45" s="32">
        <f t="shared" si="4"/>
        <v>0</v>
      </c>
      <c r="K45" s="31">
        <f t="shared" si="1"/>
        <v>0</v>
      </c>
      <c r="L45" s="34">
        <f t="shared" si="2"/>
        <v>0</v>
      </c>
      <c r="M45" s="34">
        <f t="shared" si="0"/>
        <v>0</v>
      </c>
    </row>
    <row r="46" spans="5:13" x14ac:dyDescent="0.25">
      <c r="E46" s="32">
        <f t="shared" si="3"/>
        <v>0</v>
      </c>
      <c r="I46" s="32">
        <f t="shared" si="4"/>
        <v>0</v>
      </c>
      <c r="K46" s="31">
        <f t="shared" si="1"/>
        <v>0</v>
      </c>
      <c r="L46" s="34">
        <f t="shared" si="2"/>
        <v>0</v>
      </c>
      <c r="M46" s="34">
        <f t="shared" si="0"/>
        <v>0</v>
      </c>
    </row>
    <row r="47" spans="5:13" x14ac:dyDescent="0.25">
      <c r="E47" s="32">
        <f t="shared" si="3"/>
        <v>0</v>
      </c>
      <c r="I47" s="32">
        <f t="shared" si="4"/>
        <v>0</v>
      </c>
      <c r="K47" s="31">
        <f t="shared" si="1"/>
        <v>0</v>
      </c>
      <c r="L47" s="34">
        <f t="shared" si="2"/>
        <v>0</v>
      </c>
      <c r="M47" s="34">
        <f t="shared" si="0"/>
        <v>0</v>
      </c>
    </row>
    <row r="48" spans="5:13" x14ac:dyDescent="0.25">
      <c r="E48" s="32">
        <f t="shared" si="3"/>
        <v>0</v>
      </c>
      <c r="I48" s="32">
        <f t="shared" si="4"/>
        <v>0</v>
      </c>
      <c r="K48" s="31">
        <f t="shared" si="1"/>
        <v>0</v>
      </c>
      <c r="L48" s="34">
        <f t="shared" si="2"/>
        <v>0</v>
      </c>
      <c r="M48" s="34">
        <f t="shared" si="0"/>
        <v>0</v>
      </c>
    </row>
    <row r="49" spans="5:13" x14ac:dyDescent="0.25">
      <c r="E49" s="32">
        <f t="shared" si="3"/>
        <v>0</v>
      </c>
      <c r="I49" s="32">
        <f t="shared" si="4"/>
        <v>0</v>
      </c>
      <c r="K49" s="31">
        <f t="shared" si="1"/>
        <v>0</v>
      </c>
      <c r="L49" s="34">
        <f t="shared" si="2"/>
        <v>0</v>
      </c>
      <c r="M49" s="34">
        <f t="shared" si="0"/>
        <v>0</v>
      </c>
    </row>
    <row r="50" spans="5:13" x14ac:dyDescent="0.25">
      <c r="E50" s="32">
        <f t="shared" si="3"/>
        <v>0</v>
      </c>
      <c r="I50" s="32">
        <f t="shared" si="4"/>
        <v>0</v>
      </c>
      <c r="K50" s="31">
        <f t="shared" si="1"/>
        <v>0</v>
      </c>
      <c r="L50" s="34">
        <f t="shared" si="2"/>
        <v>0</v>
      </c>
      <c r="M50" s="34">
        <f t="shared" si="0"/>
        <v>0</v>
      </c>
    </row>
    <row r="51" spans="5:13" x14ac:dyDescent="0.25">
      <c r="E51" s="32">
        <f t="shared" si="3"/>
        <v>0</v>
      </c>
      <c r="I51" s="32">
        <f t="shared" si="4"/>
        <v>0</v>
      </c>
      <c r="K51" s="31">
        <f t="shared" si="1"/>
        <v>0</v>
      </c>
      <c r="L51" s="34">
        <f t="shared" si="2"/>
        <v>0</v>
      </c>
      <c r="M51" s="34">
        <f t="shared" si="0"/>
        <v>0</v>
      </c>
    </row>
    <row r="52" spans="5:13" x14ac:dyDescent="0.25">
      <c r="E52" s="32">
        <f t="shared" si="3"/>
        <v>0</v>
      </c>
      <c r="I52" s="32">
        <f t="shared" si="4"/>
        <v>0</v>
      </c>
      <c r="K52" s="31">
        <f t="shared" si="1"/>
        <v>0</v>
      </c>
      <c r="L52" s="34">
        <f t="shared" si="2"/>
        <v>0</v>
      </c>
      <c r="M52" s="34">
        <f t="shared" si="0"/>
        <v>0</v>
      </c>
    </row>
    <row r="53" spans="5:13" x14ac:dyDescent="0.25">
      <c r="E53" s="32">
        <f t="shared" si="3"/>
        <v>0</v>
      </c>
      <c r="I53" s="32">
        <f t="shared" si="4"/>
        <v>0</v>
      </c>
      <c r="K53" s="31">
        <f t="shared" si="1"/>
        <v>0</v>
      </c>
      <c r="L53" s="34">
        <f t="shared" si="2"/>
        <v>0</v>
      </c>
      <c r="M53" s="34">
        <f t="shared" si="0"/>
        <v>0</v>
      </c>
    </row>
    <row r="54" spans="5:13" x14ac:dyDescent="0.25">
      <c r="E54" s="32">
        <f t="shared" si="3"/>
        <v>0</v>
      </c>
      <c r="I54" s="32">
        <f t="shared" si="4"/>
        <v>0</v>
      </c>
      <c r="K54" s="31">
        <f t="shared" si="1"/>
        <v>0</v>
      </c>
      <c r="L54" s="34">
        <f t="shared" si="2"/>
        <v>0</v>
      </c>
      <c r="M54" s="34">
        <f t="shared" si="0"/>
        <v>0</v>
      </c>
    </row>
    <row r="55" spans="5:13" x14ac:dyDescent="0.25">
      <c r="E55" s="32">
        <f t="shared" si="3"/>
        <v>0</v>
      </c>
      <c r="I55" s="32">
        <f t="shared" si="4"/>
        <v>0</v>
      </c>
      <c r="K55" s="31">
        <f t="shared" si="1"/>
        <v>0</v>
      </c>
      <c r="L55" s="34">
        <f t="shared" si="2"/>
        <v>0</v>
      </c>
      <c r="M55" s="34">
        <f t="shared" si="0"/>
        <v>0</v>
      </c>
    </row>
    <row r="56" spans="5:13" x14ac:dyDescent="0.25">
      <c r="E56" s="32">
        <f t="shared" si="3"/>
        <v>0</v>
      </c>
      <c r="I56" s="32">
        <f t="shared" si="4"/>
        <v>0</v>
      </c>
      <c r="K56" s="31">
        <f t="shared" si="1"/>
        <v>0</v>
      </c>
      <c r="L56" s="34">
        <f t="shared" si="2"/>
        <v>0</v>
      </c>
      <c r="M56" s="34">
        <f t="shared" si="0"/>
        <v>0</v>
      </c>
    </row>
    <row r="57" spans="5:13" x14ac:dyDescent="0.25">
      <c r="E57" s="32">
        <f t="shared" si="3"/>
        <v>0</v>
      </c>
      <c r="I57" s="32">
        <f t="shared" si="4"/>
        <v>0</v>
      </c>
      <c r="K57" s="31">
        <f t="shared" si="1"/>
        <v>0</v>
      </c>
      <c r="L57" s="34">
        <f t="shared" si="2"/>
        <v>0</v>
      </c>
      <c r="M57" s="34">
        <f t="shared" si="0"/>
        <v>0</v>
      </c>
    </row>
    <row r="58" spans="5:13" x14ac:dyDescent="0.25">
      <c r="E58" s="32">
        <f t="shared" si="3"/>
        <v>0</v>
      </c>
      <c r="I58" s="32">
        <f t="shared" si="4"/>
        <v>0</v>
      </c>
      <c r="K58" s="31">
        <f t="shared" si="1"/>
        <v>0</v>
      </c>
      <c r="L58" s="34">
        <f t="shared" si="2"/>
        <v>0</v>
      </c>
      <c r="M58" s="34">
        <f t="shared" si="0"/>
        <v>0</v>
      </c>
    </row>
    <row r="59" spans="5:13" x14ac:dyDescent="0.25">
      <c r="E59" s="32">
        <f t="shared" si="3"/>
        <v>0</v>
      </c>
      <c r="I59" s="32">
        <f t="shared" si="4"/>
        <v>0</v>
      </c>
      <c r="K59" s="31">
        <f t="shared" si="1"/>
        <v>0</v>
      </c>
      <c r="L59" s="34">
        <f t="shared" si="2"/>
        <v>0</v>
      </c>
      <c r="M59" s="34">
        <f t="shared" si="0"/>
        <v>0</v>
      </c>
    </row>
    <row r="60" spans="5:13" x14ac:dyDescent="0.25">
      <c r="E60" s="32">
        <f t="shared" si="3"/>
        <v>0</v>
      </c>
      <c r="I60" s="32">
        <f t="shared" si="4"/>
        <v>0</v>
      </c>
      <c r="K60" s="31">
        <f t="shared" si="1"/>
        <v>0</v>
      </c>
      <c r="L60" s="34">
        <f t="shared" si="2"/>
        <v>0</v>
      </c>
      <c r="M60" s="34">
        <f t="shared" si="0"/>
        <v>0</v>
      </c>
    </row>
    <row r="61" spans="5:13" x14ac:dyDescent="0.25">
      <c r="E61" s="32">
        <f t="shared" si="3"/>
        <v>0</v>
      </c>
      <c r="I61" s="32">
        <f t="shared" si="4"/>
        <v>0</v>
      </c>
      <c r="K61" s="31">
        <f t="shared" si="1"/>
        <v>0</v>
      </c>
      <c r="L61" s="34">
        <f t="shared" si="2"/>
        <v>0</v>
      </c>
      <c r="M61" s="34">
        <f t="shared" si="0"/>
        <v>0</v>
      </c>
    </row>
    <row r="62" spans="5:13" x14ac:dyDescent="0.25">
      <c r="E62" s="32">
        <f t="shared" si="3"/>
        <v>0</v>
      </c>
      <c r="I62" s="32">
        <f t="shared" si="4"/>
        <v>0</v>
      </c>
      <c r="K62" s="31">
        <f t="shared" si="1"/>
        <v>0</v>
      </c>
      <c r="L62" s="34">
        <f t="shared" si="2"/>
        <v>0</v>
      </c>
      <c r="M62" s="34">
        <f t="shared" si="0"/>
        <v>0</v>
      </c>
    </row>
    <row r="63" spans="5:13" x14ac:dyDescent="0.25">
      <c r="E63" s="32">
        <f t="shared" si="3"/>
        <v>0</v>
      </c>
      <c r="I63" s="32">
        <f t="shared" si="4"/>
        <v>0</v>
      </c>
      <c r="K63" s="31">
        <f t="shared" si="1"/>
        <v>0</v>
      </c>
      <c r="L63" s="34">
        <f t="shared" si="2"/>
        <v>0</v>
      </c>
      <c r="M63" s="34">
        <f t="shared" si="0"/>
        <v>0</v>
      </c>
    </row>
    <row r="64" spans="5:13" x14ac:dyDescent="0.25">
      <c r="E64" s="32">
        <f t="shared" si="3"/>
        <v>0</v>
      </c>
      <c r="I64" s="32">
        <f t="shared" si="4"/>
        <v>0</v>
      </c>
      <c r="K64" s="31">
        <f t="shared" si="1"/>
        <v>0</v>
      </c>
      <c r="L64" s="34">
        <f t="shared" si="2"/>
        <v>0</v>
      </c>
      <c r="M64" s="34">
        <f t="shared" si="0"/>
        <v>0</v>
      </c>
    </row>
    <row r="65" spans="5:13" x14ac:dyDescent="0.25">
      <c r="E65" s="32">
        <f t="shared" si="3"/>
        <v>0</v>
      </c>
      <c r="I65" s="32">
        <f t="shared" si="4"/>
        <v>0</v>
      </c>
      <c r="K65" s="31">
        <f t="shared" si="1"/>
        <v>0</v>
      </c>
      <c r="L65" s="34">
        <f t="shared" si="2"/>
        <v>0</v>
      </c>
      <c r="M65" s="34">
        <f t="shared" si="0"/>
        <v>0</v>
      </c>
    </row>
    <row r="66" spans="5:13" x14ac:dyDescent="0.25">
      <c r="E66" s="32">
        <f t="shared" si="3"/>
        <v>0</v>
      </c>
      <c r="I66" s="32">
        <f t="shared" si="4"/>
        <v>0</v>
      </c>
      <c r="K66" s="31">
        <f t="shared" si="1"/>
        <v>0</v>
      </c>
      <c r="L66" s="34">
        <f t="shared" si="2"/>
        <v>0</v>
      </c>
      <c r="M66" s="34">
        <f t="shared" si="0"/>
        <v>0</v>
      </c>
    </row>
    <row r="67" spans="5:13" x14ac:dyDescent="0.25">
      <c r="E67" s="32">
        <f t="shared" si="3"/>
        <v>0</v>
      </c>
      <c r="I67" s="32">
        <f t="shared" si="4"/>
        <v>0</v>
      </c>
      <c r="K67" s="31">
        <f t="shared" si="1"/>
        <v>0</v>
      </c>
      <c r="L67" s="34">
        <f t="shared" si="2"/>
        <v>0</v>
      </c>
      <c r="M67" s="34">
        <f t="shared" si="0"/>
        <v>0</v>
      </c>
    </row>
    <row r="68" spans="5:13" x14ac:dyDescent="0.25">
      <c r="E68" s="32">
        <f t="shared" si="3"/>
        <v>0</v>
      </c>
      <c r="I68" s="32">
        <f t="shared" si="4"/>
        <v>0</v>
      </c>
      <c r="K68" s="31">
        <f t="shared" si="1"/>
        <v>0</v>
      </c>
      <c r="L68" s="34">
        <f t="shared" si="2"/>
        <v>0</v>
      </c>
      <c r="M68" s="34">
        <f t="shared" ref="M68:M131" si="5">(L68/27)*4</f>
        <v>0</v>
      </c>
    </row>
    <row r="69" spans="5:13" x14ac:dyDescent="0.25">
      <c r="E69" s="32">
        <f t="shared" si="3"/>
        <v>0</v>
      </c>
      <c r="I69" s="32">
        <f t="shared" si="4"/>
        <v>0</v>
      </c>
      <c r="K69" s="31">
        <f t="shared" ref="K69:K132" si="6">B69/30</f>
        <v>0</v>
      </c>
      <c r="L69" s="34">
        <f t="shared" ref="L69:L132" si="7">IF(J69="S",((I69*24)*K69)*2,((I69*24)*K69)*1.5)</f>
        <v>0</v>
      </c>
      <c r="M69" s="34">
        <f t="shared" si="5"/>
        <v>0</v>
      </c>
    </row>
    <row r="70" spans="5:13" x14ac:dyDescent="0.25">
      <c r="E70" s="32">
        <f t="shared" ref="E70:E133" si="8">D70-C70</f>
        <v>0</v>
      </c>
      <c r="I70" s="32">
        <f t="shared" ref="I70:I133" si="9">H70-G70</f>
        <v>0</v>
      </c>
      <c r="K70" s="31">
        <f t="shared" si="6"/>
        <v>0</v>
      </c>
      <c r="L70" s="34">
        <f t="shared" si="7"/>
        <v>0</v>
      </c>
      <c r="M70" s="34">
        <f t="shared" si="5"/>
        <v>0</v>
      </c>
    </row>
    <row r="71" spans="5:13" x14ac:dyDescent="0.25">
      <c r="E71" s="32">
        <f t="shared" si="8"/>
        <v>0</v>
      </c>
      <c r="I71" s="32">
        <f t="shared" si="9"/>
        <v>0</v>
      </c>
      <c r="K71" s="31">
        <f t="shared" si="6"/>
        <v>0</v>
      </c>
      <c r="L71" s="34">
        <f t="shared" si="7"/>
        <v>0</v>
      </c>
      <c r="M71" s="34">
        <f t="shared" si="5"/>
        <v>0</v>
      </c>
    </row>
    <row r="72" spans="5:13" x14ac:dyDescent="0.25">
      <c r="E72" s="32">
        <f t="shared" si="8"/>
        <v>0</v>
      </c>
      <c r="I72" s="32">
        <f t="shared" si="9"/>
        <v>0</v>
      </c>
      <c r="K72" s="31">
        <f t="shared" si="6"/>
        <v>0</v>
      </c>
      <c r="L72" s="34">
        <f t="shared" si="7"/>
        <v>0</v>
      </c>
      <c r="M72" s="34">
        <f t="shared" si="5"/>
        <v>0</v>
      </c>
    </row>
    <row r="73" spans="5:13" x14ac:dyDescent="0.25">
      <c r="E73" s="32">
        <f t="shared" si="8"/>
        <v>0</v>
      </c>
      <c r="I73" s="32">
        <f t="shared" si="9"/>
        <v>0</v>
      </c>
      <c r="K73" s="31">
        <f t="shared" si="6"/>
        <v>0</v>
      </c>
      <c r="L73" s="34">
        <f t="shared" si="7"/>
        <v>0</v>
      </c>
      <c r="M73" s="34">
        <f t="shared" si="5"/>
        <v>0</v>
      </c>
    </row>
    <row r="74" spans="5:13" x14ac:dyDescent="0.25">
      <c r="E74" s="32">
        <f t="shared" si="8"/>
        <v>0</v>
      </c>
      <c r="I74" s="32">
        <f t="shared" si="9"/>
        <v>0</v>
      </c>
      <c r="K74" s="31">
        <f t="shared" si="6"/>
        <v>0</v>
      </c>
      <c r="L74" s="34">
        <f t="shared" si="7"/>
        <v>0</v>
      </c>
      <c r="M74" s="34">
        <f t="shared" si="5"/>
        <v>0</v>
      </c>
    </row>
    <row r="75" spans="5:13" x14ac:dyDescent="0.25">
      <c r="E75" s="32">
        <f t="shared" si="8"/>
        <v>0</v>
      </c>
      <c r="I75" s="32">
        <f t="shared" si="9"/>
        <v>0</v>
      </c>
      <c r="K75" s="31">
        <f t="shared" si="6"/>
        <v>0</v>
      </c>
      <c r="L75" s="34">
        <f t="shared" si="7"/>
        <v>0</v>
      </c>
      <c r="M75" s="34">
        <f t="shared" si="5"/>
        <v>0</v>
      </c>
    </row>
    <row r="76" spans="5:13" x14ac:dyDescent="0.25">
      <c r="E76" s="32">
        <f t="shared" si="8"/>
        <v>0</v>
      </c>
      <c r="I76" s="32">
        <f t="shared" si="9"/>
        <v>0</v>
      </c>
      <c r="K76" s="31">
        <f t="shared" si="6"/>
        <v>0</v>
      </c>
      <c r="L76" s="34">
        <f t="shared" si="7"/>
        <v>0</v>
      </c>
      <c r="M76" s="34">
        <f t="shared" si="5"/>
        <v>0</v>
      </c>
    </row>
    <row r="77" spans="5:13" x14ac:dyDescent="0.25">
      <c r="E77" s="32">
        <f t="shared" si="8"/>
        <v>0</v>
      </c>
      <c r="I77" s="32">
        <f t="shared" si="9"/>
        <v>0</v>
      </c>
      <c r="K77" s="31">
        <f t="shared" si="6"/>
        <v>0</v>
      </c>
      <c r="L77" s="34">
        <f t="shared" si="7"/>
        <v>0</v>
      </c>
      <c r="M77" s="34">
        <f t="shared" si="5"/>
        <v>0</v>
      </c>
    </row>
    <row r="78" spans="5:13" x14ac:dyDescent="0.25">
      <c r="E78" s="32">
        <f t="shared" si="8"/>
        <v>0</v>
      </c>
      <c r="I78" s="32">
        <f t="shared" si="9"/>
        <v>0</v>
      </c>
      <c r="K78" s="31">
        <f t="shared" si="6"/>
        <v>0</v>
      </c>
      <c r="L78" s="34">
        <f t="shared" si="7"/>
        <v>0</v>
      </c>
      <c r="M78" s="34">
        <f t="shared" si="5"/>
        <v>0</v>
      </c>
    </row>
    <row r="79" spans="5:13" x14ac:dyDescent="0.25">
      <c r="E79" s="32">
        <f t="shared" si="8"/>
        <v>0</v>
      </c>
      <c r="I79" s="32">
        <f t="shared" si="9"/>
        <v>0</v>
      </c>
      <c r="K79" s="31">
        <f t="shared" si="6"/>
        <v>0</v>
      </c>
      <c r="L79" s="34">
        <f t="shared" si="7"/>
        <v>0</v>
      </c>
      <c r="M79" s="34">
        <f t="shared" si="5"/>
        <v>0</v>
      </c>
    </row>
    <row r="80" spans="5:13" x14ac:dyDescent="0.25">
      <c r="E80" s="32">
        <f t="shared" si="8"/>
        <v>0</v>
      </c>
      <c r="I80" s="32">
        <f t="shared" si="9"/>
        <v>0</v>
      </c>
      <c r="K80" s="31">
        <f t="shared" si="6"/>
        <v>0</v>
      </c>
      <c r="L80" s="34">
        <f t="shared" si="7"/>
        <v>0</v>
      </c>
      <c r="M80" s="34">
        <f t="shared" si="5"/>
        <v>0</v>
      </c>
    </row>
    <row r="81" spans="5:13" x14ac:dyDescent="0.25">
      <c r="E81" s="32">
        <f t="shared" si="8"/>
        <v>0</v>
      </c>
      <c r="I81" s="32">
        <f t="shared" si="9"/>
        <v>0</v>
      </c>
      <c r="K81" s="31">
        <f t="shared" si="6"/>
        <v>0</v>
      </c>
      <c r="L81" s="34">
        <f t="shared" si="7"/>
        <v>0</v>
      </c>
      <c r="M81" s="34">
        <f t="shared" si="5"/>
        <v>0</v>
      </c>
    </row>
    <row r="82" spans="5:13" x14ac:dyDescent="0.25">
      <c r="E82" s="32">
        <f t="shared" si="8"/>
        <v>0</v>
      </c>
      <c r="I82" s="32">
        <f t="shared" si="9"/>
        <v>0</v>
      </c>
      <c r="K82" s="31">
        <f t="shared" si="6"/>
        <v>0</v>
      </c>
      <c r="L82" s="34">
        <f t="shared" si="7"/>
        <v>0</v>
      </c>
      <c r="M82" s="34">
        <f t="shared" si="5"/>
        <v>0</v>
      </c>
    </row>
    <row r="83" spans="5:13" x14ac:dyDescent="0.25">
      <c r="E83" s="32">
        <f t="shared" si="8"/>
        <v>0</v>
      </c>
      <c r="I83" s="32">
        <f t="shared" si="9"/>
        <v>0</v>
      </c>
      <c r="K83" s="31">
        <f t="shared" si="6"/>
        <v>0</v>
      </c>
      <c r="L83" s="34">
        <f t="shared" si="7"/>
        <v>0</v>
      </c>
      <c r="M83" s="34">
        <f t="shared" si="5"/>
        <v>0</v>
      </c>
    </row>
    <row r="84" spans="5:13" x14ac:dyDescent="0.25">
      <c r="E84" s="32">
        <f t="shared" si="8"/>
        <v>0</v>
      </c>
      <c r="I84" s="32">
        <f t="shared" si="9"/>
        <v>0</v>
      </c>
      <c r="K84" s="31">
        <f t="shared" si="6"/>
        <v>0</v>
      </c>
      <c r="L84" s="34">
        <f t="shared" si="7"/>
        <v>0</v>
      </c>
      <c r="M84" s="34">
        <f t="shared" si="5"/>
        <v>0</v>
      </c>
    </row>
    <row r="85" spans="5:13" x14ac:dyDescent="0.25">
      <c r="E85" s="32">
        <f t="shared" si="8"/>
        <v>0</v>
      </c>
      <c r="I85" s="32">
        <f t="shared" si="9"/>
        <v>0</v>
      </c>
      <c r="K85" s="31">
        <f t="shared" si="6"/>
        <v>0</v>
      </c>
      <c r="L85" s="34">
        <f t="shared" si="7"/>
        <v>0</v>
      </c>
      <c r="M85" s="34">
        <f t="shared" si="5"/>
        <v>0</v>
      </c>
    </row>
    <row r="86" spans="5:13" x14ac:dyDescent="0.25">
      <c r="E86" s="32">
        <f t="shared" si="8"/>
        <v>0</v>
      </c>
      <c r="I86" s="32">
        <f t="shared" si="9"/>
        <v>0</v>
      </c>
      <c r="K86" s="31">
        <f t="shared" si="6"/>
        <v>0</v>
      </c>
      <c r="L86" s="34">
        <f t="shared" si="7"/>
        <v>0</v>
      </c>
      <c r="M86" s="34">
        <f t="shared" si="5"/>
        <v>0</v>
      </c>
    </row>
    <row r="87" spans="5:13" x14ac:dyDescent="0.25">
      <c r="E87" s="32">
        <f t="shared" si="8"/>
        <v>0</v>
      </c>
      <c r="I87" s="32">
        <f t="shared" si="9"/>
        <v>0</v>
      </c>
      <c r="K87" s="31">
        <f t="shared" si="6"/>
        <v>0</v>
      </c>
      <c r="L87" s="34">
        <f t="shared" si="7"/>
        <v>0</v>
      </c>
      <c r="M87" s="34">
        <f t="shared" si="5"/>
        <v>0</v>
      </c>
    </row>
    <row r="88" spans="5:13" x14ac:dyDescent="0.25">
      <c r="E88" s="32">
        <f t="shared" si="8"/>
        <v>0</v>
      </c>
      <c r="I88" s="32">
        <f t="shared" si="9"/>
        <v>0</v>
      </c>
      <c r="K88" s="31">
        <f t="shared" si="6"/>
        <v>0</v>
      </c>
      <c r="L88" s="34">
        <f t="shared" si="7"/>
        <v>0</v>
      </c>
      <c r="M88" s="34">
        <f t="shared" si="5"/>
        <v>0</v>
      </c>
    </row>
    <row r="89" spans="5:13" x14ac:dyDescent="0.25">
      <c r="E89" s="32">
        <f t="shared" si="8"/>
        <v>0</v>
      </c>
      <c r="I89" s="32">
        <f t="shared" si="9"/>
        <v>0</v>
      </c>
      <c r="K89" s="31">
        <f t="shared" si="6"/>
        <v>0</v>
      </c>
      <c r="L89" s="34">
        <f t="shared" si="7"/>
        <v>0</v>
      </c>
      <c r="M89" s="34">
        <f t="shared" si="5"/>
        <v>0</v>
      </c>
    </row>
    <row r="90" spans="5:13" x14ac:dyDescent="0.25">
      <c r="E90" s="32">
        <f t="shared" si="8"/>
        <v>0</v>
      </c>
      <c r="I90" s="32">
        <f t="shared" si="9"/>
        <v>0</v>
      </c>
      <c r="K90" s="31">
        <f t="shared" si="6"/>
        <v>0</v>
      </c>
      <c r="L90" s="34">
        <f t="shared" si="7"/>
        <v>0</v>
      </c>
      <c r="M90" s="34">
        <f t="shared" si="5"/>
        <v>0</v>
      </c>
    </row>
    <row r="91" spans="5:13" x14ac:dyDescent="0.25">
      <c r="E91" s="32">
        <f t="shared" si="8"/>
        <v>0</v>
      </c>
      <c r="I91" s="32">
        <f t="shared" si="9"/>
        <v>0</v>
      </c>
      <c r="K91" s="31">
        <f t="shared" si="6"/>
        <v>0</v>
      </c>
      <c r="L91" s="34">
        <f t="shared" si="7"/>
        <v>0</v>
      </c>
      <c r="M91" s="34">
        <f t="shared" si="5"/>
        <v>0</v>
      </c>
    </row>
    <row r="92" spans="5:13" x14ac:dyDescent="0.25">
      <c r="E92" s="32">
        <f t="shared" si="8"/>
        <v>0</v>
      </c>
      <c r="I92" s="32">
        <f t="shared" si="9"/>
        <v>0</v>
      </c>
      <c r="K92" s="31">
        <f t="shared" si="6"/>
        <v>0</v>
      </c>
      <c r="L92" s="34">
        <f t="shared" si="7"/>
        <v>0</v>
      </c>
      <c r="M92" s="34">
        <f t="shared" si="5"/>
        <v>0</v>
      </c>
    </row>
    <row r="93" spans="5:13" x14ac:dyDescent="0.25">
      <c r="E93" s="32">
        <f t="shared" si="8"/>
        <v>0</v>
      </c>
      <c r="I93" s="32">
        <f t="shared" si="9"/>
        <v>0</v>
      </c>
      <c r="K93" s="31">
        <f t="shared" si="6"/>
        <v>0</v>
      </c>
      <c r="L93" s="34">
        <f t="shared" si="7"/>
        <v>0</v>
      </c>
      <c r="M93" s="34">
        <f t="shared" si="5"/>
        <v>0</v>
      </c>
    </row>
    <row r="94" spans="5:13" x14ac:dyDescent="0.25">
      <c r="E94" s="32">
        <f t="shared" si="8"/>
        <v>0</v>
      </c>
      <c r="I94" s="32">
        <f t="shared" si="9"/>
        <v>0</v>
      </c>
      <c r="K94" s="31">
        <f t="shared" si="6"/>
        <v>0</v>
      </c>
      <c r="L94" s="34">
        <f t="shared" si="7"/>
        <v>0</v>
      </c>
      <c r="M94" s="34">
        <f t="shared" si="5"/>
        <v>0</v>
      </c>
    </row>
    <row r="95" spans="5:13" x14ac:dyDescent="0.25">
      <c r="E95" s="32">
        <f t="shared" si="8"/>
        <v>0</v>
      </c>
      <c r="I95" s="32">
        <f t="shared" si="9"/>
        <v>0</v>
      </c>
      <c r="K95" s="31">
        <f t="shared" si="6"/>
        <v>0</v>
      </c>
      <c r="L95" s="34">
        <f t="shared" si="7"/>
        <v>0</v>
      </c>
      <c r="M95" s="34">
        <f t="shared" si="5"/>
        <v>0</v>
      </c>
    </row>
    <row r="96" spans="5:13" x14ac:dyDescent="0.25">
      <c r="E96" s="32">
        <f t="shared" si="8"/>
        <v>0</v>
      </c>
      <c r="I96" s="32">
        <f t="shared" si="9"/>
        <v>0</v>
      </c>
      <c r="K96" s="31">
        <f t="shared" si="6"/>
        <v>0</v>
      </c>
      <c r="L96" s="34">
        <f t="shared" si="7"/>
        <v>0</v>
      </c>
      <c r="M96" s="34">
        <f t="shared" si="5"/>
        <v>0</v>
      </c>
    </row>
    <row r="97" spans="5:13" x14ac:dyDescent="0.25">
      <c r="E97" s="32">
        <f t="shared" si="8"/>
        <v>0</v>
      </c>
      <c r="I97" s="32">
        <f t="shared" si="9"/>
        <v>0</v>
      </c>
      <c r="K97" s="31">
        <f t="shared" si="6"/>
        <v>0</v>
      </c>
      <c r="L97" s="34">
        <f t="shared" si="7"/>
        <v>0</v>
      </c>
      <c r="M97" s="34">
        <f t="shared" si="5"/>
        <v>0</v>
      </c>
    </row>
    <row r="98" spans="5:13" x14ac:dyDescent="0.25">
      <c r="E98" s="32">
        <f t="shared" si="8"/>
        <v>0</v>
      </c>
      <c r="I98" s="32">
        <f t="shared" si="9"/>
        <v>0</v>
      </c>
      <c r="K98" s="31">
        <f t="shared" si="6"/>
        <v>0</v>
      </c>
      <c r="L98" s="34">
        <f t="shared" si="7"/>
        <v>0</v>
      </c>
      <c r="M98" s="34">
        <f t="shared" si="5"/>
        <v>0</v>
      </c>
    </row>
    <row r="99" spans="5:13" x14ac:dyDescent="0.25">
      <c r="E99" s="32">
        <f t="shared" si="8"/>
        <v>0</v>
      </c>
      <c r="I99" s="32">
        <f t="shared" si="9"/>
        <v>0</v>
      </c>
      <c r="K99" s="31">
        <f t="shared" si="6"/>
        <v>0</v>
      </c>
      <c r="L99" s="34">
        <f t="shared" si="7"/>
        <v>0</v>
      </c>
      <c r="M99" s="34">
        <f t="shared" si="5"/>
        <v>0</v>
      </c>
    </row>
    <row r="100" spans="5:13" x14ac:dyDescent="0.25">
      <c r="E100" s="32">
        <f t="shared" si="8"/>
        <v>0</v>
      </c>
      <c r="I100" s="32">
        <f t="shared" si="9"/>
        <v>0</v>
      </c>
      <c r="K100" s="31">
        <f t="shared" si="6"/>
        <v>0</v>
      </c>
      <c r="L100" s="34">
        <f t="shared" si="7"/>
        <v>0</v>
      </c>
      <c r="M100" s="34">
        <f t="shared" si="5"/>
        <v>0</v>
      </c>
    </row>
    <row r="101" spans="5:13" x14ac:dyDescent="0.25">
      <c r="E101" s="32">
        <f t="shared" si="8"/>
        <v>0</v>
      </c>
      <c r="I101" s="32">
        <f t="shared" si="9"/>
        <v>0</v>
      </c>
      <c r="K101" s="31">
        <f t="shared" si="6"/>
        <v>0</v>
      </c>
      <c r="L101" s="34">
        <f t="shared" si="7"/>
        <v>0</v>
      </c>
      <c r="M101" s="34">
        <f t="shared" si="5"/>
        <v>0</v>
      </c>
    </row>
    <row r="102" spans="5:13" x14ac:dyDescent="0.25">
      <c r="E102" s="32">
        <f t="shared" si="8"/>
        <v>0</v>
      </c>
      <c r="I102" s="32">
        <f t="shared" si="9"/>
        <v>0</v>
      </c>
      <c r="K102" s="31">
        <f t="shared" si="6"/>
        <v>0</v>
      </c>
      <c r="L102" s="34">
        <f t="shared" si="7"/>
        <v>0</v>
      </c>
      <c r="M102" s="34">
        <f t="shared" si="5"/>
        <v>0</v>
      </c>
    </row>
    <row r="103" spans="5:13" x14ac:dyDescent="0.25">
      <c r="E103" s="32">
        <f t="shared" si="8"/>
        <v>0</v>
      </c>
      <c r="I103" s="32">
        <f t="shared" si="9"/>
        <v>0</v>
      </c>
      <c r="K103" s="31">
        <f t="shared" si="6"/>
        <v>0</v>
      </c>
      <c r="L103" s="34">
        <f t="shared" si="7"/>
        <v>0</v>
      </c>
      <c r="M103" s="34">
        <f t="shared" si="5"/>
        <v>0</v>
      </c>
    </row>
    <row r="104" spans="5:13" x14ac:dyDescent="0.25">
      <c r="E104" s="32">
        <f t="shared" si="8"/>
        <v>0</v>
      </c>
      <c r="I104" s="32">
        <f t="shared" si="9"/>
        <v>0</v>
      </c>
      <c r="K104" s="31">
        <f t="shared" si="6"/>
        <v>0</v>
      </c>
      <c r="L104" s="34">
        <f t="shared" si="7"/>
        <v>0</v>
      </c>
      <c r="M104" s="34">
        <f t="shared" si="5"/>
        <v>0</v>
      </c>
    </row>
    <row r="105" spans="5:13" x14ac:dyDescent="0.25">
      <c r="E105" s="32">
        <f t="shared" si="8"/>
        <v>0</v>
      </c>
      <c r="I105" s="32">
        <f t="shared" si="9"/>
        <v>0</v>
      </c>
      <c r="K105" s="31">
        <f t="shared" si="6"/>
        <v>0</v>
      </c>
      <c r="L105" s="34">
        <f t="shared" si="7"/>
        <v>0</v>
      </c>
      <c r="M105" s="34">
        <f t="shared" si="5"/>
        <v>0</v>
      </c>
    </row>
    <row r="106" spans="5:13" x14ac:dyDescent="0.25">
      <c r="E106" s="32">
        <f t="shared" si="8"/>
        <v>0</v>
      </c>
      <c r="I106" s="32">
        <f t="shared" si="9"/>
        <v>0</v>
      </c>
      <c r="K106" s="31">
        <f t="shared" si="6"/>
        <v>0</v>
      </c>
      <c r="L106" s="34">
        <f t="shared" si="7"/>
        <v>0</v>
      </c>
      <c r="M106" s="34">
        <f t="shared" si="5"/>
        <v>0</v>
      </c>
    </row>
    <row r="107" spans="5:13" x14ac:dyDescent="0.25">
      <c r="E107" s="32">
        <f t="shared" si="8"/>
        <v>0</v>
      </c>
      <c r="I107" s="32">
        <f t="shared" si="9"/>
        <v>0</v>
      </c>
      <c r="K107" s="31">
        <f t="shared" si="6"/>
        <v>0</v>
      </c>
      <c r="L107" s="34">
        <f t="shared" si="7"/>
        <v>0</v>
      </c>
      <c r="M107" s="34">
        <f t="shared" si="5"/>
        <v>0</v>
      </c>
    </row>
    <row r="108" spans="5:13" x14ac:dyDescent="0.25">
      <c r="E108" s="32">
        <f t="shared" si="8"/>
        <v>0</v>
      </c>
      <c r="I108" s="32">
        <f t="shared" si="9"/>
        <v>0</v>
      </c>
      <c r="K108" s="31">
        <f t="shared" si="6"/>
        <v>0</v>
      </c>
      <c r="L108" s="34">
        <f t="shared" si="7"/>
        <v>0</v>
      </c>
      <c r="M108" s="34">
        <f t="shared" si="5"/>
        <v>0</v>
      </c>
    </row>
    <row r="109" spans="5:13" x14ac:dyDescent="0.25">
      <c r="E109" s="32">
        <f t="shared" si="8"/>
        <v>0</v>
      </c>
      <c r="I109" s="32">
        <f t="shared" si="9"/>
        <v>0</v>
      </c>
      <c r="K109" s="31">
        <f t="shared" si="6"/>
        <v>0</v>
      </c>
      <c r="L109" s="34">
        <f t="shared" si="7"/>
        <v>0</v>
      </c>
      <c r="M109" s="34">
        <f t="shared" si="5"/>
        <v>0</v>
      </c>
    </row>
    <row r="110" spans="5:13" x14ac:dyDescent="0.25">
      <c r="E110" s="32">
        <f t="shared" si="8"/>
        <v>0</v>
      </c>
      <c r="I110" s="32">
        <f t="shared" si="9"/>
        <v>0</v>
      </c>
      <c r="K110" s="31">
        <f t="shared" si="6"/>
        <v>0</v>
      </c>
      <c r="L110" s="34">
        <f t="shared" si="7"/>
        <v>0</v>
      </c>
      <c r="M110" s="34">
        <f t="shared" si="5"/>
        <v>0</v>
      </c>
    </row>
    <row r="111" spans="5:13" x14ac:dyDescent="0.25">
      <c r="E111" s="32">
        <f t="shared" si="8"/>
        <v>0</v>
      </c>
      <c r="I111" s="32">
        <f t="shared" si="9"/>
        <v>0</v>
      </c>
      <c r="K111" s="31">
        <f t="shared" si="6"/>
        <v>0</v>
      </c>
      <c r="L111" s="34">
        <f t="shared" si="7"/>
        <v>0</v>
      </c>
      <c r="M111" s="34">
        <f t="shared" si="5"/>
        <v>0</v>
      </c>
    </row>
    <row r="112" spans="5:13" x14ac:dyDescent="0.25">
      <c r="E112" s="32">
        <f t="shared" si="8"/>
        <v>0</v>
      </c>
      <c r="I112" s="32">
        <f t="shared" si="9"/>
        <v>0</v>
      </c>
      <c r="K112" s="31">
        <f t="shared" si="6"/>
        <v>0</v>
      </c>
      <c r="L112" s="34">
        <f t="shared" si="7"/>
        <v>0</v>
      </c>
      <c r="M112" s="34">
        <f t="shared" si="5"/>
        <v>0</v>
      </c>
    </row>
    <row r="113" spans="5:13" x14ac:dyDescent="0.25">
      <c r="E113" s="32">
        <f t="shared" si="8"/>
        <v>0</v>
      </c>
      <c r="I113" s="32">
        <f t="shared" si="9"/>
        <v>0</v>
      </c>
      <c r="K113" s="31">
        <f t="shared" si="6"/>
        <v>0</v>
      </c>
      <c r="L113" s="34">
        <f t="shared" si="7"/>
        <v>0</v>
      </c>
      <c r="M113" s="34">
        <f t="shared" si="5"/>
        <v>0</v>
      </c>
    </row>
    <row r="114" spans="5:13" x14ac:dyDescent="0.25">
      <c r="E114" s="32">
        <f t="shared" si="8"/>
        <v>0</v>
      </c>
      <c r="I114" s="32">
        <f t="shared" si="9"/>
        <v>0</v>
      </c>
      <c r="K114" s="31">
        <f t="shared" si="6"/>
        <v>0</v>
      </c>
      <c r="L114" s="34">
        <f t="shared" si="7"/>
        <v>0</v>
      </c>
      <c r="M114" s="34">
        <f t="shared" si="5"/>
        <v>0</v>
      </c>
    </row>
    <row r="115" spans="5:13" x14ac:dyDescent="0.25">
      <c r="E115" s="32">
        <f t="shared" si="8"/>
        <v>0</v>
      </c>
      <c r="I115" s="32">
        <f t="shared" si="9"/>
        <v>0</v>
      </c>
      <c r="K115" s="31">
        <f t="shared" si="6"/>
        <v>0</v>
      </c>
      <c r="L115" s="34">
        <f t="shared" si="7"/>
        <v>0</v>
      </c>
      <c r="M115" s="34">
        <f t="shared" si="5"/>
        <v>0</v>
      </c>
    </row>
    <row r="116" spans="5:13" x14ac:dyDescent="0.25">
      <c r="E116" s="32">
        <f t="shared" si="8"/>
        <v>0</v>
      </c>
      <c r="I116" s="32">
        <f t="shared" si="9"/>
        <v>0</v>
      </c>
      <c r="K116" s="31">
        <f t="shared" si="6"/>
        <v>0</v>
      </c>
      <c r="L116" s="34">
        <f t="shared" si="7"/>
        <v>0</v>
      </c>
      <c r="M116" s="34">
        <f t="shared" si="5"/>
        <v>0</v>
      </c>
    </row>
    <row r="117" spans="5:13" x14ac:dyDescent="0.25">
      <c r="E117" s="32">
        <f t="shared" si="8"/>
        <v>0</v>
      </c>
      <c r="I117" s="32">
        <f t="shared" si="9"/>
        <v>0</v>
      </c>
      <c r="K117" s="31">
        <f t="shared" si="6"/>
        <v>0</v>
      </c>
      <c r="L117" s="34">
        <f t="shared" si="7"/>
        <v>0</v>
      </c>
      <c r="M117" s="34">
        <f t="shared" si="5"/>
        <v>0</v>
      </c>
    </row>
    <row r="118" spans="5:13" x14ac:dyDescent="0.25">
      <c r="E118" s="32">
        <f t="shared" si="8"/>
        <v>0</v>
      </c>
      <c r="I118" s="32">
        <f t="shared" si="9"/>
        <v>0</v>
      </c>
      <c r="K118" s="31">
        <f t="shared" si="6"/>
        <v>0</v>
      </c>
      <c r="L118" s="34">
        <f t="shared" si="7"/>
        <v>0</v>
      </c>
      <c r="M118" s="34">
        <f t="shared" si="5"/>
        <v>0</v>
      </c>
    </row>
    <row r="119" spans="5:13" x14ac:dyDescent="0.25">
      <c r="E119" s="32">
        <f t="shared" si="8"/>
        <v>0</v>
      </c>
      <c r="I119" s="32">
        <f t="shared" si="9"/>
        <v>0</v>
      </c>
      <c r="K119" s="31">
        <f t="shared" si="6"/>
        <v>0</v>
      </c>
      <c r="L119" s="34">
        <f t="shared" si="7"/>
        <v>0</v>
      </c>
      <c r="M119" s="34">
        <f t="shared" si="5"/>
        <v>0</v>
      </c>
    </row>
    <row r="120" spans="5:13" x14ac:dyDescent="0.25">
      <c r="E120" s="32">
        <f t="shared" si="8"/>
        <v>0</v>
      </c>
      <c r="I120" s="32">
        <f t="shared" si="9"/>
        <v>0</v>
      </c>
      <c r="K120" s="31">
        <f t="shared" si="6"/>
        <v>0</v>
      </c>
      <c r="L120" s="34">
        <f t="shared" si="7"/>
        <v>0</v>
      </c>
      <c r="M120" s="34">
        <f t="shared" si="5"/>
        <v>0</v>
      </c>
    </row>
    <row r="121" spans="5:13" x14ac:dyDescent="0.25">
      <c r="E121" s="32">
        <f t="shared" si="8"/>
        <v>0</v>
      </c>
      <c r="I121" s="32">
        <f t="shared" si="9"/>
        <v>0</v>
      </c>
      <c r="K121" s="31">
        <f t="shared" si="6"/>
        <v>0</v>
      </c>
      <c r="L121" s="34">
        <f t="shared" si="7"/>
        <v>0</v>
      </c>
      <c r="M121" s="34">
        <f t="shared" si="5"/>
        <v>0</v>
      </c>
    </row>
    <row r="122" spans="5:13" x14ac:dyDescent="0.25">
      <c r="E122" s="32">
        <f t="shared" si="8"/>
        <v>0</v>
      </c>
      <c r="I122" s="32">
        <f t="shared" si="9"/>
        <v>0</v>
      </c>
      <c r="K122" s="31">
        <f t="shared" si="6"/>
        <v>0</v>
      </c>
      <c r="L122" s="34">
        <f t="shared" si="7"/>
        <v>0</v>
      </c>
      <c r="M122" s="34">
        <f t="shared" si="5"/>
        <v>0</v>
      </c>
    </row>
    <row r="123" spans="5:13" x14ac:dyDescent="0.25">
      <c r="E123" s="32">
        <f t="shared" si="8"/>
        <v>0</v>
      </c>
      <c r="I123" s="32">
        <f t="shared" si="9"/>
        <v>0</v>
      </c>
      <c r="K123" s="31">
        <f t="shared" si="6"/>
        <v>0</v>
      </c>
      <c r="L123" s="34">
        <f t="shared" si="7"/>
        <v>0</v>
      </c>
      <c r="M123" s="34">
        <f t="shared" si="5"/>
        <v>0</v>
      </c>
    </row>
    <row r="124" spans="5:13" x14ac:dyDescent="0.25">
      <c r="E124" s="32">
        <f t="shared" si="8"/>
        <v>0</v>
      </c>
      <c r="I124" s="32">
        <f t="shared" si="9"/>
        <v>0</v>
      </c>
      <c r="K124" s="31">
        <f t="shared" si="6"/>
        <v>0</v>
      </c>
      <c r="L124" s="34">
        <f t="shared" si="7"/>
        <v>0</v>
      </c>
      <c r="M124" s="34">
        <f t="shared" si="5"/>
        <v>0</v>
      </c>
    </row>
    <row r="125" spans="5:13" x14ac:dyDescent="0.25">
      <c r="E125" s="32">
        <f t="shared" si="8"/>
        <v>0</v>
      </c>
      <c r="I125" s="32">
        <f t="shared" si="9"/>
        <v>0</v>
      </c>
      <c r="K125" s="31">
        <f t="shared" si="6"/>
        <v>0</v>
      </c>
      <c r="L125" s="34">
        <f t="shared" si="7"/>
        <v>0</v>
      </c>
      <c r="M125" s="34">
        <f t="shared" si="5"/>
        <v>0</v>
      </c>
    </row>
    <row r="126" spans="5:13" x14ac:dyDescent="0.25">
      <c r="E126" s="32">
        <f t="shared" si="8"/>
        <v>0</v>
      </c>
      <c r="I126" s="32">
        <f t="shared" si="9"/>
        <v>0</v>
      </c>
      <c r="K126" s="31">
        <f t="shared" si="6"/>
        <v>0</v>
      </c>
      <c r="L126" s="34">
        <f t="shared" si="7"/>
        <v>0</v>
      </c>
      <c r="M126" s="34">
        <f t="shared" si="5"/>
        <v>0</v>
      </c>
    </row>
    <row r="127" spans="5:13" x14ac:dyDescent="0.25">
      <c r="E127" s="32">
        <f t="shared" si="8"/>
        <v>0</v>
      </c>
      <c r="I127" s="32">
        <f t="shared" si="9"/>
        <v>0</v>
      </c>
      <c r="K127" s="31">
        <f t="shared" si="6"/>
        <v>0</v>
      </c>
      <c r="L127" s="34">
        <f t="shared" si="7"/>
        <v>0</v>
      </c>
      <c r="M127" s="34">
        <f t="shared" si="5"/>
        <v>0</v>
      </c>
    </row>
    <row r="128" spans="5:13" x14ac:dyDescent="0.25">
      <c r="E128" s="32">
        <f t="shared" si="8"/>
        <v>0</v>
      </c>
      <c r="I128" s="32">
        <f t="shared" si="9"/>
        <v>0</v>
      </c>
      <c r="K128" s="31">
        <f t="shared" si="6"/>
        <v>0</v>
      </c>
      <c r="L128" s="34">
        <f t="shared" si="7"/>
        <v>0</v>
      </c>
      <c r="M128" s="34">
        <f t="shared" si="5"/>
        <v>0</v>
      </c>
    </row>
    <row r="129" spans="5:13" x14ac:dyDescent="0.25">
      <c r="E129" s="32">
        <f t="shared" si="8"/>
        <v>0</v>
      </c>
      <c r="I129" s="32">
        <f t="shared" si="9"/>
        <v>0</v>
      </c>
      <c r="K129" s="31">
        <f t="shared" si="6"/>
        <v>0</v>
      </c>
      <c r="L129" s="34">
        <f t="shared" si="7"/>
        <v>0</v>
      </c>
      <c r="M129" s="34">
        <f t="shared" si="5"/>
        <v>0</v>
      </c>
    </row>
    <row r="130" spans="5:13" x14ac:dyDescent="0.25">
      <c r="E130" s="32">
        <f t="shared" si="8"/>
        <v>0</v>
      </c>
      <c r="I130" s="32">
        <f t="shared" si="9"/>
        <v>0</v>
      </c>
      <c r="K130" s="31">
        <f t="shared" si="6"/>
        <v>0</v>
      </c>
      <c r="L130" s="34">
        <f t="shared" si="7"/>
        <v>0</v>
      </c>
      <c r="M130" s="34">
        <f t="shared" si="5"/>
        <v>0</v>
      </c>
    </row>
    <row r="131" spans="5:13" x14ac:dyDescent="0.25">
      <c r="E131" s="32">
        <f t="shared" si="8"/>
        <v>0</v>
      </c>
      <c r="I131" s="32">
        <f t="shared" si="9"/>
        <v>0</v>
      </c>
      <c r="K131" s="31">
        <f t="shared" si="6"/>
        <v>0</v>
      </c>
      <c r="L131" s="34">
        <f t="shared" si="7"/>
        <v>0</v>
      </c>
      <c r="M131" s="34">
        <f t="shared" si="5"/>
        <v>0</v>
      </c>
    </row>
    <row r="132" spans="5:13" x14ac:dyDescent="0.25">
      <c r="E132" s="32">
        <f t="shared" si="8"/>
        <v>0</v>
      </c>
      <c r="I132" s="32">
        <f t="shared" si="9"/>
        <v>0</v>
      </c>
      <c r="K132" s="31">
        <f t="shared" si="6"/>
        <v>0</v>
      </c>
      <c r="L132" s="34">
        <f t="shared" si="7"/>
        <v>0</v>
      </c>
      <c r="M132" s="34">
        <f t="shared" ref="M132:M195" si="10">(L132/27)*4</f>
        <v>0</v>
      </c>
    </row>
    <row r="133" spans="5:13" x14ac:dyDescent="0.25">
      <c r="E133" s="32">
        <f t="shared" si="8"/>
        <v>0</v>
      </c>
      <c r="I133" s="32">
        <f t="shared" si="9"/>
        <v>0</v>
      </c>
      <c r="K133" s="31">
        <f t="shared" ref="K133:K196" si="11">B133/30</f>
        <v>0</v>
      </c>
      <c r="L133" s="34">
        <f t="shared" ref="L133:L196" si="12">IF(J133="S",((I133*24)*K133)*2,((I133*24)*K133)*1.5)</f>
        <v>0</v>
      </c>
      <c r="M133" s="34">
        <f t="shared" si="10"/>
        <v>0</v>
      </c>
    </row>
    <row r="134" spans="5:13" x14ac:dyDescent="0.25">
      <c r="E134" s="32">
        <f t="shared" ref="E134:E197" si="13">D134-C134</f>
        <v>0</v>
      </c>
      <c r="I134" s="32">
        <f t="shared" ref="I134:I197" si="14">H134-G134</f>
        <v>0</v>
      </c>
      <c r="K134" s="31">
        <f t="shared" si="11"/>
        <v>0</v>
      </c>
      <c r="L134" s="34">
        <f t="shared" si="12"/>
        <v>0</v>
      </c>
      <c r="M134" s="34">
        <f t="shared" si="10"/>
        <v>0</v>
      </c>
    </row>
    <row r="135" spans="5:13" x14ac:dyDescent="0.25">
      <c r="E135" s="32">
        <f t="shared" si="13"/>
        <v>0</v>
      </c>
      <c r="I135" s="32">
        <f t="shared" si="14"/>
        <v>0</v>
      </c>
      <c r="K135" s="31">
        <f t="shared" si="11"/>
        <v>0</v>
      </c>
      <c r="L135" s="34">
        <f t="shared" si="12"/>
        <v>0</v>
      </c>
      <c r="M135" s="34">
        <f t="shared" si="10"/>
        <v>0</v>
      </c>
    </row>
    <row r="136" spans="5:13" x14ac:dyDescent="0.25">
      <c r="E136" s="32">
        <f t="shared" si="13"/>
        <v>0</v>
      </c>
      <c r="I136" s="32">
        <f t="shared" si="14"/>
        <v>0</v>
      </c>
      <c r="K136" s="31">
        <f t="shared" si="11"/>
        <v>0</v>
      </c>
      <c r="L136" s="34">
        <f t="shared" si="12"/>
        <v>0</v>
      </c>
      <c r="M136" s="34">
        <f t="shared" si="10"/>
        <v>0</v>
      </c>
    </row>
    <row r="137" spans="5:13" x14ac:dyDescent="0.25">
      <c r="E137" s="32">
        <f t="shared" si="13"/>
        <v>0</v>
      </c>
      <c r="I137" s="32">
        <f t="shared" si="14"/>
        <v>0</v>
      </c>
      <c r="K137" s="31">
        <f t="shared" si="11"/>
        <v>0</v>
      </c>
      <c r="L137" s="34">
        <f t="shared" si="12"/>
        <v>0</v>
      </c>
      <c r="M137" s="34">
        <f t="shared" si="10"/>
        <v>0</v>
      </c>
    </row>
    <row r="138" spans="5:13" x14ac:dyDescent="0.25">
      <c r="E138" s="32">
        <f t="shared" si="13"/>
        <v>0</v>
      </c>
      <c r="I138" s="32">
        <f t="shared" si="14"/>
        <v>0</v>
      </c>
      <c r="K138" s="31">
        <f t="shared" si="11"/>
        <v>0</v>
      </c>
      <c r="L138" s="34">
        <f t="shared" si="12"/>
        <v>0</v>
      </c>
      <c r="M138" s="34">
        <f t="shared" si="10"/>
        <v>0</v>
      </c>
    </row>
    <row r="139" spans="5:13" x14ac:dyDescent="0.25">
      <c r="E139" s="32">
        <f t="shared" si="13"/>
        <v>0</v>
      </c>
      <c r="I139" s="32">
        <f t="shared" si="14"/>
        <v>0</v>
      </c>
      <c r="K139" s="31">
        <f t="shared" si="11"/>
        <v>0</v>
      </c>
      <c r="L139" s="34">
        <f t="shared" si="12"/>
        <v>0</v>
      </c>
      <c r="M139" s="34">
        <f t="shared" si="10"/>
        <v>0</v>
      </c>
    </row>
    <row r="140" spans="5:13" x14ac:dyDescent="0.25">
      <c r="E140" s="32">
        <f t="shared" si="13"/>
        <v>0</v>
      </c>
      <c r="I140" s="32">
        <f t="shared" si="14"/>
        <v>0</v>
      </c>
      <c r="K140" s="31">
        <f t="shared" si="11"/>
        <v>0</v>
      </c>
      <c r="L140" s="34">
        <f t="shared" si="12"/>
        <v>0</v>
      </c>
      <c r="M140" s="34">
        <f t="shared" si="10"/>
        <v>0</v>
      </c>
    </row>
    <row r="141" spans="5:13" x14ac:dyDescent="0.25">
      <c r="E141" s="32">
        <f t="shared" si="13"/>
        <v>0</v>
      </c>
      <c r="I141" s="32">
        <f t="shared" si="14"/>
        <v>0</v>
      </c>
      <c r="K141" s="31">
        <f t="shared" si="11"/>
        <v>0</v>
      </c>
      <c r="L141" s="34">
        <f t="shared" si="12"/>
        <v>0</v>
      </c>
      <c r="M141" s="34">
        <f t="shared" si="10"/>
        <v>0</v>
      </c>
    </row>
    <row r="142" spans="5:13" x14ac:dyDescent="0.25">
      <c r="E142" s="32">
        <f t="shared" si="13"/>
        <v>0</v>
      </c>
      <c r="I142" s="32">
        <f t="shared" si="14"/>
        <v>0</v>
      </c>
      <c r="K142" s="31">
        <f t="shared" si="11"/>
        <v>0</v>
      </c>
      <c r="L142" s="34">
        <f t="shared" si="12"/>
        <v>0</v>
      </c>
      <c r="M142" s="34">
        <f t="shared" si="10"/>
        <v>0</v>
      </c>
    </row>
    <row r="143" spans="5:13" x14ac:dyDescent="0.25">
      <c r="E143" s="32">
        <f t="shared" si="13"/>
        <v>0</v>
      </c>
      <c r="I143" s="32">
        <f t="shared" si="14"/>
        <v>0</v>
      </c>
      <c r="K143" s="31">
        <f t="shared" si="11"/>
        <v>0</v>
      </c>
      <c r="L143" s="34">
        <f t="shared" si="12"/>
        <v>0</v>
      </c>
      <c r="M143" s="34">
        <f t="shared" si="10"/>
        <v>0</v>
      </c>
    </row>
    <row r="144" spans="5:13" x14ac:dyDescent="0.25">
      <c r="E144" s="32">
        <f t="shared" si="13"/>
        <v>0</v>
      </c>
      <c r="I144" s="32">
        <f t="shared" si="14"/>
        <v>0</v>
      </c>
      <c r="K144" s="31">
        <f t="shared" si="11"/>
        <v>0</v>
      </c>
      <c r="L144" s="34">
        <f t="shared" si="12"/>
        <v>0</v>
      </c>
      <c r="M144" s="34">
        <f t="shared" si="10"/>
        <v>0</v>
      </c>
    </row>
    <row r="145" spans="5:13" x14ac:dyDescent="0.25">
      <c r="E145" s="32">
        <f t="shared" si="13"/>
        <v>0</v>
      </c>
      <c r="I145" s="32">
        <f t="shared" si="14"/>
        <v>0</v>
      </c>
      <c r="K145" s="31">
        <f t="shared" si="11"/>
        <v>0</v>
      </c>
      <c r="L145" s="34">
        <f t="shared" si="12"/>
        <v>0</v>
      </c>
      <c r="M145" s="34">
        <f t="shared" si="10"/>
        <v>0</v>
      </c>
    </row>
    <row r="146" spans="5:13" x14ac:dyDescent="0.25">
      <c r="E146" s="32">
        <f t="shared" si="13"/>
        <v>0</v>
      </c>
      <c r="I146" s="32">
        <f t="shared" si="14"/>
        <v>0</v>
      </c>
      <c r="K146" s="31">
        <f t="shared" si="11"/>
        <v>0</v>
      </c>
      <c r="L146" s="34">
        <f t="shared" si="12"/>
        <v>0</v>
      </c>
      <c r="M146" s="34">
        <f t="shared" si="10"/>
        <v>0</v>
      </c>
    </row>
    <row r="147" spans="5:13" x14ac:dyDescent="0.25">
      <c r="E147" s="32">
        <f t="shared" si="13"/>
        <v>0</v>
      </c>
      <c r="I147" s="32">
        <f t="shared" si="14"/>
        <v>0</v>
      </c>
      <c r="K147" s="31">
        <f t="shared" si="11"/>
        <v>0</v>
      </c>
      <c r="L147" s="34">
        <f t="shared" si="12"/>
        <v>0</v>
      </c>
      <c r="M147" s="34">
        <f t="shared" si="10"/>
        <v>0</v>
      </c>
    </row>
    <row r="148" spans="5:13" x14ac:dyDescent="0.25">
      <c r="E148" s="32">
        <f t="shared" si="13"/>
        <v>0</v>
      </c>
      <c r="I148" s="32">
        <f t="shared" si="14"/>
        <v>0</v>
      </c>
      <c r="K148" s="31">
        <f t="shared" si="11"/>
        <v>0</v>
      </c>
      <c r="L148" s="34">
        <f t="shared" si="12"/>
        <v>0</v>
      </c>
      <c r="M148" s="34">
        <f t="shared" si="10"/>
        <v>0</v>
      </c>
    </row>
    <row r="149" spans="5:13" x14ac:dyDescent="0.25">
      <c r="E149" s="32">
        <f t="shared" si="13"/>
        <v>0</v>
      </c>
      <c r="I149" s="32">
        <f t="shared" si="14"/>
        <v>0</v>
      </c>
      <c r="K149" s="31">
        <f t="shared" si="11"/>
        <v>0</v>
      </c>
      <c r="L149" s="34">
        <f t="shared" si="12"/>
        <v>0</v>
      </c>
      <c r="M149" s="34">
        <f t="shared" si="10"/>
        <v>0</v>
      </c>
    </row>
    <row r="150" spans="5:13" x14ac:dyDescent="0.25">
      <c r="E150" s="32">
        <f t="shared" si="13"/>
        <v>0</v>
      </c>
      <c r="I150" s="32">
        <f t="shared" si="14"/>
        <v>0</v>
      </c>
      <c r="K150" s="31">
        <f t="shared" si="11"/>
        <v>0</v>
      </c>
      <c r="L150" s="34">
        <f t="shared" si="12"/>
        <v>0</v>
      </c>
      <c r="M150" s="34">
        <f t="shared" si="10"/>
        <v>0</v>
      </c>
    </row>
    <row r="151" spans="5:13" x14ac:dyDescent="0.25">
      <c r="E151" s="32">
        <f t="shared" si="13"/>
        <v>0</v>
      </c>
      <c r="I151" s="32">
        <f t="shared" si="14"/>
        <v>0</v>
      </c>
      <c r="K151" s="31">
        <f t="shared" si="11"/>
        <v>0</v>
      </c>
      <c r="L151" s="34">
        <f t="shared" si="12"/>
        <v>0</v>
      </c>
      <c r="M151" s="34">
        <f t="shared" si="10"/>
        <v>0</v>
      </c>
    </row>
    <row r="152" spans="5:13" x14ac:dyDescent="0.25">
      <c r="E152" s="32">
        <f t="shared" si="13"/>
        <v>0</v>
      </c>
      <c r="I152" s="32">
        <f t="shared" si="14"/>
        <v>0</v>
      </c>
      <c r="K152" s="31">
        <f t="shared" si="11"/>
        <v>0</v>
      </c>
      <c r="L152" s="34">
        <f t="shared" si="12"/>
        <v>0</v>
      </c>
      <c r="M152" s="34">
        <f t="shared" si="10"/>
        <v>0</v>
      </c>
    </row>
    <row r="153" spans="5:13" x14ac:dyDescent="0.25">
      <c r="E153" s="32">
        <f t="shared" si="13"/>
        <v>0</v>
      </c>
      <c r="I153" s="32">
        <f t="shared" si="14"/>
        <v>0</v>
      </c>
      <c r="K153" s="31">
        <f t="shared" si="11"/>
        <v>0</v>
      </c>
      <c r="L153" s="34">
        <f t="shared" si="12"/>
        <v>0</v>
      </c>
      <c r="M153" s="34">
        <f t="shared" si="10"/>
        <v>0</v>
      </c>
    </row>
    <row r="154" spans="5:13" x14ac:dyDescent="0.25">
      <c r="E154" s="32">
        <f t="shared" si="13"/>
        <v>0</v>
      </c>
      <c r="I154" s="32">
        <f t="shared" si="14"/>
        <v>0</v>
      </c>
      <c r="K154" s="31">
        <f t="shared" si="11"/>
        <v>0</v>
      </c>
      <c r="L154" s="34">
        <f t="shared" si="12"/>
        <v>0</v>
      </c>
      <c r="M154" s="34">
        <f t="shared" si="10"/>
        <v>0</v>
      </c>
    </row>
    <row r="155" spans="5:13" x14ac:dyDescent="0.25">
      <c r="E155" s="32">
        <f t="shared" si="13"/>
        <v>0</v>
      </c>
      <c r="I155" s="32">
        <f t="shared" si="14"/>
        <v>0</v>
      </c>
      <c r="K155" s="31">
        <f t="shared" si="11"/>
        <v>0</v>
      </c>
      <c r="L155" s="34">
        <f t="shared" si="12"/>
        <v>0</v>
      </c>
      <c r="M155" s="34">
        <f t="shared" si="10"/>
        <v>0</v>
      </c>
    </row>
    <row r="156" spans="5:13" x14ac:dyDescent="0.25">
      <c r="E156" s="32">
        <f t="shared" si="13"/>
        <v>0</v>
      </c>
      <c r="I156" s="32">
        <f t="shared" si="14"/>
        <v>0</v>
      </c>
      <c r="K156" s="31">
        <f t="shared" si="11"/>
        <v>0</v>
      </c>
      <c r="L156" s="34">
        <f t="shared" si="12"/>
        <v>0</v>
      </c>
      <c r="M156" s="34">
        <f t="shared" si="10"/>
        <v>0</v>
      </c>
    </row>
    <row r="157" spans="5:13" x14ac:dyDescent="0.25">
      <c r="E157" s="32">
        <f t="shared" si="13"/>
        <v>0</v>
      </c>
      <c r="I157" s="32">
        <f t="shared" si="14"/>
        <v>0</v>
      </c>
      <c r="K157" s="31">
        <f t="shared" si="11"/>
        <v>0</v>
      </c>
      <c r="L157" s="34">
        <f t="shared" si="12"/>
        <v>0</v>
      </c>
      <c r="M157" s="34">
        <f t="shared" si="10"/>
        <v>0</v>
      </c>
    </row>
    <row r="158" spans="5:13" x14ac:dyDescent="0.25">
      <c r="E158" s="32">
        <f t="shared" si="13"/>
        <v>0</v>
      </c>
      <c r="I158" s="32">
        <f t="shared" si="14"/>
        <v>0</v>
      </c>
      <c r="K158" s="31">
        <f t="shared" si="11"/>
        <v>0</v>
      </c>
      <c r="L158" s="34">
        <f t="shared" si="12"/>
        <v>0</v>
      </c>
      <c r="M158" s="34">
        <f t="shared" si="10"/>
        <v>0</v>
      </c>
    </row>
    <row r="159" spans="5:13" x14ac:dyDescent="0.25">
      <c r="E159" s="32">
        <f t="shared" si="13"/>
        <v>0</v>
      </c>
      <c r="I159" s="32">
        <f t="shared" si="14"/>
        <v>0</v>
      </c>
      <c r="K159" s="31">
        <f t="shared" si="11"/>
        <v>0</v>
      </c>
      <c r="L159" s="34">
        <f t="shared" si="12"/>
        <v>0</v>
      </c>
      <c r="M159" s="34">
        <f t="shared" si="10"/>
        <v>0</v>
      </c>
    </row>
    <row r="160" spans="5:13" x14ac:dyDescent="0.25">
      <c r="E160" s="32">
        <f t="shared" si="13"/>
        <v>0</v>
      </c>
      <c r="I160" s="32">
        <f t="shared" si="14"/>
        <v>0</v>
      </c>
      <c r="K160" s="31">
        <f t="shared" si="11"/>
        <v>0</v>
      </c>
      <c r="L160" s="34">
        <f t="shared" si="12"/>
        <v>0</v>
      </c>
      <c r="M160" s="34">
        <f t="shared" si="10"/>
        <v>0</v>
      </c>
    </row>
    <row r="161" spans="5:13" x14ac:dyDescent="0.25">
      <c r="E161" s="32">
        <f t="shared" si="13"/>
        <v>0</v>
      </c>
      <c r="I161" s="32">
        <f t="shared" si="14"/>
        <v>0</v>
      </c>
      <c r="K161" s="31">
        <f t="shared" si="11"/>
        <v>0</v>
      </c>
      <c r="L161" s="34">
        <f t="shared" si="12"/>
        <v>0</v>
      </c>
      <c r="M161" s="34">
        <f t="shared" si="10"/>
        <v>0</v>
      </c>
    </row>
    <row r="162" spans="5:13" x14ac:dyDescent="0.25">
      <c r="E162" s="32">
        <f t="shared" si="13"/>
        <v>0</v>
      </c>
      <c r="I162" s="32">
        <f t="shared" si="14"/>
        <v>0</v>
      </c>
      <c r="K162" s="31">
        <f t="shared" si="11"/>
        <v>0</v>
      </c>
      <c r="L162" s="34">
        <f t="shared" si="12"/>
        <v>0</v>
      </c>
      <c r="M162" s="34">
        <f t="shared" si="10"/>
        <v>0</v>
      </c>
    </row>
    <row r="163" spans="5:13" x14ac:dyDescent="0.25">
      <c r="E163" s="32">
        <f t="shared" si="13"/>
        <v>0</v>
      </c>
      <c r="I163" s="32">
        <f t="shared" si="14"/>
        <v>0</v>
      </c>
      <c r="K163" s="31">
        <f t="shared" si="11"/>
        <v>0</v>
      </c>
      <c r="L163" s="34">
        <f t="shared" si="12"/>
        <v>0</v>
      </c>
      <c r="M163" s="34">
        <f t="shared" si="10"/>
        <v>0</v>
      </c>
    </row>
    <row r="164" spans="5:13" x14ac:dyDescent="0.25">
      <c r="E164" s="32">
        <f t="shared" si="13"/>
        <v>0</v>
      </c>
      <c r="I164" s="32">
        <f t="shared" si="14"/>
        <v>0</v>
      </c>
      <c r="K164" s="31">
        <f t="shared" si="11"/>
        <v>0</v>
      </c>
      <c r="L164" s="34">
        <f t="shared" si="12"/>
        <v>0</v>
      </c>
      <c r="M164" s="34">
        <f t="shared" si="10"/>
        <v>0</v>
      </c>
    </row>
    <row r="165" spans="5:13" x14ac:dyDescent="0.25">
      <c r="E165" s="32">
        <f t="shared" si="13"/>
        <v>0</v>
      </c>
      <c r="I165" s="32">
        <f t="shared" si="14"/>
        <v>0</v>
      </c>
      <c r="K165" s="31">
        <f t="shared" si="11"/>
        <v>0</v>
      </c>
      <c r="L165" s="34">
        <f t="shared" si="12"/>
        <v>0</v>
      </c>
      <c r="M165" s="34">
        <f t="shared" si="10"/>
        <v>0</v>
      </c>
    </row>
    <row r="166" spans="5:13" x14ac:dyDescent="0.25">
      <c r="E166" s="32">
        <f t="shared" si="13"/>
        <v>0</v>
      </c>
      <c r="I166" s="32">
        <f t="shared" si="14"/>
        <v>0</v>
      </c>
      <c r="K166" s="31">
        <f t="shared" si="11"/>
        <v>0</v>
      </c>
      <c r="L166" s="34">
        <f t="shared" si="12"/>
        <v>0</v>
      </c>
      <c r="M166" s="34">
        <f t="shared" si="10"/>
        <v>0</v>
      </c>
    </row>
    <row r="167" spans="5:13" x14ac:dyDescent="0.25">
      <c r="E167" s="32">
        <f t="shared" si="13"/>
        <v>0</v>
      </c>
      <c r="I167" s="32">
        <f t="shared" si="14"/>
        <v>0</v>
      </c>
      <c r="K167" s="31">
        <f t="shared" si="11"/>
        <v>0</v>
      </c>
      <c r="L167" s="34">
        <f t="shared" si="12"/>
        <v>0</v>
      </c>
      <c r="M167" s="34">
        <f t="shared" si="10"/>
        <v>0</v>
      </c>
    </row>
    <row r="168" spans="5:13" x14ac:dyDescent="0.25">
      <c r="E168" s="32">
        <f t="shared" si="13"/>
        <v>0</v>
      </c>
      <c r="I168" s="32">
        <f t="shared" si="14"/>
        <v>0</v>
      </c>
      <c r="K168" s="31">
        <f t="shared" si="11"/>
        <v>0</v>
      </c>
      <c r="L168" s="34">
        <f t="shared" si="12"/>
        <v>0</v>
      </c>
      <c r="M168" s="34">
        <f t="shared" si="10"/>
        <v>0</v>
      </c>
    </row>
    <row r="169" spans="5:13" x14ac:dyDescent="0.25">
      <c r="E169" s="32">
        <f t="shared" si="13"/>
        <v>0</v>
      </c>
      <c r="I169" s="32">
        <f t="shared" si="14"/>
        <v>0</v>
      </c>
      <c r="K169" s="31">
        <f t="shared" si="11"/>
        <v>0</v>
      </c>
      <c r="L169" s="34">
        <f t="shared" si="12"/>
        <v>0</v>
      </c>
      <c r="M169" s="34">
        <f t="shared" si="10"/>
        <v>0</v>
      </c>
    </row>
    <row r="170" spans="5:13" x14ac:dyDescent="0.25">
      <c r="E170" s="32">
        <f t="shared" si="13"/>
        <v>0</v>
      </c>
      <c r="I170" s="32">
        <f t="shared" si="14"/>
        <v>0</v>
      </c>
      <c r="K170" s="31">
        <f t="shared" si="11"/>
        <v>0</v>
      </c>
      <c r="L170" s="34">
        <f t="shared" si="12"/>
        <v>0</v>
      </c>
      <c r="M170" s="34">
        <f t="shared" si="10"/>
        <v>0</v>
      </c>
    </row>
    <row r="171" spans="5:13" x14ac:dyDescent="0.25">
      <c r="E171" s="32">
        <f t="shared" si="13"/>
        <v>0</v>
      </c>
      <c r="I171" s="32">
        <f t="shared" si="14"/>
        <v>0</v>
      </c>
      <c r="K171" s="31">
        <f t="shared" si="11"/>
        <v>0</v>
      </c>
      <c r="L171" s="34">
        <f t="shared" si="12"/>
        <v>0</v>
      </c>
      <c r="M171" s="34">
        <f t="shared" si="10"/>
        <v>0</v>
      </c>
    </row>
    <row r="172" spans="5:13" x14ac:dyDescent="0.25">
      <c r="E172" s="32">
        <f t="shared" si="13"/>
        <v>0</v>
      </c>
      <c r="I172" s="32">
        <f t="shared" si="14"/>
        <v>0</v>
      </c>
      <c r="K172" s="31">
        <f t="shared" si="11"/>
        <v>0</v>
      </c>
      <c r="L172" s="34">
        <f t="shared" si="12"/>
        <v>0</v>
      </c>
      <c r="M172" s="34">
        <f t="shared" si="10"/>
        <v>0</v>
      </c>
    </row>
    <row r="173" spans="5:13" x14ac:dyDescent="0.25">
      <c r="E173" s="32">
        <f t="shared" si="13"/>
        <v>0</v>
      </c>
      <c r="I173" s="32">
        <f t="shared" si="14"/>
        <v>0</v>
      </c>
      <c r="K173" s="31">
        <f t="shared" si="11"/>
        <v>0</v>
      </c>
      <c r="L173" s="34">
        <f t="shared" si="12"/>
        <v>0</v>
      </c>
      <c r="M173" s="34">
        <f t="shared" si="10"/>
        <v>0</v>
      </c>
    </row>
    <row r="174" spans="5:13" x14ac:dyDescent="0.25">
      <c r="E174" s="32">
        <f t="shared" si="13"/>
        <v>0</v>
      </c>
      <c r="I174" s="32">
        <f t="shared" si="14"/>
        <v>0</v>
      </c>
      <c r="K174" s="31">
        <f t="shared" si="11"/>
        <v>0</v>
      </c>
      <c r="L174" s="34">
        <f t="shared" si="12"/>
        <v>0</v>
      </c>
      <c r="M174" s="34">
        <f t="shared" si="10"/>
        <v>0</v>
      </c>
    </row>
    <row r="175" spans="5:13" x14ac:dyDescent="0.25">
      <c r="E175" s="32">
        <f t="shared" si="13"/>
        <v>0</v>
      </c>
      <c r="I175" s="32">
        <f t="shared" si="14"/>
        <v>0</v>
      </c>
      <c r="K175" s="31">
        <f t="shared" si="11"/>
        <v>0</v>
      </c>
      <c r="L175" s="34">
        <f t="shared" si="12"/>
        <v>0</v>
      </c>
      <c r="M175" s="34">
        <f t="shared" si="10"/>
        <v>0</v>
      </c>
    </row>
    <row r="176" spans="5:13" x14ac:dyDescent="0.25">
      <c r="E176" s="32">
        <f t="shared" si="13"/>
        <v>0</v>
      </c>
      <c r="I176" s="32">
        <f t="shared" si="14"/>
        <v>0</v>
      </c>
      <c r="K176" s="31">
        <f t="shared" si="11"/>
        <v>0</v>
      </c>
      <c r="L176" s="34">
        <f t="shared" si="12"/>
        <v>0</v>
      </c>
      <c r="M176" s="34">
        <f t="shared" si="10"/>
        <v>0</v>
      </c>
    </row>
    <row r="177" spans="5:13" x14ac:dyDescent="0.25">
      <c r="E177" s="32">
        <f t="shared" si="13"/>
        <v>0</v>
      </c>
      <c r="I177" s="32">
        <f t="shared" si="14"/>
        <v>0</v>
      </c>
      <c r="K177" s="31">
        <f t="shared" si="11"/>
        <v>0</v>
      </c>
      <c r="L177" s="34">
        <f t="shared" si="12"/>
        <v>0</v>
      </c>
      <c r="M177" s="34">
        <f t="shared" si="10"/>
        <v>0</v>
      </c>
    </row>
    <row r="178" spans="5:13" x14ac:dyDescent="0.25">
      <c r="E178" s="32">
        <f t="shared" si="13"/>
        <v>0</v>
      </c>
      <c r="I178" s="32">
        <f t="shared" si="14"/>
        <v>0</v>
      </c>
      <c r="K178" s="31">
        <f t="shared" si="11"/>
        <v>0</v>
      </c>
      <c r="L178" s="34">
        <f t="shared" si="12"/>
        <v>0</v>
      </c>
      <c r="M178" s="34">
        <f t="shared" si="10"/>
        <v>0</v>
      </c>
    </row>
    <row r="179" spans="5:13" x14ac:dyDescent="0.25">
      <c r="E179" s="32">
        <f t="shared" si="13"/>
        <v>0</v>
      </c>
      <c r="I179" s="32">
        <f t="shared" si="14"/>
        <v>0</v>
      </c>
      <c r="K179" s="31">
        <f t="shared" si="11"/>
        <v>0</v>
      </c>
      <c r="L179" s="34">
        <f t="shared" si="12"/>
        <v>0</v>
      </c>
      <c r="M179" s="34">
        <f t="shared" si="10"/>
        <v>0</v>
      </c>
    </row>
    <row r="180" spans="5:13" x14ac:dyDescent="0.25">
      <c r="E180" s="32">
        <f t="shared" si="13"/>
        <v>0</v>
      </c>
      <c r="I180" s="32">
        <f t="shared" si="14"/>
        <v>0</v>
      </c>
      <c r="K180" s="31">
        <f t="shared" si="11"/>
        <v>0</v>
      </c>
      <c r="L180" s="34">
        <f t="shared" si="12"/>
        <v>0</v>
      </c>
      <c r="M180" s="34">
        <f t="shared" si="10"/>
        <v>0</v>
      </c>
    </row>
    <row r="181" spans="5:13" x14ac:dyDescent="0.25">
      <c r="E181" s="32">
        <f t="shared" si="13"/>
        <v>0</v>
      </c>
      <c r="I181" s="32">
        <f t="shared" si="14"/>
        <v>0</v>
      </c>
      <c r="K181" s="31">
        <f t="shared" si="11"/>
        <v>0</v>
      </c>
      <c r="L181" s="34">
        <f t="shared" si="12"/>
        <v>0</v>
      </c>
      <c r="M181" s="34">
        <f t="shared" si="10"/>
        <v>0</v>
      </c>
    </row>
    <row r="182" spans="5:13" x14ac:dyDescent="0.25">
      <c r="E182" s="32">
        <f t="shared" si="13"/>
        <v>0</v>
      </c>
      <c r="I182" s="32">
        <f t="shared" si="14"/>
        <v>0</v>
      </c>
      <c r="K182" s="31">
        <f t="shared" si="11"/>
        <v>0</v>
      </c>
      <c r="L182" s="34">
        <f t="shared" si="12"/>
        <v>0</v>
      </c>
      <c r="M182" s="34">
        <f t="shared" si="10"/>
        <v>0</v>
      </c>
    </row>
    <row r="183" spans="5:13" x14ac:dyDescent="0.25">
      <c r="E183" s="32">
        <f t="shared" si="13"/>
        <v>0</v>
      </c>
      <c r="I183" s="32">
        <f t="shared" si="14"/>
        <v>0</v>
      </c>
      <c r="K183" s="31">
        <f t="shared" si="11"/>
        <v>0</v>
      </c>
      <c r="L183" s="34">
        <f t="shared" si="12"/>
        <v>0</v>
      </c>
      <c r="M183" s="34">
        <f t="shared" si="10"/>
        <v>0</v>
      </c>
    </row>
    <row r="184" spans="5:13" x14ac:dyDescent="0.25">
      <c r="E184" s="32">
        <f t="shared" si="13"/>
        <v>0</v>
      </c>
      <c r="I184" s="32">
        <f t="shared" si="14"/>
        <v>0</v>
      </c>
      <c r="K184" s="31">
        <f t="shared" si="11"/>
        <v>0</v>
      </c>
      <c r="L184" s="34">
        <f t="shared" si="12"/>
        <v>0</v>
      </c>
      <c r="M184" s="34">
        <f t="shared" si="10"/>
        <v>0</v>
      </c>
    </row>
    <row r="185" spans="5:13" x14ac:dyDescent="0.25">
      <c r="E185" s="32">
        <f t="shared" si="13"/>
        <v>0</v>
      </c>
      <c r="I185" s="32">
        <f t="shared" si="14"/>
        <v>0</v>
      </c>
      <c r="K185" s="31">
        <f t="shared" si="11"/>
        <v>0</v>
      </c>
      <c r="L185" s="34">
        <f t="shared" si="12"/>
        <v>0</v>
      </c>
      <c r="M185" s="34">
        <f t="shared" si="10"/>
        <v>0</v>
      </c>
    </row>
    <row r="186" spans="5:13" x14ac:dyDescent="0.25">
      <c r="E186" s="32">
        <f t="shared" si="13"/>
        <v>0</v>
      </c>
      <c r="I186" s="32">
        <f t="shared" si="14"/>
        <v>0</v>
      </c>
      <c r="K186" s="31">
        <f t="shared" si="11"/>
        <v>0</v>
      </c>
      <c r="L186" s="34">
        <f t="shared" si="12"/>
        <v>0</v>
      </c>
      <c r="M186" s="34">
        <f t="shared" si="10"/>
        <v>0</v>
      </c>
    </row>
    <row r="187" spans="5:13" x14ac:dyDescent="0.25">
      <c r="E187" s="32">
        <f t="shared" si="13"/>
        <v>0</v>
      </c>
      <c r="I187" s="32">
        <f t="shared" si="14"/>
        <v>0</v>
      </c>
      <c r="K187" s="31">
        <f t="shared" si="11"/>
        <v>0</v>
      </c>
      <c r="L187" s="34">
        <f t="shared" si="12"/>
        <v>0</v>
      </c>
      <c r="M187" s="34">
        <f t="shared" si="10"/>
        <v>0</v>
      </c>
    </row>
    <row r="188" spans="5:13" x14ac:dyDescent="0.25">
      <c r="E188" s="32">
        <f t="shared" si="13"/>
        <v>0</v>
      </c>
      <c r="I188" s="32">
        <f t="shared" si="14"/>
        <v>0</v>
      </c>
      <c r="K188" s="31">
        <f t="shared" si="11"/>
        <v>0</v>
      </c>
      <c r="L188" s="34">
        <f t="shared" si="12"/>
        <v>0</v>
      </c>
      <c r="M188" s="34">
        <f t="shared" si="10"/>
        <v>0</v>
      </c>
    </row>
    <row r="189" spans="5:13" x14ac:dyDescent="0.25">
      <c r="E189" s="32">
        <f t="shared" si="13"/>
        <v>0</v>
      </c>
      <c r="I189" s="32">
        <f t="shared" si="14"/>
        <v>0</v>
      </c>
      <c r="K189" s="31">
        <f t="shared" si="11"/>
        <v>0</v>
      </c>
      <c r="L189" s="34">
        <f t="shared" si="12"/>
        <v>0</v>
      </c>
      <c r="M189" s="34">
        <f t="shared" si="10"/>
        <v>0</v>
      </c>
    </row>
    <row r="190" spans="5:13" x14ac:dyDescent="0.25">
      <c r="E190" s="32">
        <f t="shared" si="13"/>
        <v>0</v>
      </c>
      <c r="I190" s="32">
        <f t="shared" si="14"/>
        <v>0</v>
      </c>
      <c r="K190" s="31">
        <f t="shared" si="11"/>
        <v>0</v>
      </c>
      <c r="L190" s="34">
        <f t="shared" si="12"/>
        <v>0</v>
      </c>
      <c r="M190" s="34">
        <f t="shared" si="10"/>
        <v>0</v>
      </c>
    </row>
    <row r="191" spans="5:13" x14ac:dyDescent="0.25">
      <c r="E191" s="32">
        <f t="shared" si="13"/>
        <v>0</v>
      </c>
      <c r="I191" s="32">
        <f t="shared" si="14"/>
        <v>0</v>
      </c>
      <c r="K191" s="31">
        <f t="shared" si="11"/>
        <v>0</v>
      </c>
      <c r="L191" s="34">
        <f t="shared" si="12"/>
        <v>0</v>
      </c>
      <c r="M191" s="34">
        <f t="shared" si="10"/>
        <v>0</v>
      </c>
    </row>
    <row r="192" spans="5:13" x14ac:dyDescent="0.25">
      <c r="E192" s="32">
        <f t="shared" si="13"/>
        <v>0</v>
      </c>
      <c r="I192" s="32">
        <f t="shared" si="14"/>
        <v>0</v>
      </c>
      <c r="K192" s="31">
        <f t="shared" si="11"/>
        <v>0</v>
      </c>
      <c r="L192" s="34">
        <f t="shared" si="12"/>
        <v>0</v>
      </c>
      <c r="M192" s="34">
        <f t="shared" si="10"/>
        <v>0</v>
      </c>
    </row>
    <row r="193" spans="5:13" x14ac:dyDescent="0.25">
      <c r="E193" s="32">
        <f t="shared" si="13"/>
        <v>0</v>
      </c>
      <c r="I193" s="32">
        <f t="shared" si="14"/>
        <v>0</v>
      </c>
      <c r="K193" s="31">
        <f t="shared" si="11"/>
        <v>0</v>
      </c>
      <c r="L193" s="34">
        <f t="shared" si="12"/>
        <v>0</v>
      </c>
      <c r="M193" s="34">
        <f t="shared" si="10"/>
        <v>0</v>
      </c>
    </row>
    <row r="194" spans="5:13" x14ac:dyDescent="0.25">
      <c r="E194" s="32">
        <f t="shared" si="13"/>
        <v>0</v>
      </c>
      <c r="I194" s="32">
        <f t="shared" si="14"/>
        <v>0</v>
      </c>
      <c r="K194" s="31">
        <f t="shared" si="11"/>
        <v>0</v>
      </c>
      <c r="L194" s="34">
        <f t="shared" si="12"/>
        <v>0</v>
      </c>
      <c r="M194" s="34">
        <f t="shared" si="10"/>
        <v>0</v>
      </c>
    </row>
    <row r="195" spans="5:13" x14ac:dyDescent="0.25">
      <c r="E195" s="32">
        <f t="shared" si="13"/>
        <v>0</v>
      </c>
      <c r="I195" s="32">
        <f t="shared" si="14"/>
        <v>0</v>
      </c>
      <c r="K195" s="31">
        <f t="shared" si="11"/>
        <v>0</v>
      </c>
      <c r="L195" s="34">
        <f t="shared" si="12"/>
        <v>0</v>
      </c>
      <c r="M195" s="34">
        <f t="shared" si="10"/>
        <v>0</v>
      </c>
    </row>
    <row r="196" spans="5:13" x14ac:dyDescent="0.25">
      <c r="E196" s="32">
        <f t="shared" si="13"/>
        <v>0</v>
      </c>
      <c r="I196" s="32">
        <f t="shared" si="14"/>
        <v>0</v>
      </c>
      <c r="K196" s="31">
        <f t="shared" si="11"/>
        <v>0</v>
      </c>
      <c r="L196" s="34">
        <f t="shared" si="12"/>
        <v>0</v>
      </c>
      <c r="M196" s="34">
        <f t="shared" ref="M196:M259" si="15">(L196/27)*4</f>
        <v>0</v>
      </c>
    </row>
    <row r="197" spans="5:13" x14ac:dyDescent="0.25">
      <c r="E197" s="32">
        <f t="shared" si="13"/>
        <v>0</v>
      </c>
      <c r="I197" s="32">
        <f t="shared" si="14"/>
        <v>0</v>
      </c>
      <c r="K197" s="31">
        <f t="shared" ref="K197:K260" si="16">B197/30</f>
        <v>0</v>
      </c>
      <c r="L197" s="34">
        <f t="shared" ref="L197:L260" si="17">IF(J197="S",((I197*24)*K197)*2,((I197*24)*K197)*1.5)</f>
        <v>0</v>
      </c>
      <c r="M197" s="34">
        <f t="shared" si="15"/>
        <v>0</v>
      </c>
    </row>
    <row r="198" spans="5:13" x14ac:dyDescent="0.25">
      <c r="E198" s="32">
        <f t="shared" ref="E198:E261" si="18">D198-C198</f>
        <v>0</v>
      </c>
      <c r="I198" s="32">
        <f t="shared" ref="I198:I261" si="19">H198-G198</f>
        <v>0</v>
      </c>
      <c r="K198" s="31">
        <f t="shared" si="16"/>
        <v>0</v>
      </c>
      <c r="L198" s="34">
        <f t="shared" si="17"/>
        <v>0</v>
      </c>
      <c r="M198" s="34">
        <f t="shared" si="15"/>
        <v>0</v>
      </c>
    </row>
    <row r="199" spans="5:13" x14ac:dyDescent="0.25">
      <c r="E199" s="32">
        <f t="shared" si="18"/>
        <v>0</v>
      </c>
      <c r="I199" s="32">
        <f t="shared" si="19"/>
        <v>0</v>
      </c>
      <c r="K199" s="31">
        <f t="shared" si="16"/>
        <v>0</v>
      </c>
      <c r="L199" s="34">
        <f t="shared" si="17"/>
        <v>0</v>
      </c>
      <c r="M199" s="34">
        <f t="shared" si="15"/>
        <v>0</v>
      </c>
    </row>
    <row r="200" spans="5:13" x14ac:dyDescent="0.25">
      <c r="E200" s="32">
        <f t="shared" si="18"/>
        <v>0</v>
      </c>
      <c r="I200" s="32">
        <f t="shared" si="19"/>
        <v>0</v>
      </c>
      <c r="K200" s="31">
        <f t="shared" si="16"/>
        <v>0</v>
      </c>
      <c r="L200" s="34">
        <f t="shared" si="17"/>
        <v>0</v>
      </c>
      <c r="M200" s="34">
        <f t="shared" si="15"/>
        <v>0</v>
      </c>
    </row>
    <row r="201" spans="5:13" x14ac:dyDescent="0.25">
      <c r="E201" s="32">
        <f t="shared" si="18"/>
        <v>0</v>
      </c>
      <c r="I201" s="32">
        <f t="shared" si="19"/>
        <v>0</v>
      </c>
      <c r="K201" s="31">
        <f t="shared" si="16"/>
        <v>0</v>
      </c>
      <c r="L201" s="34">
        <f t="shared" si="17"/>
        <v>0</v>
      </c>
      <c r="M201" s="34">
        <f t="shared" si="15"/>
        <v>0</v>
      </c>
    </row>
    <row r="202" spans="5:13" x14ac:dyDescent="0.25">
      <c r="E202" s="32">
        <f t="shared" si="18"/>
        <v>0</v>
      </c>
      <c r="I202" s="32">
        <f t="shared" si="19"/>
        <v>0</v>
      </c>
      <c r="K202" s="31">
        <f t="shared" si="16"/>
        <v>0</v>
      </c>
      <c r="L202" s="34">
        <f t="shared" si="17"/>
        <v>0</v>
      </c>
      <c r="M202" s="34">
        <f t="shared" si="15"/>
        <v>0</v>
      </c>
    </row>
    <row r="203" spans="5:13" x14ac:dyDescent="0.25">
      <c r="E203" s="32">
        <f t="shared" si="18"/>
        <v>0</v>
      </c>
      <c r="I203" s="32">
        <f t="shared" si="19"/>
        <v>0</v>
      </c>
      <c r="K203" s="31">
        <f t="shared" si="16"/>
        <v>0</v>
      </c>
      <c r="L203" s="34">
        <f t="shared" si="17"/>
        <v>0</v>
      </c>
      <c r="M203" s="34">
        <f t="shared" si="15"/>
        <v>0</v>
      </c>
    </row>
    <row r="204" spans="5:13" x14ac:dyDescent="0.25">
      <c r="E204" s="32">
        <f t="shared" si="18"/>
        <v>0</v>
      </c>
      <c r="I204" s="32">
        <f t="shared" si="19"/>
        <v>0</v>
      </c>
      <c r="K204" s="31">
        <f t="shared" si="16"/>
        <v>0</v>
      </c>
      <c r="L204" s="34">
        <f t="shared" si="17"/>
        <v>0</v>
      </c>
      <c r="M204" s="34">
        <f t="shared" si="15"/>
        <v>0</v>
      </c>
    </row>
    <row r="205" spans="5:13" x14ac:dyDescent="0.25">
      <c r="E205" s="32">
        <f t="shared" si="18"/>
        <v>0</v>
      </c>
      <c r="I205" s="32">
        <f t="shared" si="19"/>
        <v>0</v>
      </c>
      <c r="K205" s="31">
        <f t="shared" si="16"/>
        <v>0</v>
      </c>
      <c r="L205" s="34">
        <f t="shared" si="17"/>
        <v>0</v>
      </c>
      <c r="M205" s="34">
        <f t="shared" si="15"/>
        <v>0</v>
      </c>
    </row>
    <row r="206" spans="5:13" x14ac:dyDescent="0.25">
      <c r="E206" s="32">
        <f t="shared" si="18"/>
        <v>0</v>
      </c>
      <c r="I206" s="32">
        <f t="shared" si="19"/>
        <v>0</v>
      </c>
      <c r="K206" s="31">
        <f t="shared" si="16"/>
        <v>0</v>
      </c>
      <c r="L206" s="34">
        <f t="shared" si="17"/>
        <v>0</v>
      </c>
      <c r="M206" s="34">
        <f t="shared" si="15"/>
        <v>0</v>
      </c>
    </row>
    <row r="207" spans="5:13" x14ac:dyDescent="0.25">
      <c r="E207" s="32">
        <f t="shared" si="18"/>
        <v>0</v>
      </c>
      <c r="I207" s="32">
        <f t="shared" si="19"/>
        <v>0</v>
      </c>
      <c r="K207" s="31">
        <f t="shared" si="16"/>
        <v>0</v>
      </c>
      <c r="L207" s="34">
        <f t="shared" si="17"/>
        <v>0</v>
      </c>
      <c r="M207" s="34">
        <f t="shared" si="15"/>
        <v>0</v>
      </c>
    </row>
    <row r="208" spans="5:13" x14ac:dyDescent="0.25">
      <c r="E208" s="32">
        <f t="shared" si="18"/>
        <v>0</v>
      </c>
      <c r="I208" s="32">
        <f t="shared" si="19"/>
        <v>0</v>
      </c>
      <c r="K208" s="31">
        <f t="shared" si="16"/>
        <v>0</v>
      </c>
      <c r="L208" s="34">
        <f t="shared" si="17"/>
        <v>0</v>
      </c>
      <c r="M208" s="34">
        <f t="shared" si="15"/>
        <v>0</v>
      </c>
    </row>
    <row r="209" spans="5:13" x14ac:dyDescent="0.25">
      <c r="E209" s="32">
        <f t="shared" si="18"/>
        <v>0</v>
      </c>
      <c r="I209" s="32">
        <f t="shared" si="19"/>
        <v>0</v>
      </c>
      <c r="K209" s="31">
        <f t="shared" si="16"/>
        <v>0</v>
      </c>
      <c r="L209" s="34">
        <f t="shared" si="17"/>
        <v>0</v>
      </c>
      <c r="M209" s="34">
        <f t="shared" si="15"/>
        <v>0</v>
      </c>
    </row>
    <row r="210" spans="5:13" x14ac:dyDescent="0.25">
      <c r="E210" s="32">
        <f t="shared" si="18"/>
        <v>0</v>
      </c>
      <c r="I210" s="32">
        <f t="shared" si="19"/>
        <v>0</v>
      </c>
      <c r="K210" s="31">
        <f t="shared" si="16"/>
        <v>0</v>
      </c>
      <c r="L210" s="34">
        <f t="shared" si="17"/>
        <v>0</v>
      </c>
      <c r="M210" s="34">
        <f t="shared" si="15"/>
        <v>0</v>
      </c>
    </row>
    <row r="211" spans="5:13" x14ac:dyDescent="0.25">
      <c r="E211" s="32">
        <f t="shared" si="18"/>
        <v>0</v>
      </c>
      <c r="I211" s="32">
        <f t="shared" si="19"/>
        <v>0</v>
      </c>
      <c r="K211" s="31">
        <f t="shared" si="16"/>
        <v>0</v>
      </c>
      <c r="L211" s="34">
        <f t="shared" si="17"/>
        <v>0</v>
      </c>
      <c r="M211" s="34">
        <f t="shared" si="15"/>
        <v>0</v>
      </c>
    </row>
    <row r="212" spans="5:13" x14ac:dyDescent="0.25">
      <c r="E212" s="32">
        <f t="shared" si="18"/>
        <v>0</v>
      </c>
      <c r="I212" s="32">
        <f t="shared" si="19"/>
        <v>0</v>
      </c>
      <c r="K212" s="31">
        <f t="shared" si="16"/>
        <v>0</v>
      </c>
      <c r="L212" s="34">
        <f t="shared" si="17"/>
        <v>0</v>
      </c>
      <c r="M212" s="34">
        <f t="shared" si="15"/>
        <v>0</v>
      </c>
    </row>
    <row r="213" spans="5:13" x14ac:dyDescent="0.25">
      <c r="E213" s="32">
        <f t="shared" si="18"/>
        <v>0</v>
      </c>
      <c r="I213" s="32">
        <f t="shared" si="19"/>
        <v>0</v>
      </c>
      <c r="K213" s="31">
        <f t="shared" si="16"/>
        <v>0</v>
      </c>
      <c r="L213" s="34">
        <f t="shared" si="17"/>
        <v>0</v>
      </c>
      <c r="M213" s="34">
        <f t="shared" si="15"/>
        <v>0</v>
      </c>
    </row>
    <row r="214" spans="5:13" x14ac:dyDescent="0.25">
      <c r="E214" s="32">
        <f t="shared" si="18"/>
        <v>0</v>
      </c>
      <c r="I214" s="32">
        <f t="shared" si="19"/>
        <v>0</v>
      </c>
      <c r="K214" s="31">
        <f t="shared" si="16"/>
        <v>0</v>
      </c>
      <c r="L214" s="34">
        <f t="shared" si="17"/>
        <v>0</v>
      </c>
      <c r="M214" s="34">
        <f t="shared" si="15"/>
        <v>0</v>
      </c>
    </row>
    <row r="215" spans="5:13" x14ac:dyDescent="0.25">
      <c r="E215" s="32">
        <f t="shared" si="18"/>
        <v>0</v>
      </c>
      <c r="I215" s="32">
        <f t="shared" si="19"/>
        <v>0</v>
      </c>
      <c r="K215" s="31">
        <f t="shared" si="16"/>
        <v>0</v>
      </c>
      <c r="L215" s="34">
        <f t="shared" si="17"/>
        <v>0</v>
      </c>
      <c r="M215" s="34">
        <f t="shared" si="15"/>
        <v>0</v>
      </c>
    </row>
    <row r="216" spans="5:13" x14ac:dyDescent="0.25">
      <c r="E216" s="32">
        <f t="shared" si="18"/>
        <v>0</v>
      </c>
      <c r="I216" s="32">
        <f t="shared" si="19"/>
        <v>0</v>
      </c>
      <c r="K216" s="31">
        <f t="shared" si="16"/>
        <v>0</v>
      </c>
      <c r="L216" s="34">
        <f t="shared" si="17"/>
        <v>0</v>
      </c>
      <c r="M216" s="34">
        <f t="shared" si="15"/>
        <v>0</v>
      </c>
    </row>
    <row r="217" spans="5:13" x14ac:dyDescent="0.25">
      <c r="E217" s="32">
        <f t="shared" si="18"/>
        <v>0</v>
      </c>
      <c r="I217" s="32">
        <f t="shared" si="19"/>
        <v>0</v>
      </c>
      <c r="K217" s="31">
        <f t="shared" si="16"/>
        <v>0</v>
      </c>
      <c r="L217" s="34">
        <f t="shared" si="17"/>
        <v>0</v>
      </c>
      <c r="M217" s="34">
        <f t="shared" si="15"/>
        <v>0</v>
      </c>
    </row>
    <row r="218" spans="5:13" x14ac:dyDescent="0.25">
      <c r="E218" s="32">
        <f t="shared" si="18"/>
        <v>0</v>
      </c>
      <c r="I218" s="32">
        <f t="shared" si="19"/>
        <v>0</v>
      </c>
      <c r="K218" s="31">
        <f t="shared" si="16"/>
        <v>0</v>
      </c>
      <c r="L218" s="34">
        <f t="shared" si="17"/>
        <v>0</v>
      </c>
      <c r="M218" s="34">
        <f t="shared" si="15"/>
        <v>0</v>
      </c>
    </row>
    <row r="219" spans="5:13" x14ac:dyDescent="0.25">
      <c r="E219" s="32">
        <f t="shared" si="18"/>
        <v>0</v>
      </c>
      <c r="I219" s="32">
        <f t="shared" si="19"/>
        <v>0</v>
      </c>
      <c r="K219" s="31">
        <f t="shared" si="16"/>
        <v>0</v>
      </c>
      <c r="L219" s="34">
        <f t="shared" si="17"/>
        <v>0</v>
      </c>
      <c r="M219" s="34">
        <f t="shared" si="15"/>
        <v>0</v>
      </c>
    </row>
    <row r="220" spans="5:13" x14ac:dyDescent="0.25">
      <c r="E220" s="32">
        <f t="shared" si="18"/>
        <v>0</v>
      </c>
      <c r="I220" s="32">
        <f t="shared" si="19"/>
        <v>0</v>
      </c>
      <c r="K220" s="31">
        <f t="shared" si="16"/>
        <v>0</v>
      </c>
      <c r="L220" s="34">
        <f t="shared" si="17"/>
        <v>0</v>
      </c>
      <c r="M220" s="34">
        <f t="shared" si="15"/>
        <v>0</v>
      </c>
    </row>
    <row r="221" spans="5:13" x14ac:dyDescent="0.25">
      <c r="E221" s="32">
        <f t="shared" si="18"/>
        <v>0</v>
      </c>
      <c r="I221" s="32">
        <f t="shared" si="19"/>
        <v>0</v>
      </c>
      <c r="K221" s="31">
        <f t="shared" si="16"/>
        <v>0</v>
      </c>
      <c r="L221" s="34">
        <f t="shared" si="17"/>
        <v>0</v>
      </c>
      <c r="M221" s="34">
        <f t="shared" si="15"/>
        <v>0</v>
      </c>
    </row>
    <row r="222" spans="5:13" x14ac:dyDescent="0.25">
      <c r="E222" s="32">
        <f t="shared" si="18"/>
        <v>0</v>
      </c>
      <c r="I222" s="32">
        <f t="shared" si="19"/>
        <v>0</v>
      </c>
      <c r="K222" s="31">
        <f t="shared" si="16"/>
        <v>0</v>
      </c>
      <c r="L222" s="34">
        <f t="shared" si="17"/>
        <v>0</v>
      </c>
      <c r="M222" s="34">
        <f t="shared" si="15"/>
        <v>0</v>
      </c>
    </row>
    <row r="223" spans="5:13" x14ac:dyDescent="0.25">
      <c r="E223" s="32">
        <f t="shared" si="18"/>
        <v>0</v>
      </c>
      <c r="I223" s="32">
        <f t="shared" si="19"/>
        <v>0</v>
      </c>
      <c r="K223" s="31">
        <f t="shared" si="16"/>
        <v>0</v>
      </c>
      <c r="L223" s="34">
        <f t="shared" si="17"/>
        <v>0</v>
      </c>
      <c r="M223" s="34">
        <f t="shared" si="15"/>
        <v>0</v>
      </c>
    </row>
    <row r="224" spans="5:13" x14ac:dyDescent="0.25">
      <c r="E224" s="32">
        <f t="shared" si="18"/>
        <v>0</v>
      </c>
      <c r="I224" s="32">
        <f t="shared" si="19"/>
        <v>0</v>
      </c>
      <c r="K224" s="31">
        <f t="shared" si="16"/>
        <v>0</v>
      </c>
      <c r="L224" s="34">
        <f t="shared" si="17"/>
        <v>0</v>
      </c>
      <c r="M224" s="34">
        <f t="shared" si="15"/>
        <v>0</v>
      </c>
    </row>
    <row r="225" spans="5:13" x14ac:dyDescent="0.25">
      <c r="E225" s="32">
        <f t="shared" si="18"/>
        <v>0</v>
      </c>
      <c r="I225" s="32">
        <f t="shared" si="19"/>
        <v>0</v>
      </c>
      <c r="K225" s="31">
        <f t="shared" si="16"/>
        <v>0</v>
      </c>
      <c r="L225" s="34">
        <f t="shared" si="17"/>
        <v>0</v>
      </c>
      <c r="M225" s="34">
        <f t="shared" si="15"/>
        <v>0</v>
      </c>
    </row>
    <row r="226" spans="5:13" x14ac:dyDescent="0.25">
      <c r="E226" s="32">
        <f t="shared" si="18"/>
        <v>0</v>
      </c>
      <c r="I226" s="32">
        <f t="shared" si="19"/>
        <v>0</v>
      </c>
      <c r="K226" s="31">
        <f t="shared" si="16"/>
        <v>0</v>
      </c>
      <c r="L226" s="34">
        <f t="shared" si="17"/>
        <v>0</v>
      </c>
      <c r="M226" s="34">
        <f t="shared" si="15"/>
        <v>0</v>
      </c>
    </row>
    <row r="227" spans="5:13" x14ac:dyDescent="0.25">
      <c r="E227" s="32">
        <f t="shared" si="18"/>
        <v>0</v>
      </c>
      <c r="I227" s="32">
        <f t="shared" si="19"/>
        <v>0</v>
      </c>
      <c r="K227" s="31">
        <f t="shared" si="16"/>
        <v>0</v>
      </c>
      <c r="L227" s="34">
        <f t="shared" si="17"/>
        <v>0</v>
      </c>
      <c r="M227" s="34">
        <f t="shared" si="15"/>
        <v>0</v>
      </c>
    </row>
    <row r="228" spans="5:13" x14ac:dyDescent="0.25">
      <c r="E228" s="32">
        <f t="shared" si="18"/>
        <v>0</v>
      </c>
      <c r="I228" s="32">
        <f t="shared" si="19"/>
        <v>0</v>
      </c>
      <c r="K228" s="31">
        <f t="shared" si="16"/>
        <v>0</v>
      </c>
      <c r="L228" s="34">
        <f t="shared" si="17"/>
        <v>0</v>
      </c>
      <c r="M228" s="34">
        <f t="shared" si="15"/>
        <v>0</v>
      </c>
    </row>
    <row r="229" spans="5:13" x14ac:dyDescent="0.25">
      <c r="E229" s="32">
        <f t="shared" si="18"/>
        <v>0</v>
      </c>
      <c r="I229" s="32">
        <f t="shared" si="19"/>
        <v>0</v>
      </c>
      <c r="K229" s="31">
        <f t="shared" si="16"/>
        <v>0</v>
      </c>
      <c r="L229" s="34">
        <f t="shared" si="17"/>
        <v>0</v>
      </c>
      <c r="M229" s="34">
        <f t="shared" si="15"/>
        <v>0</v>
      </c>
    </row>
    <row r="230" spans="5:13" x14ac:dyDescent="0.25">
      <c r="E230" s="32">
        <f t="shared" si="18"/>
        <v>0</v>
      </c>
      <c r="I230" s="32">
        <f t="shared" si="19"/>
        <v>0</v>
      </c>
      <c r="K230" s="31">
        <f t="shared" si="16"/>
        <v>0</v>
      </c>
      <c r="L230" s="34">
        <f t="shared" si="17"/>
        <v>0</v>
      </c>
      <c r="M230" s="34">
        <f t="shared" si="15"/>
        <v>0</v>
      </c>
    </row>
    <row r="231" spans="5:13" x14ac:dyDescent="0.25">
      <c r="E231" s="32">
        <f t="shared" si="18"/>
        <v>0</v>
      </c>
      <c r="I231" s="32">
        <f t="shared" si="19"/>
        <v>0</v>
      </c>
      <c r="K231" s="31">
        <f t="shared" si="16"/>
        <v>0</v>
      </c>
      <c r="L231" s="34">
        <f t="shared" si="17"/>
        <v>0</v>
      </c>
      <c r="M231" s="34">
        <f t="shared" si="15"/>
        <v>0</v>
      </c>
    </row>
    <row r="232" spans="5:13" x14ac:dyDescent="0.25">
      <c r="E232" s="32">
        <f t="shared" si="18"/>
        <v>0</v>
      </c>
      <c r="I232" s="32">
        <f t="shared" si="19"/>
        <v>0</v>
      </c>
      <c r="K232" s="31">
        <f t="shared" si="16"/>
        <v>0</v>
      </c>
      <c r="L232" s="34">
        <f t="shared" si="17"/>
        <v>0</v>
      </c>
      <c r="M232" s="34">
        <f t="shared" si="15"/>
        <v>0</v>
      </c>
    </row>
    <row r="233" spans="5:13" x14ac:dyDescent="0.25">
      <c r="E233" s="32">
        <f t="shared" si="18"/>
        <v>0</v>
      </c>
      <c r="I233" s="32">
        <f t="shared" si="19"/>
        <v>0</v>
      </c>
      <c r="K233" s="31">
        <f t="shared" si="16"/>
        <v>0</v>
      </c>
      <c r="L233" s="34">
        <f t="shared" si="17"/>
        <v>0</v>
      </c>
      <c r="M233" s="34">
        <f t="shared" si="15"/>
        <v>0</v>
      </c>
    </row>
    <row r="234" spans="5:13" x14ac:dyDescent="0.25">
      <c r="E234" s="32">
        <f t="shared" si="18"/>
        <v>0</v>
      </c>
      <c r="I234" s="32">
        <f t="shared" si="19"/>
        <v>0</v>
      </c>
      <c r="K234" s="31">
        <f t="shared" si="16"/>
        <v>0</v>
      </c>
      <c r="L234" s="34">
        <f t="shared" si="17"/>
        <v>0</v>
      </c>
      <c r="M234" s="34">
        <f t="shared" si="15"/>
        <v>0</v>
      </c>
    </row>
    <row r="235" spans="5:13" x14ac:dyDescent="0.25">
      <c r="E235" s="32">
        <f t="shared" si="18"/>
        <v>0</v>
      </c>
      <c r="I235" s="32">
        <f t="shared" si="19"/>
        <v>0</v>
      </c>
      <c r="K235" s="31">
        <f t="shared" si="16"/>
        <v>0</v>
      </c>
      <c r="L235" s="34">
        <f t="shared" si="17"/>
        <v>0</v>
      </c>
      <c r="M235" s="34">
        <f t="shared" si="15"/>
        <v>0</v>
      </c>
    </row>
    <row r="236" spans="5:13" x14ac:dyDescent="0.25">
      <c r="E236" s="32">
        <f t="shared" si="18"/>
        <v>0</v>
      </c>
      <c r="I236" s="32">
        <f t="shared" si="19"/>
        <v>0</v>
      </c>
      <c r="K236" s="31">
        <f t="shared" si="16"/>
        <v>0</v>
      </c>
      <c r="L236" s="34">
        <f t="shared" si="17"/>
        <v>0</v>
      </c>
      <c r="M236" s="34">
        <f t="shared" si="15"/>
        <v>0</v>
      </c>
    </row>
    <row r="237" spans="5:13" x14ac:dyDescent="0.25">
      <c r="E237" s="32">
        <f t="shared" si="18"/>
        <v>0</v>
      </c>
      <c r="I237" s="32">
        <f t="shared" si="19"/>
        <v>0</v>
      </c>
      <c r="K237" s="31">
        <f t="shared" si="16"/>
        <v>0</v>
      </c>
      <c r="L237" s="34">
        <f t="shared" si="17"/>
        <v>0</v>
      </c>
      <c r="M237" s="34">
        <f t="shared" si="15"/>
        <v>0</v>
      </c>
    </row>
    <row r="238" spans="5:13" x14ac:dyDescent="0.25">
      <c r="E238" s="32">
        <f t="shared" si="18"/>
        <v>0</v>
      </c>
      <c r="I238" s="32">
        <f t="shared" si="19"/>
        <v>0</v>
      </c>
      <c r="K238" s="31">
        <f t="shared" si="16"/>
        <v>0</v>
      </c>
      <c r="L238" s="34">
        <f t="shared" si="17"/>
        <v>0</v>
      </c>
      <c r="M238" s="34">
        <f t="shared" si="15"/>
        <v>0</v>
      </c>
    </row>
    <row r="239" spans="5:13" x14ac:dyDescent="0.25">
      <c r="E239" s="32">
        <f t="shared" si="18"/>
        <v>0</v>
      </c>
      <c r="I239" s="32">
        <f t="shared" si="19"/>
        <v>0</v>
      </c>
      <c r="K239" s="31">
        <f t="shared" si="16"/>
        <v>0</v>
      </c>
      <c r="L239" s="34">
        <f t="shared" si="17"/>
        <v>0</v>
      </c>
      <c r="M239" s="34">
        <f t="shared" si="15"/>
        <v>0</v>
      </c>
    </row>
    <row r="240" spans="5:13" x14ac:dyDescent="0.25">
      <c r="E240" s="32">
        <f t="shared" si="18"/>
        <v>0</v>
      </c>
      <c r="I240" s="32">
        <f t="shared" si="19"/>
        <v>0</v>
      </c>
      <c r="K240" s="31">
        <f t="shared" si="16"/>
        <v>0</v>
      </c>
      <c r="L240" s="34">
        <f t="shared" si="17"/>
        <v>0</v>
      </c>
      <c r="M240" s="34">
        <f t="shared" si="15"/>
        <v>0</v>
      </c>
    </row>
    <row r="241" spans="5:13" x14ac:dyDescent="0.25">
      <c r="E241" s="32">
        <f t="shared" si="18"/>
        <v>0</v>
      </c>
      <c r="I241" s="32">
        <f t="shared" si="19"/>
        <v>0</v>
      </c>
      <c r="K241" s="31">
        <f t="shared" si="16"/>
        <v>0</v>
      </c>
      <c r="L241" s="34">
        <f t="shared" si="17"/>
        <v>0</v>
      </c>
      <c r="M241" s="34">
        <f t="shared" si="15"/>
        <v>0</v>
      </c>
    </row>
    <row r="242" spans="5:13" x14ac:dyDescent="0.25">
      <c r="E242" s="32">
        <f t="shared" si="18"/>
        <v>0</v>
      </c>
      <c r="I242" s="32">
        <f t="shared" si="19"/>
        <v>0</v>
      </c>
      <c r="K242" s="31">
        <f t="shared" si="16"/>
        <v>0</v>
      </c>
      <c r="L242" s="34">
        <f t="shared" si="17"/>
        <v>0</v>
      </c>
      <c r="M242" s="34">
        <f t="shared" si="15"/>
        <v>0</v>
      </c>
    </row>
    <row r="243" spans="5:13" x14ac:dyDescent="0.25">
      <c r="E243" s="32">
        <f t="shared" si="18"/>
        <v>0</v>
      </c>
      <c r="I243" s="32">
        <f t="shared" si="19"/>
        <v>0</v>
      </c>
      <c r="K243" s="31">
        <f t="shared" si="16"/>
        <v>0</v>
      </c>
      <c r="L243" s="34">
        <f t="shared" si="17"/>
        <v>0</v>
      </c>
      <c r="M243" s="34">
        <f t="shared" si="15"/>
        <v>0</v>
      </c>
    </row>
    <row r="244" spans="5:13" x14ac:dyDescent="0.25">
      <c r="E244" s="32">
        <f t="shared" si="18"/>
        <v>0</v>
      </c>
      <c r="I244" s="32">
        <f t="shared" si="19"/>
        <v>0</v>
      </c>
      <c r="K244" s="31">
        <f t="shared" si="16"/>
        <v>0</v>
      </c>
      <c r="L244" s="34">
        <f t="shared" si="17"/>
        <v>0</v>
      </c>
      <c r="M244" s="34">
        <f t="shared" si="15"/>
        <v>0</v>
      </c>
    </row>
    <row r="245" spans="5:13" x14ac:dyDescent="0.25">
      <c r="E245" s="32">
        <f t="shared" si="18"/>
        <v>0</v>
      </c>
      <c r="I245" s="32">
        <f t="shared" si="19"/>
        <v>0</v>
      </c>
      <c r="K245" s="31">
        <f t="shared" si="16"/>
        <v>0</v>
      </c>
      <c r="L245" s="34">
        <f t="shared" si="17"/>
        <v>0</v>
      </c>
      <c r="M245" s="34">
        <f t="shared" si="15"/>
        <v>0</v>
      </c>
    </row>
    <row r="246" spans="5:13" x14ac:dyDescent="0.25">
      <c r="E246" s="32">
        <f t="shared" si="18"/>
        <v>0</v>
      </c>
      <c r="I246" s="32">
        <f t="shared" si="19"/>
        <v>0</v>
      </c>
      <c r="K246" s="31">
        <f t="shared" si="16"/>
        <v>0</v>
      </c>
      <c r="L246" s="34">
        <f t="shared" si="17"/>
        <v>0</v>
      </c>
      <c r="M246" s="34">
        <f t="shared" si="15"/>
        <v>0</v>
      </c>
    </row>
    <row r="247" spans="5:13" x14ac:dyDescent="0.25">
      <c r="E247" s="32">
        <f t="shared" si="18"/>
        <v>0</v>
      </c>
      <c r="I247" s="32">
        <f t="shared" si="19"/>
        <v>0</v>
      </c>
      <c r="K247" s="31">
        <f t="shared" si="16"/>
        <v>0</v>
      </c>
      <c r="L247" s="34">
        <f t="shared" si="17"/>
        <v>0</v>
      </c>
      <c r="M247" s="34">
        <f t="shared" si="15"/>
        <v>0</v>
      </c>
    </row>
    <row r="248" spans="5:13" x14ac:dyDescent="0.25">
      <c r="E248" s="32">
        <f t="shared" si="18"/>
        <v>0</v>
      </c>
      <c r="I248" s="32">
        <f t="shared" si="19"/>
        <v>0</v>
      </c>
      <c r="K248" s="31">
        <f t="shared" si="16"/>
        <v>0</v>
      </c>
      <c r="L248" s="34">
        <f t="shared" si="17"/>
        <v>0</v>
      </c>
      <c r="M248" s="34">
        <f t="shared" si="15"/>
        <v>0</v>
      </c>
    </row>
    <row r="249" spans="5:13" x14ac:dyDescent="0.25">
      <c r="E249" s="32">
        <f t="shared" si="18"/>
        <v>0</v>
      </c>
      <c r="I249" s="32">
        <f t="shared" si="19"/>
        <v>0</v>
      </c>
      <c r="K249" s="31">
        <f t="shared" si="16"/>
        <v>0</v>
      </c>
      <c r="L249" s="34">
        <f t="shared" si="17"/>
        <v>0</v>
      </c>
      <c r="M249" s="34">
        <f t="shared" si="15"/>
        <v>0</v>
      </c>
    </row>
    <row r="250" spans="5:13" x14ac:dyDescent="0.25">
      <c r="E250" s="32">
        <f t="shared" si="18"/>
        <v>0</v>
      </c>
      <c r="I250" s="32">
        <f t="shared" si="19"/>
        <v>0</v>
      </c>
      <c r="K250" s="31">
        <f t="shared" si="16"/>
        <v>0</v>
      </c>
      <c r="L250" s="34">
        <f t="shared" si="17"/>
        <v>0</v>
      </c>
      <c r="M250" s="34">
        <f t="shared" si="15"/>
        <v>0</v>
      </c>
    </row>
    <row r="251" spans="5:13" x14ac:dyDescent="0.25">
      <c r="E251" s="32">
        <f t="shared" si="18"/>
        <v>0</v>
      </c>
      <c r="I251" s="32">
        <f t="shared" si="19"/>
        <v>0</v>
      </c>
      <c r="K251" s="31">
        <f t="shared" si="16"/>
        <v>0</v>
      </c>
      <c r="L251" s="34">
        <f t="shared" si="17"/>
        <v>0</v>
      </c>
      <c r="M251" s="34">
        <f t="shared" si="15"/>
        <v>0</v>
      </c>
    </row>
    <row r="252" spans="5:13" x14ac:dyDescent="0.25">
      <c r="E252" s="32">
        <f t="shared" si="18"/>
        <v>0</v>
      </c>
      <c r="I252" s="32">
        <f t="shared" si="19"/>
        <v>0</v>
      </c>
      <c r="K252" s="31">
        <f t="shared" si="16"/>
        <v>0</v>
      </c>
      <c r="L252" s="34">
        <f t="shared" si="17"/>
        <v>0</v>
      </c>
      <c r="M252" s="34">
        <f t="shared" si="15"/>
        <v>0</v>
      </c>
    </row>
    <row r="253" spans="5:13" x14ac:dyDescent="0.25">
      <c r="E253" s="32">
        <f t="shared" si="18"/>
        <v>0</v>
      </c>
      <c r="I253" s="32">
        <f t="shared" si="19"/>
        <v>0</v>
      </c>
      <c r="K253" s="31">
        <f t="shared" si="16"/>
        <v>0</v>
      </c>
      <c r="L253" s="34">
        <f t="shared" si="17"/>
        <v>0</v>
      </c>
      <c r="M253" s="34">
        <f t="shared" si="15"/>
        <v>0</v>
      </c>
    </row>
    <row r="254" spans="5:13" x14ac:dyDescent="0.25">
      <c r="E254" s="32">
        <f t="shared" si="18"/>
        <v>0</v>
      </c>
      <c r="I254" s="32">
        <f t="shared" si="19"/>
        <v>0</v>
      </c>
      <c r="K254" s="31">
        <f t="shared" si="16"/>
        <v>0</v>
      </c>
      <c r="L254" s="34">
        <f t="shared" si="17"/>
        <v>0</v>
      </c>
      <c r="M254" s="34">
        <f t="shared" si="15"/>
        <v>0</v>
      </c>
    </row>
    <row r="255" spans="5:13" x14ac:dyDescent="0.25">
      <c r="E255" s="32">
        <f t="shared" si="18"/>
        <v>0</v>
      </c>
      <c r="I255" s="32">
        <f t="shared" si="19"/>
        <v>0</v>
      </c>
      <c r="K255" s="31">
        <f t="shared" si="16"/>
        <v>0</v>
      </c>
      <c r="L255" s="34">
        <f t="shared" si="17"/>
        <v>0</v>
      </c>
      <c r="M255" s="34">
        <f t="shared" si="15"/>
        <v>0</v>
      </c>
    </row>
    <row r="256" spans="5:13" x14ac:dyDescent="0.25">
      <c r="E256" s="32">
        <f t="shared" si="18"/>
        <v>0</v>
      </c>
      <c r="I256" s="32">
        <f t="shared" si="19"/>
        <v>0</v>
      </c>
      <c r="K256" s="31">
        <f t="shared" si="16"/>
        <v>0</v>
      </c>
      <c r="L256" s="34">
        <f t="shared" si="17"/>
        <v>0</v>
      </c>
      <c r="M256" s="34">
        <f t="shared" si="15"/>
        <v>0</v>
      </c>
    </row>
    <row r="257" spans="5:13" x14ac:dyDescent="0.25">
      <c r="E257" s="32">
        <f t="shared" si="18"/>
        <v>0</v>
      </c>
      <c r="I257" s="32">
        <f t="shared" si="19"/>
        <v>0</v>
      </c>
      <c r="K257" s="31">
        <f t="shared" si="16"/>
        <v>0</v>
      </c>
      <c r="L257" s="34">
        <f t="shared" si="17"/>
        <v>0</v>
      </c>
      <c r="M257" s="34">
        <f t="shared" si="15"/>
        <v>0</v>
      </c>
    </row>
    <row r="258" spans="5:13" x14ac:dyDescent="0.25">
      <c r="E258" s="32">
        <f t="shared" si="18"/>
        <v>0</v>
      </c>
      <c r="I258" s="32">
        <f t="shared" si="19"/>
        <v>0</v>
      </c>
      <c r="K258" s="31">
        <f t="shared" si="16"/>
        <v>0</v>
      </c>
      <c r="L258" s="34">
        <f t="shared" si="17"/>
        <v>0</v>
      </c>
      <c r="M258" s="34">
        <f t="shared" si="15"/>
        <v>0</v>
      </c>
    </row>
    <row r="259" spans="5:13" x14ac:dyDescent="0.25">
      <c r="E259" s="32">
        <f t="shared" si="18"/>
        <v>0</v>
      </c>
      <c r="I259" s="32">
        <f t="shared" si="19"/>
        <v>0</v>
      </c>
      <c r="K259" s="31">
        <f t="shared" si="16"/>
        <v>0</v>
      </c>
      <c r="L259" s="34">
        <f t="shared" si="17"/>
        <v>0</v>
      </c>
      <c r="M259" s="34">
        <f t="shared" si="15"/>
        <v>0</v>
      </c>
    </row>
    <row r="260" spans="5:13" x14ac:dyDescent="0.25">
      <c r="E260" s="32">
        <f t="shared" si="18"/>
        <v>0</v>
      </c>
      <c r="I260" s="32">
        <f t="shared" si="19"/>
        <v>0</v>
      </c>
      <c r="K260" s="31">
        <f t="shared" si="16"/>
        <v>0</v>
      </c>
      <c r="L260" s="34">
        <f t="shared" si="17"/>
        <v>0</v>
      </c>
      <c r="M260" s="34">
        <f t="shared" ref="M260:M323" si="20">(L260/27)*4</f>
        <v>0</v>
      </c>
    </row>
    <row r="261" spans="5:13" x14ac:dyDescent="0.25">
      <c r="E261" s="32">
        <f t="shared" si="18"/>
        <v>0</v>
      </c>
      <c r="I261" s="32">
        <f t="shared" si="19"/>
        <v>0</v>
      </c>
      <c r="K261" s="31">
        <f t="shared" ref="K261:K324" si="21">B261/30</f>
        <v>0</v>
      </c>
      <c r="L261" s="34">
        <f t="shared" ref="L261:L324" si="22">IF(J261="S",((I261*24)*K261)*2,((I261*24)*K261)*1.5)</f>
        <v>0</v>
      </c>
      <c r="M261" s="34">
        <f t="shared" si="20"/>
        <v>0</v>
      </c>
    </row>
    <row r="262" spans="5:13" x14ac:dyDescent="0.25">
      <c r="E262" s="32">
        <f t="shared" ref="E262:E325" si="23">D262-C262</f>
        <v>0</v>
      </c>
      <c r="I262" s="32">
        <f t="shared" ref="I262:I325" si="24">H262-G262</f>
        <v>0</v>
      </c>
      <c r="K262" s="31">
        <f t="shared" si="21"/>
        <v>0</v>
      </c>
      <c r="L262" s="34">
        <f t="shared" si="22"/>
        <v>0</v>
      </c>
      <c r="M262" s="34">
        <f t="shared" si="20"/>
        <v>0</v>
      </c>
    </row>
    <row r="263" spans="5:13" x14ac:dyDescent="0.25">
      <c r="E263" s="32">
        <f t="shared" si="23"/>
        <v>0</v>
      </c>
      <c r="I263" s="32">
        <f t="shared" si="24"/>
        <v>0</v>
      </c>
      <c r="K263" s="31">
        <f t="shared" si="21"/>
        <v>0</v>
      </c>
      <c r="L263" s="34">
        <f t="shared" si="22"/>
        <v>0</v>
      </c>
      <c r="M263" s="34">
        <f t="shared" si="20"/>
        <v>0</v>
      </c>
    </row>
    <row r="264" spans="5:13" x14ac:dyDescent="0.25">
      <c r="E264" s="32">
        <f t="shared" si="23"/>
        <v>0</v>
      </c>
      <c r="I264" s="32">
        <f t="shared" si="24"/>
        <v>0</v>
      </c>
      <c r="K264" s="31">
        <f t="shared" si="21"/>
        <v>0</v>
      </c>
      <c r="L264" s="34">
        <f t="shared" si="22"/>
        <v>0</v>
      </c>
      <c r="M264" s="34">
        <f t="shared" si="20"/>
        <v>0</v>
      </c>
    </row>
    <row r="265" spans="5:13" x14ac:dyDescent="0.25">
      <c r="E265" s="32">
        <f t="shared" si="23"/>
        <v>0</v>
      </c>
      <c r="I265" s="32">
        <f t="shared" si="24"/>
        <v>0</v>
      </c>
      <c r="K265" s="31">
        <f t="shared" si="21"/>
        <v>0</v>
      </c>
      <c r="L265" s="34">
        <f t="shared" si="22"/>
        <v>0</v>
      </c>
      <c r="M265" s="34">
        <f t="shared" si="20"/>
        <v>0</v>
      </c>
    </row>
    <row r="266" spans="5:13" x14ac:dyDescent="0.25">
      <c r="E266" s="32">
        <f t="shared" si="23"/>
        <v>0</v>
      </c>
      <c r="I266" s="32">
        <f t="shared" si="24"/>
        <v>0</v>
      </c>
      <c r="K266" s="31">
        <f t="shared" si="21"/>
        <v>0</v>
      </c>
      <c r="L266" s="34">
        <f t="shared" si="22"/>
        <v>0</v>
      </c>
      <c r="M266" s="34">
        <f t="shared" si="20"/>
        <v>0</v>
      </c>
    </row>
    <row r="267" spans="5:13" x14ac:dyDescent="0.25">
      <c r="E267" s="32">
        <f t="shared" si="23"/>
        <v>0</v>
      </c>
      <c r="I267" s="32">
        <f t="shared" si="24"/>
        <v>0</v>
      </c>
      <c r="K267" s="31">
        <f t="shared" si="21"/>
        <v>0</v>
      </c>
      <c r="L267" s="34">
        <f t="shared" si="22"/>
        <v>0</v>
      </c>
      <c r="M267" s="34">
        <f t="shared" si="20"/>
        <v>0</v>
      </c>
    </row>
    <row r="268" spans="5:13" x14ac:dyDescent="0.25">
      <c r="E268" s="32">
        <f t="shared" si="23"/>
        <v>0</v>
      </c>
      <c r="I268" s="32">
        <f t="shared" si="24"/>
        <v>0</v>
      </c>
      <c r="K268" s="31">
        <f t="shared" si="21"/>
        <v>0</v>
      </c>
      <c r="L268" s="34">
        <f t="shared" si="22"/>
        <v>0</v>
      </c>
      <c r="M268" s="34">
        <f t="shared" si="20"/>
        <v>0</v>
      </c>
    </row>
    <row r="269" spans="5:13" x14ac:dyDescent="0.25">
      <c r="E269" s="32">
        <f t="shared" si="23"/>
        <v>0</v>
      </c>
      <c r="I269" s="32">
        <f t="shared" si="24"/>
        <v>0</v>
      </c>
      <c r="K269" s="31">
        <f t="shared" si="21"/>
        <v>0</v>
      </c>
      <c r="L269" s="34">
        <f t="shared" si="22"/>
        <v>0</v>
      </c>
      <c r="M269" s="34">
        <f t="shared" si="20"/>
        <v>0</v>
      </c>
    </row>
    <row r="270" spans="5:13" x14ac:dyDescent="0.25">
      <c r="E270" s="32">
        <f t="shared" si="23"/>
        <v>0</v>
      </c>
      <c r="I270" s="32">
        <f t="shared" si="24"/>
        <v>0</v>
      </c>
      <c r="K270" s="31">
        <f t="shared" si="21"/>
        <v>0</v>
      </c>
      <c r="L270" s="34">
        <f t="shared" si="22"/>
        <v>0</v>
      </c>
      <c r="M270" s="34">
        <f t="shared" si="20"/>
        <v>0</v>
      </c>
    </row>
    <row r="271" spans="5:13" x14ac:dyDescent="0.25">
      <c r="E271" s="32">
        <f t="shared" si="23"/>
        <v>0</v>
      </c>
      <c r="I271" s="32">
        <f t="shared" si="24"/>
        <v>0</v>
      </c>
      <c r="K271" s="31">
        <f t="shared" si="21"/>
        <v>0</v>
      </c>
      <c r="L271" s="34">
        <f t="shared" si="22"/>
        <v>0</v>
      </c>
      <c r="M271" s="34">
        <f t="shared" si="20"/>
        <v>0</v>
      </c>
    </row>
    <row r="272" spans="5:13" x14ac:dyDescent="0.25">
      <c r="E272" s="32">
        <f t="shared" si="23"/>
        <v>0</v>
      </c>
      <c r="I272" s="32">
        <f t="shared" si="24"/>
        <v>0</v>
      </c>
      <c r="K272" s="31">
        <f t="shared" si="21"/>
        <v>0</v>
      </c>
      <c r="L272" s="34">
        <f t="shared" si="22"/>
        <v>0</v>
      </c>
      <c r="M272" s="34">
        <f t="shared" si="20"/>
        <v>0</v>
      </c>
    </row>
    <row r="273" spans="5:13" x14ac:dyDescent="0.25">
      <c r="E273" s="32">
        <f t="shared" si="23"/>
        <v>0</v>
      </c>
      <c r="I273" s="32">
        <f t="shared" si="24"/>
        <v>0</v>
      </c>
      <c r="K273" s="31">
        <f t="shared" si="21"/>
        <v>0</v>
      </c>
      <c r="L273" s="34">
        <f t="shared" si="22"/>
        <v>0</v>
      </c>
      <c r="M273" s="34">
        <f t="shared" si="20"/>
        <v>0</v>
      </c>
    </row>
    <row r="274" spans="5:13" x14ac:dyDescent="0.25">
      <c r="E274" s="32">
        <f t="shared" si="23"/>
        <v>0</v>
      </c>
      <c r="I274" s="32">
        <f t="shared" si="24"/>
        <v>0</v>
      </c>
      <c r="K274" s="31">
        <f t="shared" si="21"/>
        <v>0</v>
      </c>
      <c r="L274" s="34">
        <f t="shared" si="22"/>
        <v>0</v>
      </c>
      <c r="M274" s="34">
        <f t="shared" si="20"/>
        <v>0</v>
      </c>
    </row>
    <row r="275" spans="5:13" x14ac:dyDescent="0.25">
      <c r="E275" s="32">
        <f t="shared" si="23"/>
        <v>0</v>
      </c>
      <c r="I275" s="32">
        <f t="shared" si="24"/>
        <v>0</v>
      </c>
      <c r="K275" s="31">
        <f t="shared" si="21"/>
        <v>0</v>
      </c>
      <c r="L275" s="34">
        <f t="shared" si="22"/>
        <v>0</v>
      </c>
      <c r="M275" s="34">
        <f t="shared" si="20"/>
        <v>0</v>
      </c>
    </row>
    <row r="276" spans="5:13" x14ac:dyDescent="0.25">
      <c r="E276" s="32">
        <f t="shared" si="23"/>
        <v>0</v>
      </c>
      <c r="I276" s="32">
        <f t="shared" si="24"/>
        <v>0</v>
      </c>
      <c r="K276" s="31">
        <f t="shared" si="21"/>
        <v>0</v>
      </c>
      <c r="L276" s="34">
        <f t="shared" si="22"/>
        <v>0</v>
      </c>
      <c r="M276" s="34">
        <f t="shared" si="20"/>
        <v>0</v>
      </c>
    </row>
    <row r="277" spans="5:13" x14ac:dyDescent="0.25">
      <c r="E277" s="32">
        <f t="shared" si="23"/>
        <v>0</v>
      </c>
      <c r="I277" s="32">
        <f t="shared" si="24"/>
        <v>0</v>
      </c>
      <c r="K277" s="31">
        <f t="shared" si="21"/>
        <v>0</v>
      </c>
      <c r="L277" s="34">
        <f t="shared" si="22"/>
        <v>0</v>
      </c>
      <c r="M277" s="34">
        <f t="shared" si="20"/>
        <v>0</v>
      </c>
    </row>
    <row r="278" spans="5:13" x14ac:dyDescent="0.25">
      <c r="E278" s="32">
        <f t="shared" si="23"/>
        <v>0</v>
      </c>
      <c r="I278" s="32">
        <f t="shared" si="24"/>
        <v>0</v>
      </c>
      <c r="K278" s="31">
        <f t="shared" si="21"/>
        <v>0</v>
      </c>
      <c r="L278" s="34">
        <f t="shared" si="22"/>
        <v>0</v>
      </c>
      <c r="M278" s="34">
        <f t="shared" si="20"/>
        <v>0</v>
      </c>
    </row>
    <row r="279" spans="5:13" x14ac:dyDescent="0.25">
      <c r="E279" s="32">
        <f t="shared" si="23"/>
        <v>0</v>
      </c>
      <c r="I279" s="32">
        <f t="shared" si="24"/>
        <v>0</v>
      </c>
      <c r="K279" s="31">
        <f t="shared" si="21"/>
        <v>0</v>
      </c>
      <c r="L279" s="34">
        <f t="shared" si="22"/>
        <v>0</v>
      </c>
      <c r="M279" s="34">
        <f t="shared" si="20"/>
        <v>0</v>
      </c>
    </row>
    <row r="280" spans="5:13" x14ac:dyDescent="0.25">
      <c r="E280" s="32">
        <f t="shared" si="23"/>
        <v>0</v>
      </c>
      <c r="I280" s="32">
        <f t="shared" si="24"/>
        <v>0</v>
      </c>
      <c r="K280" s="31">
        <f t="shared" si="21"/>
        <v>0</v>
      </c>
      <c r="L280" s="34">
        <f t="shared" si="22"/>
        <v>0</v>
      </c>
      <c r="M280" s="34">
        <f t="shared" si="20"/>
        <v>0</v>
      </c>
    </row>
    <row r="281" spans="5:13" x14ac:dyDescent="0.25">
      <c r="E281" s="32">
        <f t="shared" si="23"/>
        <v>0</v>
      </c>
      <c r="I281" s="32">
        <f t="shared" si="24"/>
        <v>0</v>
      </c>
      <c r="K281" s="31">
        <f t="shared" si="21"/>
        <v>0</v>
      </c>
      <c r="L281" s="34">
        <f t="shared" si="22"/>
        <v>0</v>
      </c>
      <c r="M281" s="34">
        <f t="shared" si="20"/>
        <v>0</v>
      </c>
    </row>
    <row r="282" spans="5:13" x14ac:dyDescent="0.25">
      <c r="E282" s="32">
        <f t="shared" si="23"/>
        <v>0</v>
      </c>
      <c r="I282" s="32">
        <f t="shared" si="24"/>
        <v>0</v>
      </c>
      <c r="K282" s="31">
        <f t="shared" si="21"/>
        <v>0</v>
      </c>
      <c r="L282" s="34">
        <f t="shared" si="22"/>
        <v>0</v>
      </c>
      <c r="M282" s="34">
        <f t="shared" si="20"/>
        <v>0</v>
      </c>
    </row>
    <row r="283" spans="5:13" x14ac:dyDescent="0.25">
      <c r="E283" s="32">
        <f t="shared" si="23"/>
        <v>0</v>
      </c>
      <c r="I283" s="32">
        <f t="shared" si="24"/>
        <v>0</v>
      </c>
      <c r="K283" s="31">
        <f t="shared" si="21"/>
        <v>0</v>
      </c>
      <c r="L283" s="34">
        <f t="shared" si="22"/>
        <v>0</v>
      </c>
      <c r="M283" s="34">
        <f t="shared" si="20"/>
        <v>0</v>
      </c>
    </row>
    <row r="284" spans="5:13" x14ac:dyDescent="0.25">
      <c r="E284" s="32">
        <f t="shared" si="23"/>
        <v>0</v>
      </c>
      <c r="I284" s="32">
        <f t="shared" si="24"/>
        <v>0</v>
      </c>
      <c r="K284" s="31">
        <f t="shared" si="21"/>
        <v>0</v>
      </c>
      <c r="L284" s="34">
        <f t="shared" si="22"/>
        <v>0</v>
      </c>
      <c r="M284" s="34">
        <f t="shared" si="20"/>
        <v>0</v>
      </c>
    </row>
    <row r="285" spans="5:13" x14ac:dyDescent="0.25">
      <c r="E285" s="32">
        <f t="shared" si="23"/>
        <v>0</v>
      </c>
      <c r="I285" s="32">
        <f t="shared" si="24"/>
        <v>0</v>
      </c>
      <c r="K285" s="31">
        <f t="shared" si="21"/>
        <v>0</v>
      </c>
      <c r="L285" s="34">
        <f t="shared" si="22"/>
        <v>0</v>
      </c>
      <c r="M285" s="34">
        <f t="shared" si="20"/>
        <v>0</v>
      </c>
    </row>
    <row r="286" spans="5:13" x14ac:dyDescent="0.25">
      <c r="E286" s="32">
        <f t="shared" si="23"/>
        <v>0</v>
      </c>
      <c r="I286" s="32">
        <f t="shared" si="24"/>
        <v>0</v>
      </c>
      <c r="K286" s="31">
        <f t="shared" si="21"/>
        <v>0</v>
      </c>
      <c r="L286" s="34">
        <f t="shared" si="22"/>
        <v>0</v>
      </c>
      <c r="M286" s="34">
        <f t="shared" si="20"/>
        <v>0</v>
      </c>
    </row>
    <row r="287" spans="5:13" x14ac:dyDescent="0.25">
      <c r="E287" s="32">
        <f t="shared" si="23"/>
        <v>0</v>
      </c>
      <c r="I287" s="32">
        <f t="shared" si="24"/>
        <v>0</v>
      </c>
      <c r="K287" s="31">
        <f t="shared" si="21"/>
        <v>0</v>
      </c>
      <c r="L287" s="34">
        <f t="shared" si="22"/>
        <v>0</v>
      </c>
      <c r="M287" s="34">
        <f t="shared" si="20"/>
        <v>0</v>
      </c>
    </row>
    <row r="288" spans="5:13" x14ac:dyDescent="0.25">
      <c r="E288" s="32">
        <f t="shared" si="23"/>
        <v>0</v>
      </c>
      <c r="I288" s="32">
        <f t="shared" si="24"/>
        <v>0</v>
      </c>
      <c r="K288" s="31">
        <f t="shared" si="21"/>
        <v>0</v>
      </c>
      <c r="L288" s="34">
        <f t="shared" si="22"/>
        <v>0</v>
      </c>
      <c r="M288" s="34">
        <f t="shared" si="20"/>
        <v>0</v>
      </c>
    </row>
    <row r="289" spans="5:13" x14ac:dyDescent="0.25">
      <c r="E289" s="32">
        <f t="shared" si="23"/>
        <v>0</v>
      </c>
      <c r="I289" s="32">
        <f t="shared" si="24"/>
        <v>0</v>
      </c>
      <c r="K289" s="31">
        <f t="shared" si="21"/>
        <v>0</v>
      </c>
      <c r="L289" s="34">
        <f t="shared" si="22"/>
        <v>0</v>
      </c>
      <c r="M289" s="34">
        <f t="shared" si="20"/>
        <v>0</v>
      </c>
    </row>
    <row r="290" spans="5:13" x14ac:dyDescent="0.25">
      <c r="E290" s="32">
        <f t="shared" si="23"/>
        <v>0</v>
      </c>
      <c r="I290" s="32">
        <f t="shared" si="24"/>
        <v>0</v>
      </c>
      <c r="K290" s="31">
        <f t="shared" si="21"/>
        <v>0</v>
      </c>
      <c r="L290" s="34">
        <f t="shared" si="22"/>
        <v>0</v>
      </c>
      <c r="M290" s="34">
        <f t="shared" si="20"/>
        <v>0</v>
      </c>
    </row>
    <row r="291" spans="5:13" x14ac:dyDescent="0.25">
      <c r="E291" s="32">
        <f t="shared" si="23"/>
        <v>0</v>
      </c>
      <c r="I291" s="32">
        <f t="shared" si="24"/>
        <v>0</v>
      </c>
      <c r="K291" s="31">
        <f t="shared" si="21"/>
        <v>0</v>
      </c>
      <c r="L291" s="34">
        <f t="shared" si="22"/>
        <v>0</v>
      </c>
      <c r="M291" s="34">
        <f t="shared" si="20"/>
        <v>0</v>
      </c>
    </row>
    <row r="292" spans="5:13" x14ac:dyDescent="0.25">
      <c r="E292" s="32">
        <f t="shared" si="23"/>
        <v>0</v>
      </c>
      <c r="I292" s="32">
        <f t="shared" si="24"/>
        <v>0</v>
      </c>
      <c r="K292" s="31">
        <f t="shared" si="21"/>
        <v>0</v>
      </c>
      <c r="L292" s="34">
        <f t="shared" si="22"/>
        <v>0</v>
      </c>
      <c r="M292" s="34">
        <f t="shared" si="20"/>
        <v>0</v>
      </c>
    </row>
    <row r="293" spans="5:13" x14ac:dyDescent="0.25">
      <c r="E293" s="32">
        <f t="shared" si="23"/>
        <v>0</v>
      </c>
      <c r="I293" s="32">
        <f t="shared" si="24"/>
        <v>0</v>
      </c>
      <c r="K293" s="31">
        <f t="shared" si="21"/>
        <v>0</v>
      </c>
      <c r="L293" s="34">
        <f t="shared" si="22"/>
        <v>0</v>
      </c>
      <c r="M293" s="34">
        <f t="shared" si="20"/>
        <v>0</v>
      </c>
    </row>
    <row r="294" spans="5:13" x14ac:dyDescent="0.25">
      <c r="E294" s="32">
        <f t="shared" si="23"/>
        <v>0</v>
      </c>
      <c r="I294" s="32">
        <f t="shared" si="24"/>
        <v>0</v>
      </c>
      <c r="K294" s="31">
        <f t="shared" si="21"/>
        <v>0</v>
      </c>
      <c r="L294" s="34">
        <f t="shared" si="22"/>
        <v>0</v>
      </c>
      <c r="M294" s="34">
        <f t="shared" si="20"/>
        <v>0</v>
      </c>
    </row>
    <row r="295" spans="5:13" x14ac:dyDescent="0.25">
      <c r="E295" s="32">
        <f t="shared" si="23"/>
        <v>0</v>
      </c>
      <c r="I295" s="32">
        <f t="shared" si="24"/>
        <v>0</v>
      </c>
      <c r="K295" s="31">
        <f t="shared" si="21"/>
        <v>0</v>
      </c>
      <c r="L295" s="34">
        <f t="shared" si="22"/>
        <v>0</v>
      </c>
      <c r="M295" s="34">
        <f t="shared" si="20"/>
        <v>0</v>
      </c>
    </row>
    <row r="296" spans="5:13" x14ac:dyDescent="0.25">
      <c r="E296" s="32">
        <f t="shared" si="23"/>
        <v>0</v>
      </c>
      <c r="I296" s="32">
        <f t="shared" si="24"/>
        <v>0</v>
      </c>
      <c r="K296" s="31">
        <f t="shared" si="21"/>
        <v>0</v>
      </c>
      <c r="L296" s="34">
        <f t="shared" si="22"/>
        <v>0</v>
      </c>
      <c r="M296" s="34">
        <f t="shared" si="20"/>
        <v>0</v>
      </c>
    </row>
    <row r="297" spans="5:13" x14ac:dyDescent="0.25">
      <c r="E297" s="32">
        <f t="shared" si="23"/>
        <v>0</v>
      </c>
      <c r="I297" s="32">
        <f t="shared" si="24"/>
        <v>0</v>
      </c>
      <c r="K297" s="31">
        <f t="shared" si="21"/>
        <v>0</v>
      </c>
      <c r="L297" s="34">
        <f t="shared" si="22"/>
        <v>0</v>
      </c>
      <c r="M297" s="34">
        <f t="shared" si="20"/>
        <v>0</v>
      </c>
    </row>
    <row r="298" spans="5:13" x14ac:dyDescent="0.25">
      <c r="E298" s="32">
        <f t="shared" si="23"/>
        <v>0</v>
      </c>
      <c r="I298" s="32">
        <f t="shared" si="24"/>
        <v>0</v>
      </c>
      <c r="K298" s="31">
        <f t="shared" si="21"/>
        <v>0</v>
      </c>
      <c r="L298" s="34">
        <f t="shared" si="22"/>
        <v>0</v>
      </c>
      <c r="M298" s="34">
        <f t="shared" si="20"/>
        <v>0</v>
      </c>
    </row>
    <row r="299" spans="5:13" x14ac:dyDescent="0.25">
      <c r="E299" s="32">
        <f t="shared" si="23"/>
        <v>0</v>
      </c>
      <c r="I299" s="32">
        <f t="shared" si="24"/>
        <v>0</v>
      </c>
      <c r="K299" s="31">
        <f t="shared" si="21"/>
        <v>0</v>
      </c>
      <c r="L299" s="34">
        <f t="shared" si="22"/>
        <v>0</v>
      </c>
      <c r="M299" s="34">
        <f t="shared" si="20"/>
        <v>0</v>
      </c>
    </row>
    <row r="300" spans="5:13" x14ac:dyDescent="0.25">
      <c r="E300" s="32">
        <f t="shared" si="23"/>
        <v>0</v>
      </c>
      <c r="I300" s="32">
        <f t="shared" si="24"/>
        <v>0</v>
      </c>
      <c r="K300" s="31">
        <f t="shared" si="21"/>
        <v>0</v>
      </c>
      <c r="L300" s="34">
        <f t="shared" si="22"/>
        <v>0</v>
      </c>
      <c r="M300" s="34">
        <f t="shared" si="20"/>
        <v>0</v>
      </c>
    </row>
    <row r="301" spans="5:13" x14ac:dyDescent="0.25">
      <c r="E301" s="32">
        <f t="shared" si="23"/>
        <v>0</v>
      </c>
      <c r="I301" s="32">
        <f t="shared" si="24"/>
        <v>0</v>
      </c>
      <c r="K301" s="31">
        <f t="shared" si="21"/>
        <v>0</v>
      </c>
      <c r="L301" s="34">
        <f t="shared" si="22"/>
        <v>0</v>
      </c>
      <c r="M301" s="34">
        <f t="shared" si="20"/>
        <v>0</v>
      </c>
    </row>
    <row r="302" spans="5:13" x14ac:dyDescent="0.25">
      <c r="E302" s="32">
        <f t="shared" si="23"/>
        <v>0</v>
      </c>
      <c r="I302" s="32">
        <f t="shared" si="24"/>
        <v>0</v>
      </c>
      <c r="K302" s="31">
        <f t="shared" si="21"/>
        <v>0</v>
      </c>
      <c r="L302" s="34">
        <f t="shared" si="22"/>
        <v>0</v>
      </c>
      <c r="M302" s="34">
        <f t="shared" si="20"/>
        <v>0</v>
      </c>
    </row>
    <row r="303" spans="5:13" x14ac:dyDescent="0.25">
      <c r="E303" s="32">
        <f t="shared" si="23"/>
        <v>0</v>
      </c>
      <c r="I303" s="32">
        <f t="shared" si="24"/>
        <v>0</v>
      </c>
      <c r="K303" s="31">
        <f t="shared" si="21"/>
        <v>0</v>
      </c>
      <c r="L303" s="34">
        <f t="shared" si="22"/>
        <v>0</v>
      </c>
      <c r="M303" s="34">
        <f t="shared" si="20"/>
        <v>0</v>
      </c>
    </row>
    <row r="304" spans="5:13" x14ac:dyDescent="0.25">
      <c r="E304" s="32">
        <f t="shared" si="23"/>
        <v>0</v>
      </c>
      <c r="I304" s="32">
        <f t="shared" si="24"/>
        <v>0</v>
      </c>
      <c r="K304" s="31">
        <f t="shared" si="21"/>
        <v>0</v>
      </c>
      <c r="L304" s="34">
        <f t="shared" si="22"/>
        <v>0</v>
      </c>
      <c r="M304" s="34">
        <f t="shared" si="20"/>
        <v>0</v>
      </c>
    </row>
    <row r="305" spans="5:13" x14ac:dyDescent="0.25">
      <c r="E305" s="32">
        <f t="shared" si="23"/>
        <v>0</v>
      </c>
      <c r="I305" s="32">
        <f t="shared" si="24"/>
        <v>0</v>
      </c>
      <c r="K305" s="31">
        <f t="shared" si="21"/>
        <v>0</v>
      </c>
      <c r="L305" s="34">
        <f t="shared" si="22"/>
        <v>0</v>
      </c>
      <c r="M305" s="34">
        <f t="shared" si="20"/>
        <v>0</v>
      </c>
    </row>
    <row r="306" spans="5:13" x14ac:dyDescent="0.25">
      <c r="E306" s="32">
        <f t="shared" si="23"/>
        <v>0</v>
      </c>
      <c r="I306" s="32">
        <f t="shared" si="24"/>
        <v>0</v>
      </c>
      <c r="K306" s="31">
        <f t="shared" si="21"/>
        <v>0</v>
      </c>
      <c r="L306" s="34">
        <f t="shared" si="22"/>
        <v>0</v>
      </c>
      <c r="M306" s="34">
        <f t="shared" si="20"/>
        <v>0</v>
      </c>
    </row>
    <row r="307" spans="5:13" x14ac:dyDescent="0.25">
      <c r="E307" s="32">
        <f t="shared" si="23"/>
        <v>0</v>
      </c>
      <c r="I307" s="32">
        <f t="shared" si="24"/>
        <v>0</v>
      </c>
      <c r="K307" s="31">
        <f t="shared" si="21"/>
        <v>0</v>
      </c>
      <c r="L307" s="34">
        <f t="shared" si="22"/>
        <v>0</v>
      </c>
      <c r="M307" s="34">
        <f t="shared" si="20"/>
        <v>0</v>
      </c>
    </row>
    <row r="308" spans="5:13" x14ac:dyDescent="0.25">
      <c r="E308" s="32">
        <f t="shared" si="23"/>
        <v>0</v>
      </c>
      <c r="I308" s="32">
        <f t="shared" si="24"/>
        <v>0</v>
      </c>
      <c r="K308" s="31">
        <f t="shared" si="21"/>
        <v>0</v>
      </c>
      <c r="L308" s="34">
        <f t="shared" si="22"/>
        <v>0</v>
      </c>
      <c r="M308" s="34">
        <f t="shared" si="20"/>
        <v>0</v>
      </c>
    </row>
    <row r="309" spans="5:13" x14ac:dyDescent="0.25">
      <c r="E309" s="32">
        <f t="shared" si="23"/>
        <v>0</v>
      </c>
      <c r="I309" s="32">
        <f t="shared" si="24"/>
        <v>0</v>
      </c>
      <c r="K309" s="31">
        <f t="shared" si="21"/>
        <v>0</v>
      </c>
      <c r="L309" s="34">
        <f t="shared" si="22"/>
        <v>0</v>
      </c>
      <c r="M309" s="34">
        <f t="shared" si="20"/>
        <v>0</v>
      </c>
    </row>
    <row r="310" spans="5:13" x14ac:dyDescent="0.25">
      <c r="E310" s="32">
        <f t="shared" si="23"/>
        <v>0</v>
      </c>
      <c r="I310" s="32">
        <f t="shared" si="24"/>
        <v>0</v>
      </c>
      <c r="K310" s="31">
        <f t="shared" si="21"/>
        <v>0</v>
      </c>
      <c r="L310" s="34">
        <f t="shared" si="22"/>
        <v>0</v>
      </c>
      <c r="M310" s="34">
        <f t="shared" si="20"/>
        <v>0</v>
      </c>
    </row>
    <row r="311" spans="5:13" x14ac:dyDescent="0.25">
      <c r="E311" s="32">
        <f t="shared" si="23"/>
        <v>0</v>
      </c>
      <c r="I311" s="32">
        <f t="shared" si="24"/>
        <v>0</v>
      </c>
      <c r="K311" s="31">
        <f t="shared" si="21"/>
        <v>0</v>
      </c>
      <c r="L311" s="34">
        <f t="shared" si="22"/>
        <v>0</v>
      </c>
      <c r="M311" s="34">
        <f t="shared" si="20"/>
        <v>0</v>
      </c>
    </row>
    <row r="312" spans="5:13" x14ac:dyDescent="0.25">
      <c r="E312" s="32">
        <f t="shared" si="23"/>
        <v>0</v>
      </c>
      <c r="I312" s="32">
        <f t="shared" si="24"/>
        <v>0</v>
      </c>
      <c r="K312" s="31">
        <f t="shared" si="21"/>
        <v>0</v>
      </c>
      <c r="L312" s="34">
        <f t="shared" si="22"/>
        <v>0</v>
      </c>
      <c r="M312" s="34">
        <f t="shared" si="20"/>
        <v>0</v>
      </c>
    </row>
    <row r="313" spans="5:13" x14ac:dyDescent="0.25">
      <c r="E313" s="32">
        <f t="shared" si="23"/>
        <v>0</v>
      </c>
      <c r="I313" s="32">
        <f t="shared" si="24"/>
        <v>0</v>
      </c>
      <c r="K313" s="31">
        <f t="shared" si="21"/>
        <v>0</v>
      </c>
      <c r="L313" s="34">
        <f t="shared" si="22"/>
        <v>0</v>
      </c>
      <c r="M313" s="34">
        <f t="shared" si="20"/>
        <v>0</v>
      </c>
    </row>
    <row r="314" spans="5:13" x14ac:dyDescent="0.25">
      <c r="E314" s="32">
        <f t="shared" si="23"/>
        <v>0</v>
      </c>
      <c r="I314" s="32">
        <f t="shared" si="24"/>
        <v>0</v>
      </c>
      <c r="K314" s="31">
        <f t="shared" si="21"/>
        <v>0</v>
      </c>
      <c r="L314" s="34">
        <f t="shared" si="22"/>
        <v>0</v>
      </c>
      <c r="M314" s="34">
        <f t="shared" si="20"/>
        <v>0</v>
      </c>
    </row>
    <row r="315" spans="5:13" x14ac:dyDescent="0.25">
      <c r="E315" s="32">
        <f t="shared" si="23"/>
        <v>0</v>
      </c>
      <c r="I315" s="32">
        <f t="shared" si="24"/>
        <v>0</v>
      </c>
      <c r="K315" s="31">
        <f t="shared" si="21"/>
        <v>0</v>
      </c>
      <c r="L315" s="34">
        <f t="shared" si="22"/>
        <v>0</v>
      </c>
      <c r="M315" s="34">
        <f t="shared" si="20"/>
        <v>0</v>
      </c>
    </row>
    <row r="316" spans="5:13" x14ac:dyDescent="0.25">
      <c r="E316" s="32">
        <f t="shared" si="23"/>
        <v>0</v>
      </c>
      <c r="I316" s="32">
        <f t="shared" si="24"/>
        <v>0</v>
      </c>
      <c r="K316" s="31">
        <f t="shared" si="21"/>
        <v>0</v>
      </c>
      <c r="L316" s="34">
        <f t="shared" si="22"/>
        <v>0</v>
      </c>
      <c r="M316" s="34">
        <f t="shared" si="20"/>
        <v>0</v>
      </c>
    </row>
    <row r="317" spans="5:13" x14ac:dyDescent="0.25">
      <c r="E317" s="32">
        <f t="shared" si="23"/>
        <v>0</v>
      </c>
      <c r="I317" s="32">
        <f t="shared" si="24"/>
        <v>0</v>
      </c>
      <c r="K317" s="31">
        <f t="shared" si="21"/>
        <v>0</v>
      </c>
      <c r="L317" s="34">
        <f t="shared" si="22"/>
        <v>0</v>
      </c>
      <c r="M317" s="34">
        <f t="shared" si="20"/>
        <v>0</v>
      </c>
    </row>
    <row r="318" spans="5:13" x14ac:dyDescent="0.25">
      <c r="E318" s="32">
        <f t="shared" si="23"/>
        <v>0</v>
      </c>
      <c r="I318" s="32">
        <f t="shared" si="24"/>
        <v>0</v>
      </c>
      <c r="K318" s="31">
        <f t="shared" si="21"/>
        <v>0</v>
      </c>
      <c r="L318" s="34">
        <f t="shared" si="22"/>
        <v>0</v>
      </c>
      <c r="M318" s="34">
        <f t="shared" si="20"/>
        <v>0</v>
      </c>
    </row>
    <row r="319" spans="5:13" x14ac:dyDescent="0.25">
      <c r="E319" s="32">
        <f t="shared" si="23"/>
        <v>0</v>
      </c>
      <c r="I319" s="32">
        <f t="shared" si="24"/>
        <v>0</v>
      </c>
      <c r="K319" s="31">
        <f t="shared" si="21"/>
        <v>0</v>
      </c>
      <c r="L319" s="34">
        <f t="shared" si="22"/>
        <v>0</v>
      </c>
      <c r="M319" s="34">
        <f t="shared" si="20"/>
        <v>0</v>
      </c>
    </row>
    <row r="320" spans="5:13" x14ac:dyDescent="0.25">
      <c r="E320" s="32">
        <f t="shared" si="23"/>
        <v>0</v>
      </c>
      <c r="I320" s="32">
        <f t="shared" si="24"/>
        <v>0</v>
      </c>
      <c r="K320" s="31">
        <f t="shared" si="21"/>
        <v>0</v>
      </c>
      <c r="L320" s="34">
        <f t="shared" si="22"/>
        <v>0</v>
      </c>
      <c r="M320" s="34">
        <f t="shared" si="20"/>
        <v>0</v>
      </c>
    </row>
    <row r="321" spans="5:13" x14ac:dyDescent="0.25">
      <c r="E321" s="32">
        <f t="shared" si="23"/>
        <v>0</v>
      </c>
      <c r="I321" s="32">
        <f t="shared" si="24"/>
        <v>0</v>
      </c>
      <c r="K321" s="31">
        <f t="shared" si="21"/>
        <v>0</v>
      </c>
      <c r="L321" s="34">
        <f t="shared" si="22"/>
        <v>0</v>
      </c>
      <c r="M321" s="34">
        <f t="shared" si="20"/>
        <v>0</v>
      </c>
    </row>
    <row r="322" spans="5:13" x14ac:dyDescent="0.25">
      <c r="E322" s="32">
        <f t="shared" si="23"/>
        <v>0</v>
      </c>
      <c r="I322" s="32">
        <f t="shared" si="24"/>
        <v>0</v>
      </c>
      <c r="K322" s="31">
        <f t="shared" si="21"/>
        <v>0</v>
      </c>
      <c r="L322" s="34">
        <f t="shared" si="22"/>
        <v>0</v>
      </c>
      <c r="M322" s="34">
        <f t="shared" si="20"/>
        <v>0</v>
      </c>
    </row>
    <row r="323" spans="5:13" x14ac:dyDescent="0.25">
      <c r="E323" s="32">
        <f t="shared" si="23"/>
        <v>0</v>
      </c>
      <c r="I323" s="32">
        <f t="shared" si="24"/>
        <v>0</v>
      </c>
      <c r="K323" s="31">
        <f t="shared" si="21"/>
        <v>0</v>
      </c>
      <c r="L323" s="34">
        <f t="shared" si="22"/>
        <v>0</v>
      </c>
      <c r="M323" s="34">
        <f t="shared" si="20"/>
        <v>0</v>
      </c>
    </row>
    <row r="324" spans="5:13" x14ac:dyDescent="0.25">
      <c r="E324" s="32">
        <f t="shared" si="23"/>
        <v>0</v>
      </c>
      <c r="I324" s="32">
        <f t="shared" si="24"/>
        <v>0</v>
      </c>
      <c r="K324" s="31">
        <f t="shared" si="21"/>
        <v>0</v>
      </c>
      <c r="L324" s="34">
        <f t="shared" si="22"/>
        <v>0</v>
      </c>
      <c r="M324" s="34">
        <f t="shared" ref="M324:M387" si="25">(L324/27)*4</f>
        <v>0</v>
      </c>
    </row>
    <row r="325" spans="5:13" x14ac:dyDescent="0.25">
      <c r="E325" s="32">
        <f t="shared" si="23"/>
        <v>0</v>
      </c>
      <c r="I325" s="32">
        <f t="shared" si="24"/>
        <v>0</v>
      </c>
      <c r="K325" s="31">
        <f t="shared" ref="K325:K388" si="26">B325/30</f>
        <v>0</v>
      </c>
      <c r="L325" s="34">
        <f t="shared" ref="L325:L388" si="27">IF(J325="S",((I325*24)*K325)*2,((I325*24)*K325)*1.5)</f>
        <v>0</v>
      </c>
      <c r="M325" s="34">
        <f t="shared" si="25"/>
        <v>0</v>
      </c>
    </row>
    <row r="326" spans="5:13" x14ac:dyDescent="0.25">
      <c r="E326" s="32">
        <f t="shared" ref="E326:E389" si="28">D326-C326</f>
        <v>0</v>
      </c>
      <c r="I326" s="32">
        <f t="shared" ref="I326:I389" si="29">H326-G326</f>
        <v>0</v>
      </c>
      <c r="K326" s="31">
        <f t="shared" si="26"/>
        <v>0</v>
      </c>
      <c r="L326" s="34">
        <f t="shared" si="27"/>
        <v>0</v>
      </c>
      <c r="M326" s="34">
        <f t="shared" si="25"/>
        <v>0</v>
      </c>
    </row>
    <row r="327" spans="5:13" x14ac:dyDescent="0.25">
      <c r="E327" s="32">
        <f t="shared" si="28"/>
        <v>0</v>
      </c>
      <c r="I327" s="32">
        <f t="shared" si="29"/>
        <v>0</v>
      </c>
      <c r="K327" s="31">
        <f t="shared" si="26"/>
        <v>0</v>
      </c>
      <c r="L327" s="34">
        <f t="shared" si="27"/>
        <v>0</v>
      </c>
      <c r="M327" s="34">
        <f t="shared" si="25"/>
        <v>0</v>
      </c>
    </row>
    <row r="328" spans="5:13" x14ac:dyDescent="0.25">
      <c r="E328" s="32">
        <f t="shared" si="28"/>
        <v>0</v>
      </c>
      <c r="I328" s="32">
        <f t="shared" si="29"/>
        <v>0</v>
      </c>
      <c r="K328" s="31">
        <f t="shared" si="26"/>
        <v>0</v>
      </c>
      <c r="L328" s="34">
        <f t="shared" si="27"/>
        <v>0</v>
      </c>
      <c r="M328" s="34">
        <f t="shared" si="25"/>
        <v>0</v>
      </c>
    </row>
    <row r="329" spans="5:13" x14ac:dyDescent="0.25">
      <c r="E329" s="32">
        <f t="shared" si="28"/>
        <v>0</v>
      </c>
      <c r="I329" s="32">
        <f t="shared" si="29"/>
        <v>0</v>
      </c>
      <c r="K329" s="31">
        <f t="shared" si="26"/>
        <v>0</v>
      </c>
      <c r="L329" s="34">
        <f t="shared" si="27"/>
        <v>0</v>
      </c>
      <c r="M329" s="34">
        <f t="shared" si="25"/>
        <v>0</v>
      </c>
    </row>
    <row r="330" spans="5:13" x14ac:dyDescent="0.25">
      <c r="E330" s="32">
        <f t="shared" si="28"/>
        <v>0</v>
      </c>
      <c r="I330" s="32">
        <f t="shared" si="29"/>
        <v>0</v>
      </c>
      <c r="K330" s="31">
        <f t="shared" si="26"/>
        <v>0</v>
      </c>
      <c r="L330" s="34">
        <f t="shared" si="27"/>
        <v>0</v>
      </c>
      <c r="M330" s="34">
        <f t="shared" si="25"/>
        <v>0</v>
      </c>
    </row>
    <row r="331" spans="5:13" x14ac:dyDescent="0.25">
      <c r="E331" s="32">
        <f t="shared" si="28"/>
        <v>0</v>
      </c>
      <c r="I331" s="32">
        <f t="shared" si="29"/>
        <v>0</v>
      </c>
      <c r="K331" s="31">
        <f t="shared" si="26"/>
        <v>0</v>
      </c>
      <c r="L331" s="34">
        <f t="shared" si="27"/>
        <v>0</v>
      </c>
      <c r="M331" s="34">
        <f t="shared" si="25"/>
        <v>0</v>
      </c>
    </row>
    <row r="332" spans="5:13" x14ac:dyDescent="0.25">
      <c r="E332" s="32">
        <f t="shared" si="28"/>
        <v>0</v>
      </c>
      <c r="I332" s="32">
        <f t="shared" si="29"/>
        <v>0</v>
      </c>
      <c r="K332" s="31">
        <f t="shared" si="26"/>
        <v>0</v>
      </c>
      <c r="L332" s="34">
        <f t="shared" si="27"/>
        <v>0</v>
      </c>
      <c r="M332" s="34">
        <f t="shared" si="25"/>
        <v>0</v>
      </c>
    </row>
    <row r="333" spans="5:13" x14ac:dyDescent="0.25">
      <c r="E333" s="32">
        <f t="shared" si="28"/>
        <v>0</v>
      </c>
      <c r="I333" s="32">
        <f t="shared" si="29"/>
        <v>0</v>
      </c>
      <c r="K333" s="31">
        <f t="shared" si="26"/>
        <v>0</v>
      </c>
      <c r="L333" s="34">
        <f t="shared" si="27"/>
        <v>0</v>
      </c>
      <c r="M333" s="34">
        <f t="shared" si="25"/>
        <v>0</v>
      </c>
    </row>
    <row r="334" spans="5:13" x14ac:dyDescent="0.25">
      <c r="E334" s="32">
        <f t="shared" si="28"/>
        <v>0</v>
      </c>
      <c r="I334" s="32">
        <f t="shared" si="29"/>
        <v>0</v>
      </c>
      <c r="K334" s="31">
        <f t="shared" si="26"/>
        <v>0</v>
      </c>
      <c r="L334" s="34">
        <f t="shared" si="27"/>
        <v>0</v>
      </c>
      <c r="M334" s="34">
        <f t="shared" si="25"/>
        <v>0</v>
      </c>
    </row>
    <row r="335" spans="5:13" x14ac:dyDescent="0.25">
      <c r="E335" s="32">
        <f t="shared" si="28"/>
        <v>0</v>
      </c>
      <c r="I335" s="32">
        <f t="shared" si="29"/>
        <v>0</v>
      </c>
      <c r="K335" s="31">
        <f t="shared" si="26"/>
        <v>0</v>
      </c>
      <c r="L335" s="34">
        <f t="shared" si="27"/>
        <v>0</v>
      </c>
      <c r="M335" s="34">
        <f t="shared" si="25"/>
        <v>0</v>
      </c>
    </row>
    <row r="336" spans="5:13" x14ac:dyDescent="0.25">
      <c r="E336" s="32">
        <f t="shared" si="28"/>
        <v>0</v>
      </c>
      <c r="I336" s="32">
        <f t="shared" si="29"/>
        <v>0</v>
      </c>
      <c r="K336" s="31">
        <f t="shared" si="26"/>
        <v>0</v>
      </c>
      <c r="L336" s="34">
        <f t="shared" si="27"/>
        <v>0</v>
      </c>
      <c r="M336" s="34">
        <f t="shared" si="25"/>
        <v>0</v>
      </c>
    </row>
    <row r="337" spans="5:13" x14ac:dyDescent="0.25">
      <c r="E337" s="32">
        <f t="shared" si="28"/>
        <v>0</v>
      </c>
      <c r="I337" s="32">
        <f t="shared" si="29"/>
        <v>0</v>
      </c>
      <c r="K337" s="31">
        <f t="shared" si="26"/>
        <v>0</v>
      </c>
      <c r="L337" s="34">
        <f t="shared" si="27"/>
        <v>0</v>
      </c>
      <c r="M337" s="34">
        <f t="shared" si="25"/>
        <v>0</v>
      </c>
    </row>
    <row r="338" spans="5:13" x14ac:dyDescent="0.25">
      <c r="E338" s="32">
        <f t="shared" si="28"/>
        <v>0</v>
      </c>
      <c r="I338" s="32">
        <f t="shared" si="29"/>
        <v>0</v>
      </c>
      <c r="K338" s="31">
        <f t="shared" si="26"/>
        <v>0</v>
      </c>
      <c r="L338" s="34">
        <f t="shared" si="27"/>
        <v>0</v>
      </c>
      <c r="M338" s="34">
        <f t="shared" si="25"/>
        <v>0</v>
      </c>
    </row>
    <row r="339" spans="5:13" x14ac:dyDescent="0.25">
      <c r="E339" s="32">
        <f t="shared" si="28"/>
        <v>0</v>
      </c>
      <c r="I339" s="32">
        <f t="shared" si="29"/>
        <v>0</v>
      </c>
      <c r="K339" s="31">
        <f t="shared" si="26"/>
        <v>0</v>
      </c>
      <c r="L339" s="34">
        <f t="shared" si="27"/>
        <v>0</v>
      </c>
      <c r="M339" s="34">
        <f t="shared" si="25"/>
        <v>0</v>
      </c>
    </row>
    <row r="340" spans="5:13" x14ac:dyDescent="0.25">
      <c r="E340" s="32">
        <f t="shared" si="28"/>
        <v>0</v>
      </c>
      <c r="I340" s="32">
        <f t="shared" si="29"/>
        <v>0</v>
      </c>
      <c r="K340" s="31">
        <f t="shared" si="26"/>
        <v>0</v>
      </c>
      <c r="L340" s="34">
        <f t="shared" si="27"/>
        <v>0</v>
      </c>
      <c r="M340" s="34">
        <f t="shared" si="25"/>
        <v>0</v>
      </c>
    </row>
    <row r="341" spans="5:13" x14ac:dyDescent="0.25">
      <c r="E341" s="32">
        <f t="shared" si="28"/>
        <v>0</v>
      </c>
      <c r="I341" s="32">
        <f t="shared" si="29"/>
        <v>0</v>
      </c>
      <c r="K341" s="31">
        <f t="shared" si="26"/>
        <v>0</v>
      </c>
      <c r="L341" s="34">
        <f t="shared" si="27"/>
        <v>0</v>
      </c>
      <c r="M341" s="34">
        <f t="shared" si="25"/>
        <v>0</v>
      </c>
    </row>
    <row r="342" spans="5:13" x14ac:dyDescent="0.25">
      <c r="E342" s="32">
        <f t="shared" si="28"/>
        <v>0</v>
      </c>
      <c r="I342" s="32">
        <f t="shared" si="29"/>
        <v>0</v>
      </c>
      <c r="K342" s="31">
        <f t="shared" si="26"/>
        <v>0</v>
      </c>
      <c r="L342" s="34">
        <f t="shared" si="27"/>
        <v>0</v>
      </c>
      <c r="M342" s="34">
        <f t="shared" si="25"/>
        <v>0</v>
      </c>
    </row>
    <row r="343" spans="5:13" x14ac:dyDescent="0.25">
      <c r="E343" s="32">
        <f t="shared" si="28"/>
        <v>0</v>
      </c>
      <c r="I343" s="32">
        <f t="shared" si="29"/>
        <v>0</v>
      </c>
      <c r="K343" s="31">
        <f t="shared" si="26"/>
        <v>0</v>
      </c>
      <c r="L343" s="34">
        <f t="shared" si="27"/>
        <v>0</v>
      </c>
      <c r="M343" s="34">
        <f t="shared" si="25"/>
        <v>0</v>
      </c>
    </row>
    <row r="344" spans="5:13" x14ac:dyDescent="0.25">
      <c r="E344" s="32">
        <f t="shared" si="28"/>
        <v>0</v>
      </c>
      <c r="I344" s="32">
        <f t="shared" si="29"/>
        <v>0</v>
      </c>
      <c r="K344" s="31">
        <f t="shared" si="26"/>
        <v>0</v>
      </c>
      <c r="L344" s="34">
        <f t="shared" si="27"/>
        <v>0</v>
      </c>
      <c r="M344" s="34">
        <f t="shared" si="25"/>
        <v>0</v>
      </c>
    </row>
    <row r="345" spans="5:13" x14ac:dyDescent="0.25">
      <c r="E345" s="32">
        <f t="shared" si="28"/>
        <v>0</v>
      </c>
      <c r="I345" s="32">
        <f t="shared" si="29"/>
        <v>0</v>
      </c>
      <c r="K345" s="31">
        <f t="shared" si="26"/>
        <v>0</v>
      </c>
      <c r="L345" s="34">
        <f t="shared" si="27"/>
        <v>0</v>
      </c>
      <c r="M345" s="34">
        <f t="shared" si="25"/>
        <v>0</v>
      </c>
    </row>
    <row r="346" spans="5:13" x14ac:dyDescent="0.25">
      <c r="E346" s="32">
        <f t="shared" si="28"/>
        <v>0</v>
      </c>
      <c r="I346" s="32">
        <f t="shared" si="29"/>
        <v>0</v>
      </c>
      <c r="K346" s="31">
        <f t="shared" si="26"/>
        <v>0</v>
      </c>
      <c r="L346" s="34">
        <f t="shared" si="27"/>
        <v>0</v>
      </c>
      <c r="M346" s="34">
        <f t="shared" si="25"/>
        <v>0</v>
      </c>
    </row>
    <row r="347" spans="5:13" x14ac:dyDescent="0.25">
      <c r="E347" s="32">
        <f t="shared" si="28"/>
        <v>0</v>
      </c>
      <c r="I347" s="32">
        <f t="shared" si="29"/>
        <v>0</v>
      </c>
      <c r="K347" s="31">
        <f t="shared" si="26"/>
        <v>0</v>
      </c>
      <c r="L347" s="34">
        <f t="shared" si="27"/>
        <v>0</v>
      </c>
      <c r="M347" s="34">
        <f t="shared" si="25"/>
        <v>0</v>
      </c>
    </row>
    <row r="348" spans="5:13" x14ac:dyDescent="0.25">
      <c r="E348" s="32">
        <f t="shared" si="28"/>
        <v>0</v>
      </c>
      <c r="I348" s="32">
        <f t="shared" si="29"/>
        <v>0</v>
      </c>
      <c r="K348" s="31">
        <f t="shared" si="26"/>
        <v>0</v>
      </c>
      <c r="L348" s="34">
        <f t="shared" si="27"/>
        <v>0</v>
      </c>
      <c r="M348" s="34">
        <f t="shared" si="25"/>
        <v>0</v>
      </c>
    </row>
    <row r="349" spans="5:13" x14ac:dyDescent="0.25">
      <c r="E349" s="32">
        <f t="shared" si="28"/>
        <v>0</v>
      </c>
      <c r="I349" s="32">
        <f t="shared" si="29"/>
        <v>0</v>
      </c>
      <c r="K349" s="31">
        <f t="shared" si="26"/>
        <v>0</v>
      </c>
      <c r="L349" s="34">
        <f t="shared" si="27"/>
        <v>0</v>
      </c>
      <c r="M349" s="34">
        <f t="shared" si="25"/>
        <v>0</v>
      </c>
    </row>
    <row r="350" spans="5:13" x14ac:dyDescent="0.25">
      <c r="E350" s="32">
        <f t="shared" si="28"/>
        <v>0</v>
      </c>
      <c r="I350" s="32">
        <f t="shared" si="29"/>
        <v>0</v>
      </c>
      <c r="K350" s="31">
        <f t="shared" si="26"/>
        <v>0</v>
      </c>
      <c r="L350" s="34">
        <f t="shared" si="27"/>
        <v>0</v>
      </c>
      <c r="M350" s="34">
        <f t="shared" si="25"/>
        <v>0</v>
      </c>
    </row>
    <row r="351" spans="5:13" x14ac:dyDescent="0.25">
      <c r="E351" s="32">
        <f t="shared" si="28"/>
        <v>0</v>
      </c>
      <c r="I351" s="32">
        <f t="shared" si="29"/>
        <v>0</v>
      </c>
      <c r="K351" s="31">
        <f t="shared" si="26"/>
        <v>0</v>
      </c>
      <c r="L351" s="34">
        <f t="shared" si="27"/>
        <v>0</v>
      </c>
      <c r="M351" s="34">
        <f t="shared" si="25"/>
        <v>0</v>
      </c>
    </row>
    <row r="352" spans="5:13" x14ac:dyDescent="0.25">
      <c r="E352" s="32">
        <f t="shared" si="28"/>
        <v>0</v>
      </c>
      <c r="I352" s="32">
        <f t="shared" si="29"/>
        <v>0</v>
      </c>
      <c r="K352" s="31">
        <f t="shared" si="26"/>
        <v>0</v>
      </c>
      <c r="L352" s="34">
        <f t="shared" si="27"/>
        <v>0</v>
      </c>
      <c r="M352" s="34">
        <f t="shared" si="25"/>
        <v>0</v>
      </c>
    </row>
    <row r="353" spans="5:13" x14ac:dyDescent="0.25">
      <c r="E353" s="32">
        <f t="shared" si="28"/>
        <v>0</v>
      </c>
      <c r="I353" s="32">
        <f t="shared" si="29"/>
        <v>0</v>
      </c>
      <c r="K353" s="31">
        <f t="shared" si="26"/>
        <v>0</v>
      </c>
      <c r="L353" s="34">
        <f t="shared" si="27"/>
        <v>0</v>
      </c>
      <c r="M353" s="34">
        <f t="shared" si="25"/>
        <v>0</v>
      </c>
    </row>
    <row r="354" spans="5:13" x14ac:dyDescent="0.25">
      <c r="E354" s="32">
        <f t="shared" si="28"/>
        <v>0</v>
      </c>
      <c r="I354" s="32">
        <f t="shared" si="29"/>
        <v>0</v>
      </c>
      <c r="K354" s="31">
        <f t="shared" si="26"/>
        <v>0</v>
      </c>
      <c r="L354" s="34">
        <f t="shared" si="27"/>
        <v>0</v>
      </c>
      <c r="M354" s="34">
        <f t="shared" si="25"/>
        <v>0</v>
      </c>
    </row>
    <row r="355" spans="5:13" x14ac:dyDescent="0.25">
      <c r="E355" s="32">
        <f t="shared" si="28"/>
        <v>0</v>
      </c>
      <c r="I355" s="32">
        <f t="shared" si="29"/>
        <v>0</v>
      </c>
      <c r="K355" s="31">
        <f t="shared" si="26"/>
        <v>0</v>
      </c>
      <c r="L355" s="34">
        <f t="shared" si="27"/>
        <v>0</v>
      </c>
      <c r="M355" s="34">
        <f t="shared" si="25"/>
        <v>0</v>
      </c>
    </row>
    <row r="356" spans="5:13" x14ac:dyDescent="0.25">
      <c r="E356" s="32">
        <f t="shared" si="28"/>
        <v>0</v>
      </c>
      <c r="I356" s="32">
        <f t="shared" si="29"/>
        <v>0</v>
      </c>
      <c r="K356" s="31">
        <f t="shared" si="26"/>
        <v>0</v>
      </c>
      <c r="L356" s="34">
        <f t="shared" si="27"/>
        <v>0</v>
      </c>
      <c r="M356" s="34">
        <f t="shared" si="25"/>
        <v>0</v>
      </c>
    </row>
    <row r="357" spans="5:13" x14ac:dyDescent="0.25">
      <c r="E357" s="32">
        <f t="shared" si="28"/>
        <v>0</v>
      </c>
      <c r="I357" s="32">
        <f t="shared" si="29"/>
        <v>0</v>
      </c>
      <c r="K357" s="31">
        <f t="shared" si="26"/>
        <v>0</v>
      </c>
      <c r="L357" s="34">
        <f t="shared" si="27"/>
        <v>0</v>
      </c>
      <c r="M357" s="34">
        <f t="shared" si="25"/>
        <v>0</v>
      </c>
    </row>
    <row r="358" spans="5:13" x14ac:dyDescent="0.25">
      <c r="E358" s="32">
        <f t="shared" si="28"/>
        <v>0</v>
      </c>
      <c r="I358" s="32">
        <f t="shared" si="29"/>
        <v>0</v>
      </c>
      <c r="K358" s="31">
        <f t="shared" si="26"/>
        <v>0</v>
      </c>
      <c r="L358" s="34">
        <f t="shared" si="27"/>
        <v>0</v>
      </c>
      <c r="M358" s="34">
        <f t="shared" si="25"/>
        <v>0</v>
      </c>
    </row>
    <row r="359" spans="5:13" x14ac:dyDescent="0.25">
      <c r="E359" s="32">
        <f t="shared" si="28"/>
        <v>0</v>
      </c>
      <c r="I359" s="32">
        <f t="shared" si="29"/>
        <v>0</v>
      </c>
      <c r="K359" s="31">
        <f t="shared" si="26"/>
        <v>0</v>
      </c>
      <c r="L359" s="34">
        <f t="shared" si="27"/>
        <v>0</v>
      </c>
      <c r="M359" s="34">
        <f t="shared" si="25"/>
        <v>0</v>
      </c>
    </row>
    <row r="360" spans="5:13" x14ac:dyDescent="0.25">
      <c r="E360" s="32">
        <f t="shared" si="28"/>
        <v>0</v>
      </c>
      <c r="I360" s="32">
        <f t="shared" si="29"/>
        <v>0</v>
      </c>
      <c r="K360" s="31">
        <f t="shared" si="26"/>
        <v>0</v>
      </c>
      <c r="L360" s="34">
        <f t="shared" si="27"/>
        <v>0</v>
      </c>
      <c r="M360" s="34">
        <f t="shared" si="25"/>
        <v>0</v>
      </c>
    </row>
    <row r="361" spans="5:13" x14ac:dyDescent="0.25">
      <c r="E361" s="32">
        <f t="shared" si="28"/>
        <v>0</v>
      </c>
      <c r="I361" s="32">
        <f t="shared" si="29"/>
        <v>0</v>
      </c>
      <c r="K361" s="31">
        <f t="shared" si="26"/>
        <v>0</v>
      </c>
      <c r="L361" s="34">
        <f t="shared" si="27"/>
        <v>0</v>
      </c>
      <c r="M361" s="34">
        <f t="shared" si="25"/>
        <v>0</v>
      </c>
    </row>
    <row r="362" spans="5:13" x14ac:dyDescent="0.25">
      <c r="E362" s="32">
        <f t="shared" si="28"/>
        <v>0</v>
      </c>
      <c r="I362" s="32">
        <f t="shared" si="29"/>
        <v>0</v>
      </c>
      <c r="K362" s="31">
        <f t="shared" si="26"/>
        <v>0</v>
      </c>
      <c r="L362" s="34">
        <f t="shared" si="27"/>
        <v>0</v>
      </c>
      <c r="M362" s="34">
        <f t="shared" si="25"/>
        <v>0</v>
      </c>
    </row>
    <row r="363" spans="5:13" x14ac:dyDescent="0.25">
      <c r="E363" s="32">
        <f t="shared" si="28"/>
        <v>0</v>
      </c>
      <c r="I363" s="32">
        <f t="shared" si="29"/>
        <v>0</v>
      </c>
      <c r="K363" s="31">
        <f t="shared" si="26"/>
        <v>0</v>
      </c>
      <c r="L363" s="34">
        <f t="shared" si="27"/>
        <v>0</v>
      </c>
      <c r="M363" s="34">
        <f t="shared" si="25"/>
        <v>0</v>
      </c>
    </row>
    <row r="364" spans="5:13" x14ac:dyDescent="0.25">
      <c r="E364" s="32">
        <f t="shared" si="28"/>
        <v>0</v>
      </c>
      <c r="I364" s="32">
        <f t="shared" si="29"/>
        <v>0</v>
      </c>
      <c r="K364" s="31">
        <f t="shared" si="26"/>
        <v>0</v>
      </c>
      <c r="L364" s="34">
        <f t="shared" si="27"/>
        <v>0</v>
      </c>
      <c r="M364" s="34">
        <f t="shared" si="25"/>
        <v>0</v>
      </c>
    </row>
    <row r="365" spans="5:13" x14ac:dyDescent="0.25">
      <c r="E365" s="32">
        <f t="shared" si="28"/>
        <v>0</v>
      </c>
      <c r="I365" s="32">
        <f t="shared" si="29"/>
        <v>0</v>
      </c>
      <c r="K365" s="31">
        <f t="shared" si="26"/>
        <v>0</v>
      </c>
      <c r="L365" s="34">
        <f t="shared" si="27"/>
        <v>0</v>
      </c>
      <c r="M365" s="34">
        <f t="shared" si="25"/>
        <v>0</v>
      </c>
    </row>
    <row r="366" spans="5:13" x14ac:dyDescent="0.25">
      <c r="E366" s="32">
        <f t="shared" si="28"/>
        <v>0</v>
      </c>
      <c r="I366" s="32">
        <f t="shared" si="29"/>
        <v>0</v>
      </c>
      <c r="K366" s="31">
        <f t="shared" si="26"/>
        <v>0</v>
      </c>
      <c r="L366" s="34">
        <f t="shared" si="27"/>
        <v>0</v>
      </c>
      <c r="M366" s="34">
        <f t="shared" si="25"/>
        <v>0</v>
      </c>
    </row>
    <row r="367" spans="5:13" x14ac:dyDescent="0.25">
      <c r="E367" s="32">
        <f t="shared" si="28"/>
        <v>0</v>
      </c>
      <c r="I367" s="32">
        <f t="shared" si="29"/>
        <v>0</v>
      </c>
      <c r="K367" s="31">
        <f t="shared" si="26"/>
        <v>0</v>
      </c>
      <c r="L367" s="34">
        <f t="shared" si="27"/>
        <v>0</v>
      </c>
      <c r="M367" s="34">
        <f t="shared" si="25"/>
        <v>0</v>
      </c>
    </row>
    <row r="368" spans="5:13" x14ac:dyDescent="0.25">
      <c r="E368" s="32">
        <f t="shared" si="28"/>
        <v>0</v>
      </c>
      <c r="I368" s="32">
        <f t="shared" si="29"/>
        <v>0</v>
      </c>
      <c r="K368" s="31">
        <f t="shared" si="26"/>
        <v>0</v>
      </c>
      <c r="L368" s="34">
        <f t="shared" si="27"/>
        <v>0</v>
      </c>
      <c r="M368" s="34">
        <f t="shared" si="25"/>
        <v>0</v>
      </c>
    </row>
    <row r="369" spans="5:13" x14ac:dyDescent="0.25">
      <c r="E369" s="32">
        <f t="shared" si="28"/>
        <v>0</v>
      </c>
      <c r="I369" s="32">
        <f t="shared" si="29"/>
        <v>0</v>
      </c>
      <c r="K369" s="31">
        <f t="shared" si="26"/>
        <v>0</v>
      </c>
      <c r="L369" s="34">
        <f t="shared" si="27"/>
        <v>0</v>
      </c>
      <c r="M369" s="34">
        <f t="shared" si="25"/>
        <v>0</v>
      </c>
    </row>
    <row r="370" spans="5:13" x14ac:dyDescent="0.25">
      <c r="E370" s="32">
        <f t="shared" si="28"/>
        <v>0</v>
      </c>
      <c r="I370" s="32">
        <f t="shared" si="29"/>
        <v>0</v>
      </c>
      <c r="K370" s="31">
        <f t="shared" si="26"/>
        <v>0</v>
      </c>
      <c r="L370" s="34">
        <f t="shared" si="27"/>
        <v>0</v>
      </c>
      <c r="M370" s="34">
        <f t="shared" si="25"/>
        <v>0</v>
      </c>
    </row>
    <row r="371" spans="5:13" x14ac:dyDescent="0.25">
      <c r="E371" s="32">
        <f t="shared" si="28"/>
        <v>0</v>
      </c>
      <c r="I371" s="32">
        <f t="shared" si="29"/>
        <v>0</v>
      </c>
      <c r="K371" s="31">
        <f t="shared" si="26"/>
        <v>0</v>
      </c>
      <c r="L371" s="34">
        <f t="shared" si="27"/>
        <v>0</v>
      </c>
      <c r="M371" s="34">
        <f t="shared" si="25"/>
        <v>0</v>
      </c>
    </row>
    <row r="372" spans="5:13" x14ac:dyDescent="0.25">
      <c r="E372" s="32">
        <f t="shared" si="28"/>
        <v>0</v>
      </c>
      <c r="I372" s="32">
        <f t="shared" si="29"/>
        <v>0</v>
      </c>
      <c r="K372" s="31">
        <f t="shared" si="26"/>
        <v>0</v>
      </c>
      <c r="L372" s="34">
        <f t="shared" si="27"/>
        <v>0</v>
      </c>
      <c r="M372" s="34">
        <f t="shared" si="25"/>
        <v>0</v>
      </c>
    </row>
    <row r="373" spans="5:13" x14ac:dyDescent="0.25">
      <c r="E373" s="32">
        <f t="shared" si="28"/>
        <v>0</v>
      </c>
      <c r="I373" s="32">
        <f t="shared" si="29"/>
        <v>0</v>
      </c>
      <c r="K373" s="31">
        <f t="shared" si="26"/>
        <v>0</v>
      </c>
      <c r="L373" s="34">
        <f t="shared" si="27"/>
        <v>0</v>
      </c>
      <c r="M373" s="34">
        <f t="shared" si="25"/>
        <v>0</v>
      </c>
    </row>
    <row r="374" spans="5:13" x14ac:dyDescent="0.25">
      <c r="E374" s="32">
        <f t="shared" si="28"/>
        <v>0</v>
      </c>
      <c r="I374" s="32">
        <f t="shared" si="29"/>
        <v>0</v>
      </c>
      <c r="K374" s="31">
        <f t="shared" si="26"/>
        <v>0</v>
      </c>
      <c r="L374" s="34">
        <f t="shared" si="27"/>
        <v>0</v>
      </c>
      <c r="M374" s="34">
        <f t="shared" si="25"/>
        <v>0</v>
      </c>
    </row>
    <row r="375" spans="5:13" x14ac:dyDescent="0.25">
      <c r="E375" s="32">
        <f t="shared" si="28"/>
        <v>0</v>
      </c>
      <c r="I375" s="32">
        <f t="shared" si="29"/>
        <v>0</v>
      </c>
      <c r="K375" s="31">
        <f t="shared" si="26"/>
        <v>0</v>
      </c>
      <c r="L375" s="34">
        <f t="shared" si="27"/>
        <v>0</v>
      </c>
      <c r="M375" s="34">
        <f t="shared" si="25"/>
        <v>0</v>
      </c>
    </row>
    <row r="376" spans="5:13" x14ac:dyDescent="0.25">
      <c r="E376" s="32">
        <f t="shared" si="28"/>
        <v>0</v>
      </c>
      <c r="I376" s="32">
        <f t="shared" si="29"/>
        <v>0</v>
      </c>
      <c r="K376" s="31">
        <f t="shared" si="26"/>
        <v>0</v>
      </c>
      <c r="L376" s="34">
        <f t="shared" si="27"/>
        <v>0</v>
      </c>
      <c r="M376" s="34">
        <f t="shared" si="25"/>
        <v>0</v>
      </c>
    </row>
    <row r="377" spans="5:13" x14ac:dyDescent="0.25">
      <c r="E377" s="32">
        <f t="shared" si="28"/>
        <v>0</v>
      </c>
      <c r="I377" s="32">
        <f t="shared" si="29"/>
        <v>0</v>
      </c>
      <c r="K377" s="31">
        <f t="shared" si="26"/>
        <v>0</v>
      </c>
      <c r="L377" s="34">
        <f t="shared" si="27"/>
        <v>0</v>
      </c>
      <c r="M377" s="34">
        <f t="shared" si="25"/>
        <v>0</v>
      </c>
    </row>
    <row r="378" spans="5:13" x14ac:dyDescent="0.25">
      <c r="E378" s="32">
        <f t="shared" si="28"/>
        <v>0</v>
      </c>
      <c r="I378" s="32">
        <f t="shared" si="29"/>
        <v>0</v>
      </c>
      <c r="K378" s="31">
        <f t="shared" si="26"/>
        <v>0</v>
      </c>
      <c r="L378" s="34">
        <f t="shared" si="27"/>
        <v>0</v>
      </c>
      <c r="M378" s="34">
        <f t="shared" si="25"/>
        <v>0</v>
      </c>
    </row>
    <row r="379" spans="5:13" x14ac:dyDescent="0.25">
      <c r="E379" s="32">
        <f t="shared" si="28"/>
        <v>0</v>
      </c>
      <c r="I379" s="32">
        <f t="shared" si="29"/>
        <v>0</v>
      </c>
      <c r="K379" s="31">
        <f t="shared" si="26"/>
        <v>0</v>
      </c>
      <c r="L379" s="34">
        <f t="shared" si="27"/>
        <v>0</v>
      </c>
      <c r="M379" s="34">
        <f t="shared" si="25"/>
        <v>0</v>
      </c>
    </row>
    <row r="380" spans="5:13" x14ac:dyDescent="0.25">
      <c r="E380" s="32">
        <f t="shared" si="28"/>
        <v>0</v>
      </c>
      <c r="I380" s="32">
        <f t="shared" si="29"/>
        <v>0</v>
      </c>
      <c r="K380" s="31">
        <f t="shared" si="26"/>
        <v>0</v>
      </c>
      <c r="L380" s="34">
        <f t="shared" si="27"/>
        <v>0</v>
      </c>
      <c r="M380" s="34">
        <f t="shared" si="25"/>
        <v>0</v>
      </c>
    </row>
    <row r="381" spans="5:13" x14ac:dyDescent="0.25">
      <c r="E381" s="32">
        <f t="shared" si="28"/>
        <v>0</v>
      </c>
      <c r="I381" s="32">
        <f t="shared" si="29"/>
        <v>0</v>
      </c>
      <c r="K381" s="31">
        <f t="shared" si="26"/>
        <v>0</v>
      </c>
      <c r="L381" s="34">
        <f t="shared" si="27"/>
        <v>0</v>
      </c>
      <c r="M381" s="34">
        <f t="shared" si="25"/>
        <v>0</v>
      </c>
    </row>
    <row r="382" spans="5:13" x14ac:dyDescent="0.25">
      <c r="E382" s="32">
        <f t="shared" si="28"/>
        <v>0</v>
      </c>
      <c r="I382" s="32">
        <f t="shared" si="29"/>
        <v>0</v>
      </c>
      <c r="K382" s="31">
        <f t="shared" si="26"/>
        <v>0</v>
      </c>
      <c r="L382" s="34">
        <f t="shared" si="27"/>
        <v>0</v>
      </c>
      <c r="M382" s="34">
        <f t="shared" si="25"/>
        <v>0</v>
      </c>
    </row>
    <row r="383" spans="5:13" x14ac:dyDescent="0.25">
      <c r="E383" s="32">
        <f t="shared" si="28"/>
        <v>0</v>
      </c>
      <c r="I383" s="32">
        <f t="shared" si="29"/>
        <v>0</v>
      </c>
      <c r="K383" s="31">
        <f t="shared" si="26"/>
        <v>0</v>
      </c>
      <c r="L383" s="34">
        <f t="shared" si="27"/>
        <v>0</v>
      </c>
      <c r="M383" s="34">
        <f t="shared" si="25"/>
        <v>0</v>
      </c>
    </row>
    <row r="384" spans="5:13" x14ac:dyDescent="0.25">
      <c r="E384" s="32">
        <f t="shared" si="28"/>
        <v>0</v>
      </c>
      <c r="I384" s="32">
        <f t="shared" si="29"/>
        <v>0</v>
      </c>
      <c r="K384" s="31">
        <f t="shared" si="26"/>
        <v>0</v>
      </c>
      <c r="L384" s="34">
        <f t="shared" si="27"/>
        <v>0</v>
      </c>
      <c r="M384" s="34">
        <f t="shared" si="25"/>
        <v>0</v>
      </c>
    </row>
    <row r="385" spans="5:13" x14ac:dyDescent="0.25">
      <c r="E385" s="32">
        <f t="shared" si="28"/>
        <v>0</v>
      </c>
      <c r="I385" s="32">
        <f t="shared" si="29"/>
        <v>0</v>
      </c>
      <c r="K385" s="31">
        <f t="shared" si="26"/>
        <v>0</v>
      </c>
      <c r="L385" s="34">
        <f t="shared" si="27"/>
        <v>0</v>
      </c>
      <c r="M385" s="34">
        <f t="shared" si="25"/>
        <v>0</v>
      </c>
    </row>
    <row r="386" spans="5:13" x14ac:dyDescent="0.25">
      <c r="E386" s="32">
        <f t="shared" si="28"/>
        <v>0</v>
      </c>
      <c r="I386" s="32">
        <f t="shared" si="29"/>
        <v>0</v>
      </c>
      <c r="K386" s="31">
        <f t="shared" si="26"/>
        <v>0</v>
      </c>
      <c r="L386" s="34">
        <f t="shared" si="27"/>
        <v>0</v>
      </c>
      <c r="M386" s="34">
        <f t="shared" si="25"/>
        <v>0</v>
      </c>
    </row>
    <row r="387" spans="5:13" x14ac:dyDescent="0.25">
      <c r="E387" s="32">
        <f t="shared" si="28"/>
        <v>0</v>
      </c>
      <c r="I387" s="32">
        <f t="shared" si="29"/>
        <v>0</v>
      </c>
      <c r="K387" s="31">
        <f t="shared" si="26"/>
        <v>0</v>
      </c>
      <c r="L387" s="34">
        <f t="shared" si="27"/>
        <v>0</v>
      </c>
      <c r="M387" s="34">
        <f t="shared" si="25"/>
        <v>0</v>
      </c>
    </row>
    <row r="388" spans="5:13" x14ac:dyDescent="0.25">
      <c r="E388" s="32">
        <f t="shared" si="28"/>
        <v>0</v>
      </c>
      <c r="I388" s="32">
        <f t="shared" si="29"/>
        <v>0</v>
      </c>
      <c r="K388" s="31">
        <f t="shared" si="26"/>
        <v>0</v>
      </c>
      <c r="L388" s="34">
        <f t="shared" si="27"/>
        <v>0</v>
      </c>
      <c r="M388" s="34">
        <f t="shared" ref="M388:M451" si="30">(L388/27)*4</f>
        <v>0</v>
      </c>
    </row>
    <row r="389" spans="5:13" x14ac:dyDescent="0.25">
      <c r="E389" s="32">
        <f t="shared" si="28"/>
        <v>0</v>
      </c>
      <c r="I389" s="32">
        <f t="shared" si="29"/>
        <v>0</v>
      </c>
      <c r="K389" s="31">
        <f t="shared" ref="K389:K452" si="31">B389/30</f>
        <v>0</v>
      </c>
      <c r="L389" s="34">
        <f t="shared" ref="L389:L452" si="32">IF(J389="S",((I389*24)*K389)*2,((I389*24)*K389)*1.5)</f>
        <v>0</v>
      </c>
      <c r="M389" s="34">
        <f t="shared" si="30"/>
        <v>0</v>
      </c>
    </row>
    <row r="390" spans="5:13" x14ac:dyDescent="0.25">
      <c r="E390" s="32">
        <f t="shared" ref="E390:E453" si="33">D390-C390</f>
        <v>0</v>
      </c>
      <c r="I390" s="32">
        <f t="shared" ref="I390:I453" si="34">H390-G390</f>
        <v>0</v>
      </c>
      <c r="K390" s="31">
        <f t="shared" si="31"/>
        <v>0</v>
      </c>
      <c r="L390" s="34">
        <f t="shared" si="32"/>
        <v>0</v>
      </c>
      <c r="M390" s="34">
        <f t="shared" si="30"/>
        <v>0</v>
      </c>
    </row>
    <row r="391" spans="5:13" x14ac:dyDescent="0.25">
      <c r="E391" s="32">
        <f t="shared" si="33"/>
        <v>0</v>
      </c>
      <c r="I391" s="32">
        <f t="shared" si="34"/>
        <v>0</v>
      </c>
      <c r="K391" s="31">
        <f t="shared" si="31"/>
        <v>0</v>
      </c>
      <c r="L391" s="34">
        <f t="shared" si="32"/>
        <v>0</v>
      </c>
      <c r="M391" s="34">
        <f t="shared" si="30"/>
        <v>0</v>
      </c>
    </row>
    <row r="392" spans="5:13" x14ac:dyDescent="0.25">
      <c r="E392" s="32">
        <f t="shared" si="33"/>
        <v>0</v>
      </c>
      <c r="I392" s="32">
        <f t="shared" si="34"/>
        <v>0</v>
      </c>
      <c r="K392" s="31">
        <f t="shared" si="31"/>
        <v>0</v>
      </c>
      <c r="L392" s="34">
        <f t="shared" si="32"/>
        <v>0</v>
      </c>
      <c r="M392" s="34">
        <f t="shared" si="30"/>
        <v>0</v>
      </c>
    </row>
    <row r="393" spans="5:13" x14ac:dyDescent="0.25">
      <c r="E393" s="32">
        <f t="shared" si="33"/>
        <v>0</v>
      </c>
      <c r="I393" s="32">
        <f t="shared" si="34"/>
        <v>0</v>
      </c>
      <c r="K393" s="31">
        <f t="shared" si="31"/>
        <v>0</v>
      </c>
      <c r="L393" s="34">
        <f t="shared" si="32"/>
        <v>0</v>
      </c>
      <c r="M393" s="34">
        <f t="shared" si="30"/>
        <v>0</v>
      </c>
    </row>
    <row r="394" spans="5:13" x14ac:dyDescent="0.25">
      <c r="E394" s="32">
        <f t="shared" si="33"/>
        <v>0</v>
      </c>
      <c r="I394" s="32">
        <f t="shared" si="34"/>
        <v>0</v>
      </c>
      <c r="K394" s="31">
        <f t="shared" si="31"/>
        <v>0</v>
      </c>
      <c r="L394" s="34">
        <f t="shared" si="32"/>
        <v>0</v>
      </c>
      <c r="M394" s="34">
        <f t="shared" si="30"/>
        <v>0</v>
      </c>
    </row>
    <row r="395" spans="5:13" x14ac:dyDescent="0.25">
      <c r="E395" s="32">
        <f t="shared" si="33"/>
        <v>0</v>
      </c>
      <c r="I395" s="32">
        <f t="shared" si="34"/>
        <v>0</v>
      </c>
      <c r="K395" s="31">
        <f t="shared" si="31"/>
        <v>0</v>
      </c>
      <c r="L395" s="34">
        <f t="shared" si="32"/>
        <v>0</v>
      </c>
      <c r="M395" s="34">
        <f t="shared" si="30"/>
        <v>0</v>
      </c>
    </row>
    <row r="396" spans="5:13" x14ac:dyDescent="0.25">
      <c r="E396" s="32">
        <f t="shared" si="33"/>
        <v>0</v>
      </c>
      <c r="I396" s="32">
        <f t="shared" si="34"/>
        <v>0</v>
      </c>
      <c r="K396" s="31">
        <f t="shared" si="31"/>
        <v>0</v>
      </c>
      <c r="L396" s="34">
        <f t="shared" si="32"/>
        <v>0</v>
      </c>
      <c r="M396" s="34">
        <f t="shared" si="30"/>
        <v>0</v>
      </c>
    </row>
    <row r="397" spans="5:13" x14ac:dyDescent="0.25">
      <c r="E397" s="32">
        <f t="shared" si="33"/>
        <v>0</v>
      </c>
      <c r="I397" s="32">
        <f t="shared" si="34"/>
        <v>0</v>
      </c>
      <c r="K397" s="31">
        <f t="shared" si="31"/>
        <v>0</v>
      </c>
      <c r="L397" s="34">
        <f t="shared" si="32"/>
        <v>0</v>
      </c>
      <c r="M397" s="34">
        <f t="shared" si="30"/>
        <v>0</v>
      </c>
    </row>
    <row r="398" spans="5:13" x14ac:dyDescent="0.25">
      <c r="E398" s="32">
        <f t="shared" si="33"/>
        <v>0</v>
      </c>
      <c r="I398" s="32">
        <f t="shared" si="34"/>
        <v>0</v>
      </c>
      <c r="K398" s="31">
        <f t="shared" si="31"/>
        <v>0</v>
      </c>
      <c r="L398" s="34">
        <f t="shared" si="32"/>
        <v>0</v>
      </c>
      <c r="M398" s="34">
        <f t="shared" si="30"/>
        <v>0</v>
      </c>
    </row>
    <row r="399" spans="5:13" x14ac:dyDescent="0.25">
      <c r="E399" s="32">
        <f t="shared" si="33"/>
        <v>0</v>
      </c>
      <c r="I399" s="32">
        <f t="shared" si="34"/>
        <v>0</v>
      </c>
      <c r="K399" s="31">
        <f t="shared" si="31"/>
        <v>0</v>
      </c>
      <c r="L399" s="34">
        <f t="shared" si="32"/>
        <v>0</v>
      </c>
      <c r="M399" s="34">
        <f t="shared" si="30"/>
        <v>0</v>
      </c>
    </row>
    <row r="400" spans="5:13" x14ac:dyDescent="0.25">
      <c r="E400" s="32">
        <f t="shared" si="33"/>
        <v>0</v>
      </c>
      <c r="I400" s="32">
        <f t="shared" si="34"/>
        <v>0</v>
      </c>
      <c r="K400" s="31">
        <f t="shared" si="31"/>
        <v>0</v>
      </c>
      <c r="L400" s="34">
        <f t="shared" si="32"/>
        <v>0</v>
      </c>
      <c r="M400" s="34">
        <f t="shared" si="30"/>
        <v>0</v>
      </c>
    </row>
    <row r="401" spans="5:13" x14ac:dyDescent="0.25">
      <c r="E401" s="32">
        <f t="shared" si="33"/>
        <v>0</v>
      </c>
      <c r="I401" s="32">
        <f t="shared" si="34"/>
        <v>0</v>
      </c>
      <c r="K401" s="31">
        <f t="shared" si="31"/>
        <v>0</v>
      </c>
      <c r="L401" s="34">
        <f t="shared" si="32"/>
        <v>0</v>
      </c>
      <c r="M401" s="34">
        <f t="shared" si="30"/>
        <v>0</v>
      </c>
    </row>
    <row r="402" spans="5:13" x14ac:dyDescent="0.25">
      <c r="E402" s="32">
        <f t="shared" si="33"/>
        <v>0</v>
      </c>
      <c r="I402" s="32">
        <f t="shared" si="34"/>
        <v>0</v>
      </c>
      <c r="K402" s="31">
        <f t="shared" si="31"/>
        <v>0</v>
      </c>
      <c r="L402" s="34">
        <f t="shared" si="32"/>
        <v>0</v>
      </c>
      <c r="M402" s="34">
        <f t="shared" si="30"/>
        <v>0</v>
      </c>
    </row>
    <row r="403" spans="5:13" x14ac:dyDescent="0.25">
      <c r="E403" s="32">
        <f t="shared" si="33"/>
        <v>0</v>
      </c>
      <c r="I403" s="32">
        <f t="shared" si="34"/>
        <v>0</v>
      </c>
      <c r="K403" s="31">
        <f t="shared" si="31"/>
        <v>0</v>
      </c>
      <c r="L403" s="34">
        <f t="shared" si="32"/>
        <v>0</v>
      </c>
      <c r="M403" s="34">
        <f t="shared" si="30"/>
        <v>0</v>
      </c>
    </row>
    <row r="404" spans="5:13" x14ac:dyDescent="0.25">
      <c r="E404" s="32">
        <f t="shared" si="33"/>
        <v>0</v>
      </c>
      <c r="I404" s="32">
        <f t="shared" si="34"/>
        <v>0</v>
      </c>
      <c r="K404" s="31">
        <f t="shared" si="31"/>
        <v>0</v>
      </c>
      <c r="L404" s="34">
        <f t="shared" si="32"/>
        <v>0</v>
      </c>
      <c r="M404" s="34">
        <f t="shared" si="30"/>
        <v>0</v>
      </c>
    </row>
    <row r="405" spans="5:13" x14ac:dyDescent="0.25">
      <c r="E405" s="32">
        <f t="shared" si="33"/>
        <v>0</v>
      </c>
      <c r="I405" s="32">
        <f t="shared" si="34"/>
        <v>0</v>
      </c>
      <c r="K405" s="31">
        <f t="shared" si="31"/>
        <v>0</v>
      </c>
      <c r="L405" s="34">
        <f t="shared" si="32"/>
        <v>0</v>
      </c>
      <c r="M405" s="34">
        <f t="shared" si="30"/>
        <v>0</v>
      </c>
    </row>
    <row r="406" spans="5:13" x14ac:dyDescent="0.25">
      <c r="E406" s="32">
        <f t="shared" si="33"/>
        <v>0</v>
      </c>
      <c r="I406" s="32">
        <f t="shared" si="34"/>
        <v>0</v>
      </c>
      <c r="K406" s="31">
        <f t="shared" si="31"/>
        <v>0</v>
      </c>
      <c r="L406" s="34">
        <f t="shared" si="32"/>
        <v>0</v>
      </c>
      <c r="M406" s="34">
        <f t="shared" si="30"/>
        <v>0</v>
      </c>
    </row>
    <row r="407" spans="5:13" x14ac:dyDescent="0.25">
      <c r="E407" s="32">
        <f t="shared" si="33"/>
        <v>0</v>
      </c>
      <c r="I407" s="32">
        <f t="shared" si="34"/>
        <v>0</v>
      </c>
      <c r="K407" s="31">
        <f t="shared" si="31"/>
        <v>0</v>
      </c>
      <c r="L407" s="34">
        <f t="shared" si="32"/>
        <v>0</v>
      </c>
      <c r="M407" s="34">
        <f t="shared" si="30"/>
        <v>0</v>
      </c>
    </row>
    <row r="408" spans="5:13" x14ac:dyDescent="0.25">
      <c r="E408" s="32">
        <f t="shared" si="33"/>
        <v>0</v>
      </c>
      <c r="I408" s="32">
        <f t="shared" si="34"/>
        <v>0</v>
      </c>
      <c r="K408" s="31">
        <f t="shared" si="31"/>
        <v>0</v>
      </c>
      <c r="L408" s="34">
        <f t="shared" si="32"/>
        <v>0</v>
      </c>
      <c r="M408" s="34">
        <f t="shared" si="30"/>
        <v>0</v>
      </c>
    </row>
    <row r="409" spans="5:13" x14ac:dyDescent="0.25">
      <c r="E409" s="32">
        <f t="shared" si="33"/>
        <v>0</v>
      </c>
      <c r="I409" s="32">
        <f t="shared" si="34"/>
        <v>0</v>
      </c>
      <c r="K409" s="31">
        <f t="shared" si="31"/>
        <v>0</v>
      </c>
      <c r="L409" s="34">
        <f t="shared" si="32"/>
        <v>0</v>
      </c>
      <c r="M409" s="34">
        <f t="shared" si="30"/>
        <v>0</v>
      </c>
    </row>
    <row r="410" spans="5:13" x14ac:dyDescent="0.25">
      <c r="E410" s="32">
        <f t="shared" si="33"/>
        <v>0</v>
      </c>
      <c r="I410" s="32">
        <f t="shared" si="34"/>
        <v>0</v>
      </c>
      <c r="K410" s="31">
        <f t="shared" si="31"/>
        <v>0</v>
      </c>
      <c r="L410" s="34">
        <f t="shared" si="32"/>
        <v>0</v>
      </c>
      <c r="M410" s="34">
        <f t="shared" si="30"/>
        <v>0</v>
      </c>
    </row>
    <row r="411" spans="5:13" x14ac:dyDescent="0.25">
      <c r="E411" s="32">
        <f t="shared" si="33"/>
        <v>0</v>
      </c>
      <c r="I411" s="32">
        <f t="shared" si="34"/>
        <v>0</v>
      </c>
      <c r="K411" s="31">
        <f t="shared" si="31"/>
        <v>0</v>
      </c>
      <c r="L411" s="34">
        <f t="shared" si="32"/>
        <v>0</v>
      </c>
      <c r="M411" s="34">
        <f t="shared" si="30"/>
        <v>0</v>
      </c>
    </row>
    <row r="412" spans="5:13" x14ac:dyDescent="0.25">
      <c r="E412" s="32">
        <f t="shared" si="33"/>
        <v>0</v>
      </c>
      <c r="I412" s="32">
        <f t="shared" si="34"/>
        <v>0</v>
      </c>
      <c r="K412" s="31">
        <f t="shared" si="31"/>
        <v>0</v>
      </c>
      <c r="L412" s="34">
        <f t="shared" si="32"/>
        <v>0</v>
      </c>
      <c r="M412" s="34">
        <f t="shared" si="30"/>
        <v>0</v>
      </c>
    </row>
    <row r="413" spans="5:13" x14ac:dyDescent="0.25">
      <c r="E413" s="32">
        <f t="shared" si="33"/>
        <v>0</v>
      </c>
      <c r="I413" s="32">
        <f t="shared" si="34"/>
        <v>0</v>
      </c>
      <c r="K413" s="31">
        <f t="shared" si="31"/>
        <v>0</v>
      </c>
      <c r="L413" s="34">
        <f t="shared" si="32"/>
        <v>0</v>
      </c>
      <c r="M413" s="34">
        <f t="shared" si="30"/>
        <v>0</v>
      </c>
    </row>
    <row r="414" spans="5:13" x14ac:dyDescent="0.25">
      <c r="E414" s="32">
        <f t="shared" si="33"/>
        <v>0</v>
      </c>
      <c r="I414" s="32">
        <f t="shared" si="34"/>
        <v>0</v>
      </c>
      <c r="K414" s="31">
        <f t="shared" si="31"/>
        <v>0</v>
      </c>
      <c r="L414" s="34">
        <f t="shared" si="32"/>
        <v>0</v>
      </c>
      <c r="M414" s="34">
        <f t="shared" si="30"/>
        <v>0</v>
      </c>
    </row>
    <row r="415" spans="5:13" x14ac:dyDescent="0.25">
      <c r="E415" s="32">
        <f t="shared" si="33"/>
        <v>0</v>
      </c>
      <c r="I415" s="32">
        <f t="shared" si="34"/>
        <v>0</v>
      </c>
      <c r="K415" s="31">
        <f t="shared" si="31"/>
        <v>0</v>
      </c>
      <c r="L415" s="34">
        <f t="shared" si="32"/>
        <v>0</v>
      </c>
      <c r="M415" s="34">
        <f t="shared" si="30"/>
        <v>0</v>
      </c>
    </row>
    <row r="416" spans="5:13" x14ac:dyDescent="0.25">
      <c r="E416" s="32">
        <f t="shared" si="33"/>
        <v>0</v>
      </c>
      <c r="I416" s="32">
        <f t="shared" si="34"/>
        <v>0</v>
      </c>
      <c r="K416" s="31">
        <f t="shared" si="31"/>
        <v>0</v>
      </c>
      <c r="L416" s="34">
        <f t="shared" si="32"/>
        <v>0</v>
      </c>
      <c r="M416" s="34">
        <f t="shared" si="30"/>
        <v>0</v>
      </c>
    </row>
    <row r="417" spans="5:13" x14ac:dyDescent="0.25">
      <c r="E417" s="32">
        <f t="shared" si="33"/>
        <v>0</v>
      </c>
      <c r="I417" s="32">
        <f t="shared" si="34"/>
        <v>0</v>
      </c>
      <c r="K417" s="31">
        <f t="shared" si="31"/>
        <v>0</v>
      </c>
      <c r="L417" s="34">
        <f t="shared" si="32"/>
        <v>0</v>
      </c>
      <c r="M417" s="34">
        <f t="shared" si="30"/>
        <v>0</v>
      </c>
    </row>
    <row r="418" spans="5:13" x14ac:dyDescent="0.25">
      <c r="E418" s="32">
        <f t="shared" si="33"/>
        <v>0</v>
      </c>
      <c r="I418" s="32">
        <f t="shared" si="34"/>
        <v>0</v>
      </c>
      <c r="K418" s="31">
        <f t="shared" si="31"/>
        <v>0</v>
      </c>
      <c r="L418" s="34">
        <f t="shared" si="32"/>
        <v>0</v>
      </c>
      <c r="M418" s="34">
        <f t="shared" si="30"/>
        <v>0</v>
      </c>
    </row>
    <row r="419" spans="5:13" x14ac:dyDescent="0.25">
      <c r="E419" s="32">
        <f t="shared" si="33"/>
        <v>0</v>
      </c>
      <c r="I419" s="32">
        <f t="shared" si="34"/>
        <v>0</v>
      </c>
      <c r="K419" s="31">
        <f t="shared" si="31"/>
        <v>0</v>
      </c>
      <c r="L419" s="34">
        <f t="shared" si="32"/>
        <v>0</v>
      </c>
      <c r="M419" s="34">
        <f t="shared" si="30"/>
        <v>0</v>
      </c>
    </row>
    <row r="420" spans="5:13" x14ac:dyDescent="0.25">
      <c r="E420" s="32">
        <f t="shared" si="33"/>
        <v>0</v>
      </c>
      <c r="I420" s="32">
        <f t="shared" si="34"/>
        <v>0</v>
      </c>
      <c r="K420" s="31">
        <f t="shared" si="31"/>
        <v>0</v>
      </c>
      <c r="L420" s="34">
        <f t="shared" si="32"/>
        <v>0</v>
      </c>
      <c r="M420" s="34">
        <f t="shared" si="30"/>
        <v>0</v>
      </c>
    </row>
    <row r="421" spans="5:13" x14ac:dyDescent="0.25">
      <c r="E421" s="32">
        <f t="shared" si="33"/>
        <v>0</v>
      </c>
      <c r="I421" s="32">
        <f t="shared" si="34"/>
        <v>0</v>
      </c>
      <c r="K421" s="31">
        <f t="shared" si="31"/>
        <v>0</v>
      </c>
      <c r="L421" s="34">
        <f t="shared" si="32"/>
        <v>0</v>
      </c>
      <c r="M421" s="34">
        <f t="shared" si="30"/>
        <v>0</v>
      </c>
    </row>
    <row r="422" spans="5:13" x14ac:dyDescent="0.25">
      <c r="E422" s="32">
        <f t="shared" si="33"/>
        <v>0</v>
      </c>
      <c r="I422" s="32">
        <f t="shared" si="34"/>
        <v>0</v>
      </c>
      <c r="K422" s="31">
        <f t="shared" si="31"/>
        <v>0</v>
      </c>
      <c r="L422" s="34">
        <f t="shared" si="32"/>
        <v>0</v>
      </c>
      <c r="M422" s="34">
        <f t="shared" si="30"/>
        <v>0</v>
      </c>
    </row>
    <row r="423" spans="5:13" x14ac:dyDescent="0.25">
      <c r="E423" s="32">
        <f t="shared" si="33"/>
        <v>0</v>
      </c>
      <c r="I423" s="32">
        <f t="shared" si="34"/>
        <v>0</v>
      </c>
      <c r="K423" s="31">
        <f t="shared" si="31"/>
        <v>0</v>
      </c>
      <c r="L423" s="34">
        <f t="shared" si="32"/>
        <v>0</v>
      </c>
      <c r="M423" s="34">
        <f t="shared" si="30"/>
        <v>0</v>
      </c>
    </row>
    <row r="424" spans="5:13" x14ac:dyDescent="0.25">
      <c r="E424" s="32">
        <f t="shared" si="33"/>
        <v>0</v>
      </c>
      <c r="I424" s="32">
        <f t="shared" si="34"/>
        <v>0</v>
      </c>
      <c r="K424" s="31">
        <f t="shared" si="31"/>
        <v>0</v>
      </c>
      <c r="L424" s="34">
        <f t="shared" si="32"/>
        <v>0</v>
      </c>
      <c r="M424" s="34">
        <f t="shared" si="30"/>
        <v>0</v>
      </c>
    </row>
    <row r="425" spans="5:13" x14ac:dyDescent="0.25">
      <c r="E425" s="32">
        <f t="shared" si="33"/>
        <v>0</v>
      </c>
      <c r="I425" s="32">
        <f t="shared" si="34"/>
        <v>0</v>
      </c>
      <c r="K425" s="31">
        <f t="shared" si="31"/>
        <v>0</v>
      </c>
      <c r="L425" s="34">
        <f t="shared" si="32"/>
        <v>0</v>
      </c>
      <c r="M425" s="34">
        <f t="shared" si="30"/>
        <v>0</v>
      </c>
    </row>
    <row r="426" spans="5:13" x14ac:dyDescent="0.25">
      <c r="E426" s="32">
        <f t="shared" si="33"/>
        <v>0</v>
      </c>
      <c r="I426" s="32">
        <f t="shared" si="34"/>
        <v>0</v>
      </c>
      <c r="K426" s="31">
        <f t="shared" si="31"/>
        <v>0</v>
      </c>
      <c r="L426" s="34">
        <f t="shared" si="32"/>
        <v>0</v>
      </c>
      <c r="M426" s="34">
        <f t="shared" si="30"/>
        <v>0</v>
      </c>
    </row>
    <row r="427" spans="5:13" x14ac:dyDescent="0.25">
      <c r="E427" s="32">
        <f t="shared" si="33"/>
        <v>0</v>
      </c>
      <c r="I427" s="32">
        <f t="shared" si="34"/>
        <v>0</v>
      </c>
      <c r="K427" s="31">
        <f t="shared" si="31"/>
        <v>0</v>
      </c>
      <c r="L427" s="34">
        <f t="shared" si="32"/>
        <v>0</v>
      </c>
      <c r="M427" s="34">
        <f t="shared" si="30"/>
        <v>0</v>
      </c>
    </row>
    <row r="428" spans="5:13" x14ac:dyDescent="0.25">
      <c r="E428" s="32">
        <f t="shared" si="33"/>
        <v>0</v>
      </c>
      <c r="I428" s="32">
        <f t="shared" si="34"/>
        <v>0</v>
      </c>
      <c r="K428" s="31">
        <f t="shared" si="31"/>
        <v>0</v>
      </c>
      <c r="L428" s="34">
        <f t="shared" si="32"/>
        <v>0</v>
      </c>
      <c r="M428" s="34">
        <f t="shared" si="30"/>
        <v>0</v>
      </c>
    </row>
    <row r="429" spans="5:13" x14ac:dyDescent="0.25">
      <c r="E429" s="32">
        <f t="shared" si="33"/>
        <v>0</v>
      </c>
      <c r="I429" s="32">
        <f t="shared" si="34"/>
        <v>0</v>
      </c>
      <c r="K429" s="31">
        <f t="shared" si="31"/>
        <v>0</v>
      </c>
      <c r="L429" s="34">
        <f t="shared" si="32"/>
        <v>0</v>
      </c>
      <c r="M429" s="34">
        <f t="shared" si="30"/>
        <v>0</v>
      </c>
    </row>
    <row r="430" spans="5:13" x14ac:dyDescent="0.25">
      <c r="E430" s="32">
        <f t="shared" si="33"/>
        <v>0</v>
      </c>
      <c r="I430" s="32">
        <f t="shared" si="34"/>
        <v>0</v>
      </c>
      <c r="K430" s="31">
        <f t="shared" si="31"/>
        <v>0</v>
      </c>
      <c r="L430" s="34">
        <f t="shared" si="32"/>
        <v>0</v>
      </c>
      <c r="M430" s="34">
        <f t="shared" si="30"/>
        <v>0</v>
      </c>
    </row>
    <row r="431" spans="5:13" x14ac:dyDescent="0.25">
      <c r="E431" s="32">
        <f t="shared" si="33"/>
        <v>0</v>
      </c>
      <c r="I431" s="32">
        <f t="shared" si="34"/>
        <v>0</v>
      </c>
      <c r="K431" s="31">
        <f t="shared" si="31"/>
        <v>0</v>
      </c>
      <c r="L431" s="34">
        <f t="shared" si="32"/>
        <v>0</v>
      </c>
      <c r="M431" s="34">
        <f t="shared" si="30"/>
        <v>0</v>
      </c>
    </row>
    <row r="432" spans="5:13" x14ac:dyDescent="0.25">
      <c r="E432" s="32">
        <f t="shared" si="33"/>
        <v>0</v>
      </c>
      <c r="I432" s="32">
        <f t="shared" si="34"/>
        <v>0</v>
      </c>
      <c r="K432" s="31">
        <f t="shared" si="31"/>
        <v>0</v>
      </c>
      <c r="L432" s="34">
        <f t="shared" si="32"/>
        <v>0</v>
      </c>
      <c r="M432" s="34">
        <f t="shared" si="30"/>
        <v>0</v>
      </c>
    </row>
    <row r="433" spans="5:13" x14ac:dyDescent="0.25">
      <c r="E433" s="32">
        <f t="shared" si="33"/>
        <v>0</v>
      </c>
      <c r="I433" s="32">
        <f t="shared" si="34"/>
        <v>0</v>
      </c>
      <c r="K433" s="31">
        <f t="shared" si="31"/>
        <v>0</v>
      </c>
      <c r="L433" s="34">
        <f t="shared" si="32"/>
        <v>0</v>
      </c>
      <c r="M433" s="34">
        <f t="shared" si="30"/>
        <v>0</v>
      </c>
    </row>
    <row r="434" spans="5:13" x14ac:dyDescent="0.25">
      <c r="E434" s="32">
        <f t="shared" si="33"/>
        <v>0</v>
      </c>
      <c r="I434" s="32">
        <f t="shared" si="34"/>
        <v>0</v>
      </c>
      <c r="K434" s="31">
        <f t="shared" si="31"/>
        <v>0</v>
      </c>
      <c r="L434" s="34">
        <f t="shared" si="32"/>
        <v>0</v>
      </c>
      <c r="M434" s="34">
        <f t="shared" si="30"/>
        <v>0</v>
      </c>
    </row>
    <row r="435" spans="5:13" x14ac:dyDescent="0.25">
      <c r="E435" s="32">
        <f t="shared" si="33"/>
        <v>0</v>
      </c>
      <c r="I435" s="32">
        <f t="shared" si="34"/>
        <v>0</v>
      </c>
      <c r="K435" s="31">
        <f t="shared" si="31"/>
        <v>0</v>
      </c>
      <c r="L435" s="34">
        <f t="shared" si="32"/>
        <v>0</v>
      </c>
      <c r="M435" s="34">
        <f t="shared" si="30"/>
        <v>0</v>
      </c>
    </row>
    <row r="436" spans="5:13" x14ac:dyDescent="0.25">
      <c r="E436" s="32">
        <f t="shared" si="33"/>
        <v>0</v>
      </c>
      <c r="I436" s="32">
        <f t="shared" si="34"/>
        <v>0</v>
      </c>
      <c r="K436" s="31">
        <f t="shared" si="31"/>
        <v>0</v>
      </c>
      <c r="L436" s="34">
        <f t="shared" si="32"/>
        <v>0</v>
      </c>
      <c r="M436" s="34">
        <f t="shared" si="30"/>
        <v>0</v>
      </c>
    </row>
    <row r="437" spans="5:13" x14ac:dyDescent="0.25">
      <c r="E437" s="32">
        <f t="shared" si="33"/>
        <v>0</v>
      </c>
      <c r="I437" s="32">
        <f t="shared" si="34"/>
        <v>0</v>
      </c>
      <c r="K437" s="31">
        <f t="shared" si="31"/>
        <v>0</v>
      </c>
      <c r="L437" s="34">
        <f t="shared" si="32"/>
        <v>0</v>
      </c>
      <c r="M437" s="34">
        <f t="shared" si="30"/>
        <v>0</v>
      </c>
    </row>
    <row r="438" spans="5:13" x14ac:dyDescent="0.25">
      <c r="E438" s="32">
        <f t="shared" si="33"/>
        <v>0</v>
      </c>
      <c r="I438" s="32">
        <f t="shared" si="34"/>
        <v>0</v>
      </c>
      <c r="K438" s="31">
        <f t="shared" si="31"/>
        <v>0</v>
      </c>
      <c r="L438" s="34">
        <f t="shared" si="32"/>
        <v>0</v>
      </c>
      <c r="M438" s="34">
        <f t="shared" si="30"/>
        <v>0</v>
      </c>
    </row>
    <row r="439" spans="5:13" x14ac:dyDescent="0.25">
      <c r="E439" s="32">
        <f t="shared" si="33"/>
        <v>0</v>
      </c>
      <c r="I439" s="32">
        <f t="shared" si="34"/>
        <v>0</v>
      </c>
      <c r="K439" s="31">
        <f t="shared" si="31"/>
        <v>0</v>
      </c>
      <c r="L439" s="34">
        <f t="shared" si="32"/>
        <v>0</v>
      </c>
      <c r="M439" s="34">
        <f t="shared" si="30"/>
        <v>0</v>
      </c>
    </row>
    <row r="440" spans="5:13" x14ac:dyDescent="0.25">
      <c r="E440" s="32">
        <f t="shared" si="33"/>
        <v>0</v>
      </c>
      <c r="I440" s="32">
        <f t="shared" si="34"/>
        <v>0</v>
      </c>
      <c r="K440" s="31">
        <f t="shared" si="31"/>
        <v>0</v>
      </c>
      <c r="L440" s="34">
        <f t="shared" si="32"/>
        <v>0</v>
      </c>
      <c r="M440" s="34">
        <f t="shared" si="30"/>
        <v>0</v>
      </c>
    </row>
    <row r="441" spans="5:13" x14ac:dyDescent="0.25">
      <c r="E441" s="32">
        <f t="shared" si="33"/>
        <v>0</v>
      </c>
      <c r="I441" s="32">
        <f t="shared" si="34"/>
        <v>0</v>
      </c>
      <c r="K441" s="31">
        <f t="shared" si="31"/>
        <v>0</v>
      </c>
      <c r="L441" s="34">
        <f t="shared" si="32"/>
        <v>0</v>
      </c>
      <c r="M441" s="34">
        <f t="shared" si="30"/>
        <v>0</v>
      </c>
    </row>
    <row r="442" spans="5:13" x14ac:dyDescent="0.25">
      <c r="E442" s="32">
        <f t="shared" si="33"/>
        <v>0</v>
      </c>
      <c r="I442" s="32">
        <f t="shared" si="34"/>
        <v>0</v>
      </c>
      <c r="K442" s="31">
        <f t="shared" si="31"/>
        <v>0</v>
      </c>
      <c r="L442" s="34">
        <f t="shared" si="32"/>
        <v>0</v>
      </c>
      <c r="M442" s="34">
        <f t="shared" si="30"/>
        <v>0</v>
      </c>
    </row>
    <row r="443" spans="5:13" x14ac:dyDescent="0.25">
      <c r="E443" s="32">
        <f t="shared" si="33"/>
        <v>0</v>
      </c>
      <c r="I443" s="32">
        <f t="shared" si="34"/>
        <v>0</v>
      </c>
      <c r="K443" s="31">
        <f t="shared" si="31"/>
        <v>0</v>
      </c>
      <c r="L443" s="34">
        <f t="shared" si="32"/>
        <v>0</v>
      </c>
      <c r="M443" s="34">
        <f t="shared" si="30"/>
        <v>0</v>
      </c>
    </row>
    <row r="444" spans="5:13" x14ac:dyDescent="0.25">
      <c r="E444" s="32">
        <f t="shared" si="33"/>
        <v>0</v>
      </c>
      <c r="I444" s="32">
        <f t="shared" si="34"/>
        <v>0</v>
      </c>
      <c r="K444" s="31">
        <f t="shared" si="31"/>
        <v>0</v>
      </c>
      <c r="L444" s="34">
        <f t="shared" si="32"/>
        <v>0</v>
      </c>
      <c r="M444" s="34">
        <f t="shared" si="30"/>
        <v>0</v>
      </c>
    </row>
    <row r="445" spans="5:13" x14ac:dyDescent="0.25">
      <c r="E445" s="32">
        <f t="shared" si="33"/>
        <v>0</v>
      </c>
      <c r="I445" s="32">
        <f t="shared" si="34"/>
        <v>0</v>
      </c>
      <c r="K445" s="31">
        <f t="shared" si="31"/>
        <v>0</v>
      </c>
      <c r="L445" s="34">
        <f t="shared" si="32"/>
        <v>0</v>
      </c>
      <c r="M445" s="34">
        <f t="shared" si="30"/>
        <v>0</v>
      </c>
    </row>
    <row r="446" spans="5:13" x14ac:dyDescent="0.25">
      <c r="E446" s="32">
        <f t="shared" si="33"/>
        <v>0</v>
      </c>
      <c r="I446" s="32">
        <f t="shared" si="34"/>
        <v>0</v>
      </c>
      <c r="K446" s="31">
        <f t="shared" si="31"/>
        <v>0</v>
      </c>
      <c r="L446" s="34">
        <f t="shared" si="32"/>
        <v>0</v>
      </c>
      <c r="M446" s="34">
        <f t="shared" si="30"/>
        <v>0</v>
      </c>
    </row>
    <row r="447" spans="5:13" x14ac:dyDescent="0.25">
      <c r="E447" s="32">
        <f t="shared" si="33"/>
        <v>0</v>
      </c>
      <c r="I447" s="32">
        <f t="shared" si="34"/>
        <v>0</v>
      </c>
      <c r="K447" s="31">
        <f t="shared" si="31"/>
        <v>0</v>
      </c>
      <c r="L447" s="34">
        <f t="shared" si="32"/>
        <v>0</v>
      </c>
      <c r="M447" s="34">
        <f t="shared" si="30"/>
        <v>0</v>
      </c>
    </row>
    <row r="448" spans="5:13" x14ac:dyDescent="0.25">
      <c r="E448" s="32">
        <f t="shared" si="33"/>
        <v>0</v>
      </c>
      <c r="I448" s="32">
        <f t="shared" si="34"/>
        <v>0</v>
      </c>
      <c r="K448" s="31">
        <f t="shared" si="31"/>
        <v>0</v>
      </c>
      <c r="L448" s="34">
        <f t="shared" si="32"/>
        <v>0</v>
      </c>
      <c r="M448" s="34">
        <f t="shared" si="30"/>
        <v>0</v>
      </c>
    </row>
    <row r="449" spans="5:13" x14ac:dyDescent="0.25">
      <c r="E449" s="32">
        <f t="shared" si="33"/>
        <v>0</v>
      </c>
      <c r="I449" s="32">
        <f t="shared" si="34"/>
        <v>0</v>
      </c>
      <c r="K449" s="31">
        <f t="shared" si="31"/>
        <v>0</v>
      </c>
      <c r="L449" s="34">
        <f t="shared" si="32"/>
        <v>0</v>
      </c>
      <c r="M449" s="34">
        <f t="shared" si="30"/>
        <v>0</v>
      </c>
    </row>
    <row r="450" spans="5:13" x14ac:dyDescent="0.25">
      <c r="E450" s="32">
        <f t="shared" si="33"/>
        <v>0</v>
      </c>
      <c r="I450" s="32">
        <f t="shared" si="34"/>
        <v>0</v>
      </c>
      <c r="K450" s="31">
        <f t="shared" si="31"/>
        <v>0</v>
      </c>
      <c r="L450" s="34">
        <f t="shared" si="32"/>
        <v>0</v>
      </c>
      <c r="M450" s="34">
        <f t="shared" si="30"/>
        <v>0</v>
      </c>
    </row>
    <row r="451" spans="5:13" x14ac:dyDescent="0.25">
      <c r="E451" s="32">
        <f t="shared" si="33"/>
        <v>0</v>
      </c>
      <c r="I451" s="32">
        <f t="shared" si="34"/>
        <v>0</v>
      </c>
      <c r="K451" s="31">
        <f t="shared" si="31"/>
        <v>0</v>
      </c>
      <c r="L451" s="34">
        <f t="shared" si="32"/>
        <v>0</v>
      </c>
      <c r="M451" s="34">
        <f t="shared" si="30"/>
        <v>0</v>
      </c>
    </row>
    <row r="452" spans="5:13" x14ac:dyDescent="0.25">
      <c r="E452" s="32">
        <f t="shared" si="33"/>
        <v>0</v>
      </c>
      <c r="I452" s="32">
        <f t="shared" si="34"/>
        <v>0</v>
      </c>
      <c r="K452" s="31">
        <f t="shared" si="31"/>
        <v>0</v>
      </c>
      <c r="L452" s="34">
        <f t="shared" si="32"/>
        <v>0</v>
      </c>
      <c r="M452" s="34">
        <f t="shared" ref="M452:M515" si="35">(L452/27)*4</f>
        <v>0</v>
      </c>
    </row>
    <row r="453" spans="5:13" x14ac:dyDescent="0.25">
      <c r="E453" s="32">
        <f t="shared" si="33"/>
        <v>0</v>
      </c>
      <c r="I453" s="32">
        <f t="shared" si="34"/>
        <v>0</v>
      </c>
      <c r="K453" s="31">
        <f t="shared" ref="K453:K516" si="36">B453/30</f>
        <v>0</v>
      </c>
      <c r="L453" s="34">
        <f t="shared" ref="L453:L516" si="37">IF(J453="S",((I453*24)*K453)*2,((I453*24)*K453)*1.5)</f>
        <v>0</v>
      </c>
      <c r="M453" s="34">
        <f t="shared" si="35"/>
        <v>0</v>
      </c>
    </row>
    <row r="454" spans="5:13" x14ac:dyDescent="0.25">
      <c r="E454" s="32">
        <f t="shared" ref="E454:E517" si="38">D454-C454</f>
        <v>0</v>
      </c>
      <c r="I454" s="32">
        <f t="shared" ref="I454:I517" si="39">H454-G454</f>
        <v>0</v>
      </c>
      <c r="K454" s="31">
        <f t="shared" si="36"/>
        <v>0</v>
      </c>
      <c r="L454" s="34">
        <f t="shared" si="37"/>
        <v>0</v>
      </c>
      <c r="M454" s="34">
        <f t="shared" si="35"/>
        <v>0</v>
      </c>
    </row>
    <row r="455" spans="5:13" x14ac:dyDescent="0.25">
      <c r="E455" s="32">
        <f t="shared" si="38"/>
        <v>0</v>
      </c>
      <c r="I455" s="32">
        <f t="shared" si="39"/>
        <v>0</v>
      </c>
      <c r="K455" s="31">
        <f t="shared" si="36"/>
        <v>0</v>
      </c>
      <c r="L455" s="34">
        <f t="shared" si="37"/>
        <v>0</v>
      </c>
      <c r="M455" s="34">
        <f t="shared" si="35"/>
        <v>0</v>
      </c>
    </row>
    <row r="456" spans="5:13" x14ac:dyDescent="0.25">
      <c r="E456" s="32">
        <f t="shared" si="38"/>
        <v>0</v>
      </c>
      <c r="I456" s="32">
        <f t="shared" si="39"/>
        <v>0</v>
      </c>
      <c r="K456" s="31">
        <f t="shared" si="36"/>
        <v>0</v>
      </c>
      <c r="L456" s="34">
        <f t="shared" si="37"/>
        <v>0</v>
      </c>
      <c r="M456" s="34">
        <f t="shared" si="35"/>
        <v>0</v>
      </c>
    </row>
    <row r="457" spans="5:13" x14ac:dyDescent="0.25">
      <c r="E457" s="32">
        <f t="shared" si="38"/>
        <v>0</v>
      </c>
      <c r="I457" s="32">
        <f t="shared" si="39"/>
        <v>0</v>
      </c>
      <c r="K457" s="31">
        <f t="shared" si="36"/>
        <v>0</v>
      </c>
      <c r="L457" s="34">
        <f t="shared" si="37"/>
        <v>0</v>
      </c>
      <c r="M457" s="34">
        <f t="shared" si="35"/>
        <v>0</v>
      </c>
    </row>
    <row r="458" spans="5:13" x14ac:dyDescent="0.25">
      <c r="E458" s="32">
        <f t="shared" si="38"/>
        <v>0</v>
      </c>
      <c r="I458" s="32">
        <f t="shared" si="39"/>
        <v>0</v>
      </c>
      <c r="K458" s="31">
        <f t="shared" si="36"/>
        <v>0</v>
      </c>
      <c r="L458" s="34">
        <f t="shared" si="37"/>
        <v>0</v>
      </c>
      <c r="M458" s="34">
        <f t="shared" si="35"/>
        <v>0</v>
      </c>
    </row>
    <row r="459" spans="5:13" x14ac:dyDescent="0.25">
      <c r="E459" s="32">
        <f t="shared" si="38"/>
        <v>0</v>
      </c>
      <c r="I459" s="32">
        <f t="shared" si="39"/>
        <v>0</v>
      </c>
      <c r="K459" s="31">
        <f t="shared" si="36"/>
        <v>0</v>
      </c>
      <c r="L459" s="34">
        <f t="shared" si="37"/>
        <v>0</v>
      </c>
      <c r="M459" s="34">
        <f t="shared" si="35"/>
        <v>0</v>
      </c>
    </row>
    <row r="460" spans="5:13" x14ac:dyDescent="0.25">
      <c r="E460" s="32">
        <f t="shared" si="38"/>
        <v>0</v>
      </c>
      <c r="I460" s="32">
        <f t="shared" si="39"/>
        <v>0</v>
      </c>
      <c r="K460" s="31">
        <f t="shared" si="36"/>
        <v>0</v>
      </c>
      <c r="L460" s="34">
        <f t="shared" si="37"/>
        <v>0</v>
      </c>
      <c r="M460" s="34">
        <f t="shared" si="35"/>
        <v>0</v>
      </c>
    </row>
    <row r="461" spans="5:13" x14ac:dyDescent="0.25">
      <c r="E461" s="32">
        <f t="shared" si="38"/>
        <v>0</v>
      </c>
      <c r="I461" s="32">
        <f t="shared" si="39"/>
        <v>0</v>
      </c>
      <c r="K461" s="31">
        <f t="shared" si="36"/>
        <v>0</v>
      </c>
      <c r="L461" s="34">
        <f t="shared" si="37"/>
        <v>0</v>
      </c>
      <c r="M461" s="34">
        <f t="shared" si="35"/>
        <v>0</v>
      </c>
    </row>
    <row r="462" spans="5:13" x14ac:dyDescent="0.25">
      <c r="E462" s="32">
        <f t="shared" si="38"/>
        <v>0</v>
      </c>
      <c r="I462" s="32">
        <f t="shared" si="39"/>
        <v>0</v>
      </c>
      <c r="K462" s="31">
        <f t="shared" si="36"/>
        <v>0</v>
      </c>
      <c r="L462" s="34">
        <f t="shared" si="37"/>
        <v>0</v>
      </c>
      <c r="M462" s="34">
        <f t="shared" si="35"/>
        <v>0</v>
      </c>
    </row>
    <row r="463" spans="5:13" x14ac:dyDescent="0.25">
      <c r="E463" s="32">
        <f t="shared" si="38"/>
        <v>0</v>
      </c>
      <c r="I463" s="32">
        <f t="shared" si="39"/>
        <v>0</v>
      </c>
      <c r="K463" s="31">
        <f t="shared" si="36"/>
        <v>0</v>
      </c>
      <c r="L463" s="34">
        <f t="shared" si="37"/>
        <v>0</v>
      </c>
      <c r="M463" s="34">
        <f t="shared" si="35"/>
        <v>0</v>
      </c>
    </row>
    <row r="464" spans="5:13" x14ac:dyDescent="0.25">
      <c r="E464" s="32">
        <f t="shared" si="38"/>
        <v>0</v>
      </c>
      <c r="I464" s="32">
        <f t="shared" si="39"/>
        <v>0</v>
      </c>
      <c r="K464" s="31">
        <f t="shared" si="36"/>
        <v>0</v>
      </c>
      <c r="L464" s="34">
        <f t="shared" si="37"/>
        <v>0</v>
      </c>
      <c r="M464" s="34">
        <f t="shared" si="35"/>
        <v>0</v>
      </c>
    </row>
    <row r="465" spans="5:13" x14ac:dyDescent="0.25">
      <c r="E465" s="32">
        <f t="shared" si="38"/>
        <v>0</v>
      </c>
      <c r="I465" s="32">
        <f t="shared" si="39"/>
        <v>0</v>
      </c>
      <c r="K465" s="31">
        <f t="shared" si="36"/>
        <v>0</v>
      </c>
      <c r="L465" s="34">
        <f t="shared" si="37"/>
        <v>0</v>
      </c>
      <c r="M465" s="34">
        <f t="shared" si="35"/>
        <v>0</v>
      </c>
    </row>
    <row r="466" spans="5:13" x14ac:dyDescent="0.25">
      <c r="E466" s="32">
        <f t="shared" si="38"/>
        <v>0</v>
      </c>
      <c r="I466" s="32">
        <f t="shared" si="39"/>
        <v>0</v>
      </c>
      <c r="K466" s="31">
        <f t="shared" si="36"/>
        <v>0</v>
      </c>
      <c r="L466" s="34">
        <f t="shared" si="37"/>
        <v>0</v>
      </c>
      <c r="M466" s="34">
        <f t="shared" si="35"/>
        <v>0</v>
      </c>
    </row>
    <row r="467" spans="5:13" x14ac:dyDescent="0.25">
      <c r="E467" s="32">
        <f t="shared" si="38"/>
        <v>0</v>
      </c>
      <c r="I467" s="32">
        <f t="shared" si="39"/>
        <v>0</v>
      </c>
      <c r="K467" s="31">
        <f t="shared" si="36"/>
        <v>0</v>
      </c>
      <c r="L467" s="34">
        <f t="shared" si="37"/>
        <v>0</v>
      </c>
      <c r="M467" s="34">
        <f t="shared" si="35"/>
        <v>0</v>
      </c>
    </row>
    <row r="468" spans="5:13" x14ac:dyDescent="0.25">
      <c r="E468" s="32">
        <f t="shared" si="38"/>
        <v>0</v>
      </c>
      <c r="I468" s="32">
        <f t="shared" si="39"/>
        <v>0</v>
      </c>
      <c r="K468" s="31">
        <f t="shared" si="36"/>
        <v>0</v>
      </c>
      <c r="L468" s="34">
        <f t="shared" si="37"/>
        <v>0</v>
      </c>
      <c r="M468" s="34">
        <f t="shared" si="35"/>
        <v>0</v>
      </c>
    </row>
    <row r="469" spans="5:13" x14ac:dyDescent="0.25">
      <c r="E469" s="32">
        <f t="shared" si="38"/>
        <v>0</v>
      </c>
      <c r="I469" s="32">
        <f t="shared" si="39"/>
        <v>0</v>
      </c>
      <c r="K469" s="31">
        <f t="shared" si="36"/>
        <v>0</v>
      </c>
      <c r="L469" s="34">
        <f t="shared" si="37"/>
        <v>0</v>
      </c>
      <c r="M469" s="34">
        <f t="shared" si="35"/>
        <v>0</v>
      </c>
    </row>
    <row r="470" spans="5:13" x14ac:dyDescent="0.25">
      <c r="E470" s="32">
        <f t="shared" si="38"/>
        <v>0</v>
      </c>
      <c r="I470" s="32">
        <f t="shared" si="39"/>
        <v>0</v>
      </c>
      <c r="K470" s="31">
        <f t="shared" si="36"/>
        <v>0</v>
      </c>
      <c r="L470" s="34">
        <f t="shared" si="37"/>
        <v>0</v>
      </c>
      <c r="M470" s="34">
        <f t="shared" si="35"/>
        <v>0</v>
      </c>
    </row>
    <row r="471" spans="5:13" x14ac:dyDescent="0.25">
      <c r="E471" s="32">
        <f t="shared" si="38"/>
        <v>0</v>
      </c>
      <c r="I471" s="32">
        <f t="shared" si="39"/>
        <v>0</v>
      </c>
      <c r="K471" s="31">
        <f t="shared" si="36"/>
        <v>0</v>
      </c>
      <c r="L471" s="34">
        <f t="shared" si="37"/>
        <v>0</v>
      </c>
      <c r="M471" s="34">
        <f t="shared" si="35"/>
        <v>0</v>
      </c>
    </row>
    <row r="472" spans="5:13" x14ac:dyDescent="0.25">
      <c r="E472" s="32">
        <f t="shared" si="38"/>
        <v>0</v>
      </c>
      <c r="I472" s="32">
        <f t="shared" si="39"/>
        <v>0</v>
      </c>
      <c r="K472" s="31">
        <f t="shared" si="36"/>
        <v>0</v>
      </c>
      <c r="L472" s="34">
        <f t="shared" si="37"/>
        <v>0</v>
      </c>
      <c r="M472" s="34">
        <f t="shared" si="35"/>
        <v>0</v>
      </c>
    </row>
    <row r="473" spans="5:13" x14ac:dyDescent="0.25">
      <c r="E473" s="32">
        <f t="shared" si="38"/>
        <v>0</v>
      </c>
      <c r="I473" s="32">
        <f t="shared" si="39"/>
        <v>0</v>
      </c>
      <c r="K473" s="31">
        <f t="shared" si="36"/>
        <v>0</v>
      </c>
      <c r="L473" s="34">
        <f t="shared" si="37"/>
        <v>0</v>
      </c>
      <c r="M473" s="34">
        <f t="shared" si="35"/>
        <v>0</v>
      </c>
    </row>
    <row r="474" spans="5:13" x14ac:dyDescent="0.25">
      <c r="E474" s="32">
        <f t="shared" si="38"/>
        <v>0</v>
      </c>
      <c r="I474" s="32">
        <f t="shared" si="39"/>
        <v>0</v>
      </c>
      <c r="K474" s="31">
        <f t="shared" si="36"/>
        <v>0</v>
      </c>
      <c r="L474" s="34">
        <f t="shared" si="37"/>
        <v>0</v>
      </c>
      <c r="M474" s="34">
        <f t="shared" si="35"/>
        <v>0</v>
      </c>
    </row>
    <row r="475" spans="5:13" x14ac:dyDescent="0.25">
      <c r="E475" s="32">
        <f t="shared" si="38"/>
        <v>0</v>
      </c>
      <c r="I475" s="32">
        <f t="shared" si="39"/>
        <v>0</v>
      </c>
      <c r="K475" s="31">
        <f t="shared" si="36"/>
        <v>0</v>
      </c>
      <c r="L475" s="34">
        <f t="shared" si="37"/>
        <v>0</v>
      </c>
      <c r="M475" s="34">
        <f t="shared" si="35"/>
        <v>0</v>
      </c>
    </row>
    <row r="476" spans="5:13" x14ac:dyDescent="0.25">
      <c r="E476" s="32">
        <f t="shared" si="38"/>
        <v>0</v>
      </c>
      <c r="I476" s="32">
        <f t="shared" si="39"/>
        <v>0</v>
      </c>
      <c r="K476" s="31">
        <f t="shared" si="36"/>
        <v>0</v>
      </c>
      <c r="L476" s="34">
        <f t="shared" si="37"/>
        <v>0</v>
      </c>
      <c r="M476" s="34">
        <f t="shared" si="35"/>
        <v>0</v>
      </c>
    </row>
    <row r="477" spans="5:13" x14ac:dyDescent="0.25">
      <c r="E477" s="32">
        <f t="shared" si="38"/>
        <v>0</v>
      </c>
      <c r="I477" s="32">
        <f t="shared" si="39"/>
        <v>0</v>
      </c>
      <c r="K477" s="31">
        <f t="shared" si="36"/>
        <v>0</v>
      </c>
      <c r="L477" s="34">
        <f t="shared" si="37"/>
        <v>0</v>
      </c>
      <c r="M477" s="34">
        <f t="shared" si="35"/>
        <v>0</v>
      </c>
    </row>
    <row r="478" spans="5:13" x14ac:dyDescent="0.25">
      <c r="E478" s="32">
        <f t="shared" si="38"/>
        <v>0</v>
      </c>
      <c r="I478" s="32">
        <f t="shared" si="39"/>
        <v>0</v>
      </c>
      <c r="K478" s="31">
        <f t="shared" si="36"/>
        <v>0</v>
      </c>
      <c r="L478" s="34">
        <f t="shared" si="37"/>
        <v>0</v>
      </c>
      <c r="M478" s="34">
        <f t="shared" si="35"/>
        <v>0</v>
      </c>
    </row>
    <row r="479" spans="5:13" x14ac:dyDescent="0.25">
      <c r="E479" s="32">
        <f t="shared" si="38"/>
        <v>0</v>
      </c>
      <c r="I479" s="32">
        <f t="shared" si="39"/>
        <v>0</v>
      </c>
      <c r="K479" s="31">
        <f t="shared" si="36"/>
        <v>0</v>
      </c>
      <c r="L479" s="34">
        <f t="shared" si="37"/>
        <v>0</v>
      </c>
      <c r="M479" s="34">
        <f t="shared" si="35"/>
        <v>0</v>
      </c>
    </row>
    <row r="480" spans="5:13" x14ac:dyDescent="0.25">
      <c r="E480" s="32">
        <f t="shared" si="38"/>
        <v>0</v>
      </c>
      <c r="I480" s="32">
        <f t="shared" si="39"/>
        <v>0</v>
      </c>
      <c r="K480" s="31">
        <f t="shared" si="36"/>
        <v>0</v>
      </c>
      <c r="L480" s="34">
        <f t="shared" si="37"/>
        <v>0</v>
      </c>
      <c r="M480" s="34">
        <f t="shared" si="35"/>
        <v>0</v>
      </c>
    </row>
    <row r="481" spans="5:13" x14ac:dyDescent="0.25">
      <c r="E481" s="32">
        <f t="shared" si="38"/>
        <v>0</v>
      </c>
      <c r="I481" s="32">
        <f t="shared" si="39"/>
        <v>0</v>
      </c>
      <c r="K481" s="31">
        <f t="shared" si="36"/>
        <v>0</v>
      </c>
      <c r="L481" s="34">
        <f t="shared" si="37"/>
        <v>0</v>
      </c>
      <c r="M481" s="34">
        <f t="shared" si="35"/>
        <v>0</v>
      </c>
    </row>
    <row r="482" spans="5:13" x14ac:dyDescent="0.25">
      <c r="E482" s="32">
        <f t="shared" si="38"/>
        <v>0</v>
      </c>
      <c r="I482" s="32">
        <f t="shared" si="39"/>
        <v>0</v>
      </c>
      <c r="K482" s="31">
        <f t="shared" si="36"/>
        <v>0</v>
      </c>
      <c r="L482" s="34">
        <f t="shared" si="37"/>
        <v>0</v>
      </c>
      <c r="M482" s="34">
        <f t="shared" si="35"/>
        <v>0</v>
      </c>
    </row>
    <row r="483" spans="5:13" x14ac:dyDescent="0.25">
      <c r="E483" s="32">
        <f t="shared" si="38"/>
        <v>0</v>
      </c>
      <c r="I483" s="32">
        <f t="shared" si="39"/>
        <v>0</v>
      </c>
      <c r="K483" s="31">
        <f t="shared" si="36"/>
        <v>0</v>
      </c>
      <c r="L483" s="34">
        <f t="shared" si="37"/>
        <v>0</v>
      </c>
      <c r="M483" s="34">
        <f t="shared" si="35"/>
        <v>0</v>
      </c>
    </row>
    <row r="484" spans="5:13" x14ac:dyDescent="0.25">
      <c r="E484" s="32">
        <f t="shared" si="38"/>
        <v>0</v>
      </c>
      <c r="I484" s="32">
        <f t="shared" si="39"/>
        <v>0</v>
      </c>
      <c r="K484" s="31">
        <f t="shared" si="36"/>
        <v>0</v>
      </c>
      <c r="L484" s="34">
        <f t="shared" si="37"/>
        <v>0</v>
      </c>
      <c r="M484" s="34">
        <f t="shared" si="35"/>
        <v>0</v>
      </c>
    </row>
    <row r="485" spans="5:13" x14ac:dyDescent="0.25">
      <c r="E485" s="32">
        <f t="shared" si="38"/>
        <v>0</v>
      </c>
      <c r="I485" s="32">
        <f t="shared" si="39"/>
        <v>0</v>
      </c>
      <c r="K485" s="31">
        <f t="shared" si="36"/>
        <v>0</v>
      </c>
      <c r="L485" s="34">
        <f t="shared" si="37"/>
        <v>0</v>
      </c>
      <c r="M485" s="34">
        <f t="shared" si="35"/>
        <v>0</v>
      </c>
    </row>
    <row r="486" spans="5:13" x14ac:dyDescent="0.25">
      <c r="E486" s="32">
        <f t="shared" si="38"/>
        <v>0</v>
      </c>
      <c r="I486" s="32">
        <f t="shared" si="39"/>
        <v>0</v>
      </c>
      <c r="K486" s="31">
        <f t="shared" si="36"/>
        <v>0</v>
      </c>
      <c r="L486" s="34">
        <f t="shared" si="37"/>
        <v>0</v>
      </c>
      <c r="M486" s="34">
        <f t="shared" si="35"/>
        <v>0</v>
      </c>
    </row>
    <row r="487" spans="5:13" x14ac:dyDescent="0.25">
      <c r="E487" s="32">
        <f t="shared" si="38"/>
        <v>0</v>
      </c>
      <c r="I487" s="32">
        <f t="shared" si="39"/>
        <v>0</v>
      </c>
      <c r="K487" s="31">
        <f t="shared" si="36"/>
        <v>0</v>
      </c>
      <c r="L487" s="34">
        <f t="shared" si="37"/>
        <v>0</v>
      </c>
      <c r="M487" s="34">
        <f t="shared" si="35"/>
        <v>0</v>
      </c>
    </row>
    <row r="488" spans="5:13" x14ac:dyDescent="0.25">
      <c r="E488" s="32">
        <f t="shared" si="38"/>
        <v>0</v>
      </c>
      <c r="I488" s="32">
        <f t="shared" si="39"/>
        <v>0</v>
      </c>
      <c r="K488" s="31">
        <f t="shared" si="36"/>
        <v>0</v>
      </c>
      <c r="L488" s="34">
        <f t="shared" si="37"/>
        <v>0</v>
      </c>
      <c r="M488" s="34">
        <f t="shared" si="35"/>
        <v>0</v>
      </c>
    </row>
    <row r="489" spans="5:13" x14ac:dyDescent="0.25">
      <c r="E489" s="32">
        <f t="shared" si="38"/>
        <v>0</v>
      </c>
      <c r="I489" s="32">
        <f t="shared" si="39"/>
        <v>0</v>
      </c>
      <c r="K489" s="31">
        <f t="shared" si="36"/>
        <v>0</v>
      </c>
      <c r="L489" s="34">
        <f t="shared" si="37"/>
        <v>0</v>
      </c>
      <c r="M489" s="34">
        <f t="shared" si="35"/>
        <v>0</v>
      </c>
    </row>
    <row r="490" spans="5:13" x14ac:dyDescent="0.25">
      <c r="E490" s="32">
        <f t="shared" si="38"/>
        <v>0</v>
      </c>
      <c r="I490" s="32">
        <f t="shared" si="39"/>
        <v>0</v>
      </c>
      <c r="K490" s="31">
        <f t="shared" si="36"/>
        <v>0</v>
      </c>
      <c r="L490" s="34">
        <f t="shared" si="37"/>
        <v>0</v>
      </c>
      <c r="M490" s="34">
        <f t="shared" si="35"/>
        <v>0</v>
      </c>
    </row>
    <row r="491" spans="5:13" x14ac:dyDescent="0.25">
      <c r="E491" s="32">
        <f t="shared" si="38"/>
        <v>0</v>
      </c>
      <c r="I491" s="32">
        <f t="shared" si="39"/>
        <v>0</v>
      </c>
      <c r="K491" s="31">
        <f t="shared" si="36"/>
        <v>0</v>
      </c>
      <c r="L491" s="34">
        <f t="shared" si="37"/>
        <v>0</v>
      </c>
      <c r="M491" s="34">
        <f t="shared" si="35"/>
        <v>0</v>
      </c>
    </row>
    <row r="492" spans="5:13" x14ac:dyDescent="0.25">
      <c r="E492" s="32">
        <f t="shared" si="38"/>
        <v>0</v>
      </c>
      <c r="I492" s="32">
        <f t="shared" si="39"/>
        <v>0</v>
      </c>
      <c r="K492" s="31">
        <f t="shared" si="36"/>
        <v>0</v>
      </c>
      <c r="L492" s="34">
        <f t="shared" si="37"/>
        <v>0</v>
      </c>
      <c r="M492" s="34">
        <f t="shared" si="35"/>
        <v>0</v>
      </c>
    </row>
    <row r="493" spans="5:13" x14ac:dyDescent="0.25">
      <c r="E493" s="32">
        <f t="shared" si="38"/>
        <v>0</v>
      </c>
      <c r="I493" s="32">
        <f t="shared" si="39"/>
        <v>0</v>
      </c>
      <c r="K493" s="31">
        <f t="shared" si="36"/>
        <v>0</v>
      </c>
      <c r="L493" s="34">
        <f t="shared" si="37"/>
        <v>0</v>
      </c>
      <c r="M493" s="34">
        <f t="shared" si="35"/>
        <v>0</v>
      </c>
    </row>
    <row r="494" spans="5:13" x14ac:dyDescent="0.25">
      <c r="E494" s="32">
        <f t="shared" si="38"/>
        <v>0</v>
      </c>
      <c r="I494" s="32">
        <f t="shared" si="39"/>
        <v>0</v>
      </c>
      <c r="K494" s="31">
        <f t="shared" si="36"/>
        <v>0</v>
      </c>
      <c r="L494" s="34">
        <f t="shared" si="37"/>
        <v>0</v>
      </c>
      <c r="M494" s="34">
        <f t="shared" si="35"/>
        <v>0</v>
      </c>
    </row>
    <row r="495" spans="5:13" x14ac:dyDescent="0.25">
      <c r="E495" s="32">
        <f t="shared" si="38"/>
        <v>0</v>
      </c>
      <c r="I495" s="32">
        <f t="shared" si="39"/>
        <v>0</v>
      </c>
      <c r="K495" s="31">
        <f t="shared" si="36"/>
        <v>0</v>
      </c>
      <c r="L495" s="34">
        <f t="shared" si="37"/>
        <v>0</v>
      </c>
      <c r="M495" s="34">
        <f t="shared" si="35"/>
        <v>0</v>
      </c>
    </row>
    <row r="496" spans="5:13" x14ac:dyDescent="0.25">
      <c r="E496" s="32">
        <f t="shared" si="38"/>
        <v>0</v>
      </c>
      <c r="I496" s="32">
        <f t="shared" si="39"/>
        <v>0</v>
      </c>
      <c r="K496" s="31">
        <f t="shared" si="36"/>
        <v>0</v>
      </c>
      <c r="L496" s="34">
        <f t="shared" si="37"/>
        <v>0</v>
      </c>
      <c r="M496" s="34">
        <f t="shared" si="35"/>
        <v>0</v>
      </c>
    </row>
    <row r="497" spans="5:13" x14ac:dyDescent="0.25">
      <c r="E497" s="32">
        <f t="shared" si="38"/>
        <v>0</v>
      </c>
      <c r="I497" s="32">
        <f t="shared" si="39"/>
        <v>0</v>
      </c>
      <c r="K497" s="31">
        <f t="shared" si="36"/>
        <v>0</v>
      </c>
      <c r="L497" s="34">
        <f t="shared" si="37"/>
        <v>0</v>
      </c>
      <c r="M497" s="34">
        <f t="shared" si="35"/>
        <v>0</v>
      </c>
    </row>
    <row r="498" spans="5:13" x14ac:dyDescent="0.25">
      <c r="E498" s="32">
        <f t="shared" si="38"/>
        <v>0</v>
      </c>
      <c r="I498" s="32">
        <f t="shared" si="39"/>
        <v>0</v>
      </c>
      <c r="K498" s="31">
        <f t="shared" si="36"/>
        <v>0</v>
      </c>
      <c r="L498" s="34">
        <f t="shared" si="37"/>
        <v>0</v>
      </c>
      <c r="M498" s="34">
        <f t="shared" si="35"/>
        <v>0</v>
      </c>
    </row>
    <row r="499" spans="5:13" x14ac:dyDescent="0.25">
      <c r="E499" s="32">
        <f t="shared" si="38"/>
        <v>0</v>
      </c>
      <c r="I499" s="32">
        <f t="shared" si="39"/>
        <v>0</v>
      </c>
      <c r="K499" s="31">
        <f t="shared" si="36"/>
        <v>0</v>
      </c>
      <c r="L499" s="34">
        <f t="shared" si="37"/>
        <v>0</v>
      </c>
      <c r="M499" s="34">
        <f t="shared" si="35"/>
        <v>0</v>
      </c>
    </row>
    <row r="500" spans="5:13" x14ac:dyDescent="0.25">
      <c r="E500" s="32">
        <f t="shared" si="38"/>
        <v>0</v>
      </c>
      <c r="I500" s="32">
        <f t="shared" si="39"/>
        <v>0</v>
      </c>
      <c r="K500" s="31">
        <f t="shared" si="36"/>
        <v>0</v>
      </c>
      <c r="L500" s="34">
        <f t="shared" si="37"/>
        <v>0</v>
      </c>
      <c r="M500" s="34">
        <f t="shared" si="35"/>
        <v>0</v>
      </c>
    </row>
    <row r="501" spans="5:13" x14ac:dyDescent="0.25">
      <c r="E501" s="32">
        <f t="shared" si="38"/>
        <v>0</v>
      </c>
      <c r="I501" s="32">
        <f t="shared" si="39"/>
        <v>0</v>
      </c>
      <c r="K501" s="31">
        <f t="shared" si="36"/>
        <v>0</v>
      </c>
      <c r="L501" s="34">
        <f t="shared" si="37"/>
        <v>0</v>
      </c>
      <c r="M501" s="34">
        <f t="shared" si="35"/>
        <v>0</v>
      </c>
    </row>
    <row r="502" spans="5:13" x14ac:dyDescent="0.25">
      <c r="E502" s="32">
        <f t="shared" si="38"/>
        <v>0</v>
      </c>
      <c r="I502" s="32">
        <f t="shared" si="39"/>
        <v>0</v>
      </c>
      <c r="K502" s="31">
        <f t="shared" si="36"/>
        <v>0</v>
      </c>
      <c r="L502" s="34">
        <f t="shared" si="37"/>
        <v>0</v>
      </c>
      <c r="M502" s="34">
        <f t="shared" si="35"/>
        <v>0</v>
      </c>
    </row>
    <row r="503" spans="5:13" x14ac:dyDescent="0.25">
      <c r="E503" s="32">
        <f t="shared" si="38"/>
        <v>0</v>
      </c>
      <c r="I503" s="32">
        <f t="shared" si="39"/>
        <v>0</v>
      </c>
      <c r="K503" s="31">
        <f t="shared" si="36"/>
        <v>0</v>
      </c>
      <c r="L503" s="34">
        <f t="shared" si="37"/>
        <v>0</v>
      </c>
      <c r="M503" s="34">
        <f t="shared" si="35"/>
        <v>0</v>
      </c>
    </row>
    <row r="504" spans="5:13" x14ac:dyDescent="0.25">
      <c r="E504" s="32">
        <f t="shared" si="38"/>
        <v>0</v>
      </c>
      <c r="I504" s="32">
        <f t="shared" si="39"/>
        <v>0</v>
      </c>
      <c r="K504" s="31">
        <f t="shared" si="36"/>
        <v>0</v>
      </c>
      <c r="L504" s="34">
        <f t="shared" si="37"/>
        <v>0</v>
      </c>
      <c r="M504" s="34">
        <f t="shared" si="35"/>
        <v>0</v>
      </c>
    </row>
    <row r="505" spans="5:13" x14ac:dyDescent="0.25">
      <c r="E505" s="32">
        <f t="shared" si="38"/>
        <v>0</v>
      </c>
      <c r="I505" s="32">
        <f t="shared" si="39"/>
        <v>0</v>
      </c>
      <c r="K505" s="31">
        <f t="shared" si="36"/>
        <v>0</v>
      </c>
      <c r="L505" s="34">
        <f t="shared" si="37"/>
        <v>0</v>
      </c>
      <c r="M505" s="34">
        <f t="shared" si="35"/>
        <v>0</v>
      </c>
    </row>
    <row r="506" spans="5:13" x14ac:dyDescent="0.25">
      <c r="E506" s="32">
        <f t="shared" si="38"/>
        <v>0</v>
      </c>
      <c r="I506" s="32">
        <f t="shared" si="39"/>
        <v>0</v>
      </c>
      <c r="K506" s="31">
        <f t="shared" si="36"/>
        <v>0</v>
      </c>
      <c r="L506" s="34">
        <f t="shared" si="37"/>
        <v>0</v>
      </c>
      <c r="M506" s="34">
        <f t="shared" si="35"/>
        <v>0</v>
      </c>
    </row>
    <row r="507" spans="5:13" x14ac:dyDescent="0.25">
      <c r="E507" s="32">
        <f t="shared" si="38"/>
        <v>0</v>
      </c>
      <c r="I507" s="32">
        <f t="shared" si="39"/>
        <v>0</v>
      </c>
      <c r="K507" s="31">
        <f t="shared" si="36"/>
        <v>0</v>
      </c>
      <c r="L507" s="34">
        <f t="shared" si="37"/>
        <v>0</v>
      </c>
      <c r="M507" s="34">
        <f t="shared" si="35"/>
        <v>0</v>
      </c>
    </row>
    <row r="508" spans="5:13" x14ac:dyDescent="0.25">
      <c r="E508" s="32">
        <f t="shared" si="38"/>
        <v>0</v>
      </c>
      <c r="I508" s="32">
        <f t="shared" si="39"/>
        <v>0</v>
      </c>
      <c r="K508" s="31">
        <f t="shared" si="36"/>
        <v>0</v>
      </c>
      <c r="L508" s="34">
        <f t="shared" si="37"/>
        <v>0</v>
      </c>
      <c r="M508" s="34">
        <f t="shared" si="35"/>
        <v>0</v>
      </c>
    </row>
    <row r="509" spans="5:13" x14ac:dyDescent="0.25">
      <c r="E509" s="32">
        <f t="shared" si="38"/>
        <v>0</v>
      </c>
      <c r="I509" s="32">
        <f t="shared" si="39"/>
        <v>0</v>
      </c>
      <c r="K509" s="31">
        <f t="shared" si="36"/>
        <v>0</v>
      </c>
      <c r="L509" s="34">
        <f t="shared" si="37"/>
        <v>0</v>
      </c>
      <c r="M509" s="34">
        <f t="shared" si="35"/>
        <v>0</v>
      </c>
    </row>
    <row r="510" spans="5:13" x14ac:dyDescent="0.25">
      <c r="E510" s="32">
        <f t="shared" si="38"/>
        <v>0</v>
      </c>
      <c r="I510" s="32">
        <f t="shared" si="39"/>
        <v>0</v>
      </c>
      <c r="K510" s="31">
        <f t="shared" si="36"/>
        <v>0</v>
      </c>
      <c r="L510" s="34">
        <f t="shared" si="37"/>
        <v>0</v>
      </c>
      <c r="M510" s="34">
        <f t="shared" si="35"/>
        <v>0</v>
      </c>
    </row>
    <row r="511" spans="5:13" x14ac:dyDescent="0.25">
      <c r="E511" s="32">
        <f t="shared" si="38"/>
        <v>0</v>
      </c>
      <c r="I511" s="32">
        <f t="shared" si="39"/>
        <v>0</v>
      </c>
      <c r="K511" s="31">
        <f t="shared" si="36"/>
        <v>0</v>
      </c>
      <c r="L511" s="34">
        <f t="shared" si="37"/>
        <v>0</v>
      </c>
      <c r="M511" s="34">
        <f t="shared" si="35"/>
        <v>0</v>
      </c>
    </row>
    <row r="512" spans="5:13" x14ac:dyDescent="0.25">
      <c r="E512" s="32">
        <f t="shared" si="38"/>
        <v>0</v>
      </c>
      <c r="I512" s="32">
        <f t="shared" si="39"/>
        <v>0</v>
      </c>
      <c r="K512" s="31">
        <f t="shared" si="36"/>
        <v>0</v>
      </c>
      <c r="L512" s="34">
        <f t="shared" si="37"/>
        <v>0</v>
      </c>
      <c r="M512" s="34">
        <f t="shared" si="35"/>
        <v>0</v>
      </c>
    </row>
    <row r="513" spans="5:13" x14ac:dyDescent="0.25">
      <c r="E513" s="32">
        <f t="shared" si="38"/>
        <v>0</v>
      </c>
      <c r="I513" s="32">
        <f t="shared" si="39"/>
        <v>0</v>
      </c>
      <c r="K513" s="31">
        <f t="shared" si="36"/>
        <v>0</v>
      </c>
      <c r="L513" s="34">
        <f t="shared" si="37"/>
        <v>0</v>
      </c>
      <c r="M513" s="34">
        <f t="shared" si="35"/>
        <v>0</v>
      </c>
    </row>
    <row r="514" spans="5:13" x14ac:dyDescent="0.25">
      <c r="E514" s="32">
        <f t="shared" si="38"/>
        <v>0</v>
      </c>
      <c r="I514" s="32">
        <f t="shared" si="39"/>
        <v>0</v>
      </c>
      <c r="K514" s="31">
        <f t="shared" si="36"/>
        <v>0</v>
      </c>
      <c r="L514" s="34">
        <f t="shared" si="37"/>
        <v>0</v>
      </c>
      <c r="M514" s="34">
        <f t="shared" si="35"/>
        <v>0</v>
      </c>
    </row>
    <row r="515" spans="5:13" x14ac:dyDescent="0.25">
      <c r="E515" s="32">
        <f t="shared" si="38"/>
        <v>0</v>
      </c>
      <c r="I515" s="32">
        <f t="shared" si="39"/>
        <v>0</v>
      </c>
      <c r="K515" s="31">
        <f t="shared" si="36"/>
        <v>0</v>
      </c>
      <c r="L515" s="34">
        <f t="shared" si="37"/>
        <v>0</v>
      </c>
      <c r="M515" s="34">
        <f t="shared" si="35"/>
        <v>0</v>
      </c>
    </row>
    <row r="516" spans="5:13" x14ac:dyDescent="0.25">
      <c r="E516" s="32">
        <f t="shared" si="38"/>
        <v>0</v>
      </c>
      <c r="I516" s="32">
        <f t="shared" si="39"/>
        <v>0</v>
      </c>
      <c r="K516" s="31">
        <f t="shared" si="36"/>
        <v>0</v>
      </c>
      <c r="L516" s="34">
        <f t="shared" si="37"/>
        <v>0</v>
      </c>
      <c r="M516" s="34">
        <f t="shared" ref="M516:M579" si="40">(L516/27)*4</f>
        <v>0</v>
      </c>
    </row>
    <row r="517" spans="5:13" x14ac:dyDescent="0.25">
      <c r="E517" s="32">
        <f t="shared" si="38"/>
        <v>0</v>
      </c>
      <c r="I517" s="32">
        <f t="shared" si="39"/>
        <v>0</v>
      </c>
      <c r="K517" s="31">
        <f t="shared" ref="K517:K580" si="41">B517/30</f>
        <v>0</v>
      </c>
      <c r="L517" s="34">
        <f t="shared" ref="L517:L580" si="42">IF(J517="S",((I517*24)*K517)*2,((I517*24)*K517)*1.5)</f>
        <v>0</v>
      </c>
      <c r="M517" s="34">
        <f t="shared" si="40"/>
        <v>0</v>
      </c>
    </row>
    <row r="518" spans="5:13" x14ac:dyDescent="0.25">
      <c r="E518" s="32">
        <f t="shared" ref="E518:E581" si="43">D518-C518</f>
        <v>0</v>
      </c>
      <c r="I518" s="32">
        <f t="shared" ref="I518:I581" si="44">H518-G518</f>
        <v>0</v>
      </c>
      <c r="K518" s="31">
        <f t="shared" si="41"/>
        <v>0</v>
      </c>
      <c r="L518" s="34">
        <f t="shared" si="42"/>
        <v>0</v>
      </c>
      <c r="M518" s="34">
        <f t="shared" si="40"/>
        <v>0</v>
      </c>
    </row>
    <row r="519" spans="5:13" x14ac:dyDescent="0.25">
      <c r="E519" s="32">
        <f t="shared" si="43"/>
        <v>0</v>
      </c>
      <c r="I519" s="32">
        <f t="shared" si="44"/>
        <v>0</v>
      </c>
      <c r="K519" s="31">
        <f t="shared" si="41"/>
        <v>0</v>
      </c>
      <c r="L519" s="34">
        <f t="shared" si="42"/>
        <v>0</v>
      </c>
      <c r="M519" s="34">
        <f t="shared" si="40"/>
        <v>0</v>
      </c>
    </row>
    <row r="520" spans="5:13" x14ac:dyDescent="0.25">
      <c r="E520" s="32">
        <f t="shared" si="43"/>
        <v>0</v>
      </c>
      <c r="I520" s="32">
        <f t="shared" si="44"/>
        <v>0</v>
      </c>
      <c r="K520" s="31">
        <f t="shared" si="41"/>
        <v>0</v>
      </c>
      <c r="L520" s="34">
        <f t="shared" si="42"/>
        <v>0</v>
      </c>
      <c r="M520" s="34">
        <f t="shared" si="40"/>
        <v>0</v>
      </c>
    </row>
    <row r="521" spans="5:13" x14ac:dyDescent="0.25">
      <c r="E521" s="32">
        <f t="shared" si="43"/>
        <v>0</v>
      </c>
      <c r="I521" s="32">
        <f t="shared" si="44"/>
        <v>0</v>
      </c>
      <c r="K521" s="31">
        <f t="shared" si="41"/>
        <v>0</v>
      </c>
      <c r="L521" s="34">
        <f t="shared" si="42"/>
        <v>0</v>
      </c>
      <c r="M521" s="34">
        <f t="shared" si="40"/>
        <v>0</v>
      </c>
    </row>
    <row r="522" spans="5:13" x14ac:dyDescent="0.25">
      <c r="E522" s="32">
        <f t="shared" si="43"/>
        <v>0</v>
      </c>
      <c r="I522" s="32">
        <f t="shared" si="44"/>
        <v>0</v>
      </c>
      <c r="K522" s="31">
        <f t="shared" si="41"/>
        <v>0</v>
      </c>
      <c r="L522" s="34">
        <f t="shared" si="42"/>
        <v>0</v>
      </c>
      <c r="M522" s="34">
        <f t="shared" si="40"/>
        <v>0</v>
      </c>
    </row>
    <row r="523" spans="5:13" x14ac:dyDescent="0.25">
      <c r="E523" s="32">
        <f t="shared" si="43"/>
        <v>0</v>
      </c>
      <c r="I523" s="32">
        <f t="shared" si="44"/>
        <v>0</v>
      </c>
      <c r="K523" s="31">
        <f t="shared" si="41"/>
        <v>0</v>
      </c>
      <c r="L523" s="34">
        <f t="shared" si="42"/>
        <v>0</v>
      </c>
      <c r="M523" s="34">
        <f t="shared" si="40"/>
        <v>0</v>
      </c>
    </row>
    <row r="524" spans="5:13" x14ac:dyDescent="0.25">
      <c r="E524" s="32">
        <f t="shared" si="43"/>
        <v>0</v>
      </c>
      <c r="I524" s="32">
        <f t="shared" si="44"/>
        <v>0</v>
      </c>
      <c r="K524" s="31">
        <f t="shared" si="41"/>
        <v>0</v>
      </c>
      <c r="L524" s="34">
        <f t="shared" si="42"/>
        <v>0</v>
      </c>
      <c r="M524" s="34">
        <f t="shared" si="40"/>
        <v>0</v>
      </c>
    </row>
    <row r="525" spans="5:13" x14ac:dyDescent="0.25">
      <c r="E525" s="32">
        <f t="shared" si="43"/>
        <v>0</v>
      </c>
      <c r="I525" s="32">
        <f t="shared" si="44"/>
        <v>0</v>
      </c>
      <c r="K525" s="31">
        <f t="shared" si="41"/>
        <v>0</v>
      </c>
      <c r="L525" s="34">
        <f t="shared" si="42"/>
        <v>0</v>
      </c>
      <c r="M525" s="34">
        <f t="shared" si="40"/>
        <v>0</v>
      </c>
    </row>
    <row r="526" spans="5:13" x14ac:dyDescent="0.25">
      <c r="E526" s="32">
        <f t="shared" si="43"/>
        <v>0</v>
      </c>
      <c r="I526" s="32">
        <f t="shared" si="44"/>
        <v>0</v>
      </c>
      <c r="K526" s="31">
        <f t="shared" si="41"/>
        <v>0</v>
      </c>
      <c r="L526" s="34">
        <f t="shared" si="42"/>
        <v>0</v>
      </c>
      <c r="M526" s="34">
        <f t="shared" si="40"/>
        <v>0</v>
      </c>
    </row>
    <row r="527" spans="5:13" x14ac:dyDescent="0.25">
      <c r="E527" s="32">
        <f t="shared" si="43"/>
        <v>0</v>
      </c>
      <c r="I527" s="32">
        <f t="shared" si="44"/>
        <v>0</v>
      </c>
      <c r="K527" s="31">
        <f t="shared" si="41"/>
        <v>0</v>
      </c>
      <c r="L527" s="34">
        <f t="shared" si="42"/>
        <v>0</v>
      </c>
      <c r="M527" s="34">
        <f t="shared" si="40"/>
        <v>0</v>
      </c>
    </row>
    <row r="528" spans="5:13" x14ac:dyDescent="0.25">
      <c r="E528" s="32">
        <f t="shared" si="43"/>
        <v>0</v>
      </c>
      <c r="I528" s="32">
        <f t="shared" si="44"/>
        <v>0</v>
      </c>
      <c r="K528" s="31">
        <f t="shared" si="41"/>
        <v>0</v>
      </c>
      <c r="L528" s="34">
        <f t="shared" si="42"/>
        <v>0</v>
      </c>
      <c r="M528" s="34">
        <f t="shared" si="40"/>
        <v>0</v>
      </c>
    </row>
    <row r="529" spans="5:13" x14ac:dyDescent="0.25">
      <c r="E529" s="32">
        <f t="shared" si="43"/>
        <v>0</v>
      </c>
      <c r="I529" s="32">
        <f t="shared" si="44"/>
        <v>0</v>
      </c>
      <c r="K529" s="31">
        <f t="shared" si="41"/>
        <v>0</v>
      </c>
      <c r="L529" s="34">
        <f t="shared" si="42"/>
        <v>0</v>
      </c>
      <c r="M529" s="34">
        <f t="shared" si="40"/>
        <v>0</v>
      </c>
    </row>
    <row r="530" spans="5:13" x14ac:dyDescent="0.25">
      <c r="E530" s="32">
        <f t="shared" si="43"/>
        <v>0</v>
      </c>
      <c r="I530" s="32">
        <f t="shared" si="44"/>
        <v>0</v>
      </c>
      <c r="K530" s="31">
        <f t="shared" si="41"/>
        <v>0</v>
      </c>
      <c r="L530" s="34">
        <f t="shared" si="42"/>
        <v>0</v>
      </c>
      <c r="M530" s="34">
        <f t="shared" si="40"/>
        <v>0</v>
      </c>
    </row>
    <row r="531" spans="5:13" x14ac:dyDescent="0.25">
      <c r="E531" s="32">
        <f t="shared" si="43"/>
        <v>0</v>
      </c>
      <c r="I531" s="32">
        <f t="shared" si="44"/>
        <v>0</v>
      </c>
      <c r="K531" s="31">
        <f t="shared" si="41"/>
        <v>0</v>
      </c>
      <c r="L531" s="34">
        <f t="shared" si="42"/>
        <v>0</v>
      </c>
      <c r="M531" s="34">
        <f t="shared" si="40"/>
        <v>0</v>
      </c>
    </row>
    <row r="532" spans="5:13" x14ac:dyDescent="0.25">
      <c r="E532" s="32">
        <f t="shared" si="43"/>
        <v>0</v>
      </c>
      <c r="I532" s="32">
        <f t="shared" si="44"/>
        <v>0</v>
      </c>
      <c r="K532" s="31">
        <f t="shared" si="41"/>
        <v>0</v>
      </c>
      <c r="L532" s="34">
        <f t="shared" si="42"/>
        <v>0</v>
      </c>
      <c r="M532" s="34">
        <f t="shared" si="40"/>
        <v>0</v>
      </c>
    </row>
    <row r="533" spans="5:13" x14ac:dyDescent="0.25">
      <c r="E533" s="32">
        <f t="shared" si="43"/>
        <v>0</v>
      </c>
      <c r="I533" s="32">
        <f t="shared" si="44"/>
        <v>0</v>
      </c>
      <c r="K533" s="31">
        <f t="shared" si="41"/>
        <v>0</v>
      </c>
      <c r="L533" s="34">
        <f t="shared" si="42"/>
        <v>0</v>
      </c>
      <c r="M533" s="34">
        <f t="shared" si="40"/>
        <v>0</v>
      </c>
    </row>
    <row r="534" spans="5:13" x14ac:dyDescent="0.25">
      <c r="E534" s="32">
        <f t="shared" si="43"/>
        <v>0</v>
      </c>
      <c r="I534" s="32">
        <f t="shared" si="44"/>
        <v>0</v>
      </c>
      <c r="K534" s="31">
        <f t="shared" si="41"/>
        <v>0</v>
      </c>
      <c r="L534" s="34">
        <f t="shared" si="42"/>
        <v>0</v>
      </c>
      <c r="M534" s="34">
        <f t="shared" si="40"/>
        <v>0</v>
      </c>
    </row>
    <row r="535" spans="5:13" x14ac:dyDescent="0.25">
      <c r="E535" s="32">
        <f t="shared" si="43"/>
        <v>0</v>
      </c>
      <c r="I535" s="32">
        <f t="shared" si="44"/>
        <v>0</v>
      </c>
      <c r="K535" s="31">
        <f t="shared" si="41"/>
        <v>0</v>
      </c>
      <c r="L535" s="34">
        <f t="shared" si="42"/>
        <v>0</v>
      </c>
      <c r="M535" s="34">
        <f t="shared" si="40"/>
        <v>0</v>
      </c>
    </row>
    <row r="536" spans="5:13" x14ac:dyDescent="0.25">
      <c r="E536" s="32">
        <f t="shared" si="43"/>
        <v>0</v>
      </c>
      <c r="I536" s="32">
        <f t="shared" si="44"/>
        <v>0</v>
      </c>
      <c r="K536" s="31">
        <f t="shared" si="41"/>
        <v>0</v>
      </c>
      <c r="L536" s="34">
        <f t="shared" si="42"/>
        <v>0</v>
      </c>
      <c r="M536" s="34">
        <f t="shared" si="40"/>
        <v>0</v>
      </c>
    </row>
    <row r="537" spans="5:13" x14ac:dyDescent="0.25">
      <c r="E537" s="32">
        <f t="shared" si="43"/>
        <v>0</v>
      </c>
      <c r="I537" s="32">
        <f t="shared" si="44"/>
        <v>0</v>
      </c>
      <c r="K537" s="31">
        <f t="shared" si="41"/>
        <v>0</v>
      </c>
      <c r="L537" s="34">
        <f t="shared" si="42"/>
        <v>0</v>
      </c>
      <c r="M537" s="34">
        <f t="shared" si="40"/>
        <v>0</v>
      </c>
    </row>
    <row r="538" spans="5:13" x14ac:dyDescent="0.25">
      <c r="E538" s="32">
        <f t="shared" si="43"/>
        <v>0</v>
      </c>
      <c r="I538" s="32">
        <f t="shared" si="44"/>
        <v>0</v>
      </c>
      <c r="K538" s="31">
        <f t="shared" si="41"/>
        <v>0</v>
      </c>
      <c r="L538" s="34">
        <f t="shared" si="42"/>
        <v>0</v>
      </c>
      <c r="M538" s="34">
        <f t="shared" si="40"/>
        <v>0</v>
      </c>
    </row>
    <row r="539" spans="5:13" x14ac:dyDescent="0.25">
      <c r="E539" s="32">
        <f t="shared" si="43"/>
        <v>0</v>
      </c>
      <c r="I539" s="32">
        <f t="shared" si="44"/>
        <v>0</v>
      </c>
      <c r="K539" s="31">
        <f t="shared" si="41"/>
        <v>0</v>
      </c>
      <c r="L539" s="34">
        <f t="shared" si="42"/>
        <v>0</v>
      </c>
      <c r="M539" s="34">
        <f t="shared" si="40"/>
        <v>0</v>
      </c>
    </row>
    <row r="540" spans="5:13" x14ac:dyDescent="0.25">
      <c r="E540" s="32">
        <f t="shared" si="43"/>
        <v>0</v>
      </c>
      <c r="I540" s="32">
        <f t="shared" si="44"/>
        <v>0</v>
      </c>
      <c r="K540" s="31">
        <f t="shared" si="41"/>
        <v>0</v>
      </c>
      <c r="L540" s="34">
        <f t="shared" si="42"/>
        <v>0</v>
      </c>
      <c r="M540" s="34">
        <f t="shared" si="40"/>
        <v>0</v>
      </c>
    </row>
    <row r="541" spans="5:13" x14ac:dyDescent="0.25">
      <c r="E541" s="32">
        <f t="shared" si="43"/>
        <v>0</v>
      </c>
      <c r="I541" s="32">
        <f t="shared" si="44"/>
        <v>0</v>
      </c>
      <c r="K541" s="31">
        <f t="shared" si="41"/>
        <v>0</v>
      </c>
      <c r="L541" s="34">
        <f t="shared" si="42"/>
        <v>0</v>
      </c>
      <c r="M541" s="34">
        <f t="shared" si="40"/>
        <v>0</v>
      </c>
    </row>
    <row r="542" spans="5:13" x14ac:dyDescent="0.25">
      <c r="E542" s="32">
        <f t="shared" si="43"/>
        <v>0</v>
      </c>
      <c r="I542" s="32">
        <f t="shared" si="44"/>
        <v>0</v>
      </c>
      <c r="K542" s="31">
        <f t="shared" si="41"/>
        <v>0</v>
      </c>
      <c r="L542" s="34">
        <f t="shared" si="42"/>
        <v>0</v>
      </c>
      <c r="M542" s="34">
        <f t="shared" si="40"/>
        <v>0</v>
      </c>
    </row>
    <row r="543" spans="5:13" x14ac:dyDescent="0.25">
      <c r="E543" s="32">
        <f t="shared" si="43"/>
        <v>0</v>
      </c>
      <c r="I543" s="32">
        <f t="shared" si="44"/>
        <v>0</v>
      </c>
      <c r="K543" s="31">
        <f t="shared" si="41"/>
        <v>0</v>
      </c>
      <c r="L543" s="34">
        <f t="shared" si="42"/>
        <v>0</v>
      </c>
      <c r="M543" s="34">
        <f t="shared" si="40"/>
        <v>0</v>
      </c>
    </row>
    <row r="544" spans="5:13" x14ac:dyDescent="0.25">
      <c r="E544" s="32">
        <f t="shared" si="43"/>
        <v>0</v>
      </c>
      <c r="I544" s="32">
        <f t="shared" si="44"/>
        <v>0</v>
      </c>
      <c r="K544" s="31">
        <f t="shared" si="41"/>
        <v>0</v>
      </c>
      <c r="L544" s="34">
        <f t="shared" si="42"/>
        <v>0</v>
      </c>
      <c r="M544" s="34">
        <f t="shared" si="40"/>
        <v>0</v>
      </c>
    </row>
    <row r="545" spans="5:13" x14ac:dyDescent="0.25">
      <c r="E545" s="32">
        <f t="shared" si="43"/>
        <v>0</v>
      </c>
      <c r="I545" s="32">
        <f t="shared" si="44"/>
        <v>0</v>
      </c>
      <c r="K545" s="31">
        <f t="shared" si="41"/>
        <v>0</v>
      </c>
      <c r="L545" s="34">
        <f t="shared" si="42"/>
        <v>0</v>
      </c>
      <c r="M545" s="34">
        <f t="shared" si="40"/>
        <v>0</v>
      </c>
    </row>
    <row r="546" spans="5:13" x14ac:dyDescent="0.25">
      <c r="E546" s="32">
        <f t="shared" si="43"/>
        <v>0</v>
      </c>
      <c r="I546" s="32">
        <f t="shared" si="44"/>
        <v>0</v>
      </c>
      <c r="K546" s="31">
        <f t="shared" si="41"/>
        <v>0</v>
      </c>
      <c r="L546" s="34">
        <f t="shared" si="42"/>
        <v>0</v>
      </c>
      <c r="M546" s="34">
        <f t="shared" si="40"/>
        <v>0</v>
      </c>
    </row>
    <row r="547" spans="5:13" x14ac:dyDescent="0.25">
      <c r="E547" s="32">
        <f t="shared" si="43"/>
        <v>0</v>
      </c>
      <c r="I547" s="32">
        <f t="shared" si="44"/>
        <v>0</v>
      </c>
      <c r="K547" s="31">
        <f t="shared" si="41"/>
        <v>0</v>
      </c>
      <c r="L547" s="34">
        <f t="shared" si="42"/>
        <v>0</v>
      </c>
      <c r="M547" s="34">
        <f t="shared" si="40"/>
        <v>0</v>
      </c>
    </row>
    <row r="548" spans="5:13" x14ac:dyDescent="0.25">
      <c r="E548" s="32">
        <f t="shared" si="43"/>
        <v>0</v>
      </c>
      <c r="I548" s="32">
        <f t="shared" si="44"/>
        <v>0</v>
      </c>
      <c r="K548" s="31">
        <f t="shared" si="41"/>
        <v>0</v>
      </c>
      <c r="L548" s="34">
        <f t="shared" si="42"/>
        <v>0</v>
      </c>
      <c r="M548" s="34">
        <f t="shared" si="40"/>
        <v>0</v>
      </c>
    </row>
    <row r="549" spans="5:13" x14ac:dyDescent="0.25">
      <c r="E549" s="32">
        <f t="shared" si="43"/>
        <v>0</v>
      </c>
      <c r="I549" s="32">
        <f t="shared" si="44"/>
        <v>0</v>
      </c>
      <c r="K549" s="31">
        <f t="shared" si="41"/>
        <v>0</v>
      </c>
      <c r="L549" s="34">
        <f t="shared" si="42"/>
        <v>0</v>
      </c>
      <c r="M549" s="34">
        <f t="shared" si="40"/>
        <v>0</v>
      </c>
    </row>
    <row r="550" spans="5:13" x14ac:dyDescent="0.25">
      <c r="E550" s="32">
        <f t="shared" si="43"/>
        <v>0</v>
      </c>
      <c r="I550" s="32">
        <f t="shared" si="44"/>
        <v>0</v>
      </c>
      <c r="K550" s="31">
        <f t="shared" si="41"/>
        <v>0</v>
      </c>
      <c r="L550" s="34">
        <f t="shared" si="42"/>
        <v>0</v>
      </c>
      <c r="M550" s="34">
        <f t="shared" si="40"/>
        <v>0</v>
      </c>
    </row>
    <row r="551" spans="5:13" x14ac:dyDescent="0.25">
      <c r="E551" s="32">
        <f t="shared" si="43"/>
        <v>0</v>
      </c>
      <c r="I551" s="32">
        <f t="shared" si="44"/>
        <v>0</v>
      </c>
      <c r="K551" s="31">
        <f t="shared" si="41"/>
        <v>0</v>
      </c>
      <c r="L551" s="34">
        <f t="shared" si="42"/>
        <v>0</v>
      </c>
      <c r="M551" s="34">
        <f t="shared" si="40"/>
        <v>0</v>
      </c>
    </row>
    <row r="552" spans="5:13" x14ac:dyDescent="0.25">
      <c r="E552" s="32">
        <f t="shared" si="43"/>
        <v>0</v>
      </c>
      <c r="I552" s="32">
        <f t="shared" si="44"/>
        <v>0</v>
      </c>
      <c r="K552" s="31">
        <f t="shared" si="41"/>
        <v>0</v>
      </c>
      <c r="L552" s="34">
        <f t="shared" si="42"/>
        <v>0</v>
      </c>
      <c r="M552" s="34">
        <f t="shared" si="40"/>
        <v>0</v>
      </c>
    </row>
    <row r="553" spans="5:13" x14ac:dyDescent="0.25">
      <c r="E553" s="32">
        <f t="shared" si="43"/>
        <v>0</v>
      </c>
      <c r="I553" s="32">
        <f t="shared" si="44"/>
        <v>0</v>
      </c>
      <c r="K553" s="31">
        <f t="shared" si="41"/>
        <v>0</v>
      </c>
      <c r="L553" s="34">
        <f t="shared" si="42"/>
        <v>0</v>
      </c>
      <c r="M553" s="34">
        <f t="shared" si="40"/>
        <v>0</v>
      </c>
    </row>
    <row r="554" spans="5:13" x14ac:dyDescent="0.25">
      <c r="E554" s="32">
        <f t="shared" si="43"/>
        <v>0</v>
      </c>
      <c r="I554" s="32">
        <f t="shared" si="44"/>
        <v>0</v>
      </c>
      <c r="K554" s="31">
        <f t="shared" si="41"/>
        <v>0</v>
      </c>
      <c r="L554" s="34">
        <f t="shared" si="42"/>
        <v>0</v>
      </c>
      <c r="M554" s="34">
        <f t="shared" si="40"/>
        <v>0</v>
      </c>
    </row>
    <row r="555" spans="5:13" x14ac:dyDescent="0.25">
      <c r="E555" s="32">
        <f t="shared" si="43"/>
        <v>0</v>
      </c>
      <c r="I555" s="32">
        <f t="shared" si="44"/>
        <v>0</v>
      </c>
      <c r="K555" s="31">
        <f t="shared" si="41"/>
        <v>0</v>
      </c>
      <c r="L555" s="34">
        <f t="shared" si="42"/>
        <v>0</v>
      </c>
      <c r="M555" s="34">
        <f t="shared" si="40"/>
        <v>0</v>
      </c>
    </row>
    <row r="556" spans="5:13" x14ac:dyDescent="0.25">
      <c r="E556" s="32">
        <f t="shared" si="43"/>
        <v>0</v>
      </c>
      <c r="I556" s="32">
        <f t="shared" si="44"/>
        <v>0</v>
      </c>
      <c r="K556" s="31">
        <f t="shared" si="41"/>
        <v>0</v>
      </c>
      <c r="L556" s="34">
        <f t="shared" si="42"/>
        <v>0</v>
      </c>
      <c r="M556" s="34">
        <f t="shared" si="40"/>
        <v>0</v>
      </c>
    </row>
    <row r="557" spans="5:13" x14ac:dyDescent="0.25">
      <c r="E557" s="32">
        <f t="shared" si="43"/>
        <v>0</v>
      </c>
      <c r="I557" s="32">
        <f t="shared" si="44"/>
        <v>0</v>
      </c>
      <c r="K557" s="31">
        <f t="shared" si="41"/>
        <v>0</v>
      </c>
      <c r="L557" s="34">
        <f t="shared" si="42"/>
        <v>0</v>
      </c>
      <c r="M557" s="34">
        <f t="shared" si="40"/>
        <v>0</v>
      </c>
    </row>
    <row r="558" spans="5:13" x14ac:dyDescent="0.25">
      <c r="E558" s="32">
        <f t="shared" si="43"/>
        <v>0</v>
      </c>
      <c r="I558" s="32">
        <f t="shared" si="44"/>
        <v>0</v>
      </c>
      <c r="K558" s="31">
        <f t="shared" si="41"/>
        <v>0</v>
      </c>
      <c r="L558" s="34">
        <f t="shared" si="42"/>
        <v>0</v>
      </c>
      <c r="M558" s="34">
        <f t="shared" si="40"/>
        <v>0</v>
      </c>
    </row>
    <row r="559" spans="5:13" x14ac:dyDescent="0.25">
      <c r="E559" s="32">
        <f t="shared" si="43"/>
        <v>0</v>
      </c>
      <c r="I559" s="32">
        <f t="shared" si="44"/>
        <v>0</v>
      </c>
      <c r="K559" s="31">
        <f t="shared" si="41"/>
        <v>0</v>
      </c>
      <c r="L559" s="34">
        <f t="shared" si="42"/>
        <v>0</v>
      </c>
      <c r="M559" s="34">
        <f t="shared" si="40"/>
        <v>0</v>
      </c>
    </row>
    <row r="560" spans="5:13" x14ac:dyDescent="0.25">
      <c r="E560" s="32">
        <f t="shared" si="43"/>
        <v>0</v>
      </c>
      <c r="I560" s="32">
        <f t="shared" si="44"/>
        <v>0</v>
      </c>
      <c r="K560" s="31">
        <f t="shared" si="41"/>
        <v>0</v>
      </c>
      <c r="L560" s="34">
        <f t="shared" si="42"/>
        <v>0</v>
      </c>
      <c r="M560" s="34">
        <f t="shared" si="40"/>
        <v>0</v>
      </c>
    </row>
    <row r="561" spans="5:13" x14ac:dyDescent="0.25">
      <c r="E561" s="32">
        <f t="shared" si="43"/>
        <v>0</v>
      </c>
      <c r="I561" s="32">
        <f t="shared" si="44"/>
        <v>0</v>
      </c>
      <c r="K561" s="31">
        <f t="shared" si="41"/>
        <v>0</v>
      </c>
      <c r="L561" s="34">
        <f t="shared" si="42"/>
        <v>0</v>
      </c>
      <c r="M561" s="34">
        <f t="shared" si="40"/>
        <v>0</v>
      </c>
    </row>
    <row r="562" spans="5:13" x14ac:dyDescent="0.25">
      <c r="E562" s="32">
        <f t="shared" si="43"/>
        <v>0</v>
      </c>
      <c r="I562" s="32">
        <f t="shared" si="44"/>
        <v>0</v>
      </c>
      <c r="K562" s="31">
        <f t="shared" si="41"/>
        <v>0</v>
      </c>
      <c r="L562" s="34">
        <f t="shared" si="42"/>
        <v>0</v>
      </c>
      <c r="M562" s="34">
        <f t="shared" si="40"/>
        <v>0</v>
      </c>
    </row>
    <row r="563" spans="5:13" x14ac:dyDescent="0.25">
      <c r="E563" s="32">
        <f t="shared" si="43"/>
        <v>0</v>
      </c>
      <c r="I563" s="32">
        <f t="shared" si="44"/>
        <v>0</v>
      </c>
      <c r="K563" s="31">
        <f t="shared" si="41"/>
        <v>0</v>
      </c>
      <c r="L563" s="34">
        <f t="shared" si="42"/>
        <v>0</v>
      </c>
      <c r="M563" s="34">
        <f t="shared" si="40"/>
        <v>0</v>
      </c>
    </row>
    <row r="564" spans="5:13" x14ac:dyDescent="0.25">
      <c r="E564" s="32">
        <f t="shared" si="43"/>
        <v>0</v>
      </c>
      <c r="I564" s="32">
        <f t="shared" si="44"/>
        <v>0</v>
      </c>
      <c r="K564" s="31">
        <f t="shared" si="41"/>
        <v>0</v>
      </c>
      <c r="L564" s="34">
        <f t="shared" si="42"/>
        <v>0</v>
      </c>
      <c r="M564" s="34">
        <f t="shared" si="40"/>
        <v>0</v>
      </c>
    </row>
    <row r="565" spans="5:13" x14ac:dyDescent="0.25">
      <c r="E565" s="32">
        <f t="shared" si="43"/>
        <v>0</v>
      </c>
      <c r="I565" s="32">
        <f t="shared" si="44"/>
        <v>0</v>
      </c>
      <c r="K565" s="31">
        <f t="shared" si="41"/>
        <v>0</v>
      </c>
      <c r="L565" s="34">
        <f t="shared" si="42"/>
        <v>0</v>
      </c>
      <c r="M565" s="34">
        <f t="shared" si="40"/>
        <v>0</v>
      </c>
    </row>
    <row r="566" spans="5:13" x14ac:dyDescent="0.25">
      <c r="E566" s="32">
        <f t="shared" si="43"/>
        <v>0</v>
      </c>
      <c r="I566" s="32">
        <f t="shared" si="44"/>
        <v>0</v>
      </c>
      <c r="K566" s="31">
        <f t="shared" si="41"/>
        <v>0</v>
      </c>
      <c r="L566" s="34">
        <f t="shared" si="42"/>
        <v>0</v>
      </c>
      <c r="M566" s="34">
        <f t="shared" si="40"/>
        <v>0</v>
      </c>
    </row>
    <row r="567" spans="5:13" x14ac:dyDescent="0.25">
      <c r="E567" s="32">
        <f t="shared" si="43"/>
        <v>0</v>
      </c>
      <c r="I567" s="32">
        <f t="shared" si="44"/>
        <v>0</v>
      </c>
      <c r="K567" s="31">
        <f t="shared" si="41"/>
        <v>0</v>
      </c>
      <c r="L567" s="34">
        <f t="shared" si="42"/>
        <v>0</v>
      </c>
      <c r="M567" s="34">
        <f t="shared" si="40"/>
        <v>0</v>
      </c>
    </row>
    <row r="568" spans="5:13" x14ac:dyDescent="0.25">
      <c r="E568" s="32">
        <f t="shared" si="43"/>
        <v>0</v>
      </c>
      <c r="I568" s="32">
        <f t="shared" si="44"/>
        <v>0</v>
      </c>
      <c r="K568" s="31">
        <f t="shared" si="41"/>
        <v>0</v>
      </c>
      <c r="L568" s="34">
        <f t="shared" si="42"/>
        <v>0</v>
      </c>
      <c r="M568" s="34">
        <f t="shared" si="40"/>
        <v>0</v>
      </c>
    </row>
    <row r="569" spans="5:13" x14ac:dyDescent="0.25">
      <c r="E569" s="32">
        <f t="shared" si="43"/>
        <v>0</v>
      </c>
      <c r="I569" s="32">
        <f t="shared" si="44"/>
        <v>0</v>
      </c>
      <c r="K569" s="31">
        <f t="shared" si="41"/>
        <v>0</v>
      </c>
      <c r="L569" s="34">
        <f t="shared" si="42"/>
        <v>0</v>
      </c>
      <c r="M569" s="34">
        <f t="shared" si="40"/>
        <v>0</v>
      </c>
    </row>
    <row r="570" spans="5:13" x14ac:dyDescent="0.25">
      <c r="E570" s="32">
        <f t="shared" si="43"/>
        <v>0</v>
      </c>
      <c r="I570" s="32">
        <f t="shared" si="44"/>
        <v>0</v>
      </c>
      <c r="K570" s="31">
        <f t="shared" si="41"/>
        <v>0</v>
      </c>
      <c r="L570" s="34">
        <f t="shared" si="42"/>
        <v>0</v>
      </c>
      <c r="M570" s="34">
        <f t="shared" si="40"/>
        <v>0</v>
      </c>
    </row>
    <row r="571" spans="5:13" x14ac:dyDescent="0.25">
      <c r="E571" s="32">
        <f t="shared" si="43"/>
        <v>0</v>
      </c>
      <c r="I571" s="32">
        <f t="shared" si="44"/>
        <v>0</v>
      </c>
      <c r="K571" s="31">
        <f t="shared" si="41"/>
        <v>0</v>
      </c>
      <c r="L571" s="34">
        <f t="shared" si="42"/>
        <v>0</v>
      </c>
      <c r="M571" s="34">
        <f t="shared" si="40"/>
        <v>0</v>
      </c>
    </row>
    <row r="572" spans="5:13" x14ac:dyDescent="0.25">
      <c r="E572" s="32">
        <f t="shared" si="43"/>
        <v>0</v>
      </c>
      <c r="I572" s="32">
        <f t="shared" si="44"/>
        <v>0</v>
      </c>
      <c r="K572" s="31">
        <f t="shared" si="41"/>
        <v>0</v>
      </c>
      <c r="L572" s="34">
        <f t="shared" si="42"/>
        <v>0</v>
      </c>
      <c r="M572" s="34">
        <f t="shared" si="40"/>
        <v>0</v>
      </c>
    </row>
    <row r="573" spans="5:13" x14ac:dyDescent="0.25">
      <c r="E573" s="32">
        <f t="shared" si="43"/>
        <v>0</v>
      </c>
      <c r="I573" s="32">
        <f t="shared" si="44"/>
        <v>0</v>
      </c>
      <c r="K573" s="31">
        <f t="shared" si="41"/>
        <v>0</v>
      </c>
      <c r="L573" s="34">
        <f t="shared" si="42"/>
        <v>0</v>
      </c>
      <c r="M573" s="34">
        <f t="shared" si="40"/>
        <v>0</v>
      </c>
    </row>
    <row r="574" spans="5:13" x14ac:dyDescent="0.25">
      <c r="E574" s="32">
        <f t="shared" si="43"/>
        <v>0</v>
      </c>
      <c r="I574" s="32">
        <f t="shared" si="44"/>
        <v>0</v>
      </c>
      <c r="K574" s="31">
        <f t="shared" si="41"/>
        <v>0</v>
      </c>
      <c r="L574" s="34">
        <f t="shared" si="42"/>
        <v>0</v>
      </c>
      <c r="M574" s="34">
        <f t="shared" si="40"/>
        <v>0</v>
      </c>
    </row>
    <row r="575" spans="5:13" x14ac:dyDescent="0.25">
      <c r="E575" s="32">
        <f t="shared" si="43"/>
        <v>0</v>
      </c>
      <c r="I575" s="32">
        <f t="shared" si="44"/>
        <v>0</v>
      </c>
      <c r="K575" s="31">
        <f t="shared" si="41"/>
        <v>0</v>
      </c>
      <c r="L575" s="34">
        <f t="shared" si="42"/>
        <v>0</v>
      </c>
      <c r="M575" s="34">
        <f t="shared" si="40"/>
        <v>0</v>
      </c>
    </row>
    <row r="576" spans="5:13" x14ac:dyDescent="0.25">
      <c r="E576" s="32">
        <f t="shared" si="43"/>
        <v>0</v>
      </c>
      <c r="I576" s="32">
        <f t="shared" si="44"/>
        <v>0</v>
      </c>
      <c r="K576" s="31">
        <f t="shared" si="41"/>
        <v>0</v>
      </c>
      <c r="L576" s="34">
        <f t="shared" si="42"/>
        <v>0</v>
      </c>
      <c r="M576" s="34">
        <f t="shared" si="40"/>
        <v>0</v>
      </c>
    </row>
    <row r="577" spans="5:13" x14ac:dyDescent="0.25">
      <c r="E577" s="32">
        <f t="shared" si="43"/>
        <v>0</v>
      </c>
      <c r="I577" s="32">
        <f t="shared" si="44"/>
        <v>0</v>
      </c>
      <c r="K577" s="31">
        <f t="shared" si="41"/>
        <v>0</v>
      </c>
      <c r="L577" s="34">
        <f t="shared" si="42"/>
        <v>0</v>
      </c>
      <c r="M577" s="34">
        <f t="shared" si="40"/>
        <v>0</v>
      </c>
    </row>
    <row r="578" spans="5:13" x14ac:dyDescent="0.25">
      <c r="E578" s="32">
        <f t="shared" si="43"/>
        <v>0</v>
      </c>
      <c r="I578" s="32">
        <f t="shared" si="44"/>
        <v>0</v>
      </c>
      <c r="K578" s="31">
        <f t="shared" si="41"/>
        <v>0</v>
      </c>
      <c r="L578" s="34">
        <f t="shared" si="42"/>
        <v>0</v>
      </c>
      <c r="M578" s="34">
        <f t="shared" si="40"/>
        <v>0</v>
      </c>
    </row>
    <row r="579" spans="5:13" x14ac:dyDescent="0.25">
      <c r="E579" s="32">
        <f t="shared" si="43"/>
        <v>0</v>
      </c>
      <c r="I579" s="32">
        <f t="shared" si="44"/>
        <v>0</v>
      </c>
      <c r="K579" s="31">
        <f t="shared" si="41"/>
        <v>0</v>
      </c>
      <c r="L579" s="34">
        <f t="shared" si="42"/>
        <v>0</v>
      </c>
      <c r="M579" s="34">
        <f t="shared" si="40"/>
        <v>0</v>
      </c>
    </row>
    <row r="580" spans="5:13" x14ac:dyDescent="0.25">
      <c r="E580" s="32">
        <f t="shared" si="43"/>
        <v>0</v>
      </c>
      <c r="I580" s="32">
        <f t="shared" si="44"/>
        <v>0</v>
      </c>
      <c r="K580" s="31">
        <f t="shared" si="41"/>
        <v>0</v>
      </c>
      <c r="L580" s="34">
        <f t="shared" si="42"/>
        <v>0</v>
      </c>
      <c r="M580" s="34">
        <f t="shared" ref="M580:M643" si="45">(L580/27)*4</f>
        <v>0</v>
      </c>
    </row>
    <row r="581" spans="5:13" x14ac:dyDescent="0.25">
      <c r="E581" s="32">
        <f t="shared" si="43"/>
        <v>0</v>
      </c>
      <c r="I581" s="32">
        <f t="shared" si="44"/>
        <v>0</v>
      </c>
      <c r="K581" s="31">
        <f t="shared" ref="K581:K644" si="46">B581/30</f>
        <v>0</v>
      </c>
      <c r="L581" s="34">
        <f t="shared" ref="L581:L644" si="47">IF(J581="S",((I581*24)*K581)*2,((I581*24)*K581)*1.5)</f>
        <v>0</v>
      </c>
      <c r="M581" s="34">
        <f t="shared" si="45"/>
        <v>0</v>
      </c>
    </row>
    <row r="582" spans="5:13" x14ac:dyDescent="0.25">
      <c r="E582" s="32">
        <f t="shared" ref="E582:E645" si="48">D582-C582</f>
        <v>0</v>
      </c>
      <c r="I582" s="32">
        <f t="shared" ref="I582:I645" si="49">H582-G582</f>
        <v>0</v>
      </c>
      <c r="K582" s="31">
        <f t="shared" si="46"/>
        <v>0</v>
      </c>
      <c r="L582" s="34">
        <f t="shared" si="47"/>
        <v>0</v>
      </c>
      <c r="M582" s="34">
        <f t="shared" si="45"/>
        <v>0</v>
      </c>
    </row>
    <row r="583" spans="5:13" x14ac:dyDescent="0.25">
      <c r="E583" s="32">
        <f t="shared" si="48"/>
        <v>0</v>
      </c>
      <c r="I583" s="32">
        <f t="shared" si="49"/>
        <v>0</v>
      </c>
      <c r="K583" s="31">
        <f t="shared" si="46"/>
        <v>0</v>
      </c>
      <c r="L583" s="34">
        <f t="shared" si="47"/>
        <v>0</v>
      </c>
      <c r="M583" s="34">
        <f t="shared" si="45"/>
        <v>0</v>
      </c>
    </row>
    <row r="584" spans="5:13" x14ac:dyDescent="0.25">
      <c r="E584" s="32">
        <f t="shared" si="48"/>
        <v>0</v>
      </c>
      <c r="I584" s="32">
        <f t="shared" si="49"/>
        <v>0</v>
      </c>
      <c r="K584" s="31">
        <f t="shared" si="46"/>
        <v>0</v>
      </c>
      <c r="L584" s="34">
        <f t="shared" si="47"/>
        <v>0</v>
      </c>
      <c r="M584" s="34">
        <f t="shared" si="45"/>
        <v>0</v>
      </c>
    </row>
    <row r="585" spans="5:13" x14ac:dyDescent="0.25">
      <c r="E585" s="32">
        <f t="shared" si="48"/>
        <v>0</v>
      </c>
      <c r="I585" s="32">
        <f t="shared" si="49"/>
        <v>0</v>
      </c>
      <c r="K585" s="31">
        <f t="shared" si="46"/>
        <v>0</v>
      </c>
      <c r="L585" s="34">
        <f t="shared" si="47"/>
        <v>0</v>
      </c>
      <c r="M585" s="34">
        <f t="shared" si="45"/>
        <v>0</v>
      </c>
    </row>
    <row r="586" spans="5:13" x14ac:dyDescent="0.25">
      <c r="E586" s="32">
        <f t="shared" si="48"/>
        <v>0</v>
      </c>
      <c r="I586" s="32">
        <f t="shared" si="49"/>
        <v>0</v>
      </c>
      <c r="K586" s="31">
        <f t="shared" si="46"/>
        <v>0</v>
      </c>
      <c r="L586" s="34">
        <f t="shared" si="47"/>
        <v>0</v>
      </c>
      <c r="M586" s="34">
        <f t="shared" si="45"/>
        <v>0</v>
      </c>
    </row>
    <row r="587" spans="5:13" x14ac:dyDescent="0.25">
      <c r="E587" s="32">
        <f t="shared" si="48"/>
        <v>0</v>
      </c>
      <c r="I587" s="32">
        <f t="shared" si="49"/>
        <v>0</v>
      </c>
      <c r="K587" s="31">
        <f t="shared" si="46"/>
        <v>0</v>
      </c>
      <c r="L587" s="34">
        <f t="shared" si="47"/>
        <v>0</v>
      </c>
      <c r="M587" s="34">
        <f t="shared" si="45"/>
        <v>0</v>
      </c>
    </row>
    <row r="588" spans="5:13" x14ac:dyDescent="0.25">
      <c r="E588" s="32">
        <f t="shared" si="48"/>
        <v>0</v>
      </c>
      <c r="I588" s="32">
        <f t="shared" si="49"/>
        <v>0</v>
      </c>
      <c r="K588" s="31">
        <f t="shared" si="46"/>
        <v>0</v>
      </c>
      <c r="L588" s="34">
        <f t="shared" si="47"/>
        <v>0</v>
      </c>
      <c r="M588" s="34">
        <f t="shared" si="45"/>
        <v>0</v>
      </c>
    </row>
    <row r="589" spans="5:13" x14ac:dyDescent="0.25">
      <c r="E589" s="32">
        <f t="shared" si="48"/>
        <v>0</v>
      </c>
      <c r="I589" s="32">
        <f t="shared" si="49"/>
        <v>0</v>
      </c>
      <c r="K589" s="31">
        <f t="shared" si="46"/>
        <v>0</v>
      </c>
      <c r="L589" s="34">
        <f t="shared" si="47"/>
        <v>0</v>
      </c>
      <c r="M589" s="34">
        <f t="shared" si="45"/>
        <v>0</v>
      </c>
    </row>
    <row r="590" spans="5:13" x14ac:dyDescent="0.25">
      <c r="E590" s="32">
        <f t="shared" si="48"/>
        <v>0</v>
      </c>
      <c r="I590" s="32">
        <f t="shared" si="49"/>
        <v>0</v>
      </c>
      <c r="K590" s="31">
        <f t="shared" si="46"/>
        <v>0</v>
      </c>
      <c r="L590" s="34">
        <f t="shared" si="47"/>
        <v>0</v>
      </c>
      <c r="M590" s="34">
        <f t="shared" si="45"/>
        <v>0</v>
      </c>
    </row>
    <row r="591" spans="5:13" x14ac:dyDescent="0.25">
      <c r="E591" s="32">
        <f t="shared" si="48"/>
        <v>0</v>
      </c>
      <c r="I591" s="32">
        <f t="shared" si="49"/>
        <v>0</v>
      </c>
      <c r="K591" s="31">
        <f t="shared" si="46"/>
        <v>0</v>
      </c>
      <c r="L591" s="34">
        <f t="shared" si="47"/>
        <v>0</v>
      </c>
      <c r="M591" s="34">
        <f t="shared" si="45"/>
        <v>0</v>
      </c>
    </row>
    <row r="592" spans="5:13" x14ac:dyDescent="0.25">
      <c r="E592" s="32">
        <f t="shared" si="48"/>
        <v>0</v>
      </c>
      <c r="I592" s="32">
        <f t="shared" si="49"/>
        <v>0</v>
      </c>
      <c r="K592" s="31">
        <f t="shared" si="46"/>
        <v>0</v>
      </c>
      <c r="L592" s="34">
        <f t="shared" si="47"/>
        <v>0</v>
      </c>
      <c r="M592" s="34">
        <f t="shared" si="45"/>
        <v>0</v>
      </c>
    </row>
    <row r="593" spans="5:13" x14ac:dyDescent="0.25">
      <c r="E593" s="32">
        <f t="shared" si="48"/>
        <v>0</v>
      </c>
      <c r="I593" s="32">
        <f t="shared" si="49"/>
        <v>0</v>
      </c>
      <c r="K593" s="31">
        <f t="shared" si="46"/>
        <v>0</v>
      </c>
      <c r="L593" s="34">
        <f t="shared" si="47"/>
        <v>0</v>
      </c>
      <c r="M593" s="34">
        <f t="shared" si="45"/>
        <v>0</v>
      </c>
    </row>
    <row r="594" spans="5:13" x14ac:dyDescent="0.25">
      <c r="E594" s="32">
        <f t="shared" si="48"/>
        <v>0</v>
      </c>
      <c r="I594" s="32">
        <f t="shared" si="49"/>
        <v>0</v>
      </c>
      <c r="K594" s="31">
        <f t="shared" si="46"/>
        <v>0</v>
      </c>
      <c r="L594" s="34">
        <f t="shared" si="47"/>
        <v>0</v>
      </c>
      <c r="M594" s="34">
        <f t="shared" si="45"/>
        <v>0</v>
      </c>
    </row>
    <row r="595" spans="5:13" x14ac:dyDescent="0.25">
      <c r="E595" s="32">
        <f t="shared" si="48"/>
        <v>0</v>
      </c>
      <c r="I595" s="32">
        <f t="shared" si="49"/>
        <v>0</v>
      </c>
      <c r="K595" s="31">
        <f t="shared" si="46"/>
        <v>0</v>
      </c>
      <c r="L595" s="34">
        <f t="shared" si="47"/>
        <v>0</v>
      </c>
      <c r="M595" s="34">
        <f t="shared" si="45"/>
        <v>0</v>
      </c>
    </row>
    <row r="596" spans="5:13" x14ac:dyDescent="0.25">
      <c r="E596" s="32">
        <f t="shared" si="48"/>
        <v>0</v>
      </c>
      <c r="I596" s="32">
        <f t="shared" si="49"/>
        <v>0</v>
      </c>
      <c r="K596" s="31">
        <f t="shared" si="46"/>
        <v>0</v>
      </c>
      <c r="L596" s="34">
        <f t="shared" si="47"/>
        <v>0</v>
      </c>
      <c r="M596" s="34">
        <f t="shared" si="45"/>
        <v>0</v>
      </c>
    </row>
    <row r="597" spans="5:13" x14ac:dyDescent="0.25">
      <c r="E597" s="32">
        <f t="shared" si="48"/>
        <v>0</v>
      </c>
      <c r="I597" s="32">
        <f t="shared" si="49"/>
        <v>0</v>
      </c>
      <c r="K597" s="31">
        <f t="shared" si="46"/>
        <v>0</v>
      </c>
      <c r="L597" s="34">
        <f t="shared" si="47"/>
        <v>0</v>
      </c>
      <c r="M597" s="34">
        <f t="shared" si="45"/>
        <v>0</v>
      </c>
    </row>
    <row r="598" spans="5:13" x14ac:dyDescent="0.25">
      <c r="E598" s="32">
        <f t="shared" si="48"/>
        <v>0</v>
      </c>
      <c r="I598" s="32">
        <f t="shared" si="49"/>
        <v>0</v>
      </c>
      <c r="K598" s="31">
        <f t="shared" si="46"/>
        <v>0</v>
      </c>
      <c r="L598" s="34">
        <f t="shared" si="47"/>
        <v>0</v>
      </c>
      <c r="M598" s="34">
        <f t="shared" si="45"/>
        <v>0</v>
      </c>
    </row>
    <row r="599" spans="5:13" x14ac:dyDescent="0.25">
      <c r="E599" s="32">
        <f t="shared" si="48"/>
        <v>0</v>
      </c>
      <c r="I599" s="32">
        <f t="shared" si="49"/>
        <v>0</v>
      </c>
      <c r="K599" s="31">
        <f t="shared" si="46"/>
        <v>0</v>
      </c>
      <c r="L599" s="34">
        <f t="shared" si="47"/>
        <v>0</v>
      </c>
      <c r="M599" s="34">
        <f t="shared" si="45"/>
        <v>0</v>
      </c>
    </row>
    <row r="600" spans="5:13" x14ac:dyDescent="0.25">
      <c r="E600" s="32">
        <f t="shared" si="48"/>
        <v>0</v>
      </c>
      <c r="I600" s="32">
        <f t="shared" si="49"/>
        <v>0</v>
      </c>
      <c r="K600" s="31">
        <f t="shared" si="46"/>
        <v>0</v>
      </c>
      <c r="L600" s="34">
        <f t="shared" si="47"/>
        <v>0</v>
      </c>
      <c r="M600" s="34">
        <f t="shared" si="45"/>
        <v>0</v>
      </c>
    </row>
    <row r="601" spans="5:13" x14ac:dyDescent="0.25">
      <c r="E601" s="32">
        <f t="shared" si="48"/>
        <v>0</v>
      </c>
      <c r="I601" s="32">
        <f t="shared" si="49"/>
        <v>0</v>
      </c>
      <c r="K601" s="31">
        <f t="shared" si="46"/>
        <v>0</v>
      </c>
      <c r="L601" s="34">
        <f t="shared" si="47"/>
        <v>0</v>
      </c>
      <c r="M601" s="34">
        <f t="shared" si="45"/>
        <v>0</v>
      </c>
    </row>
    <row r="602" spans="5:13" x14ac:dyDescent="0.25">
      <c r="E602" s="32">
        <f t="shared" si="48"/>
        <v>0</v>
      </c>
      <c r="I602" s="32">
        <f t="shared" si="49"/>
        <v>0</v>
      </c>
      <c r="K602" s="31">
        <f t="shared" si="46"/>
        <v>0</v>
      </c>
      <c r="L602" s="34">
        <f t="shared" si="47"/>
        <v>0</v>
      </c>
      <c r="M602" s="34">
        <f t="shared" si="45"/>
        <v>0</v>
      </c>
    </row>
    <row r="603" spans="5:13" x14ac:dyDescent="0.25">
      <c r="E603" s="32">
        <f t="shared" si="48"/>
        <v>0</v>
      </c>
      <c r="I603" s="32">
        <f t="shared" si="49"/>
        <v>0</v>
      </c>
      <c r="K603" s="31">
        <f t="shared" si="46"/>
        <v>0</v>
      </c>
      <c r="L603" s="34">
        <f t="shared" si="47"/>
        <v>0</v>
      </c>
      <c r="M603" s="34">
        <f t="shared" si="45"/>
        <v>0</v>
      </c>
    </row>
    <row r="604" spans="5:13" x14ac:dyDescent="0.25">
      <c r="E604" s="32">
        <f t="shared" si="48"/>
        <v>0</v>
      </c>
      <c r="I604" s="32">
        <f t="shared" si="49"/>
        <v>0</v>
      </c>
      <c r="K604" s="31">
        <f t="shared" si="46"/>
        <v>0</v>
      </c>
      <c r="L604" s="34">
        <f t="shared" si="47"/>
        <v>0</v>
      </c>
      <c r="M604" s="34">
        <f t="shared" si="45"/>
        <v>0</v>
      </c>
    </row>
    <row r="605" spans="5:13" x14ac:dyDescent="0.25">
      <c r="E605" s="32">
        <f t="shared" si="48"/>
        <v>0</v>
      </c>
      <c r="I605" s="32">
        <f t="shared" si="49"/>
        <v>0</v>
      </c>
      <c r="K605" s="31">
        <f t="shared" si="46"/>
        <v>0</v>
      </c>
      <c r="L605" s="34">
        <f t="shared" si="47"/>
        <v>0</v>
      </c>
      <c r="M605" s="34">
        <f t="shared" si="45"/>
        <v>0</v>
      </c>
    </row>
    <row r="606" spans="5:13" x14ac:dyDescent="0.25">
      <c r="E606" s="32">
        <f t="shared" si="48"/>
        <v>0</v>
      </c>
      <c r="I606" s="32">
        <f t="shared" si="49"/>
        <v>0</v>
      </c>
      <c r="K606" s="31">
        <f t="shared" si="46"/>
        <v>0</v>
      </c>
      <c r="L606" s="34">
        <f t="shared" si="47"/>
        <v>0</v>
      </c>
      <c r="M606" s="34">
        <f t="shared" si="45"/>
        <v>0</v>
      </c>
    </row>
    <row r="607" spans="5:13" x14ac:dyDescent="0.25">
      <c r="E607" s="32">
        <f t="shared" si="48"/>
        <v>0</v>
      </c>
      <c r="I607" s="32">
        <f t="shared" si="49"/>
        <v>0</v>
      </c>
      <c r="K607" s="31">
        <f t="shared" si="46"/>
        <v>0</v>
      </c>
      <c r="L607" s="34">
        <f t="shared" si="47"/>
        <v>0</v>
      </c>
      <c r="M607" s="34">
        <f t="shared" si="45"/>
        <v>0</v>
      </c>
    </row>
    <row r="608" spans="5:13" x14ac:dyDescent="0.25">
      <c r="E608" s="32">
        <f t="shared" si="48"/>
        <v>0</v>
      </c>
      <c r="I608" s="32">
        <f t="shared" si="49"/>
        <v>0</v>
      </c>
      <c r="K608" s="31">
        <f t="shared" si="46"/>
        <v>0</v>
      </c>
      <c r="L608" s="34">
        <f t="shared" si="47"/>
        <v>0</v>
      </c>
      <c r="M608" s="34">
        <f t="shared" si="45"/>
        <v>0</v>
      </c>
    </row>
    <row r="609" spans="5:13" x14ac:dyDescent="0.25">
      <c r="E609" s="32">
        <f t="shared" si="48"/>
        <v>0</v>
      </c>
      <c r="I609" s="32">
        <f t="shared" si="49"/>
        <v>0</v>
      </c>
      <c r="K609" s="31">
        <f t="shared" si="46"/>
        <v>0</v>
      </c>
      <c r="L609" s="34">
        <f t="shared" si="47"/>
        <v>0</v>
      </c>
      <c r="M609" s="34">
        <f t="shared" si="45"/>
        <v>0</v>
      </c>
    </row>
    <row r="610" spans="5:13" x14ac:dyDescent="0.25">
      <c r="E610" s="32">
        <f t="shared" si="48"/>
        <v>0</v>
      </c>
      <c r="I610" s="32">
        <f t="shared" si="49"/>
        <v>0</v>
      </c>
      <c r="K610" s="31">
        <f t="shared" si="46"/>
        <v>0</v>
      </c>
      <c r="L610" s="34">
        <f t="shared" si="47"/>
        <v>0</v>
      </c>
      <c r="M610" s="34">
        <f t="shared" si="45"/>
        <v>0</v>
      </c>
    </row>
    <row r="611" spans="5:13" x14ac:dyDescent="0.25">
      <c r="E611" s="32">
        <f t="shared" si="48"/>
        <v>0</v>
      </c>
      <c r="I611" s="32">
        <f t="shared" si="49"/>
        <v>0</v>
      </c>
      <c r="K611" s="31">
        <f t="shared" si="46"/>
        <v>0</v>
      </c>
      <c r="L611" s="34">
        <f t="shared" si="47"/>
        <v>0</v>
      </c>
      <c r="M611" s="34">
        <f t="shared" si="45"/>
        <v>0</v>
      </c>
    </row>
    <row r="612" spans="5:13" x14ac:dyDescent="0.25">
      <c r="E612" s="32">
        <f t="shared" si="48"/>
        <v>0</v>
      </c>
      <c r="I612" s="32">
        <f t="shared" si="49"/>
        <v>0</v>
      </c>
      <c r="K612" s="31">
        <f t="shared" si="46"/>
        <v>0</v>
      </c>
      <c r="L612" s="34">
        <f t="shared" si="47"/>
        <v>0</v>
      </c>
      <c r="M612" s="34">
        <f t="shared" si="45"/>
        <v>0</v>
      </c>
    </row>
    <row r="613" spans="5:13" x14ac:dyDescent="0.25">
      <c r="E613" s="32">
        <f t="shared" si="48"/>
        <v>0</v>
      </c>
      <c r="I613" s="32">
        <f t="shared" si="49"/>
        <v>0</v>
      </c>
      <c r="K613" s="31">
        <f t="shared" si="46"/>
        <v>0</v>
      </c>
      <c r="L613" s="34">
        <f t="shared" si="47"/>
        <v>0</v>
      </c>
      <c r="M613" s="34">
        <f t="shared" si="45"/>
        <v>0</v>
      </c>
    </row>
    <row r="614" spans="5:13" x14ac:dyDescent="0.25">
      <c r="E614" s="32">
        <f t="shared" si="48"/>
        <v>0</v>
      </c>
      <c r="I614" s="32">
        <f t="shared" si="49"/>
        <v>0</v>
      </c>
      <c r="K614" s="31">
        <f t="shared" si="46"/>
        <v>0</v>
      </c>
      <c r="L614" s="34">
        <f t="shared" si="47"/>
        <v>0</v>
      </c>
      <c r="M614" s="34">
        <f t="shared" si="45"/>
        <v>0</v>
      </c>
    </row>
    <row r="615" spans="5:13" x14ac:dyDescent="0.25">
      <c r="E615" s="32">
        <f t="shared" si="48"/>
        <v>0</v>
      </c>
      <c r="I615" s="32">
        <f t="shared" si="49"/>
        <v>0</v>
      </c>
      <c r="K615" s="31">
        <f t="shared" si="46"/>
        <v>0</v>
      </c>
      <c r="L615" s="34">
        <f t="shared" si="47"/>
        <v>0</v>
      </c>
      <c r="M615" s="34">
        <f t="shared" si="45"/>
        <v>0</v>
      </c>
    </row>
    <row r="616" spans="5:13" x14ac:dyDescent="0.25">
      <c r="E616" s="32">
        <f t="shared" si="48"/>
        <v>0</v>
      </c>
      <c r="I616" s="32">
        <f t="shared" si="49"/>
        <v>0</v>
      </c>
      <c r="K616" s="31">
        <f t="shared" si="46"/>
        <v>0</v>
      </c>
      <c r="L616" s="34">
        <f t="shared" si="47"/>
        <v>0</v>
      </c>
      <c r="M616" s="34">
        <f t="shared" si="45"/>
        <v>0</v>
      </c>
    </row>
    <row r="617" spans="5:13" x14ac:dyDescent="0.25">
      <c r="E617" s="32">
        <f t="shared" si="48"/>
        <v>0</v>
      </c>
      <c r="I617" s="32">
        <f t="shared" si="49"/>
        <v>0</v>
      </c>
      <c r="K617" s="31">
        <f t="shared" si="46"/>
        <v>0</v>
      </c>
      <c r="L617" s="34">
        <f t="shared" si="47"/>
        <v>0</v>
      </c>
      <c r="M617" s="34">
        <f t="shared" si="45"/>
        <v>0</v>
      </c>
    </row>
    <row r="618" spans="5:13" x14ac:dyDescent="0.25">
      <c r="E618" s="32">
        <f t="shared" si="48"/>
        <v>0</v>
      </c>
      <c r="I618" s="32">
        <f t="shared" si="49"/>
        <v>0</v>
      </c>
      <c r="K618" s="31">
        <f t="shared" si="46"/>
        <v>0</v>
      </c>
      <c r="L618" s="34">
        <f t="shared" si="47"/>
        <v>0</v>
      </c>
      <c r="M618" s="34">
        <f t="shared" si="45"/>
        <v>0</v>
      </c>
    </row>
    <row r="619" spans="5:13" x14ac:dyDescent="0.25">
      <c r="E619" s="32">
        <f t="shared" si="48"/>
        <v>0</v>
      </c>
      <c r="I619" s="32">
        <f t="shared" si="49"/>
        <v>0</v>
      </c>
      <c r="K619" s="31">
        <f t="shared" si="46"/>
        <v>0</v>
      </c>
      <c r="L619" s="34">
        <f t="shared" si="47"/>
        <v>0</v>
      </c>
      <c r="M619" s="34">
        <f t="shared" si="45"/>
        <v>0</v>
      </c>
    </row>
    <row r="620" spans="5:13" x14ac:dyDescent="0.25">
      <c r="E620" s="32">
        <f t="shared" si="48"/>
        <v>0</v>
      </c>
      <c r="I620" s="32">
        <f t="shared" si="49"/>
        <v>0</v>
      </c>
      <c r="K620" s="31">
        <f t="shared" si="46"/>
        <v>0</v>
      </c>
      <c r="L620" s="34">
        <f t="shared" si="47"/>
        <v>0</v>
      </c>
      <c r="M620" s="34">
        <f t="shared" si="45"/>
        <v>0</v>
      </c>
    </row>
    <row r="621" spans="5:13" x14ac:dyDescent="0.25">
      <c r="E621" s="32">
        <f t="shared" si="48"/>
        <v>0</v>
      </c>
      <c r="I621" s="32">
        <f t="shared" si="49"/>
        <v>0</v>
      </c>
      <c r="K621" s="31">
        <f t="shared" si="46"/>
        <v>0</v>
      </c>
      <c r="L621" s="34">
        <f t="shared" si="47"/>
        <v>0</v>
      </c>
      <c r="M621" s="34">
        <f t="shared" si="45"/>
        <v>0</v>
      </c>
    </row>
    <row r="622" spans="5:13" x14ac:dyDescent="0.25">
      <c r="E622" s="32">
        <f t="shared" si="48"/>
        <v>0</v>
      </c>
      <c r="I622" s="32">
        <f t="shared" si="49"/>
        <v>0</v>
      </c>
      <c r="K622" s="31">
        <f t="shared" si="46"/>
        <v>0</v>
      </c>
      <c r="L622" s="34">
        <f t="shared" si="47"/>
        <v>0</v>
      </c>
      <c r="M622" s="34">
        <f t="shared" si="45"/>
        <v>0</v>
      </c>
    </row>
    <row r="623" spans="5:13" x14ac:dyDescent="0.25">
      <c r="E623" s="32">
        <f t="shared" si="48"/>
        <v>0</v>
      </c>
      <c r="I623" s="32">
        <f t="shared" si="49"/>
        <v>0</v>
      </c>
      <c r="K623" s="31">
        <f t="shared" si="46"/>
        <v>0</v>
      </c>
      <c r="L623" s="34">
        <f t="shared" si="47"/>
        <v>0</v>
      </c>
      <c r="M623" s="34">
        <f t="shared" si="45"/>
        <v>0</v>
      </c>
    </row>
    <row r="624" spans="5:13" x14ac:dyDescent="0.25">
      <c r="E624" s="32">
        <f t="shared" si="48"/>
        <v>0</v>
      </c>
      <c r="I624" s="32">
        <f t="shared" si="49"/>
        <v>0</v>
      </c>
      <c r="K624" s="31">
        <f t="shared" si="46"/>
        <v>0</v>
      </c>
      <c r="L624" s="34">
        <f t="shared" si="47"/>
        <v>0</v>
      </c>
      <c r="M624" s="34">
        <f t="shared" si="45"/>
        <v>0</v>
      </c>
    </row>
    <row r="625" spans="5:13" x14ac:dyDescent="0.25">
      <c r="E625" s="32">
        <f t="shared" si="48"/>
        <v>0</v>
      </c>
      <c r="I625" s="32">
        <f t="shared" si="49"/>
        <v>0</v>
      </c>
      <c r="K625" s="31">
        <f t="shared" si="46"/>
        <v>0</v>
      </c>
      <c r="L625" s="34">
        <f t="shared" si="47"/>
        <v>0</v>
      </c>
      <c r="M625" s="34">
        <f t="shared" si="45"/>
        <v>0</v>
      </c>
    </row>
    <row r="626" spans="5:13" x14ac:dyDescent="0.25">
      <c r="E626" s="32">
        <f t="shared" si="48"/>
        <v>0</v>
      </c>
      <c r="I626" s="32">
        <f t="shared" si="49"/>
        <v>0</v>
      </c>
      <c r="K626" s="31">
        <f t="shared" si="46"/>
        <v>0</v>
      </c>
      <c r="L626" s="34">
        <f t="shared" si="47"/>
        <v>0</v>
      </c>
      <c r="M626" s="34">
        <f t="shared" si="45"/>
        <v>0</v>
      </c>
    </row>
    <row r="627" spans="5:13" x14ac:dyDescent="0.25">
      <c r="E627" s="32">
        <f t="shared" si="48"/>
        <v>0</v>
      </c>
      <c r="I627" s="32">
        <f t="shared" si="49"/>
        <v>0</v>
      </c>
      <c r="K627" s="31">
        <f t="shared" si="46"/>
        <v>0</v>
      </c>
      <c r="L627" s="34">
        <f t="shared" si="47"/>
        <v>0</v>
      </c>
      <c r="M627" s="34">
        <f t="shared" si="45"/>
        <v>0</v>
      </c>
    </row>
    <row r="628" spans="5:13" x14ac:dyDescent="0.25">
      <c r="E628" s="32">
        <f t="shared" si="48"/>
        <v>0</v>
      </c>
      <c r="I628" s="32">
        <f t="shared" si="49"/>
        <v>0</v>
      </c>
      <c r="K628" s="31">
        <f t="shared" si="46"/>
        <v>0</v>
      </c>
      <c r="L628" s="34">
        <f t="shared" si="47"/>
        <v>0</v>
      </c>
      <c r="M628" s="34">
        <f t="shared" si="45"/>
        <v>0</v>
      </c>
    </row>
    <row r="629" spans="5:13" x14ac:dyDescent="0.25">
      <c r="E629" s="32">
        <f t="shared" si="48"/>
        <v>0</v>
      </c>
      <c r="I629" s="32">
        <f t="shared" si="49"/>
        <v>0</v>
      </c>
      <c r="K629" s="31">
        <f t="shared" si="46"/>
        <v>0</v>
      </c>
      <c r="L629" s="34">
        <f t="shared" si="47"/>
        <v>0</v>
      </c>
      <c r="M629" s="34">
        <f t="shared" si="45"/>
        <v>0</v>
      </c>
    </row>
    <row r="630" spans="5:13" x14ac:dyDescent="0.25">
      <c r="E630" s="32">
        <f t="shared" si="48"/>
        <v>0</v>
      </c>
      <c r="I630" s="32">
        <f t="shared" si="49"/>
        <v>0</v>
      </c>
      <c r="K630" s="31">
        <f t="shared" si="46"/>
        <v>0</v>
      </c>
      <c r="L630" s="34">
        <f t="shared" si="47"/>
        <v>0</v>
      </c>
      <c r="M630" s="34">
        <f t="shared" si="45"/>
        <v>0</v>
      </c>
    </row>
    <row r="631" spans="5:13" x14ac:dyDescent="0.25">
      <c r="E631" s="32">
        <f t="shared" si="48"/>
        <v>0</v>
      </c>
      <c r="I631" s="32">
        <f t="shared" si="49"/>
        <v>0</v>
      </c>
      <c r="K631" s="31">
        <f t="shared" si="46"/>
        <v>0</v>
      </c>
      <c r="L631" s="34">
        <f t="shared" si="47"/>
        <v>0</v>
      </c>
      <c r="M631" s="34">
        <f t="shared" si="45"/>
        <v>0</v>
      </c>
    </row>
    <row r="632" spans="5:13" x14ac:dyDescent="0.25">
      <c r="E632" s="32">
        <f t="shared" si="48"/>
        <v>0</v>
      </c>
      <c r="I632" s="32">
        <f t="shared" si="49"/>
        <v>0</v>
      </c>
      <c r="K632" s="31">
        <f t="shared" si="46"/>
        <v>0</v>
      </c>
      <c r="L632" s="34">
        <f t="shared" si="47"/>
        <v>0</v>
      </c>
      <c r="M632" s="34">
        <f t="shared" si="45"/>
        <v>0</v>
      </c>
    </row>
    <row r="633" spans="5:13" x14ac:dyDescent="0.25">
      <c r="E633" s="32">
        <f t="shared" si="48"/>
        <v>0</v>
      </c>
      <c r="I633" s="32">
        <f t="shared" si="49"/>
        <v>0</v>
      </c>
      <c r="K633" s="31">
        <f t="shared" si="46"/>
        <v>0</v>
      </c>
      <c r="L633" s="34">
        <f t="shared" si="47"/>
        <v>0</v>
      </c>
      <c r="M633" s="34">
        <f t="shared" si="45"/>
        <v>0</v>
      </c>
    </row>
    <row r="634" spans="5:13" x14ac:dyDescent="0.25">
      <c r="E634" s="32">
        <f t="shared" si="48"/>
        <v>0</v>
      </c>
      <c r="I634" s="32">
        <f t="shared" si="49"/>
        <v>0</v>
      </c>
      <c r="K634" s="31">
        <f t="shared" si="46"/>
        <v>0</v>
      </c>
      <c r="L634" s="34">
        <f t="shared" si="47"/>
        <v>0</v>
      </c>
      <c r="M634" s="34">
        <f t="shared" si="45"/>
        <v>0</v>
      </c>
    </row>
    <row r="635" spans="5:13" x14ac:dyDescent="0.25">
      <c r="E635" s="32">
        <f t="shared" si="48"/>
        <v>0</v>
      </c>
      <c r="I635" s="32">
        <f t="shared" si="49"/>
        <v>0</v>
      </c>
      <c r="K635" s="31">
        <f t="shared" si="46"/>
        <v>0</v>
      </c>
      <c r="L635" s="34">
        <f t="shared" si="47"/>
        <v>0</v>
      </c>
      <c r="M635" s="34">
        <f t="shared" si="45"/>
        <v>0</v>
      </c>
    </row>
    <row r="636" spans="5:13" x14ac:dyDescent="0.25">
      <c r="E636" s="32">
        <f t="shared" si="48"/>
        <v>0</v>
      </c>
      <c r="I636" s="32">
        <f t="shared" si="49"/>
        <v>0</v>
      </c>
      <c r="K636" s="31">
        <f t="shared" si="46"/>
        <v>0</v>
      </c>
      <c r="L636" s="34">
        <f t="shared" si="47"/>
        <v>0</v>
      </c>
      <c r="M636" s="34">
        <f t="shared" si="45"/>
        <v>0</v>
      </c>
    </row>
    <row r="637" spans="5:13" x14ac:dyDescent="0.25">
      <c r="E637" s="32">
        <f t="shared" si="48"/>
        <v>0</v>
      </c>
      <c r="I637" s="32">
        <f t="shared" si="49"/>
        <v>0</v>
      </c>
      <c r="K637" s="31">
        <f t="shared" si="46"/>
        <v>0</v>
      </c>
      <c r="L637" s="34">
        <f t="shared" si="47"/>
        <v>0</v>
      </c>
      <c r="M637" s="34">
        <f t="shared" si="45"/>
        <v>0</v>
      </c>
    </row>
    <row r="638" spans="5:13" x14ac:dyDescent="0.25">
      <c r="E638" s="32">
        <f t="shared" si="48"/>
        <v>0</v>
      </c>
      <c r="I638" s="32">
        <f t="shared" si="49"/>
        <v>0</v>
      </c>
      <c r="K638" s="31">
        <f t="shared" si="46"/>
        <v>0</v>
      </c>
      <c r="L638" s="34">
        <f t="shared" si="47"/>
        <v>0</v>
      </c>
      <c r="M638" s="34">
        <f t="shared" si="45"/>
        <v>0</v>
      </c>
    </row>
    <row r="639" spans="5:13" x14ac:dyDescent="0.25">
      <c r="E639" s="32">
        <f t="shared" si="48"/>
        <v>0</v>
      </c>
      <c r="I639" s="32">
        <f t="shared" si="49"/>
        <v>0</v>
      </c>
      <c r="K639" s="31">
        <f t="shared" si="46"/>
        <v>0</v>
      </c>
      <c r="L639" s="34">
        <f t="shared" si="47"/>
        <v>0</v>
      </c>
      <c r="M639" s="34">
        <f t="shared" si="45"/>
        <v>0</v>
      </c>
    </row>
    <row r="640" spans="5:13" x14ac:dyDescent="0.25">
      <c r="E640" s="32">
        <f t="shared" si="48"/>
        <v>0</v>
      </c>
      <c r="I640" s="32">
        <f t="shared" si="49"/>
        <v>0</v>
      </c>
      <c r="K640" s="31">
        <f t="shared" si="46"/>
        <v>0</v>
      </c>
      <c r="L640" s="34">
        <f t="shared" si="47"/>
        <v>0</v>
      </c>
      <c r="M640" s="34">
        <f t="shared" si="45"/>
        <v>0</v>
      </c>
    </row>
    <row r="641" spans="5:13" x14ac:dyDescent="0.25">
      <c r="E641" s="32">
        <f t="shared" si="48"/>
        <v>0</v>
      </c>
      <c r="I641" s="32">
        <f t="shared" si="49"/>
        <v>0</v>
      </c>
      <c r="K641" s="31">
        <f t="shared" si="46"/>
        <v>0</v>
      </c>
      <c r="L641" s="34">
        <f t="shared" si="47"/>
        <v>0</v>
      </c>
      <c r="M641" s="34">
        <f t="shared" si="45"/>
        <v>0</v>
      </c>
    </row>
    <row r="642" spans="5:13" x14ac:dyDescent="0.25">
      <c r="E642" s="32">
        <f t="shared" si="48"/>
        <v>0</v>
      </c>
      <c r="I642" s="32">
        <f t="shared" si="49"/>
        <v>0</v>
      </c>
      <c r="K642" s="31">
        <f t="shared" si="46"/>
        <v>0</v>
      </c>
      <c r="L642" s="34">
        <f t="shared" si="47"/>
        <v>0</v>
      </c>
      <c r="M642" s="34">
        <f t="shared" si="45"/>
        <v>0</v>
      </c>
    </row>
    <row r="643" spans="5:13" x14ac:dyDescent="0.25">
      <c r="E643" s="32">
        <f t="shared" si="48"/>
        <v>0</v>
      </c>
      <c r="I643" s="32">
        <f t="shared" si="49"/>
        <v>0</v>
      </c>
      <c r="K643" s="31">
        <f t="shared" si="46"/>
        <v>0</v>
      </c>
      <c r="L643" s="34">
        <f t="shared" si="47"/>
        <v>0</v>
      </c>
      <c r="M643" s="34">
        <f t="shared" si="45"/>
        <v>0</v>
      </c>
    </row>
    <row r="644" spans="5:13" x14ac:dyDescent="0.25">
      <c r="E644" s="32">
        <f t="shared" si="48"/>
        <v>0</v>
      </c>
      <c r="I644" s="32">
        <f t="shared" si="49"/>
        <v>0</v>
      </c>
      <c r="K644" s="31">
        <f t="shared" si="46"/>
        <v>0</v>
      </c>
      <c r="L644" s="34">
        <f t="shared" si="47"/>
        <v>0</v>
      </c>
      <c r="M644" s="34">
        <f t="shared" ref="M644:M707" si="50">(L644/27)*4</f>
        <v>0</v>
      </c>
    </row>
    <row r="645" spans="5:13" x14ac:dyDescent="0.25">
      <c r="E645" s="32">
        <f t="shared" si="48"/>
        <v>0</v>
      </c>
      <c r="I645" s="32">
        <f t="shared" si="49"/>
        <v>0</v>
      </c>
      <c r="K645" s="31">
        <f t="shared" ref="K645:K708" si="51">B645/30</f>
        <v>0</v>
      </c>
      <c r="L645" s="34">
        <f t="shared" ref="L645:L708" si="52">IF(J645="S",((I645*24)*K645)*2,((I645*24)*K645)*1.5)</f>
        <v>0</v>
      </c>
      <c r="M645" s="34">
        <f t="shared" si="50"/>
        <v>0</v>
      </c>
    </row>
    <row r="646" spans="5:13" x14ac:dyDescent="0.25">
      <c r="E646" s="32">
        <f t="shared" ref="E646:E709" si="53">D646-C646</f>
        <v>0</v>
      </c>
      <c r="I646" s="32">
        <f t="shared" ref="I646:I709" si="54">H646-G646</f>
        <v>0</v>
      </c>
      <c r="K646" s="31">
        <f t="shared" si="51"/>
        <v>0</v>
      </c>
      <c r="L646" s="34">
        <f t="shared" si="52"/>
        <v>0</v>
      </c>
      <c r="M646" s="34">
        <f t="shared" si="50"/>
        <v>0</v>
      </c>
    </row>
    <row r="647" spans="5:13" x14ac:dyDescent="0.25">
      <c r="E647" s="32">
        <f t="shared" si="53"/>
        <v>0</v>
      </c>
      <c r="I647" s="32">
        <f t="shared" si="54"/>
        <v>0</v>
      </c>
      <c r="K647" s="31">
        <f t="shared" si="51"/>
        <v>0</v>
      </c>
      <c r="L647" s="34">
        <f t="shared" si="52"/>
        <v>0</v>
      </c>
      <c r="M647" s="34">
        <f t="shared" si="50"/>
        <v>0</v>
      </c>
    </row>
    <row r="648" spans="5:13" x14ac:dyDescent="0.25">
      <c r="E648" s="32">
        <f t="shared" si="53"/>
        <v>0</v>
      </c>
      <c r="I648" s="32">
        <f t="shared" si="54"/>
        <v>0</v>
      </c>
      <c r="K648" s="31">
        <f t="shared" si="51"/>
        <v>0</v>
      </c>
      <c r="L648" s="34">
        <f t="shared" si="52"/>
        <v>0</v>
      </c>
      <c r="M648" s="34">
        <f t="shared" si="50"/>
        <v>0</v>
      </c>
    </row>
    <row r="649" spans="5:13" x14ac:dyDescent="0.25">
      <c r="E649" s="32">
        <f t="shared" si="53"/>
        <v>0</v>
      </c>
      <c r="I649" s="32">
        <f t="shared" si="54"/>
        <v>0</v>
      </c>
      <c r="K649" s="31">
        <f t="shared" si="51"/>
        <v>0</v>
      </c>
      <c r="L649" s="34">
        <f t="shared" si="52"/>
        <v>0</v>
      </c>
      <c r="M649" s="34">
        <f t="shared" si="50"/>
        <v>0</v>
      </c>
    </row>
    <row r="650" spans="5:13" x14ac:dyDescent="0.25">
      <c r="E650" s="32">
        <f t="shared" si="53"/>
        <v>0</v>
      </c>
      <c r="I650" s="32">
        <f t="shared" si="54"/>
        <v>0</v>
      </c>
      <c r="K650" s="31">
        <f t="shared" si="51"/>
        <v>0</v>
      </c>
      <c r="L650" s="34">
        <f t="shared" si="52"/>
        <v>0</v>
      </c>
      <c r="M650" s="34">
        <f t="shared" si="50"/>
        <v>0</v>
      </c>
    </row>
    <row r="651" spans="5:13" x14ac:dyDescent="0.25">
      <c r="E651" s="32">
        <f t="shared" si="53"/>
        <v>0</v>
      </c>
      <c r="I651" s="32">
        <f t="shared" si="54"/>
        <v>0</v>
      </c>
      <c r="K651" s="31">
        <f t="shared" si="51"/>
        <v>0</v>
      </c>
      <c r="L651" s="34">
        <f t="shared" si="52"/>
        <v>0</v>
      </c>
      <c r="M651" s="34">
        <f t="shared" si="50"/>
        <v>0</v>
      </c>
    </row>
    <row r="652" spans="5:13" x14ac:dyDescent="0.25">
      <c r="E652" s="32">
        <f t="shared" si="53"/>
        <v>0</v>
      </c>
      <c r="I652" s="32">
        <f t="shared" si="54"/>
        <v>0</v>
      </c>
      <c r="K652" s="31">
        <f t="shared" si="51"/>
        <v>0</v>
      </c>
      <c r="L652" s="34">
        <f t="shared" si="52"/>
        <v>0</v>
      </c>
      <c r="M652" s="34">
        <f t="shared" si="50"/>
        <v>0</v>
      </c>
    </row>
    <row r="653" spans="5:13" x14ac:dyDescent="0.25">
      <c r="E653" s="32">
        <f t="shared" si="53"/>
        <v>0</v>
      </c>
      <c r="I653" s="32">
        <f t="shared" si="54"/>
        <v>0</v>
      </c>
      <c r="K653" s="31">
        <f t="shared" si="51"/>
        <v>0</v>
      </c>
      <c r="L653" s="34">
        <f t="shared" si="52"/>
        <v>0</v>
      </c>
      <c r="M653" s="34">
        <f t="shared" si="50"/>
        <v>0</v>
      </c>
    </row>
    <row r="654" spans="5:13" x14ac:dyDescent="0.25">
      <c r="E654" s="32">
        <f t="shared" si="53"/>
        <v>0</v>
      </c>
      <c r="I654" s="32">
        <f t="shared" si="54"/>
        <v>0</v>
      </c>
      <c r="K654" s="31">
        <f t="shared" si="51"/>
        <v>0</v>
      </c>
      <c r="L654" s="34">
        <f t="shared" si="52"/>
        <v>0</v>
      </c>
      <c r="M654" s="34">
        <f t="shared" si="50"/>
        <v>0</v>
      </c>
    </row>
    <row r="655" spans="5:13" x14ac:dyDescent="0.25">
      <c r="E655" s="32">
        <f t="shared" si="53"/>
        <v>0</v>
      </c>
      <c r="I655" s="32">
        <f t="shared" si="54"/>
        <v>0</v>
      </c>
      <c r="K655" s="31">
        <f t="shared" si="51"/>
        <v>0</v>
      </c>
      <c r="L655" s="34">
        <f t="shared" si="52"/>
        <v>0</v>
      </c>
      <c r="M655" s="34">
        <f t="shared" si="50"/>
        <v>0</v>
      </c>
    </row>
    <row r="656" spans="5:13" x14ac:dyDescent="0.25">
      <c r="E656" s="32">
        <f t="shared" si="53"/>
        <v>0</v>
      </c>
      <c r="I656" s="32">
        <f t="shared" si="54"/>
        <v>0</v>
      </c>
      <c r="K656" s="31">
        <f t="shared" si="51"/>
        <v>0</v>
      </c>
      <c r="L656" s="34">
        <f t="shared" si="52"/>
        <v>0</v>
      </c>
      <c r="M656" s="34">
        <f t="shared" si="50"/>
        <v>0</v>
      </c>
    </row>
    <row r="657" spans="5:13" x14ac:dyDescent="0.25">
      <c r="E657" s="32">
        <f t="shared" si="53"/>
        <v>0</v>
      </c>
      <c r="I657" s="32">
        <f t="shared" si="54"/>
        <v>0</v>
      </c>
      <c r="K657" s="31">
        <f t="shared" si="51"/>
        <v>0</v>
      </c>
      <c r="L657" s="34">
        <f t="shared" si="52"/>
        <v>0</v>
      </c>
      <c r="M657" s="34">
        <f t="shared" si="50"/>
        <v>0</v>
      </c>
    </row>
    <row r="658" spans="5:13" x14ac:dyDescent="0.25">
      <c r="E658" s="32">
        <f t="shared" si="53"/>
        <v>0</v>
      </c>
      <c r="I658" s="32">
        <f t="shared" si="54"/>
        <v>0</v>
      </c>
      <c r="K658" s="31">
        <f t="shared" si="51"/>
        <v>0</v>
      </c>
      <c r="L658" s="34">
        <f t="shared" si="52"/>
        <v>0</v>
      </c>
      <c r="M658" s="34">
        <f t="shared" si="50"/>
        <v>0</v>
      </c>
    </row>
    <row r="659" spans="5:13" x14ac:dyDescent="0.25">
      <c r="E659" s="32">
        <f t="shared" si="53"/>
        <v>0</v>
      </c>
      <c r="I659" s="32">
        <f t="shared" si="54"/>
        <v>0</v>
      </c>
      <c r="K659" s="31">
        <f t="shared" si="51"/>
        <v>0</v>
      </c>
      <c r="L659" s="34">
        <f t="shared" si="52"/>
        <v>0</v>
      </c>
      <c r="M659" s="34">
        <f t="shared" si="50"/>
        <v>0</v>
      </c>
    </row>
    <row r="660" spans="5:13" x14ac:dyDescent="0.25">
      <c r="E660" s="32">
        <f t="shared" si="53"/>
        <v>0</v>
      </c>
      <c r="I660" s="32">
        <f t="shared" si="54"/>
        <v>0</v>
      </c>
      <c r="K660" s="31">
        <f t="shared" si="51"/>
        <v>0</v>
      </c>
      <c r="L660" s="34">
        <f t="shared" si="52"/>
        <v>0</v>
      </c>
      <c r="M660" s="34">
        <f t="shared" si="50"/>
        <v>0</v>
      </c>
    </row>
    <row r="661" spans="5:13" x14ac:dyDescent="0.25">
      <c r="E661" s="32">
        <f t="shared" si="53"/>
        <v>0</v>
      </c>
      <c r="I661" s="32">
        <f t="shared" si="54"/>
        <v>0</v>
      </c>
      <c r="K661" s="31">
        <f t="shared" si="51"/>
        <v>0</v>
      </c>
      <c r="L661" s="34">
        <f t="shared" si="52"/>
        <v>0</v>
      </c>
      <c r="M661" s="34">
        <f t="shared" si="50"/>
        <v>0</v>
      </c>
    </row>
    <row r="662" spans="5:13" x14ac:dyDescent="0.25">
      <c r="E662" s="32">
        <f t="shared" si="53"/>
        <v>0</v>
      </c>
      <c r="I662" s="32">
        <f t="shared" si="54"/>
        <v>0</v>
      </c>
      <c r="K662" s="31">
        <f t="shared" si="51"/>
        <v>0</v>
      </c>
      <c r="L662" s="34">
        <f t="shared" si="52"/>
        <v>0</v>
      </c>
      <c r="M662" s="34">
        <f t="shared" si="50"/>
        <v>0</v>
      </c>
    </row>
    <row r="663" spans="5:13" x14ac:dyDescent="0.25">
      <c r="E663" s="32">
        <f t="shared" si="53"/>
        <v>0</v>
      </c>
      <c r="I663" s="32">
        <f t="shared" si="54"/>
        <v>0</v>
      </c>
      <c r="K663" s="31">
        <f t="shared" si="51"/>
        <v>0</v>
      </c>
      <c r="L663" s="34">
        <f t="shared" si="52"/>
        <v>0</v>
      </c>
      <c r="M663" s="34">
        <f t="shared" si="50"/>
        <v>0</v>
      </c>
    </row>
    <row r="664" spans="5:13" x14ac:dyDescent="0.25">
      <c r="E664" s="32">
        <f t="shared" si="53"/>
        <v>0</v>
      </c>
      <c r="I664" s="32">
        <f t="shared" si="54"/>
        <v>0</v>
      </c>
      <c r="K664" s="31">
        <f t="shared" si="51"/>
        <v>0</v>
      </c>
      <c r="L664" s="34">
        <f t="shared" si="52"/>
        <v>0</v>
      </c>
      <c r="M664" s="34">
        <f t="shared" si="50"/>
        <v>0</v>
      </c>
    </row>
    <row r="665" spans="5:13" x14ac:dyDescent="0.25">
      <c r="E665" s="32">
        <f t="shared" si="53"/>
        <v>0</v>
      </c>
      <c r="I665" s="32">
        <f t="shared" si="54"/>
        <v>0</v>
      </c>
      <c r="K665" s="31">
        <f t="shared" si="51"/>
        <v>0</v>
      </c>
      <c r="L665" s="34">
        <f t="shared" si="52"/>
        <v>0</v>
      </c>
      <c r="M665" s="34">
        <f t="shared" si="50"/>
        <v>0</v>
      </c>
    </row>
    <row r="666" spans="5:13" x14ac:dyDescent="0.25">
      <c r="E666" s="32">
        <f t="shared" si="53"/>
        <v>0</v>
      </c>
      <c r="I666" s="32">
        <f t="shared" si="54"/>
        <v>0</v>
      </c>
      <c r="K666" s="31">
        <f t="shared" si="51"/>
        <v>0</v>
      </c>
      <c r="L666" s="34">
        <f t="shared" si="52"/>
        <v>0</v>
      </c>
      <c r="M666" s="34">
        <f t="shared" si="50"/>
        <v>0</v>
      </c>
    </row>
    <row r="667" spans="5:13" x14ac:dyDescent="0.25">
      <c r="E667" s="32">
        <f t="shared" si="53"/>
        <v>0</v>
      </c>
      <c r="I667" s="32">
        <f t="shared" si="54"/>
        <v>0</v>
      </c>
      <c r="K667" s="31">
        <f t="shared" si="51"/>
        <v>0</v>
      </c>
      <c r="L667" s="34">
        <f t="shared" si="52"/>
        <v>0</v>
      </c>
      <c r="M667" s="34">
        <f t="shared" si="50"/>
        <v>0</v>
      </c>
    </row>
    <row r="668" spans="5:13" x14ac:dyDescent="0.25">
      <c r="E668" s="32">
        <f t="shared" si="53"/>
        <v>0</v>
      </c>
      <c r="I668" s="32">
        <f t="shared" si="54"/>
        <v>0</v>
      </c>
      <c r="K668" s="31">
        <f t="shared" si="51"/>
        <v>0</v>
      </c>
      <c r="L668" s="34">
        <f t="shared" si="52"/>
        <v>0</v>
      </c>
      <c r="M668" s="34">
        <f t="shared" si="50"/>
        <v>0</v>
      </c>
    </row>
    <row r="669" spans="5:13" x14ac:dyDescent="0.25">
      <c r="E669" s="32">
        <f t="shared" si="53"/>
        <v>0</v>
      </c>
      <c r="I669" s="32">
        <f t="shared" si="54"/>
        <v>0</v>
      </c>
      <c r="K669" s="31">
        <f t="shared" si="51"/>
        <v>0</v>
      </c>
      <c r="L669" s="34">
        <f t="shared" si="52"/>
        <v>0</v>
      </c>
      <c r="M669" s="34">
        <f t="shared" si="50"/>
        <v>0</v>
      </c>
    </row>
    <row r="670" spans="5:13" x14ac:dyDescent="0.25">
      <c r="E670" s="32">
        <f t="shared" si="53"/>
        <v>0</v>
      </c>
      <c r="I670" s="32">
        <f t="shared" si="54"/>
        <v>0</v>
      </c>
      <c r="K670" s="31">
        <f t="shared" si="51"/>
        <v>0</v>
      </c>
      <c r="L670" s="34">
        <f t="shared" si="52"/>
        <v>0</v>
      </c>
      <c r="M670" s="34">
        <f t="shared" si="50"/>
        <v>0</v>
      </c>
    </row>
    <row r="671" spans="5:13" x14ac:dyDescent="0.25">
      <c r="E671" s="32">
        <f t="shared" si="53"/>
        <v>0</v>
      </c>
      <c r="I671" s="32">
        <f t="shared" si="54"/>
        <v>0</v>
      </c>
      <c r="K671" s="31">
        <f t="shared" si="51"/>
        <v>0</v>
      </c>
      <c r="L671" s="34">
        <f t="shared" si="52"/>
        <v>0</v>
      </c>
      <c r="M671" s="34">
        <f t="shared" si="50"/>
        <v>0</v>
      </c>
    </row>
    <row r="672" spans="5:13" x14ac:dyDescent="0.25">
      <c r="E672" s="32">
        <f t="shared" si="53"/>
        <v>0</v>
      </c>
      <c r="I672" s="32">
        <f t="shared" si="54"/>
        <v>0</v>
      </c>
      <c r="K672" s="31">
        <f t="shared" si="51"/>
        <v>0</v>
      </c>
      <c r="L672" s="34">
        <f t="shared" si="52"/>
        <v>0</v>
      </c>
      <c r="M672" s="34">
        <f t="shared" si="50"/>
        <v>0</v>
      </c>
    </row>
    <row r="673" spans="5:13" x14ac:dyDescent="0.25">
      <c r="E673" s="32">
        <f t="shared" si="53"/>
        <v>0</v>
      </c>
      <c r="I673" s="32">
        <f t="shared" si="54"/>
        <v>0</v>
      </c>
      <c r="K673" s="31">
        <f t="shared" si="51"/>
        <v>0</v>
      </c>
      <c r="L673" s="34">
        <f t="shared" si="52"/>
        <v>0</v>
      </c>
      <c r="M673" s="34">
        <f t="shared" si="50"/>
        <v>0</v>
      </c>
    </row>
    <row r="674" spans="5:13" x14ac:dyDescent="0.25">
      <c r="E674" s="32">
        <f t="shared" si="53"/>
        <v>0</v>
      </c>
      <c r="I674" s="32">
        <f t="shared" si="54"/>
        <v>0</v>
      </c>
      <c r="K674" s="31">
        <f t="shared" si="51"/>
        <v>0</v>
      </c>
      <c r="L674" s="34">
        <f t="shared" si="52"/>
        <v>0</v>
      </c>
      <c r="M674" s="34">
        <f t="shared" si="50"/>
        <v>0</v>
      </c>
    </row>
    <row r="675" spans="5:13" x14ac:dyDescent="0.25">
      <c r="E675" s="32">
        <f t="shared" si="53"/>
        <v>0</v>
      </c>
      <c r="I675" s="32">
        <f t="shared" si="54"/>
        <v>0</v>
      </c>
      <c r="K675" s="31">
        <f t="shared" si="51"/>
        <v>0</v>
      </c>
      <c r="L675" s="34">
        <f t="shared" si="52"/>
        <v>0</v>
      </c>
      <c r="M675" s="34">
        <f t="shared" si="50"/>
        <v>0</v>
      </c>
    </row>
    <row r="676" spans="5:13" x14ac:dyDescent="0.25">
      <c r="E676" s="32">
        <f t="shared" si="53"/>
        <v>0</v>
      </c>
      <c r="I676" s="32">
        <f t="shared" si="54"/>
        <v>0</v>
      </c>
      <c r="K676" s="31">
        <f t="shared" si="51"/>
        <v>0</v>
      </c>
      <c r="L676" s="34">
        <f t="shared" si="52"/>
        <v>0</v>
      </c>
      <c r="M676" s="34">
        <f t="shared" si="50"/>
        <v>0</v>
      </c>
    </row>
    <row r="677" spans="5:13" x14ac:dyDescent="0.25">
      <c r="E677" s="32">
        <f t="shared" si="53"/>
        <v>0</v>
      </c>
      <c r="I677" s="32">
        <f t="shared" si="54"/>
        <v>0</v>
      </c>
      <c r="K677" s="31">
        <f t="shared" si="51"/>
        <v>0</v>
      </c>
      <c r="L677" s="34">
        <f t="shared" si="52"/>
        <v>0</v>
      </c>
      <c r="M677" s="34">
        <f t="shared" si="50"/>
        <v>0</v>
      </c>
    </row>
    <row r="678" spans="5:13" x14ac:dyDescent="0.25">
      <c r="E678" s="32">
        <f t="shared" si="53"/>
        <v>0</v>
      </c>
      <c r="I678" s="32">
        <f t="shared" si="54"/>
        <v>0</v>
      </c>
      <c r="K678" s="31">
        <f t="shared" si="51"/>
        <v>0</v>
      </c>
      <c r="L678" s="34">
        <f t="shared" si="52"/>
        <v>0</v>
      </c>
      <c r="M678" s="34">
        <f t="shared" si="50"/>
        <v>0</v>
      </c>
    </row>
    <row r="679" spans="5:13" x14ac:dyDescent="0.25">
      <c r="E679" s="32">
        <f t="shared" si="53"/>
        <v>0</v>
      </c>
      <c r="I679" s="32">
        <f t="shared" si="54"/>
        <v>0</v>
      </c>
      <c r="K679" s="31">
        <f t="shared" si="51"/>
        <v>0</v>
      </c>
      <c r="L679" s="34">
        <f t="shared" si="52"/>
        <v>0</v>
      </c>
      <c r="M679" s="34">
        <f t="shared" si="50"/>
        <v>0</v>
      </c>
    </row>
    <row r="680" spans="5:13" x14ac:dyDescent="0.25">
      <c r="E680" s="32">
        <f t="shared" si="53"/>
        <v>0</v>
      </c>
      <c r="I680" s="32">
        <f t="shared" si="54"/>
        <v>0</v>
      </c>
      <c r="K680" s="31">
        <f t="shared" si="51"/>
        <v>0</v>
      </c>
      <c r="L680" s="34">
        <f t="shared" si="52"/>
        <v>0</v>
      </c>
      <c r="M680" s="34">
        <f t="shared" si="50"/>
        <v>0</v>
      </c>
    </row>
    <row r="681" spans="5:13" x14ac:dyDescent="0.25">
      <c r="E681" s="32">
        <f t="shared" si="53"/>
        <v>0</v>
      </c>
      <c r="I681" s="32">
        <f t="shared" si="54"/>
        <v>0</v>
      </c>
      <c r="K681" s="31">
        <f t="shared" si="51"/>
        <v>0</v>
      </c>
      <c r="L681" s="34">
        <f t="shared" si="52"/>
        <v>0</v>
      </c>
      <c r="M681" s="34">
        <f t="shared" si="50"/>
        <v>0</v>
      </c>
    </row>
    <row r="682" spans="5:13" x14ac:dyDescent="0.25">
      <c r="E682" s="32">
        <f t="shared" si="53"/>
        <v>0</v>
      </c>
      <c r="I682" s="32">
        <f t="shared" si="54"/>
        <v>0</v>
      </c>
      <c r="K682" s="31">
        <f t="shared" si="51"/>
        <v>0</v>
      </c>
      <c r="L682" s="34">
        <f t="shared" si="52"/>
        <v>0</v>
      </c>
      <c r="M682" s="34">
        <f t="shared" si="50"/>
        <v>0</v>
      </c>
    </row>
    <row r="683" spans="5:13" x14ac:dyDescent="0.25">
      <c r="E683" s="32">
        <f t="shared" si="53"/>
        <v>0</v>
      </c>
      <c r="I683" s="32">
        <f t="shared" si="54"/>
        <v>0</v>
      </c>
      <c r="K683" s="31">
        <f t="shared" si="51"/>
        <v>0</v>
      </c>
      <c r="L683" s="34">
        <f t="shared" si="52"/>
        <v>0</v>
      </c>
      <c r="M683" s="34">
        <f t="shared" si="50"/>
        <v>0</v>
      </c>
    </row>
    <row r="684" spans="5:13" x14ac:dyDescent="0.25">
      <c r="E684" s="32">
        <f t="shared" si="53"/>
        <v>0</v>
      </c>
      <c r="I684" s="32">
        <f t="shared" si="54"/>
        <v>0</v>
      </c>
      <c r="K684" s="31">
        <f t="shared" si="51"/>
        <v>0</v>
      </c>
      <c r="L684" s="34">
        <f t="shared" si="52"/>
        <v>0</v>
      </c>
      <c r="M684" s="34">
        <f t="shared" si="50"/>
        <v>0</v>
      </c>
    </row>
    <row r="685" spans="5:13" x14ac:dyDescent="0.25">
      <c r="E685" s="32">
        <f t="shared" si="53"/>
        <v>0</v>
      </c>
      <c r="I685" s="32">
        <f t="shared" si="54"/>
        <v>0</v>
      </c>
      <c r="K685" s="31">
        <f t="shared" si="51"/>
        <v>0</v>
      </c>
      <c r="L685" s="34">
        <f t="shared" si="52"/>
        <v>0</v>
      </c>
      <c r="M685" s="34">
        <f t="shared" si="50"/>
        <v>0</v>
      </c>
    </row>
    <row r="686" spans="5:13" x14ac:dyDescent="0.25">
      <c r="E686" s="32">
        <f t="shared" si="53"/>
        <v>0</v>
      </c>
      <c r="I686" s="32">
        <f t="shared" si="54"/>
        <v>0</v>
      </c>
      <c r="K686" s="31">
        <f t="shared" si="51"/>
        <v>0</v>
      </c>
      <c r="L686" s="34">
        <f t="shared" si="52"/>
        <v>0</v>
      </c>
      <c r="M686" s="34">
        <f t="shared" si="50"/>
        <v>0</v>
      </c>
    </row>
    <row r="687" spans="5:13" x14ac:dyDescent="0.25">
      <c r="E687" s="32">
        <f t="shared" si="53"/>
        <v>0</v>
      </c>
      <c r="I687" s="32">
        <f t="shared" si="54"/>
        <v>0</v>
      </c>
      <c r="K687" s="31">
        <f t="shared" si="51"/>
        <v>0</v>
      </c>
      <c r="L687" s="34">
        <f t="shared" si="52"/>
        <v>0</v>
      </c>
      <c r="M687" s="34">
        <f t="shared" si="50"/>
        <v>0</v>
      </c>
    </row>
    <row r="688" spans="5:13" x14ac:dyDescent="0.25">
      <c r="E688" s="32">
        <f t="shared" si="53"/>
        <v>0</v>
      </c>
      <c r="I688" s="32">
        <f t="shared" si="54"/>
        <v>0</v>
      </c>
      <c r="K688" s="31">
        <f t="shared" si="51"/>
        <v>0</v>
      </c>
      <c r="L688" s="34">
        <f t="shared" si="52"/>
        <v>0</v>
      </c>
      <c r="M688" s="34">
        <f t="shared" si="50"/>
        <v>0</v>
      </c>
    </row>
    <row r="689" spans="5:13" x14ac:dyDescent="0.25">
      <c r="E689" s="32">
        <f t="shared" si="53"/>
        <v>0</v>
      </c>
      <c r="I689" s="32">
        <f t="shared" si="54"/>
        <v>0</v>
      </c>
      <c r="K689" s="31">
        <f t="shared" si="51"/>
        <v>0</v>
      </c>
      <c r="L689" s="34">
        <f t="shared" si="52"/>
        <v>0</v>
      </c>
      <c r="M689" s="34">
        <f t="shared" si="50"/>
        <v>0</v>
      </c>
    </row>
    <row r="690" spans="5:13" x14ac:dyDescent="0.25">
      <c r="E690" s="32">
        <f t="shared" si="53"/>
        <v>0</v>
      </c>
      <c r="I690" s="32">
        <f t="shared" si="54"/>
        <v>0</v>
      </c>
      <c r="K690" s="31">
        <f t="shared" si="51"/>
        <v>0</v>
      </c>
      <c r="L690" s="34">
        <f t="shared" si="52"/>
        <v>0</v>
      </c>
      <c r="M690" s="34">
        <f t="shared" si="50"/>
        <v>0</v>
      </c>
    </row>
    <row r="691" spans="5:13" x14ac:dyDescent="0.25">
      <c r="E691" s="32">
        <f t="shared" si="53"/>
        <v>0</v>
      </c>
      <c r="I691" s="32">
        <f t="shared" si="54"/>
        <v>0</v>
      </c>
      <c r="K691" s="31">
        <f t="shared" si="51"/>
        <v>0</v>
      </c>
      <c r="L691" s="34">
        <f t="shared" si="52"/>
        <v>0</v>
      </c>
      <c r="M691" s="34">
        <f t="shared" si="50"/>
        <v>0</v>
      </c>
    </row>
    <row r="692" spans="5:13" x14ac:dyDescent="0.25">
      <c r="E692" s="32">
        <f t="shared" si="53"/>
        <v>0</v>
      </c>
      <c r="I692" s="32">
        <f t="shared" si="54"/>
        <v>0</v>
      </c>
      <c r="K692" s="31">
        <f t="shared" si="51"/>
        <v>0</v>
      </c>
      <c r="L692" s="34">
        <f t="shared" si="52"/>
        <v>0</v>
      </c>
      <c r="M692" s="34">
        <f t="shared" si="50"/>
        <v>0</v>
      </c>
    </row>
    <row r="693" spans="5:13" x14ac:dyDescent="0.25">
      <c r="E693" s="32">
        <f t="shared" si="53"/>
        <v>0</v>
      </c>
      <c r="I693" s="32">
        <f t="shared" si="54"/>
        <v>0</v>
      </c>
      <c r="K693" s="31">
        <f t="shared" si="51"/>
        <v>0</v>
      </c>
      <c r="L693" s="34">
        <f t="shared" si="52"/>
        <v>0</v>
      </c>
      <c r="M693" s="34">
        <f t="shared" si="50"/>
        <v>0</v>
      </c>
    </row>
    <row r="694" spans="5:13" x14ac:dyDescent="0.25">
      <c r="E694" s="32">
        <f t="shared" si="53"/>
        <v>0</v>
      </c>
      <c r="I694" s="32">
        <f t="shared" si="54"/>
        <v>0</v>
      </c>
      <c r="K694" s="31">
        <f t="shared" si="51"/>
        <v>0</v>
      </c>
      <c r="L694" s="34">
        <f t="shared" si="52"/>
        <v>0</v>
      </c>
      <c r="M694" s="34">
        <f t="shared" si="50"/>
        <v>0</v>
      </c>
    </row>
    <row r="695" spans="5:13" x14ac:dyDescent="0.25">
      <c r="E695" s="32">
        <f t="shared" si="53"/>
        <v>0</v>
      </c>
      <c r="I695" s="32">
        <f t="shared" si="54"/>
        <v>0</v>
      </c>
      <c r="K695" s="31">
        <f t="shared" si="51"/>
        <v>0</v>
      </c>
      <c r="L695" s="34">
        <f t="shared" si="52"/>
        <v>0</v>
      </c>
      <c r="M695" s="34">
        <f t="shared" si="50"/>
        <v>0</v>
      </c>
    </row>
    <row r="696" spans="5:13" x14ac:dyDescent="0.25">
      <c r="E696" s="32">
        <f t="shared" si="53"/>
        <v>0</v>
      </c>
      <c r="I696" s="32">
        <f t="shared" si="54"/>
        <v>0</v>
      </c>
      <c r="K696" s="31">
        <f t="shared" si="51"/>
        <v>0</v>
      </c>
      <c r="L696" s="34">
        <f t="shared" si="52"/>
        <v>0</v>
      </c>
      <c r="M696" s="34">
        <f t="shared" si="50"/>
        <v>0</v>
      </c>
    </row>
    <row r="697" spans="5:13" x14ac:dyDescent="0.25">
      <c r="E697" s="32">
        <f t="shared" si="53"/>
        <v>0</v>
      </c>
      <c r="I697" s="32">
        <f t="shared" si="54"/>
        <v>0</v>
      </c>
      <c r="K697" s="31">
        <f t="shared" si="51"/>
        <v>0</v>
      </c>
      <c r="L697" s="34">
        <f t="shared" si="52"/>
        <v>0</v>
      </c>
      <c r="M697" s="34">
        <f t="shared" si="50"/>
        <v>0</v>
      </c>
    </row>
    <row r="698" spans="5:13" x14ac:dyDescent="0.25">
      <c r="E698" s="32">
        <f t="shared" si="53"/>
        <v>0</v>
      </c>
      <c r="I698" s="32">
        <f t="shared" si="54"/>
        <v>0</v>
      </c>
      <c r="K698" s="31">
        <f t="shared" si="51"/>
        <v>0</v>
      </c>
      <c r="L698" s="34">
        <f t="shared" si="52"/>
        <v>0</v>
      </c>
      <c r="M698" s="34">
        <f t="shared" si="50"/>
        <v>0</v>
      </c>
    </row>
    <row r="699" spans="5:13" x14ac:dyDescent="0.25">
      <c r="E699" s="32">
        <f t="shared" si="53"/>
        <v>0</v>
      </c>
      <c r="I699" s="32">
        <f t="shared" si="54"/>
        <v>0</v>
      </c>
      <c r="K699" s="31">
        <f t="shared" si="51"/>
        <v>0</v>
      </c>
      <c r="L699" s="34">
        <f t="shared" si="52"/>
        <v>0</v>
      </c>
      <c r="M699" s="34">
        <f t="shared" si="50"/>
        <v>0</v>
      </c>
    </row>
    <row r="700" spans="5:13" x14ac:dyDescent="0.25">
      <c r="E700" s="32">
        <f t="shared" si="53"/>
        <v>0</v>
      </c>
      <c r="I700" s="32">
        <f t="shared" si="54"/>
        <v>0</v>
      </c>
      <c r="K700" s="31">
        <f t="shared" si="51"/>
        <v>0</v>
      </c>
      <c r="L700" s="34">
        <f t="shared" si="52"/>
        <v>0</v>
      </c>
      <c r="M700" s="34">
        <f t="shared" si="50"/>
        <v>0</v>
      </c>
    </row>
    <row r="701" spans="5:13" x14ac:dyDescent="0.25">
      <c r="E701" s="32">
        <f t="shared" si="53"/>
        <v>0</v>
      </c>
      <c r="I701" s="32">
        <f t="shared" si="54"/>
        <v>0</v>
      </c>
      <c r="K701" s="31">
        <f t="shared" si="51"/>
        <v>0</v>
      </c>
      <c r="L701" s="34">
        <f t="shared" si="52"/>
        <v>0</v>
      </c>
      <c r="M701" s="34">
        <f t="shared" si="50"/>
        <v>0</v>
      </c>
    </row>
    <row r="702" spans="5:13" x14ac:dyDescent="0.25">
      <c r="E702" s="32">
        <f t="shared" si="53"/>
        <v>0</v>
      </c>
      <c r="I702" s="32">
        <f t="shared" si="54"/>
        <v>0</v>
      </c>
      <c r="K702" s="31">
        <f t="shared" si="51"/>
        <v>0</v>
      </c>
      <c r="L702" s="34">
        <f t="shared" si="52"/>
        <v>0</v>
      </c>
      <c r="M702" s="34">
        <f t="shared" si="50"/>
        <v>0</v>
      </c>
    </row>
    <row r="703" spans="5:13" x14ac:dyDescent="0.25">
      <c r="E703" s="32">
        <f t="shared" si="53"/>
        <v>0</v>
      </c>
      <c r="I703" s="32">
        <f t="shared" si="54"/>
        <v>0</v>
      </c>
      <c r="K703" s="31">
        <f t="shared" si="51"/>
        <v>0</v>
      </c>
      <c r="L703" s="34">
        <f t="shared" si="52"/>
        <v>0</v>
      </c>
      <c r="M703" s="34">
        <f t="shared" si="50"/>
        <v>0</v>
      </c>
    </row>
    <row r="704" spans="5:13" x14ac:dyDescent="0.25">
      <c r="E704" s="32">
        <f t="shared" si="53"/>
        <v>0</v>
      </c>
      <c r="I704" s="32">
        <f t="shared" si="54"/>
        <v>0</v>
      </c>
      <c r="K704" s="31">
        <f t="shared" si="51"/>
        <v>0</v>
      </c>
      <c r="L704" s="34">
        <f t="shared" si="52"/>
        <v>0</v>
      </c>
      <c r="M704" s="34">
        <f t="shared" si="50"/>
        <v>0</v>
      </c>
    </row>
    <row r="705" spans="5:13" x14ac:dyDescent="0.25">
      <c r="E705" s="32">
        <f t="shared" si="53"/>
        <v>0</v>
      </c>
      <c r="I705" s="32">
        <f t="shared" si="54"/>
        <v>0</v>
      </c>
      <c r="K705" s="31">
        <f t="shared" si="51"/>
        <v>0</v>
      </c>
      <c r="L705" s="34">
        <f t="shared" si="52"/>
        <v>0</v>
      </c>
      <c r="M705" s="34">
        <f t="shared" si="50"/>
        <v>0</v>
      </c>
    </row>
    <row r="706" spans="5:13" x14ac:dyDescent="0.25">
      <c r="E706" s="32">
        <f t="shared" si="53"/>
        <v>0</v>
      </c>
      <c r="I706" s="32">
        <f t="shared" si="54"/>
        <v>0</v>
      </c>
      <c r="K706" s="31">
        <f t="shared" si="51"/>
        <v>0</v>
      </c>
      <c r="L706" s="34">
        <f t="shared" si="52"/>
        <v>0</v>
      </c>
      <c r="M706" s="34">
        <f t="shared" si="50"/>
        <v>0</v>
      </c>
    </row>
    <row r="707" spans="5:13" x14ac:dyDescent="0.25">
      <c r="E707" s="32">
        <f t="shared" si="53"/>
        <v>0</v>
      </c>
      <c r="I707" s="32">
        <f t="shared" si="54"/>
        <v>0</v>
      </c>
      <c r="K707" s="31">
        <f t="shared" si="51"/>
        <v>0</v>
      </c>
      <c r="L707" s="34">
        <f t="shared" si="52"/>
        <v>0</v>
      </c>
      <c r="M707" s="34">
        <f t="shared" si="50"/>
        <v>0</v>
      </c>
    </row>
    <row r="708" spans="5:13" x14ac:dyDescent="0.25">
      <c r="E708" s="32">
        <f t="shared" si="53"/>
        <v>0</v>
      </c>
      <c r="I708" s="32">
        <f t="shared" si="54"/>
        <v>0</v>
      </c>
      <c r="K708" s="31">
        <f t="shared" si="51"/>
        <v>0</v>
      </c>
      <c r="L708" s="34">
        <f t="shared" si="52"/>
        <v>0</v>
      </c>
      <c r="M708" s="34">
        <f t="shared" ref="M708:M771" si="55">(L708/27)*4</f>
        <v>0</v>
      </c>
    </row>
    <row r="709" spans="5:13" x14ac:dyDescent="0.25">
      <c r="E709" s="32">
        <f t="shared" si="53"/>
        <v>0</v>
      </c>
      <c r="I709" s="32">
        <f t="shared" si="54"/>
        <v>0</v>
      </c>
      <c r="K709" s="31">
        <f t="shared" ref="K709:K772" si="56">B709/30</f>
        <v>0</v>
      </c>
      <c r="L709" s="34">
        <f t="shared" ref="L709:L772" si="57">IF(J709="S",((I709*24)*K709)*2,((I709*24)*K709)*1.5)</f>
        <v>0</v>
      </c>
      <c r="M709" s="34">
        <f t="shared" si="55"/>
        <v>0</v>
      </c>
    </row>
    <row r="710" spans="5:13" x14ac:dyDescent="0.25">
      <c r="E710" s="32">
        <f t="shared" ref="E710:E773" si="58">D710-C710</f>
        <v>0</v>
      </c>
      <c r="I710" s="32">
        <f t="shared" ref="I710:I773" si="59">H710-G710</f>
        <v>0</v>
      </c>
      <c r="K710" s="31">
        <f t="shared" si="56"/>
        <v>0</v>
      </c>
      <c r="L710" s="34">
        <f t="shared" si="57"/>
        <v>0</v>
      </c>
      <c r="M710" s="34">
        <f t="shared" si="55"/>
        <v>0</v>
      </c>
    </row>
    <row r="711" spans="5:13" x14ac:dyDescent="0.25">
      <c r="E711" s="32">
        <f t="shared" si="58"/>
        <v>0</v>
      </c>
      <c r="I711" s="32">
        <f t="shared" si="59"/>
        <v>0</v>
      </c>
      <c r="K711" s="31">
        <f t="shared" si="56"/>
        <v>0</v>
      </c>
      <c r="L711" s="34">
        <f t="shared" si="57"/>
        <v>0</v>
      </c>
      <c r="M711" s="34">
        <f t="shared" si="55"/>
        <v>0</v>
      </c>
    </row>
    <row r="712" spans="5:13" x14ac:dyDescent="0.25">
      <c r="E712" s="32">
        <f t="shared" si="58"/>
        <v>0</v>
      </c>
      <c r="I712" s="32">
        <f t="shared" si="59"/>
        <v>0</v>
      </c>
      <c r="K712" s="31">
        <f t="shared" si="56"/>
        <v>0</v>
      </c>
      <c r="L712" s="34">
        <f t="shared" si="57"/>
        <v>0</v>
      </c>
      <c r="M712" s="34">
        <f t="shared" si="55"/>
        <v>0</v>
      </c>
    </row>
    <row r="713" spans="5:13" x14ac:dyDescent="0.25">
      <c r="E713" s="32">
        <f t="shared" si="58"/>
        <v>0</v>
      </c>
      <c r="I713" s="32">
        <f t="shared" si="59"/>
        <v>0</v>
      </c>
      <c r="K713" s="31">
        <f t="shared" si="56"/>
        <v>0</v>
      </c>
      <c r="L713" s="34">
        <f t="shared" si="57"/>
        <v>0</v>
      </c>
      <c r="M713" s="34">
        <f t="shared" si="55"/>
        <v>0</v>
      </c>
    </row>
    <row r="714" spans="5:13" x14ac:dyDescent="0.25">
      <c r="E714" s="32">
        <f t="shared" si="58"/>
        <v>0</v>
      </c>
      <c r="I714" s="32">
        <f t="shared" si="59"/>
        <v>0</v>
      </c>
      <c r="K714" s="31">
        <f t="shared" si="56"/>
        <v>0</v>
      </c>
      <c r="L714" s="34">
        <f t="shared" si="57"/>
        <v>0</v>
      </c>
      <c r="M714" s="34">
        <f t="shared" si="55"/>
        <v>0</v>
      </c>
    </row>
    <row r="715" spans="5:13" x14ac:dyDescent="0.25">
      <c r="E715" s="32">
        <f t="shared" si="58"/>
        <v>0</v>
      </c>
      <c r="I715" s="32">
        <f t="shared" si="59"/>
        <v>0</v>
      </c>
      <c r="K715" s="31">
        <f t="shared" si="56"/>
        <v>0</v>
      </c>
      <c r="L715" s="34">
        <f t="shared" si="57"/>
        <v>0</v>
      </c>
      <c r="M715" s="34">
        <f t="shared" si="55"/>
        <v>0</v>
      </c>
    </row>
    <row r="716" spans="5:13" x14ac:dyDescent="0.25">
      <c r="E716" s="32">
        <f t="shared" si="58"/>
        <v>0</v>
      </c>
      <c r="I716" s="32">
        <f t="shared" si="59"/>
        <v>0</v>
      </c>
      <c r="K716" s="31">
        <f t="shared" si="56"/>
        <v>0</v>
      </c>
      <c r="L716" s="34">
        <f t="shared" si="57"/>
        <v>0</v>
      </c>
      <c r="M716" s="34">
        <f t="shared" si="55"/>
        <v>0</v>
      </c>
    </row>
    <row r="717" spans="5:13" x14ac:dyDescent="0.25">
      <c r="E717" s="32">
        <f t="shared" si="58"/>
        <v>0</v>
      </c>
      <c r="I717" s="32">
        <f t="shared" si="59"/>
        <v>0</v>
      </c>
      <c r="K717" s="31">
        <f t="shared" si="56"/>
        <v>0</v>
      </c>
      <c r="L717" s="34">
        <f t="shared" si="57"/>
        <v>0</v>
      </c>
      <c r="M717" s="34">
        <f t="shared" si="55"/>
        <v>0</v>
      </c>
    </row>
    <row r="718" spans="5:13" x14ac:dyDescent="0.25">
      <c r="E718" s="32">
        <f t="shared" si="58"/>
        <v>0</v>
      </c>
      <c r="I718" s="32">
        <f t="shared" si="59"/>
        <v>0</v>
      </c>
      <c r="K718" s="31">
        <f t="shared" si="56"/>
        <v>0</v>
      </c>
      <c r="L718" s="34">
        <f t="shared" si="57"/>
        <v>0</v>
      </c>
      <c r="M718" s="34">
        <f t="shared" si="55"/>
        <v>0</v>
      </c>
    </row>
    <row r="719" spans="5:13" x14ac:dyDescent="0.25">
      <c r="E719" s="32">
        <f t="shared" si="58"/>
        <v>0</v>
      </c>
      <c r="I719" s="32">
        <f t="shared" si="59"/>
        <v>0</v>
      </c>
      <c r="K719" s="31">
        <f t="shared" si="56"/>
        <v>0</v>
      </c>
      <c r="L719" s="34">
        <f t="shared" si="57"/>
        <v>0</v>
      </c>
      <c r="M719" s="34">
        <f t="shared" si="55"/>
        <v>0</v>
      </c>
    </row>
    <row r="720" spans="5:13" x14ac:dyDescent="0.25">
      <c r="E720" s="32">
        <f t="shared" si="58"/>
        <v>0</v>
      </c>
      <c r="I720" s="32">
        <f t="shared" si="59"/>
        <v>0</v>
      </c>
      <c r="K720" s="31">
        <f t="shared" si="56"/>
        <v>0</v>
      </c>
      <c r="L720" s="34">
        <f t="shared" si="57"/>
        <v>0</v>
      </c>
      <c r="M720" s="34">
        <f t="shared" si="55"/>
        <v>0</v>
      </c>
    </row>
    <row r="721" spans="5:13" x14ac:dyDescent="0.25">
      <c r="E721" s="32">
        <f t="shared" si="58"/>
        <v>0</v>
      </c>
      <c r="I721" s="32">
        <f t="shared" si="59"/>
        <v>0</v>
      </c>
      <c r="K721" s="31">
        <f t="shared" si="56"/>
        <v>0</v>
      </c>
      <c r="L721" s="34">
        <f t="shared" si="57"/>
        <v>0</v>
      </c>
      <c r="M721" s="34">
        <f t="shared" si="55"/>
        <v>0</v>
      </c>
    </row>
    <row r="722" spans="5:13" x14ac:dyDescent="0.25">
      <c r="E722" s="32">
        <f t="shared" si="58"/>
        <v>0</v>
      </c>
      <c r="I722" s="32">
        <f t="shared" si="59"/>
        <v>0</v>
      </c>
      <c r="K722" s="31">
        <f t="shared" si="56"/>
        <v>0</v>
      </c>
      <c r="L722" s="34">
        <f t="shared" si="57"/>
        <v>0</v>
      </c>
      <c r="M722" s="34">
        <f t="shared" si="55"/>
        <v>0</v>
      </c>
    </row>
    <row r="723" spans="5:13" x14ac:dyDescent="0.25">
      <c r="E723" s="32">
        <f t="shared" si="58"/>
        <v>0</v>
      </c>
      <c r="I723" s="32">
        <f t="shared" si="59"/>
        <v>0</v>
      </c>
      <c r="K723" s="31">
        <f t="shared" si="56"/>
        <v>0</v>
      </c>
      <c r="L723" s="34">
        <f t="shared" si="57"/>
        <v>0</v>
      </c>
      <c r="M723" s="34">
        <f t="shared" si="55"/>
        <v>0</v>
      </c>
    </row>
    <row r="724" spans="5:13" x14ac:dyDescent="0.25">
      <c r="E724" s="32">
        <f t="shared" si="58"/>
        <v>0</v>
      </c>
      <c r="I724" s="32">
        <f t="shared" si="59"/>
        <v>0</v>
      </c>
      <c r="K724" s="31">
        <f t="shared" si="56"/>
        <v>0</v>
      </c>
      <c r="L724" s="34">
        <f t="shared" si="57"/>
        <v>0</v>
      </c>
      <c r="M724" s="34">
        <f t="shared" si="55"/>
        <v>0</v>
      </c>
    </row>
    <row r="725" spans="5:13" x14ac:dyDescent="0.25">
      <c r="E725" s="32">
        <f t="shared" si="58"/>
        <v>0</v>
      </c>
      <c r="I725" s="32">
        <f t="shared" si="59"/>
        <v>0</v>
      </c>
      <c r="K725" s="31">
        <f t="shared" si="56"/>
        <v>0</v>
      </c>
      <c r="L725" s="34">
        <f t="shared" si="57"/>
        <v>0</v>
      </c>
      <c r="M725" s="34">
        <f t="shared" si="55"/>
        <v>0</v>
      </c>
    </row>
    <row r="726" spans="5:13" x14ac:dyDescent="0.25">
      <c r="E726" s="32">
        <f t="shared" si="58"/>
        <v>0</v>
      </c>
      <c r="I726" s="32">
        <f t="shared" si="59"/>
        <v>0</v>
      </c>
      <c r="K726" s="31">
        <f t="shared" si="56"/>
        <v>0</v>
      </c>
      <c r="L726" s="34">
        <f t="shared" si="57"/>
        <v>0</v>
      </c>
      <c r="M726" s="34">
        <f t="shared" si="55"/>
        <v>0</v>
      </c>
    </row>
    <row r="727" spans="5:13" x14ac:dyDescent="0.25">
      <c r="E727" s="32">
        <f t="shared" si="58"/>
        <v>0</v>
      </c>
      <c r="I727" s="32">
        <f t="shared" si="59"/>
        <v>0</v>
      </c>
      <c r="K727" s="31">
        <f t="shared" si="56"/>
        <v>0</v>
      </c>
      <c r="L727" s="34">
        <f t="shared" si="57"/>
        <v>0</v>
      </c>
      <c r="M727" s="34">
        <f t="shared" si="55"/>
        <v>0</v>
      </c>
    </row>
    <row r="728" spans="5:13" x14ac:dyDescent="0.25">
      <c r="E728" s="32">
        <f t="shared" si="58"/>
        <v>0</v>
      </c>
      <c r="I728" s="32">
        <f t="shared" si="59"/>
        <v>0</v>
      </c>
      <c r="K728" s="31">
        <f t="shared" si="56"/>
        <v>0</v>
      </c>
      <c r="L728" s="34">
        <f t="shared" si="57"/>
        <v>0</v>
      </c>
      <c r="M728" s="34">
        <f t="shared" si="55"/>
        <v>0</v>
      </c>
    </row>
    <row r="729" spans="5:13" x14ac:dyDescent="0.25">
      <c r="E729" s="32">
        <f t="shared" si="58"/>
        <v>0</v>
      </c>
      <c r="I729" s="32">
        <f t="shared" si="59"/>
        <v>0</v>
      </c>
      <c r="K729" s="31">
        <f t="shared" si="56"/>
        <v>0</v>
      </c>
      <c r="L729" s="34">
        <f t="shared" si="57"/>
        <v>0</v>
      </c>
      <c r="M729" s="34">
        <f t="shared" si="55"/>
        <v>0</v>
      </c>
    </row>
    <row r="730" spans="5:13" x14ac:dyDescent="0.25">
      <c r="E730" s="32">
        <f t="shared" si="58"/>
        <v>0</v>
      </c>
      <c r="I730" s="32">
        <f t="shared" si="59"/>
        <v>0</v>
      </c>
      <c r="K730" s="31">
        <f t="shared" si="56"/>
        <v>0</v>
      </c>
      <c r="L730" s="34">
        <f t="shared" si="57"/>
        <v>0</v>
      </c>
      <c r="M730" s="34">
        <f t="shared" si="55"/>
        <v>0</v>
      </c>
    </row>
    <row r="731" spans="5:13" x14ac:dyDescent="0.25">
      <c r="E731" s="32">
        <f t="shared" si="58"/>
        <v>0</v>
      </c>
      <c r="I731" s="32">
        <f t="shared" si="59"/>
        <v>0</v>
      </c>
      <c r="K731" s="31">
        <f t="shared" si="56"/>
        <v>0</v>
      </c>
      <c r="L731" s="34">
        <f t="shared" si="57"/>
        <v>0</v>
      </c>
      <c r="M731" s="34">
        <f t="shared" si="55"/>
        <v>0</v>
      </c>
    </row>
    <row r="732" spans="5:13" x14ac:dyDescent="0.25">
      <c r="E732" s="32">
        <f t="shared" si="58"/>
        <v>0</v>
      </c>
      <c r="I732" s="32">
        <f t="shared" si="59"/>
        <v>0</v>
      </c>
      <c r="K732" s="31">
        <f t="shared" si="56"/>
        <v>0</v>
      </c>
      <c r="L732" s="34">
        <f t="shared" si="57"/>
        <v>0</v>
      </c>
      <c r="M732" s="34">
        <f t="shared" si="55"/>
        <v>0</v>
      </c>
    </row>
    <row r="733" spans="5:13" x14ac:dyDescent="0.25">
      <c r="E733" s="32">
        <f t="shared" si="58"/>
        <v>0</v>
      </c>
      <c r="I733" s="32">
        <f t="shared" si="59"/>
        <v>0</v>
      </c>
      <c r="K733" s="31">
        <f t="shared" si="56"/>
        <v>0</v>
      </c>
      <c r="L733" s="34">
        <f t="shared" si="57"/>
        <v>0</v>
      </c>
      <c r="M733" s="34">
        <f t="shared" si="55"/>
        <v>0</v>
      </c>
    </row>
    <row r="734" spans="5:13" x14ac:dyDescent="0.25">
      <c r="E734" s="32">
        <f t="shared" si="58"/>
        <v>0</v>
      </c>
      <c r="I734" s="32">
        <f t="shared" si="59"/>
        <v>0</v>
      </c>
      <c r="K734" s="31">
        <f t="shared" si="56"/>
        <v>0</v>
      </c>
      <c r="L734" s="34">
        <f t="shared" si="57"/>
        <v>0</v>
      </c>
      <c r="M734" s="34">
        <f t="shared" si="55"/>
        <v>0</v>
      </c>
    </row>
    <row r="735" spans="5:13" x14ac:dyDescent="0.25">
      <c r="E735" s="32">
        <f t="shared" si="58"/>
        <v>0</v>
      </c>
      <c r="I735" s="32">
        <f t="shared" si="59"/>
        <v>0</v>
      </c>
      <c r="K735" s="31">
        <f t="shared" si="56"/>
        <v>0</v>
      </c>
      <c r="L735" s="34">
        <f t="shared" si="57"/>
        <v>0</v>
      </c>
      <c r="M735" s="34">
        <f t="shared" si="55"/>
        <v>0</v>
      </c>
    </row>
    <row r="736" spans="5:13" x14ac:dyDescent="0.25">
      <c r="E736" s="32">
        <f t="shared" si="58"/>
        <v>0</v>
      </c>
      <c r="I736" s="32">
        <f t="shared" si="59"/>
        <v>0</v>
      </c>
      <c r="K736" s="31">
        <f t="shared" si="56"/>
        <v>0</v>
      </c>
      <c r="L736" s="34">
        <f t="shared" si="57"/>
        <v>0</v>
      </c>
      <c r="M736" s="34">
        <f t="shared" si="55"/>
        <v>0</v>
      </c>
    </row>
    <row r="737" spans="5:13" x14ac:dyDescent="0.25">
      <c r="E737" s="32">
        <f t="shared" si="58"/>
        <v>0</v>
      </c>
      <c r="I737" s="32">
        <f t="shared" si="59"/>
        <v>0</v>
      </c>
      <c r="K737" s="31">
        <f t="shared" si="56"/>
        <v>0</v>
      </c>
      <c r="L737" s="34">
        <f t="shared" si="57"/>
        <v>0</v>
      </c>
      <c r="M737" s="34">
        <f t="shared" si="55"/>
        <v>0</v>
      </c>
    </row>
    <row r="738" spans="5:13" x14ac:dyDescent="0.25">
      <c r="E738" s="32">
        <f t="shared" si="58"/>
        <v>0</v>
      </c>
      <c r="I738" s="32">
        <f t="shared" si="59"/>
        <v>0</v>
      </c>
      <c r="K738" s="31">
        <f t="shared" si="56"/>
        <v>0</v>
      </c>
      <c r="L738" s="34">
        <f t="shared" si="57"/>
        <v>0</v>
      </c>
      <c r="M738" s="34">
        <f t="shared" si="55"/>
        <v>0</v>
      </c>
    </row>
    <row r="739" spans="5:13" x14ac:dyDescent="0.25">
      <c r="E739" s="32">
        <f t="shared" si="58"/>
        <v>0</v>
      </c>
      <c r="I739" s="32">
        <f t="shared" si="59"/>
        <v>0</v>
      </c>
      <c r="K739" s="31">
        <f t="shared" si="56"/>
        <v>0</v>
      </c>
      <c r="L739" s="34">
        <f t="shared" si="57"/>
        <v>0</v>
      </c>
      <c r="M739" s="34">
        <f t="shared" si="55"/>
        <v>0</v>
      </c>
    </row>
    <row r="740" spans="5:13" x14ac:dyDescent="0.25">
      <c r="E740" s="32">
        <f t="shared" si="58"/>
        <v>0</v>
      </c>
      <c r="I740" s="32">
        <f t="shared" si="59"/>
        <v>0</v>
      </c>
      <c r="K740" s="31">
        <f t="shared" si="56"/>
        <v>0</v>
      </c>
      <c r="L740" s="34">
        <f t="shared" si="57"/>
        <v>0</v>
      </c>
      <c r="M740" s="34">
        <f t="shared" si="55"/>
        <v>0</v>
      </c>
    </row>
    <row r="741" spans="5:13" x14ac:dyDescent="0.25">
      <c r="E741" s="32">
        <f t="shared" si="58"/>
        <v>0</v>
      </c>
      <c r="I741" s="32">
        <f t="shared" si="59"/>
        <v>0</v>
      </c>
      <c r="K741" s="31">
        <f t="shared" si="56"/>
        <v>0</v>
      </c>
      <c r="L741" s="34">
        <f t="shared" si="57"/>
        <v>0</v>
      </c>
      <c r="M741" s="34">
        <f t="shared" si="55"/>
        <v>0</v>
      </c>
    </row>
    <row r="742" spans="5:13" x14ac:dyDescent="0.25">
      <c r="E742" s="32">
        <f t="shared" si="58"/>
        <v>0</v>
      </c>
      <c r="I742" s="32">
        <f t="shared" si="59"/>
        <v>0</v>
      </c>
      <c r="K742" s="31">
        <f t="shared" si="56"/>
        <v>0</v>
      </c>
      <c r="L742" s="34">
        <f t="shared" si="57"/>
        <v>0</v>
      </c>
      <c r="M742" s="34">
        <f t="shared" si="55"/>
        <v>0</v>
      </c>
    </row>
    <row r="743" spans="5:13" x14ac:dyDescent="0.25">
      <c r="E743" s="32">
        <f t="shared" si="58"/>
        <v>0</v>
      </c>
      <c r="I743" s="32">
        <f t="shared" si="59"/>
        <v>0</v>
      </c>
      <c r="K743" s="31">
        <f t="shared" si="56"/>
        <v>0</v>
      </c>
      <c r="L743" s="34">
        <f t="shared" si="57"/>
        <v>0</v>
      </c>
      <c r="M743" s="34">
        <f t="shared" si="55"/>
        <v>0</v>
      </c>
    </row>
    <row r="744" spans="5:13" x14ac:dyDescent="0.25">
      <c r="E744" s="32">
        <f t="shared" si="58"/>
        <v>0</v>
      </c>
      <c r="I744" s="32">
        <f t="shared" si="59"/>
        <v>0</v>
      </c>
      <c r="K744" s="31">
        <f t="shared" si="56"/>
        <v>0</v>
      </c>
      <c r="L744" s="34">
        <f t="shared" si="57"/>
        <v>0</v>
      </c>
      <c r="M744" s="34">
        <f t="shared" si="55"/>
        <v>0</v>
      </c>
    </row>
    <row r="745" spans="5:13" x14ac:dyDescent="0.25">
      <c r="E745" s="32">
        <f t="shared" si="58"/>
        <v>0</v>
      </c>
      <c r="I745" s="32">
        <f t="shared" si="59"/>
        <v>0</v>
      </c>
      <c r="K745" s="31">
        <f t="shared" si="56"/>
        <v>0</v>
      </c>
      <c r="L745" s="34">
        <f t="shared" si="57"/>
        <v>0</v>
      </c>
      <c r="M745" s="34">
        <f t="shared" si="55"/>
        <v>0</v>
      </c>
    </row>
    <row r="746" spans="5:13" x14ac:dyDescent="0.25">
      <c r="E746" s="32">
        <f t="shared" si="58"/>
        <v>0</v>
      </c>
      <c r="I746" s="32">
        <f t="shared" si="59"/>
        <v>0</v>
      </c>
      <c r="K746" s="31">
        <f t="shared" si="56"/>
        <v>0</v>
      </c>
      <c r="L746" s="34">
        <f t="shared" si="57"/>
        <v>0</v>
      </c>
      <c r="M746" s="34">
        <f t="shared" si="55"/>
        <v>0</v>
      </c>
    </row>
    <row r="747" spans="5:13" x14ac:dyDescent="0.25">
      <c r="E747" s="32">
        <f t="shared" si="58"/>
        <v>0</v>
      </c>
      <c r="I747" s="32">
        <f t="shared" si="59"/>
        <v>0</v>
      </c>
      <c r="K747" s="31">
        <f t="shared" si="56"/>
        <v>0</v>
      </c>
      <c r="L747" s="34">
        <f t="shared" si="57"/>
        <v>0</v>
      </c>
      <c r="M747" s="34">
        <f t="shared" si="55"/>
        <v>0</v>
      </c>
    </row>
    <row r="748" spans="5:13" x14ac:dyDescent="0.25">
      <c r="E748" s="32">
        <f t="shared" si="58"/>
        <v>0</v>
      </c>
      <c r="I748" s="32">
        <f t="shared" si="59"/>
        <v>0</v>
      </c>
      <c r="K748" s="31">
        <f t="shared" si="56"/>
        <v>0</v>
      </c>
      <c r="L748" s="34">
        <f t="shared" si="57"/>
        <v>0</v>
      </c>
      <c r="M748" s="34">
        <f t="shared" si="55"/>
        <v>0</v>
      </c>
    </row>
    <row r="749" spans="5:13" x14ac:dyDescent="0.25">
      <c r="E749" s="32">
        <f t="shared" si="58"/>
        <v>0</v>
      </c>
      <c r="I749" s="32">
        <f t="shared" si="59"/>
        <v>0</v>
      </c>
      <c r="K749" s="31">
        <f t="shared" si="56"/>
        <v>0</v>
      </c>
      <c r="L749" s="34">
        <f t="shared" si="57"/>
        <v>0</v>
      </c>
      <c r="M749" s="34">
        <f t="shared" si="55"/>
        <v>0</v>
      </c>
    </row>
    <row r="750" spans="5:13" x14ac:dyDescent="0.25">
      <c r="E750" s="32">
        <f t="shared" si="58"/>
        <v>0</v>
      </c>
      <c r="I750" s="32">
        <f t="shared" si="59"/>
        <v>0</v>
      </c>
      <c r="K750" s="31">
        <f t="shared" si="56"/>
        <v>0</v>
      </c>
      <c r="L750" s="34">
        <f t="shared" si="57"/>
        <v>0</v>
      </c>
      <c r="M750" s="34">
        <f t="shared" si="55"/>
        <v>0</v>
      </c>
    </row>
    <row r="751" spans="5:13" x14ac:dyDescent="0.25">
      <c r="E751" s="32">
        <f t="shared" si="58"/>
        <v>0</v>
      </c>
      <c r="I751" s="32">
        <f t="shared" si="59"/>
        <v>0</v>
      </c>
      <c r="K751" s="31">
        <f t="shared" si="56"/>
        <v>0</v>
      </c>
      <c r="L751" s="34">
        <f t="shared" si="57"/>
        <v>0</v>
      </c>
      <c r="M751" s="34">
        <f t="shared" si="55"/>
        <v>0</v>
      </c>
    </row>
    <row r="752" spans="5:13" x14ac:dyDescent="0.25">
      <c r="E752" s="32">
        <f t="shared" si="58"/>
        <v>0</v>
      </c>
      <c r="I752" s="32">
        <f t="shared" si="59"/>
        <v>0</v>
      </c>
      <c r="K752" s="31">
        <f t="shared" si="56"/>
        <v>0</v>
      </c>
      <c r="L752" s="34">
        <f t="shared" si="57"/>
        <v>0</v>
      </c>
      <c r="M752" s="34">
        <f t="shared" si="55"/>
        <v>0</v>
      </c>
    </row>
    <row r="753" spans="5:13" x14ac:dyDescent="0.25">
      <c r="E753" s="32">
        <f t="shared" si="58"/>
        <v>0</v>
      </c>
      <c r="I753" s="32">
        <f t="shared" si="59"/>
        <v>0</v>
      </c>
      <c r="K753" s="31">
        <f t="shared" si="56"/>
        <v>0</v>
      </c>
      <c r="L753" s="34">
        <f t="shared" si="57"/>
        <v>0</v>
      </c>
      <c r="M753" s="34">
        <f t="shared" si="55"/>
        <v>0</v>
      </c>
    </row>
    <row r="754" spans="5:13" x14ac:dyDescent="0.25">
      <c r="E754" s="32">
        <f t="shared" si="58"/>
        <v>0</v>
      </c>
      <c r="I754" s="32">
        <f t="shared" si="59"/>
        <v>0</v>
      </c>
      <c r="K754" s="31">
        <f t="shared" si="56"/>
        <v>0</v>
      </c>
      <c r="L754" s="34">
        <f t="shared" si="57"/>
        <v>0</v>
      </c>
      <c r="M754" s="34">
        <f t="shared" si="55"/>
        <v>0</v>
      </c>
    </row>
    <row r="755" spans="5:13" x14ac:dyDescent="0.25">
      <c r="E755" s="32">
        <f t="shared" si="58"/>
        <v>0</v>
      </c>
      <c r="I755" s="32">
        <f t="shared" si="59"/>
        <v>0</v>
      </c>
      <c r="K755" s="31">
        <f t="shared" si="56"/>
        <v>0</v>
      </c>
      <c r="L755" s="34">
        <f t="shared" si="57"/>
        <v>0</v>
      </c>
      <c r="M755" s="34">
        <f t="shared" si="55"/>
        <v>0</v>
      </c>
    </row>
    <row r="756" spans="5:13" x14ac:dyDescent="0.25">
      <c r="E756" s="32">
        <f t="shared" si="58"/>
        <v>0</v>
      </c>
      <c r="I756" s="32">
        <f t="shared" si="59"/>
        <v>0</v>
      </c>
      <c r="K756" s="31">
        <f t="shared" si="56"/>
        <v>0</v>
      </c>
      <c r="L756" s="34">
        <f t="shared" si="57"/>
        <v>0</v>
      </c>
      <c r="M756" s="34">
        <f t="shared" si="55"/>
        <v>0</v>
      </c>
    </row>
    <row r="757" spans="5:13" x14ac:dyDescent="0.25">
      <c r="E757" s="32">
        <f t="shared" si="58"/>
        <v>0</v>
      </c>
      <c r="I757" s="32">
        <f t="shared" si="59"/>
        <v>0</v>
      </c>
      <c r="K757" s="31">
        <f t="shared" si="56"/>
        <v>0</v>
      </c>
      <c r="L757" s="34">
        <f t="shared" si="57"/>
        <v>0</v>
      </c>
      <c r="M757" s="34">
        <f t="shared" si="55"/>
        <v>0</v>
      </c>
    </row>
    <row r="758" spans="5:13" x14ac:dyDescent="0.25">
      <c r="E758" s="32">
        <f t="shared" si="58"/>
        <v>0</v>
      </c>
      <c r="I758" s="32">
        <f t="shared" si="59"/>
        <v>0</v>
      </c>
      <c r="K758" s="31">
        <f t="shared" si="56"/>
        <v>0</v>
      </c>
      <c r="L758" s="34">
        <f t="shared" si="57"/>
        <v>0</v>
      </c>
      <c r="M758" s="34">
        <f t="shared" si="55"/>
        <v>0</v>
      </c>
    </row>
    <row r="759" spans="5:13" x14ac:dyDescent="0.25">
      <c r="E759" s="32">
        <f t="shared" si="58"/>
        <v>0</v>
      </c>
      <c r="I759" s="32">
        <f t="shared" si="59"/>
        <v>0</v>
      </c>
      <c r="K759" s="31">
        <f t="shared" si="56"/>
        <v>0</v>
      </c>
      <c r="L759" s="34">
        <f t="shared" si="57"/>
        <v>0</v>
      </c>
      <c r="M759" s="34">
        <f t="shared" si="55"/>
        <v>0</v>
      </c>
    </row>
    <row r="760" spans="5:13" x14ac:dyDescent="0.25">
      <c r="E760" s="32">
        <f t="shared" si="58"/>
        <v>0</v>
      </c>
      <c r="I760" s="32">
        <f t="shared" si="59"/>
        <v>0</v>
      </c>
      <c r="K760" s="31">
        <f t="shared" si="56"/>
        <v>0</v>
      </c>
      <c r="L760" s="34">
        <f t="shared" si="57"/>
        <v>0</v>
      </c>
      <c r="M760" s="34">
        <f t="shared" si="55"/>
        <v>0</v>
      </c>
    </row>
    <row r="761" spans="5:13" x14ac:dyDescent="0.25">
      <c r="E761" s="32">
        <f t="shared" si="58"/>
        <v>0</v>
      </c>
      <c r="I761" s="32">
        <f t="shared" si="59"/>
        <v>0</v>
      </c>
      <c r="K761" s="31">
        <f t="shared" si="56"/>
        <v>0</v>
      </c>
      <c r="L761" s="34">
        <f t="shared" si="57"/>
        <v>0</v>
      </c>
      <c r="M761" s="34">
        <f t="shared" si="55"/>
        <v>0</v>
      </c>
    </row>
    <row r="762" spans="5:13" x14ac:dyDescent="0.25">
      <c r="E762" s="32">
        <f t="shared" si="58"/>
        <v>0</v>
      </c>
      <c r="I762" s="32">
        <f t="shared" si="59"/>
        <v>0</v>
      </c>
      <c r="K762" s="31">
        <f t="shared" si="56"/>
        <v>0</v>
      </c>
      <c r="L762" s="34">
        <f t="shared" si="57"/>
        <v>0</v>
      </c>
      <c r="M762" s="34">
        <f t="shared" si="55"/>
        <v>0</v>
      </c>
    </row>
    <row r="763" spans="5:13" x14ac:dyDescent="0.25">
      <c r="E763" s="32">
        <f t="shared" si="58"/>
        <v>0</v>
      </c>
      <c r="I763" s="32">
        <f t="shared" si="59"/>
        <v>0</v>
      </c>
      <c r="K763" s="31">
        <f t="shared" si="56"/>
        <v>0</v>
      </c>
      <c r="L763" s="34">
        <f t="shared" si="57"/>
        <v>0</v>
      </c>
      <c r="M763" s="34">
        <f t="shared" si="55"/>
        <v>0</v>
      </c>
    </row>
    <row r="764" spans="5:13" x14ac:dyDescent="0.25">
      <c r="E764" s="32">
        <f t="shared" si="58"/>
        <v>0</v>
      </c>
      <c r="I764" s="32">
        <f t="shared" si="59"/>
        <v>0</v>
      </c>
      <c r="K764" s="31">
        <f t="shared" si="56"/>
        <v>0</v>
      </c>
      <c r="L764" s="34">
        <f t="shared" si="57"/>
        <v>0</v>
      </c>
      <c r="M764" s="34">
        <f t="shared" si="55"/>
        <v>0</v>
      </c>
    </row>
    <row r="765" spans="5:13" x14ac:dyDescent="0.25">
      <c r="E765" s="32">
        <f t="shared" si="58"/>
        <v>0</v>
      </c>
      <c r="I765" s="32">
        <f t="shared" si="59"/>
        <v>0</v>
      </c>
      <c r="K765" s="31">
        <f t="shared" si="56"/>
        <v>0</v>
      </c>
      <c r="L765" s="34">
        <f t="shared" si="57"/>
        <v>0</v>
      </c>
      <c r="M765" s="34">
        <f t="shared" si="55"/>
        <v>0</v>
      </c>
    </row>
    <row r="766" spans="5:13" x14ac:dyDescent="0.25">
      <c r="E766" s="32">
        <f t="shared" si="58"/>
        <v>0</v>
      </c>
      <c r="I766" s="32">
        <f t="shared" si="59"/>
        <v>0</v>
      </c>
      <c r="K766" s="31">
        <f t="shared" si="56"/>
        <v>0</v>
      </c>
      <c r="L766" s="34">
        <f t="shared" si="57"/>
        <v>0</v>
      </c>
      <c r="M766" s="34">
        <f t="shared" si="55"/>
        <v>0</v>
      </c>
    </row>
    <row r="767" spans="5:13" x14ac:dyDescent="0.25">
      <c r="E767" s="32">
        <f t="shared" si="58"/>
        <v>0</v>
      </c>
      <c r="I767" s="32">
        <f t="shared" si="59"/>
        <v>0</v>
      </c>
      <c r="K767" s="31">
        <f t="shared" si="56"/>
        <v>0</v>
      </c>
      <c r="L767" s="34">
        <f t="shared" si="57"/>
        <v>0</v>
      </c>
      <c r="M767" s="34">
        <f t="shared" si="55"/>
        <v>0</v>
      </c>
    </row>
    <row r="768" spans="5:13" x14ac:dyDescent="0.25">
      <c r="E768" s="32">
        <f t="shared" si="58"/>
        <v>0</v>
      </c>
      <c r="I768" s="32">
        <f t="shared" si="59"/>
        <v>0</v>
      </c>
      <c r="K768" s="31">
        <f t="shared" si="56"/>
        <v>0</v>
      </c>
      <c r="L768" s="34">
        <f t="shared" si="57"/>
        <v>0</v>
      </c>
      <c r="M768" s="34">
        <f t="shared" si="55"/>
        <v>0</v>
      </c>
    </row>
    <row r="769" spans="5:13" x14ac:dyDescent="0.25">
      <c r="E769" s="32">
        <f t="shared" si="58"/>
        <v>0</v>
      </c>
      <c r="I769" s="32">
        <f t="shared" si="59"/>
        <v>0</v>
      </c>
      <c r="K769" s="31">
        <f t="shared" si="56"/>
        <v>0</v>
      </c>
      <c r="L769" s="34">
        <f t="shared" si="57"/>
        <v>0</v>
      </c>
      <c r="M769" s="34">
        <f t="shared" si="55"/>
        <v>0</v>
      </c>
    </row>
    <row r="770" spans="5:13" x14ac:dyDescent="0.25">
      <c r="E770" s="32">
        <f t="shared" si="58"/>
        <v>0</v>
      </c>
      <c r="I770" s="32">
        <f t="shared" si="59"/>
        <v>0</v>
      </c>
      <c r="K770" s="31">
        <f t="shared" si="56"/>
        <v>0</v>
      </c>
      <c r="L770" s="34">
        <f t="shared" si="57"/>
        <v>0</v>
      </c>
      <c r="M770" s="34">
        <f t="shared" si="55"/>
        <v>0</v>
      </c>
    </row>
    <row r="771" spans="5:13" x14ac:dyDescent="0.25">
      <c r="E771" s="32">
        <f t="shared" si="58"/>
        <v>0</v>
      </c>
      <c r="I771" s="32">
        <f t="shared" si="59"/>
        <v>0</v>
      </c>
      <c r="K771" s="31">
        <f t="shared" si="56"/>
        <v>0</v>
      </c>
      <c r="L771" s="34">
        <f t="shared" si="57"/>
        <v>0</v>
      </c>
      <c r="M771" s="34">
        <f t="shared" si="55"/>
        <v>0</v>
      </c>
    </row>
    <row r="772" spans="5:13" x14ac:dyDescent="0.25">
      <c r="E772" s="32">
        <f t="shared" si="58"/>
        <v>0</v>
      </c>
      <c r="I772" s="32">
        <f t="shared" si="59"/>
        <v>0</v>
      </c>
      <c r="K772" s="31">
        <f t="shared" si="56"/>
        <v>0</v>
      </c>
      <c r="L772" s="34">
        <f t="shared" si="57"/>
        <v>0</v>
      </c>
      <c r="M772" s="34">
        <f t="shared" ref="M772:M835" si="60">(L772/27)*4</f>
        <v>0</v>
      </c>
    </row>
    <row r="773" spans="5:13" x14ac:dyDescent="0.25">
      <c r="E773" s="32">
        <f t="shared" si="58"/>
        <v>0</v>
      </c>
      <c r="I773" s="32">
        <f t="shared" si="59"/>
        <v>0</v>
      </c>
      <c r="K773" s="31">
        <f t="shared" ref="K773:K836" si="61">B773/30</f>
        <v>0</v>
      </c>
      <c r="L773" s="34">
        <f t="shared" ref="L773:L836" si="62">IF(J773="S",((I773*24)*K773)*2,((I773*24)*K773)*1.5)</f>
        <v>0</v>
      </c>
      <c r="M773" s="34">
        <f t="shared" si="60"/>
        <v>0</v>
      </c>
    </row>
    <row r="774" spans="5:13" x14ac:dyDescent="0.25">
      <c r="E774" s="32">
        <f t="shared" ref="E774:E837" si="63">D774-C774</f>
        <v>0</v>
      </c>
      <c r="I774" s="32">
        <f t="shared" ref="I774:I837" si="64">H774-G774</f>
        <v>0</v>
      </c>
      <c r="K774" s="31">
        <f t="shared" si="61"/>
        <v>0</v>
      </c>
      <c r="L774" s="34">
        <f t="shared" si="62"/>
        <v>0</v>
      </c>
      <c r="M774" s="34">
        <f t="shared" si="60"/>
        <v>0</v>
      </c>
    </row>
    <row r="775" spans="5:13" x14ac:dyDescent="0.25">
      <c r="E775" s="32">
        <f t="shared" si="63"/>
        <v>0</v>
      </c>
      <c r="I775" s="32">
        <f t="shared" si="64"/>
        <v>0</v>
      </c>
      <c r="K775" s="31">
        <f t="shared" si="61"/>
        <v>0</v>
      </c>
      <c r="L775" s="34">
        <f t="shared" si="62"/>
        <v>0</v>
      </c>
      <c r="M775" s="34">
        <f t="shared" si="60"/>
        <v>0</v>
      </c>
    </row>
    <row r="776" spans="5:13" x14ac:dyDescent="0.25">
      <c r="E776" s="32">
        <f t="shared" si="63"/>
        <v>0</v>
      </c>
      <c r="I776" s="32">
        <f t="shared" si="64"/>
        <v>0</v>
      </c>
      <c r="K776" s="31">
        <f t="shared" si="61"/>
        <v>0</v>
      </c>
      <c r="L776" s="34">
        <f t="shared" si="62"/>
        <v>0</v>
      </c>
      <c r="M776" s="34">
        <f t="shared" si="60"/>
        <v>0</v>
      </c>
    </row>
    <row r="777" spans="5:13" x14ac:dyDescent="0.25">
      <c r="E777" s="32">
        <f t="shared" si="63"/>
        <v>0</v>
      </c>
      <c r="I777" s="32">
        <f t="shared" si="64"/>
        <v>0</v>
      </c>
      <c r="K777" s="31">
        <f t="shared" si="61"/>
        <v>0</v>
      </c>
      <c r="L777" s="34">
        <f t="shared" si="62"/>
        <v>0</v>
      </c>
      <c r="M777" s="34">
        <f t="shared" si="60"/>
        <v>0</v>
      </c>
    </row>
    <row r="778" spans="5:13" x14ac:dyDescent="0.25">
      <c r="E778" s="32">
        <f t="shared" si="63"/>
        <v>0</v>
      </c>
      <c r="I778" s="32">
        <f t="shared" si="64"/>
        <v>0</v>
      </c>
      <c r="K778" s="31">
        <f t="shared" si="61"/>
        <v>0</v>
      </c>
      <c r="L778" s="34">
        <f t="shared" si="62"/>
        <v>0</v>
      </c>
      <c r="M778" s="34">
        <f t="shared" si="60"/>
        <v>0</v>
      </c>
    </row>
    <row r="779" spans="5:13" x14ac:dyDescent="0.25">
      <c r="E779" s="32">
        <f t="shared" si="63"/>
        <v>0</v>
      </c>
      <c r="I779" s="32">
        <f t="shared" si="64"/>
        <v>0</v>
      </c>
      <c r="K779" s="31">
        <f t="shared" si="61"/>
        <v>0</v>
      </c>
      <c r="L779" s="34">
        <f t="shared" si="62"/>
        <v>0</v>
      </c>
      <c r="M779" s="34">
        <f t="shared" si="60"/>
        <v>0</v>
      </c>
    </row>
    <row r="780" spans="5:13" x14ac:dyDescent="0.25">
      <c r="E780" s="32">
        <f t="shared" si="63"/>
        <v>0</v>
      </c>
      <c r="I780" s="32">
        <f t="shared" si="64"/>
        <v>0</v>
      </c>
      <c r="K780" s="31">
        <f t="shared" si="61"/>
        <v>0</v>
      </c>
      <c r="L780" s="34">
        <f t="shared" si="62"/>
        <v>0</v>
      </c>
      <c r="M780" s="34">
        <f t="shared" si="60"/>
        <v>0</v>
      </c>
    </row>
    <row r="781" spans="5:13" x14ac:dyDescent="0.25">
      <c r="E781" s="32">
        <f t="shared" si="63"/>
        <v>0</v>
      </c>
      <c r="I781" s="32">
        <f t="shared" si="64"/>
        <v>0</v>
      </c>
      <c r="K781" s="31">
        <f t="shared" si="61"/>
        <v>0</v>
      </c>
      <c r="L781" s="34">
        <f t="shared" si="62"/>
        <v>0</v>
      </c>
      <c r="M781" s="34">
        <f t="shared" si="60"/>
        <v>0</v>
      </c>
    </row>
    <row r="782" spans="5:13" x14ac:dyDescent="0.25">
      <c r="E782" s="32">
        <f t="shared" si="63"/>
        <v>0</v>
      </c>
      <c r="I782" s="32">
        <f t="shared" si="64"/>
        <v>0</v>
      </c>
      <c r="K782" s="31">
        <f t="shared" si="61"/>
        <v>0</v>
      </c>
      <c r="L782" s="34">
        <f t="shared" si="62"/>
        <v>0</v>
      </c>
      <c r="M782" s="34">
        <f t="shared" si="60"/>
        <v>0</v>
      </c>
    </row>
    <row r="783" spans="5:13" x14ac:dyDescent="0.25">
      <c r="E783" s="32">
        <f t="shared" si="63"/>
        <v>0</v>
      </c>
      <c r="I783" s="32">
        <f t="shared" si="64"/>
        <v>0</v>
      </c>
      <c r="K783" s="31">
        <f t="shared" si="61"/>
        <v>0</v>
      </c>
      <c r="L783" s="34">
        <f t="shared" si="62"/>
        <v>0</v>
      </c>
      <c r="M783" s="34">
        <f t="shared" si="60"/>
        <v>0</v>
      </c>
    </row>
    <row r="784" spans="5:13" x14ac:dyDescent="0.25">
      <c r="E784" s="32">
        <f t="shared" si="63"/>
        <v>0</v>
      </c>
      <c r="I784" s="32">
        <f t="shared" si="64"/>
        <v>0</v>
      </c>
      <c r="K784" s="31">
        <f t="shared" si="61"/>
        <v>0</v>
      </c>
      <c r="L784" s="34">
        <f t="shared" si="62"/>
        <v>0</v>
      </c>
      <c r="M784" s="34">
        <f t="shared" si="60"/>
        <v>0</v>
      </c>
    </row>
    <row r="785" spans="5:13" x14ac:dyDescent="0.25">
      <c r="E785" s="32">
        <f t="shared" si="63"/>
        <v>0</v>
      </c>
      <c r="I785" s="32">
        <f t="shared" si="64"/>
        <v>0</v>
      </c>
      <c r="K785" s="31">
        <f t="shared" si="61"/>
        <v>0</v>
      </c>
      <c r="L785" s="34">
        <f t="shared" si="62"/>
        <v>0</v>
      </c>
      <c r="M785" s="34">
        <f t="shared" si="60"/>
        <v>0</v>
      </c>
    </row>
    <row r="786" spans="5:13" x14ac:dyDescent="0.25">
      <c r="E786" s="32">
        <f t="shared" si="63"/>
        <v>0</v>
      </c>
      <c r="I786" s="32">
        <f t="shared" si="64"/>
        <v>0</v>
      </c>
      <c r="K786" s="31">
        <f t="shared" si="61"/>
        <v>0</v>
      </c>
      <c r="L786" s="34">
        <f t="shared" si="62"/>
        <v>0</v>
      </c>
      <c r="M786" s="34">
        <f t="shared" si="60"/>
        <v>0</v>
      </c>
    </row>
    <row r="787" spans="5:13" x14ac:dyDescent="0.25">
      <c r="E787" s="32">
        <f t="shared" si="63"/>
        <v>0</v>
      </c>
      <c r="I787" s="32">
        <f t="shared" si="64"/>
        <v>0</v>
      </c>
      <c r="K787" s="31">
        <f t="shared" si="61"/>
        <v>0</v>
      </c>
      <c r="L787" s="34">
        <f t="shared" si="62"/>
        <v>0</v>
      </c>
      <c r="M787" s="34">
        <f t="shared" si="60"/>
        <v>0</v>
      </c>
    </row>
    <row r="788" spans="5:13" x14ac:dyDescent="0.25">
      <c r="E788" s="32">
        <f t="shared" si="63"/>
        <v>0</v>
      </c>
      <c r="I788" s="32">
        <f t="shared" si="64"/>
        <v>0</v>
      </c>
      <c r="K788" s="31">
        <f t="shared" si="61"/>
        <v>0</v>
      </c>
      <c r="L788" s="34">
        <f t="shared" si="62"/>
        <v>0</v>
      </c>
      <c r="M788" s="34">
        <f t="shared" si="60"/>
        <v>0</v>
      </c>
    </row>
    <row r="789" spans="5:13" x14ac:dyDescent="0.25">
      <c r="E789" s="32">
        <f t="shared" si="63"/>
        <v>0</v>
      </c>
      <c r="I789" s="32">
        <f t="shared" si="64"/>
        <v>0</v>
      </c>
      <c r="K789" s="31">
        <f t="shared" si="61"/>
        <v>0</v>
      </c>
      <c r="L789" s="34">
        <f t="shared" si="62"/>
        <v>0</v>
      </c>
      <c r="M789" s="34">
        <f t="shared" si="60"/>
        <v>0</v>
      </c>
    </row>
    <row r="790" spans="5:13" x14ac:dyDescent="0.25">
      <c r="E790" s="32">
        <f t="shared" si="63"/>
        <v>0</v>
      </c>
      <c r="I790" s="32">
        <f t="shared" si="64"/>
        <v>0</v>
      </c>
      <c r="K790" s="31">
        <f t="shared" si="61"/>
        <v>0</v>
      </c>
      <c r="L790" s="34">
        <f t="shared" si="62"/>
        <v>0</v>
      </c>
      <c r="M790" s="34">
        <f t="shared" si="60"/>
        <v>0</v>
      </c>
    </row>
    <row r="791" spans="5:13" x14ac:dyDescent="0.25">
      <c r="E791" s="32">
        <f t="shared" si="63"/>
        <v>0</v>
      </c>
      <c r="I791" s="32">
        <f t="shared" si="64"/>
        <v>0</v>
      </c>
      <c r="K791" s="31">
        <f t="shared" si="61"/>
        <v>0</v>
      </c>
      <c r="L791" s="34">
        <f t="shared" si="62"/>
        <v>0</v>
      </c>
      <c r="M791" s="34">
        <f t="shared" si="60"/>
        <v>0</v>
      </c>
    </row>
    <row r="792" spans="5:13" x14ac:dyDescent="0.25">
      <c r="E792" s="32">
        <f t="shared" si="63"/>
        <v>0</v>
      </c>
      <c r="I792" s="32">
        <f t="shared" si="64"/>
        <v>0</v>
      </c>
      <c r="K792" s="31">
        <f t="shared" si="61"/>
        <v>0</v>
      </c>
      <c r="L792" s="34">
        <f t="shared" si="62"/>
        <v>0</v>
      </c>
      <c r="M792" s="34">
        <f t="shared" si="60"/>
        <v>0</v>
      </c>
    </row>
    <row r="793" spans="5:13" x14ac:dyDescent="0.25">
      <c r="E793" s="32">
        <f t="shared" si="63"/>
        <v>0</v>
      </c>
      <c r="I793" s="32">
        <f t="shared" si="64"/>
        <v>0</v>
      </c>
      <c r="K793" s="31">
        <f t="shared" si="61"/>
        <v>0</v>
      </c>
      <c r="L793" s="34">
        <f t="shared" si="62"/>
        <v>0</v>
      </c>
      <c r="M793" s="34">
        <f t="shared" si="60"/>
        <v>0</v>
      </c>
    </row>
    <row r="794" spans="5:13" x14ac:dyDescent="0.25">
      <c r="E794" s="32">
        <f t="shared" si="63"/>
        <v>0</v>
      </c>
      <c r="I794" s="32">
        <f t="shared" si="64"/>
        <v>0</v>
      </c>
      <c r="K794" s="31">
        <f t="shared" si="61"/>
        <v>0</v>
      </c>
      <c r="L794" s="34">
        <f t="shared" si="62"/>
        <v>0</v>
      </c>
      <c r="M794" s="34">
        <f t="shared" si="60"/>
        <v>0</v>
      </c>
    </row>
    <row r="795" spans="5:13" x14ac:dyDescent="0.25">
      <c r="E795" s="32">
        <f t="shared" si="63"/>
        <v>0</v>
      </c>
      <c r="I795" s="32">
        <f t="shared" si="64"/>
        <v>0</v>
      </c>
      <c r="K795" s="31">
        <f t="shared" si="61"/>
        <v>0</v>
      </c>
      <c r="L795" s="34">
        <f t="shared" si="62"/>
        <v>0</v>
      </c>
      <c r="M795" s="34">
        <f t="shared" si="60"/>
        <v>0</v>
      </c>
    </row>
    <row r="796" spans="5:13" x14ac:dyDescent="0.25">
      <c r="E796" s="32">
        <f t="shared" si="63"/>
        <v>0</v>
      </c>
      <c r="I796" s="32">
        <f t="shared" si="64"/>
        <v>0</v>
      </c>
      <c r="K796" s="31">
        <f t="shared" si="61"/>
        <v>0</v>
      </c>
      <c r="L796" s="34">
        <f t="shared" si="62"/>
        <v>0</v>
      </c>
      <c r="M796" s="34">
        <f t="shared" si="60"/>
        <v>0</v>
      </c>
    </row>
    <row r="797" spans="5:13" x14ac:dyDescent="0.25">
      <c r="E797" s="32">
        <f t="shared" si="63"/>
        <v>0</v>
      </c>
      <c r="I797" s="32">
        <f t="shared" si="64"/>
        <v>0</v>
      </c>
      <c r="K797" s="31">
        <f t="shared" si="61"/>
        <v>0</v>
      </c>
      <c r="L797" s="34">
        <f t="shared" si="62"/>
        <v>0</v>
      </c>
      <c r="M797" s="34">
        <f t="shared" si="60"/>
        <v>0</v>
      </c>
    </row>
    <row r="798" spans="5:13" x14ac:dyDescent="0.25">
      <c r="E798" s="32">
        <f t="shared" si="63"/>
        <v>0</v>
      </c>
      <c r="I798" s="32">
        <f t="shared" si="64"/>
        <v>0</v>
      </c>
      <c r="K798" s="31">
        <f t="shared" si="61"/>
        <v>0</v>
      </c>
      <c r="L798" s="34">
        <f t="shared" si="62"/>
        <v>0</v>
      </c>
      <c r="M798" s="34">
        <f t="shared" si="60"/>
        <v>0</v>
      </c>
    </row>
    <row r="799" spans="5:13" x14ac:dyDescent="0.25">
      <c r="E799" s="32">
        <f t="shared" si="63"/>
        <v>0</v>
      </c>
      <c r="I799" s="32">
        <f t="shared" si="64"/>
        <v>0</v>
      </c>
      <c r="K799" s="31">
        <f t="shared" si="61"/>
        <v>0</v>
      </c>
      <c r="L799" s="34">
        <f t="shared" si="62"/>
        <v>0</v>
      </c>
      <c r="M799" s="34">
        <f t="shared" si="60"/>
        <v>0</v>
      </c>
    </row>
    <row r="800" spans="5:13" x14ac:dyDescent="0.25">
      <c r="E800" s="32">
        <f t="shared" si="63"/>
        <v>0</v>
      </c>
      <c r="I800" s="32">
        <f t="shared" si="64"/>
        <v>0</v>
      </c>
      <c r="K800" s="31">
        <f t="shared" si="61"/>
        <v>0</v>
      </c>
      <c r="L800" s="34">
        <f t="shared" si="62"/>
        <v>0</v>
      </c>
      <c r="M800" s="34">
        <f t="shared" si="60"/>
        <v>0</v>
      </c>
    </row>
    <row r="801" spans="5:13" x14ac:dyDescent="0.25">
      <c r="E801" s="32">
        <f t="shared" si="63"/>
        <v>0</v>
      </c>
      <c r="I801" s="32">
        <f t="shared" si="64"/>
        <v>0</v>
      </c>
      <c r="K801" s="31">
        <f t="shared" si="61"/>
        <v>0</v>
      </c>
      <c r="L801" s="34">
        <f t="shared" si="62"/>
        <v>0</v>
      </c>
      <c r="M801" s="34">
        <f t="shared" si="60"/>
        <v>0</v>
      </c>
    </row>
    <row r="802" spans="5:13" x14ac:dyDescent="0.25">
      <c r="E802" s="32">
        <f t="shared" si="63"/>
        <v>0</v>
      </c>
      <c r="I802" s="32">
        <f t="shared" si="64"/>
        <v>0</v>
      </c>
      <c r="K802" s="31">
        <f t="shared" si="61"/>
        <v>0</v>
      </c>
      <c r="L802" s="34">
        <f t="shared" si="62"/>
        <v>0</v>
      </c>
      <c r="M802" s="34">
        <f t="shared" si="60"/>
        <v>0</v>
      </c>
    </row>
    <row r="803" spans="5:13" x14ac:dyDescent="0.25">
      <c r="E803" s="32">
        <f t="shared" si="63"/>
        <v>0</v>
      </c>
      <c r="I803" s="32">
        <f t="shared" si="64"/>
        <v>0</v>
      </c>
      <c r="K803" s="31">
        <f t="shared" si="61"/>
        <v>0</v>
      </c>
      <c r="L803" s="34">
        <f t="shared" si="62"/>
        <v>0</v>
      </c>
      <c r="M803" s="34">
        <f t="shared" si="60"/>
        <v>0</v>
      </c>
    </row>
    <row r="804" spans="5:13" x14ac:dyDescent="0.25">
      <c r="E804" s="32">
        <f t="shared" si="63"/>
        <v>0</v>
      </c>
      <c r="I804" s="32">
        <f t="shared" si="64"/>
        <v>0</v>
      </c>
      <c r="K804" s="31">
        <f t="shared" si="61"/>
        <v>0</v>
      </c>
      <c r="L804" s="34">
        <f t="shared" si="62"/>
        <v>0</v>
      </c>
      <c r="M804" s="34">
        <f t="shared" si="60"/>
        <v>0</v>
      </c>
    </row>
    <row r="805" spans="5:13" x14ac:dyDescent="0.25">
      <c r="E805" s="32">
        <f t="shared" si="63"/>
        <v>0</v>
      </c>
      <c r="I805" s="32">
        <f t="shared" si="64"/>
        <v>0</v>
      </c>
      <c r="K805" s="31">
        <f t="shared" si="61"/>
        <v>0</v>
      </c>
      <c r="L805" s="34">
        <f t="shared" si="62"/>
        <v>0</v>
      </c>
      <c r="M805" s="34">
        <f t="shared" si="60"/>
        <v>0</v>
      </c>
    </row>
    <row r="806" spans="5:13" x14ac:dyDescent="0.25">
      <c r="E806" s="32">
        <f t="shared" si="63"/>
        <v>0</v>
      </c>
      <c r="I806" s="32">
        <f t="shared" si="64"/>
        <v>0</v>
      </c>
      <c r="K806" s="31">
        <f t="shared" si="61"/>
        <v>0</v>
      </c>
      <c r="L806" s="34">
        <f t="shared" si="62"/>
        <v>0</v>
      </c>
      <c r="M806" s="34">
        <f t="shared" si="60"/>
        <v>0</v>
      </c>
    </row>
    <row r="807" spans="5:13" x14ac:dyDescent="0.25">
      <c r="E807" s="32">
        <f t="shared" si="63"/>
        <v>0</v>
      </c>
      <c r="I807" s="32">
        <f t="shared" si="64"/>
        <v>0</v>
      </c>
      <c r="K807" s="31">
        <f t="shared" si="61"/>
        <v>0</v>
      </c>
      <c r="L807" s="34">
        <f t="shared" si="62"/>
        <v>0</v>
      </c>
      <c r="M807" s="34">
        <f t="shared" si="60"/>
        <v>0</v>
      </c>
    </row>
    <row r="808" spans="5:13" x14ac:dyDescent="0.25">
      <c r="E808" s="32">
        <f t="shared" si="63"/>
        <v>0</v>
      </c>
      <c r="I808" s="32">
        <f t="shared" si="64"/>
        <v>0</v>
      </c>
      <c r="K808" s="31">
        <f t="shared" si="61"/>
        <v>0</v>
      </c>
      <c r="L808" s="34">
        <f t="shared" si="62"/>
        <v>0</v>
      </c>
      <c r="M808" s="34">
        <f t="shared" si="60"/>
        <v>0</v>
      </c>
    </row>
    <row r="809" spans="5:13" x14ac:dyDescent="0.25">
      <c r="E809" s="32">
        <f t="shared" si="63"/>
        <v>0</v>
      </c>
      <c r="I809" s="32">
        <f t="shared" si="64"/>
        <v>0</v>
      </c>
      <c r="K809" s="31">
        <f t="shared" si="61"/>
        <v>0</v>
      </c>
      <c r="L809" s="34">
        <f t="shared" si="62"/>
        <v>0</v>
      </c>
      <c r="M809" s="34">
        <f t="shared" si="60"/>
        <v>0</v>
      </c>
    </row>
    <row r="810" spans="5:13" x14ac:dyDescent="0.25">
      <c r="E810" s="32">
        <f t="shared" si="63"/>
        <v>0</v>
      </c>
      <c r="I810" s="32">
        <f t="shared" si="64"/>
        <v>0</v>
      </c>
      <c r="K810" s="31">
        <f t="shared" si="61"/>
        <v>0</v>
      </c>
      <c r="L810" s="34">
        <f t="shared" si="62"/>
        <v>0</v>
      </c>
      <c r="M810" s="34">
        <f t="shared" si="60"/>
        <v>0</v>
      </c>
    </row>
    <row r="811" spans="5:13" x14ac:dyDescent="0.25">
      <c r="E811" s="32">
        <f t="shared" si="63"/>
        <v>0</v>
      </c>
      <c r="I811" s="32">
        <f t="shared" si="64"/>
        <v>0</v>
      </c>
      <c r="K811" s="31">
        <f t="shared" si="61"/>
        <v>0</v>
      </c>
      <c r="L811" s="34">
        <f t="shared" si="62"/>
        <v>0</v>
      </c>
      <c r="M811" s="34">
        <f t="shared" si="60"/>
        <v>0</v>
      </c>
    </row>
    <row r="812" spans="5:13" x14ac:dyDescent="0.25">
      <c r="E812" s="32">
        <f t="shared" si="63"/>
        <v>0</v>
      </c>
      <c r="I812" s="32">
        <f t="shared" si="64"/>
        <v>0</v>
      </c>
      <c r="K812" s="31">
        <f t="shared" si="61"/>
        <v>0</v>
      </c>
      <c r="L812" s="34">
        <f t="shared" si="62"/>
        <v>0</v>
      </c>
      <c r="M812" s="34">
        <f t="shared" si="60"/>
        <v>0</v>
      </c>
    </row>
    <row r="813" spans="5:13" x14ac:dyDescent="0.25">
      <c r="E813" s="32">
        <f t="shared" si="63"/>
        <v>0</v>
      </c>
      <c r="I813" s="32">
        <f t="shared" si="64"/>
        <v>0</v>
      </c>
      <c r="K813" s="31">
        <f t="shared" si="61"/>
        <v>0</v>
      </c>
      <c r="L813" s="34">
        <f t="shared" si="62"/>
        <v>0</v>
      </c>
      <c r="M813" s="34">
        <f t="shared" si="60"/>
        <v>0</v>
      </c>
    </row>
    <row r="814" spans="5:13" x14ac:dyDescent="0.25">
      <c r="E814" s="32">
        <f t="shared" si="63"/>
        <v>0</v>
      </c>
      <c r="I814" s="32">
        <f t="shared" si="64"/>
        <v>0</v>
      </c>
      <c r="K814" s="31">
        <f t="shared" si="61"/>
        <v>0</v>
      </c>
      <c r="L814" s="34">
        <f t="shared" si="62"/>
        <v>0</v>
      </c>
      <c r="M814" s="34">
        <f t="shared" si="60"/>
        <v>0</v>
      </c>
    </row>
    <row r="815" spans="5:13" x14ac:dyDescent="0.25">
      <c r="E815" s="32">
        <f t="shared" si="63"/>
        <v>0</v>
      </c>
      <c r="I815" s="32">
        <f t="shared" si="64"/>
        <v>0</v>
      </c>
      <c r="K815" s="31">
        <f t="shared" si="61"/>
        <v>0</v>
      </c>
      <c r="L815" s="34">
        <f t="shared" si="62"/>
        <v>0</v>
      </c>
      <c r="M815" s="34">
        <f t="shared" si="60"/>
        <v>0</v>
      </c>
    </row>
    <row r="816" spans="5:13" x14ac:dyDescent="0.25">
      <c r="E816" s="32">
        <f t="shared" si="63"/>
        <v>0</v>
      </c>
      <c r="I816" s="32">
        <f t="shared" si="64"/>
        <v>0</v>
      </c>
      <c r="K816" s="31">
        <f t="shared" si="61"/>
        <v>0</v>
      </c>
      <c r="L816" s="34">
        <f t="shared" si="62"/>
        <v>0</v>
      </c>
      <c r="M816" s="34">
        <f t="shared" si="60"/>
        <v>0</v>
      </c>
    </row>
    <row r="817" spans="5:13" x14ac:dyDescent="0.25">
      <c r="E817" s="32">
        <f t="shared" si="63"/>
        <v>0</v>
      </c>
      <c r="I817" s="32">
        <f t="shared" si="64"/>
        <v>0</v>
      </c>
      <c r="K817" s="31">
        <f t="shared" si="61"/>
        <v>0</v>
      </c>
      <c r="L817" s="34">
        <f t="shared" si="62"/>
        <v>0</v>
      </c>
      <c r="M817" s="34">
        <f t="shared" si="60"/>
        <v>0</v>
      </c>
    </row>
    <row r="818" spans="5:13" x14ac:dyDescent="0.25">
      <c r="E818" s="32">
        <f t="shared" si="63"/>
        <v>0</v>
      </c>
      <c r="I818" s="32">
        <f t="shared" si="64"/>
        <v>0</v>
      </c>
      <c r="K818" s="31">
        <f t="shared" si="61"/>
        <v>0</v>
      </c>
      <c r="L818" s="34">
        <f t="shared" si="62"/>
        <v>0</v>
      </c>
      <c r="M818" s="34">
        <f t="shared" si="60"/>
        <v>0</v>
      </c>
    </row>
    <row r="819" spans="5:13" x14ac:dyDescent="0.25">
      <c r="E819" s="32">
        <f t="shared" si="63"/>
        <v>0</v>
      </c>
      <c r="I819" s="32">
        <f t="shared" si="64"/>
        <v>0</v>
      </c>
      <c r="K819" s="31">
        <f t="shared" si="61"/>
        <v>0</v>
      </c>
      <c r="L819" s="34">
        <f t="shared" si="62"/>
        <v>0</v>
      </c>
      <c r="M819" s="34">
        <f t="shared" si="60"/>
        <v>0</v>
      </c>
    </row>
    <row r="820" spans="5:13" x14ac:dyDescent="0.25">
      <c r="E820" s="32">
        <f t="shared" si="63"/>
        <v>0</v>
      </c>
      <c r="I820" s="32">
        <f t="shared" si="64"/>
        <v>0</v>
      </c>
      <c r="K820" s="31">
        <f t="shared" si="61"/>
        <v>0</v>
      </c>
      <c r="L820" s="34">
        <f t="shared" si="62"/>
        <v>0</v>
      </c>
      <c r="M820" s="34">
        <f t="shared" si="60"/>
        <v>0</v>
      </c>
    </row>
    <row r="821" spans="5:13" x14ac:dyDescent="0.25">
      <c r="E821" s="32">
        <f t="shared" si="63"/>
        <v>0</v>
      </c>
      <c r="I821" s="32">
        <f t="shared" si="64"/>
        <v>0</v>
      </c>
      <c r="K821" s="31">
        <f t="shared" si="61"/>
        <v>0</v>
      </c>
      <c r="L821" s="34">
        <f t="shared" si="62"/>
        <v>0</v>
      </c>
      <c r="M821" s="34">
        <f t="shared" si="60"/>
        <v>0</v>
      </c>
    </row>
    <row r="822" spans="5:13" x14ac:dyDescent="0.25">
      <c r="E822" s="32">
        <f t="shared" si="63"/>
        <v>0</v>
      </c>
      <c r="I822" s="32">
        <f t="shared" si="64"/>
        <v>0</v>
      </c>
      <c r="K822" s="31">
        <f t="shared" si="61"/>
        <v>0</v>
      </c>
      <c r="L822" s="34">
        <f t="shared" si="62"/>
        <v>0</v>
      </c>
      <c r="M822" s="34">
        <f t="shared" si="60"/>
        <v>0</v>
      </c>
    </row>
    <row r="823" spans="5:13" x14ac:dyDescent="0.25">
      <c r="E823" s="32">
        <f t="shared" si="63"/>
        <v>0</v>
      </c>
      <c r="I823" s="32">
        <f t="shared" si="64"/>
        <v>0</v>
      </c>
      <c r="K823" s="31">
        <f t="shared" si="61"/>
        <v>0</v>
      </c>
      <c r="L823" s="34">
        <f t="shared" si="62"/>
        <v>0</v>
      </c>
      <c r="M823" s="34">
        <f t="shared" si="60"/>
        <v>0</v>
      </c>
    </row>
    <row r="824" spans="5:13" x14ac:dyDescent="0.25">
      <c r="E824" s="32">
        <f t="shared" si="63"/>
        <v>0</v>
      </c>
      <c r="I824" s="32">
        <f t="shared" si="64"/>
        <v>0</v>
      </c>
      <c r="K824" s="31">
        <f t="shared" si="61"/>
        <v>0</v>
      </c>
      <c r="L824" s="34">
        <f t="shared" si="62"/>
        <v>0</v>
      </c>
      <c r="M824" s="34">
        <f t="shared" si="60"/>
        <v>0</v>
      </c>
    </row>
    <row r="825" spans="5:13" x14ac:dyDescent="0.25">
      <c r="E825" s="32">
        <f t="shared" si="63"/>
        <v>0</v>
      </c>
      <c r="I825" s="32">
        <f t="shared" si="64"/>
        <v>0</v>
      </c>
      <c r="K825" s="31">
        <f t="shared" si="61"/>
        <v>0</v>
      </c>
      <c r="L825" s="34">
        <f t="shared" si="62"/>
        <v>0</v>
      </c>
      <c r="M825" s="34">
        <f t="shared" si="60"/>
        <v>0</v>
      </c>
    </row>
    <row r="826" spans="5:13" x14ac:dyDescent="0.25">
      <c r="E826" s="32">
        <f t="shared" si="63"/>
        <v>0</v>
      </c>
      <c r="I826" s="32">
        <f t="shared" si="64"/>
        <v>0</v>
      </c>
      <c r="K826" s="31">
        <f t="shared" si="61"/>
        <v>0</v>
      </c>
      <c r="L826" s="34">
        <f t="shared" si="62"/>
        <v>0</v>
      </c>
      <c r="M826" s="34">
        <f t="shared" si="60"/>
        <v>0</v>
      </c>
    </row>
    <row r="827" spans="5:13" x14ac:dyDescent="0.25">
      <c r="E827" s="32">
        <f t="shared" si="63"/>
        <v>0</v>
      </c>
      <c r="I827" s="32">
        <f t="shared" si="64"/>
        <v>0</v>
      </c>
      <c r="K827" s="31">
        <f t="shared" si="61"/>
        <v>0</v>
      </c>
      <c r="L827" s="34">
        <f t="shared" si="62"/>
        <v>0</v>
      </c>
      <c r="M827" s="34">
        <f t="shared" si="60"/>
        <v>0</v>
      </c>
    </row>
    <row r="828" spans="5:13" x14ac:dyDescent="0.25">
      <c r="E828" s="32">
        <f t="shared" si="63"/>
        <v>0</v>
      </c>
      <c r="I828" s="32">
        <f t="shared" si="64"/>
        <v>0</v>
      </c>
      <c r="K828" s="31">
        <f t="shared" si="61"/>
        <v>0</v>
      </c>
      <c r="L828" s="34">
        <f t="shared" si="62"/>
        <v>0</v>
      </c>
      <c r="M828" s="34">
        <f t="shared" si="60"/>
        <v>0</v>
      </c>
    </row>
    <row r="829" spans="5:13" x14ac:dyDescent="0.25">
      <c r="E829" s="32">
        <f t="shared" si="63"/>
        <v>0</v>
      </c>
      <c r="I829" s="32">
        <f t="shared" si="64"/>
        <v>0</v>
      </c>
      <c r="K829" s="31">
        <f t="shared" si="61"/>
        <v>0</v>
      </c>
      <c r="L829" s="34">
        <f t="shared" si="62"/>
        <v>0</v>
      </c>
      <c r="M829" s="34">
        <f t="shared" si="60"/>
        <v>0</v>
      </c>
    </row>
    <row r="830" spans="5:13" x14ac:dyDescent="0.25">
      <c r="E830" s="32">
        <f t="shared" si="63"/>
        <v>0</v>
      </c>
      <c r="I830" s="32">
        <f t="shared" si="64"/>
        <v>0</v>
      </c>
      <c r="K830" s="31">
        <f t="shared" si="61"/>
        <v>0</v>
      </c>
      <c r="L830" s="34">
        <f t="shared" si="62"/>
        <v>0</v>
      </c>
      <c r="M830" s="34">
        <f t="shared" si="60"/>
        <v>0</v>
      </c>
    </row>
    <row r="831" spans="5:13" x14ac:dyDescent="0.25">
      <c r="E831" s="32">
        <f t="shared" si="63"/>
        <v>0</v>
      </c>
      <c r="I831" s="32">
        <f t="shared" si="64"/>
        <v>0</v>
      </c>
      <c r="K831" s="31">
        <f t="shared" si="61"/>
        <v>0</v>
      </c>
      <c r="L831" s="34">
        <f t="shared" si="62"/>
        <v>0</v>
      </c>
      <c r="M831" s="34">
        <f t="shared" si="60"/>
        <v>0</v>
      </c>
    </row>
    <row r="832" spans="5:13" x14ac:dyDescent="0.25">
      <c r="E832" s="32">
        <f t="shared" si="63"/>
        <v>0</v>
      </c>
      <c r="I832" s="32">
        <f t="shared" si="64"/>
        <v>0</v>
      </c>
      <c r="K832" s="31">
        <f t="shared" si="61"/>
        <v>0</v>
      </c>
      <c r="L832" s="34">
        <f t="shared" si="62"/>
        <v>0</v>
      </c>
      <c r="M832" s="34">
        <f t="shared" si="60"/>
        <v>0</v>
      </c>
    </row>
    <row r="833" spans="5:13" x14ac:dyDescent="0.25">
      <c r="E833" s="32">
        <f t="shared" si="63"/>
        <v>0</v>
      </c>
      <c r="I833" s="32">
        <f t="shared" si="64"/>
        <v>0</v>
      </c>
      <c r="K833" s="31">
        <f t="shared" si="61"/>
        <v>0</v>
      </c>
      <c r="L833" s="34">
        <f t="shared" si="62"/>
        <v>0</v>
      </c>
      <c r="M833" s="34">
        <f t="shared" si="60"/>
        <v>0</v>
      </c>
    </row>
    <row r="834" spans="5:13" x14ac:dyDescent="0.25">
      <c r="E834" s="32">
        <f t="shared" si="63"/>
        <v>0</v>
      </c>
      <c r="I834" s="32">
        <f t="shared" si="64"/>
        <v>0</v>
      </c>
      <c r="K834" s="31">
        <f t="shared" si="61"/>
        <v>0</v>
      </c>
      <c r="L834" s="34">
        <f t="shared" si="62"/>
        <v>0</v>
      </c>
      <c r="M834" s="34">
        <f t="shared" si="60"/>
        <v>0</v>
      </c>
    </row>
    <row r="835" spans="5:13" x14ac:dyDescent="0.25">
      <c r="E835" s="32">
        <f t="shared" si="63"/>
        <v>0</v>
      </c>
      <c r="I835" s="32">
        <f t="shared" si="64"/>
        <v>0</v>
      </c>
      <c r="K835" s="31">
        <f t="shared" si="61"/>
        <v>0</v>
      </c>
      <c r="L835" s="34">
        <f t="shared" si="62"/>
        <v>0</v>
      </c>
      <c r="M835" s="34">
        <f t="shared" si="60"/>
        <v>0</v>
      </c>
    </row>
    <row r="836" spans="5:13" x14ac:dyDescent="0.25">
      <c r="E836" s="32">
        <f t="shared" si="63"/>
        <v>0</v>
      </c>
      <c r="I836" s="32">
        <f t="shared" si="64"/>
        <v>0</v>
      </c>
      <c r="K836" s="31">
        <f t="shared" si="61"/>
        <v>0</v>
      </c>
      <c r="L836" s="34">
        <f t="shared" si="62"/>
        <v>0</v>
      </c>
      <c r="M836" s="34">
        <f t="shared" ref="M836:M899" si="65">(L836/27)*4</f>
        <v>0</v>
      </c>
    </row>
    <row r="837" spans="5:13" x14ac:dyDescent="0.25">
      <c r="E837" s="32">
        <f t="shared" si="63"/>
        <v>0</v>
      </c>
      <c r="I837" s="32">
        <f t="shared" si="64"/>
        <v>0</v>
      </c>
      <c r="K837" s="31">
        <f t="shared" ref="K837:K900" si="66">B837/30</f>
        <v>0</v>
      </c>
      <c r="L837" s="34">
        <f t="shared" ref="L837:L900" si="67">IF(J837="S",((I837*24)*K837)*2,((I837*24)*K837)*1.5)</f>
        <v>0</v>
      </c>
      <c r="M837" s="34">
        <f t="shared" si="65"/>
        <v>0</v>
      </c>
    </row>
    <row r="838" spans="5:13" x14ac:dyDescent="0.25">
      <c r="E838" s="32">
        <f t="shared" ref="E838:E901" si="68">D838-C838</f>
        <v>0</v>
      </c>
      <c r="I838" s="32">
        <f t="shared" ref="I838:I901" si="69">H838-G838</f>
        <v>0</v>
      </c>
      <c r="K838" s="31">
        <f t="shared" si="66"/>
        <v>0</v>
      </c>
      <c r="L838" s="34">
        <f t="shared" si="67"/>
        <v>0</v>
      </c>
      <c r="M838" s="34">
        <f t="shared" si="65"/>
        <v>0</v>
      </c>
    </row>
    <row r="839" spans="5:13" x14ac:dyDescent="0.25">
      <c r="E839" s="32">
        <f t="shared" si="68"/>
        <v>0</v>
      </c>
      <c r="I839" s="32">
        <f t="shared" si="69"/>
        <v>0</v>
      </c>
      <c r="K839" s="31">
        <f t="shared" si="66"/>
        <v>0</v>
      </c>
      <c r="L839" s="34">
        <f t="shared" si="67"/>
        <v>0</v>
      </c>
      <c r="M839" s="34">
        <f t="shared" si="65"/>
        <v>0</v>
      </c>
    </row>
    <row r="840" spans="5:13" x14ac:dyDescent="0.25">
      <c r="E840" s="32">
        <f t="shared" si="68"/>
        <v>0</v>
      </c>
      <c r="I840" s="32">
        <f t="shared" si="69"/>
        <v>0</v>
      </c>
      <c r="K840" s="31">
        <f t="shared" si="66"/>
        <v>0</v>
      </c>
      <c r="L840" s="34">
        <f t="shared" si="67"/>
        <v>0</v>
      </c>
      <c r="M840" s="34">
        <f t="shared" si="65"/>
        <v>0</v>
      </c>
    </row>
    <row r="841" spans="5:13" x14ac:dyDescent="0.25">
      <c r="E841" s="32">
        <f t="shared" si="68"/>
        <v>0</v>
      </c>
      <c r="I841" s="32">
        <f t="shared" si="69"/>
        <v>0</v>
      </c>
      <c r="K841" s="31">
        <f t="shared" si="66"/>
        <v>0</v>
      </c>
      <c r="L841" s="34">
        <f t="shared" si="67"/>
        <v>0</v>
      </c>
      <c r="M841" s="34">
        <f t="shared" si="65"/>
        <v>0</v>
      </c>
    </row>
    <row r="842" spans="5:13" x14ac:dyDescent="0.25">
      <c r="E842" s="32">
        <f t="shared" si="68"/>
        <v>0</v>
      </c>
      <c r="I842" s="32">
        <f t="shared" si="69"/>
        <v>0</v>
      </c>
      <c r="K842" s="31">
        <f t="shared" si="66"/>
        <v>0</v>
      </c>
      <c r="L842" s="34">
        <f t="shared" si="67"/>
        <v>0</v>
      </c>
      <c r="M842" s="34">
        <f t="shared" si="65"/>
        <v>0</v>
      </c>
    </row>
    <row r="843" spans="5:13" x14ac:dyDescent="0.25">
      <c r="E843" s="32">
        <f t="shared" si="68"/>
        <v>0</v>
      </c>
      <c r="I843" s="32">
        <f t="shared" si="69"/>
        <v>0</v>
      </c>
      <c r="K843" s="31">
        <f t="shared" si="66"/>
        <v>0</v>
      </c>
      <c r="L843" s="34">
        <f t="shared" si="67"/>
        <v>0</v>
      </c>
      <c r="M843" s="34">
        <f t="shared" si="65"/>
        <v>0</v>
      </c>
    </row>
    <row r="844" spans="5:13" x14ac:dyDescent="0.25">
      <c r="E844" s="32">
        <f t="shared" si="68"/>
        <v>0</v>
      </c>
      <c r="I844" s="32">
        <f t="shared" si="69"/>
        <v>0</v>
      </c>
      <c r="K844" s="31">
        <f t="shared" si="66"/>
        <v>0</v>
      </c>
      <c r="L844" s="34">
        <f t="shared" si="67"/>
        <v>0</v>
      </c>
      <c r="M844" s="34">
        <f t="shared" si="65"/>
        <v>0</v>
      </c>
    </row>
    <row r="845" spans="5:13" x14ac:dyDescent="0.25">
      <c r="E845" s="32">
        <f t="shared" si="68"/>
        <v>0</v>
      </c>
      <c r="I845" s="32">
        <f t="shared" si="69"/>
        <v>0</v>
      </c>
      <c r="K845" s="31">
        <f t="shared" si="66"/>
        <v>0</v>
      </c>
      <c r="L845" s="34">
        <f t="shared" si="67"/>
        <v>0</v>
      </c>
      <c r="M845" s="34">
        <f t="shared" si="65"/>
        <v>0</v>
      </c>
    </row>
    <row r="846" spans="5:13" x14ac:dyDescent="0.25">
      <c r="E846" s="32">
        <f t="shared" si="68"/>
        <v>0</v>
      </c>
      <c r="I846" s="32">
        <f t="shared" si="69"/>
        <v>0</v>
      </c>
      <c r="K846" s="31">
        <f t="shared" si="66"/>
        <v>0</v>
      </c>
      <c r="L846" s="34">
        <f t="shared" si="67"/>
        <v>0</v>
      </c>
      <c r="M846" s="34">
        <f t="shared" si="65"/>
        <v>0</v>
      </c>
    </row>
    <row r="847" spans="5:13" x14ac:dyDescent="0.25">
      <c r="E847" s="32">
        <f t="shared" si="68"/>
        <v>0</v>
      </c>
      <c r="I847" s="32">
        <f t="shared" si="69"/>
        <v>0</v>
      </c>
      <c r="K847" s="31">
        <f t="shared" si="66"/>
        <v>0</v>
      </c>
      <c r="L847" s="34">
        <f t="shared" si="67"/>
        <v>0</v>
      </c>
      <c r="M847" s="34">
        <f t="shared" si="65"/>
        <v>0</v>
      </c>
    </row>
    <row r="848" spans="5:13" x14ac:dyDescent="0.25">
      <c r="E848" s="32">
        <f t="shared" si="68"/>
        <v>0</v>
      </c>
      <c r="I848" s="32">
        <f t="shared" si="69"/>
        <v>0</v>
      </c>
      <c r="K848" s="31">
        <f t="shared" si="66"/>
        <v>0</v>
      </c>
      <c r="L848" s="34">
        <f t="shared" si="67"/>
        <v>0</v>
      </c>
      <c r="M848" s="34">
        <f t="shared" si="65"/>
        <v>0</v>
      </c>
    </row>
    <row r="849" spans="5:13" x14ac:dyDescent="0.25">
      <c r="E849" s="32">
        <f t="shared" si="68"/>
        <v>0</v>
      </c>
      <c r="I849" s="32">
        <f t="shared" si="69"/>
        <v>0</v>
      </c>
      <c r="K849" s="31">
        <f t="shared" si="66"/>
        <v>0</v>
      </c>
      <c r="L849" s="34">
        <f t="shared" si="67"/>
        <v>0</v>
      </c>
      <c r="M849" s="34">
        <f t="shared" si="65"/>
        <v>0</v>
      </c>
    </row>
    <row r="850" spans="5:13" x14ac:dyDescent="0.25">
      <c r="E850" s="32">
        <f t="shared" si="68"/>
        <v>0</v>
      </c>
      <c r="I850" s="32">
        <f t="shared" si="69"/>
        <v>0</v>
      </c>
      <c r="K850" s="31">
        <f t="shared" si="66"/>
        <v>0</v>
      </c>
      <c r="L850" s="34">
        <f t="shared" si="67"/>
        <v>0</v>
      </c>
      <c r="M850" s="34">
        <f t="shared" si="65"/>
        <v>0</v>
      </c>
    </row>
    <row r="851" spans="5:13" x14ac:dyDescent="0.25">
      <c r="E851" s="32">
        <f t="shared" si="68"/>
        <v>0</v>
      </c>
      <c r="I851" s="32">
        <f t="shared" si="69"/>
        <v>0</v>
      </c>
      <c r="K851" s="31">
        <f t="shared" si="66"/>
        <v>0</v>
      </c>
      <c r="L851" s="34">
        <f t="shared" si="67"/>
        <v>0</v>
      </c>
      <c r="M851" s="34">
        <f t="shared" si="65"/>
        <v>0</v>
      </c>
    </row>
    <row r="852" spans="5:13" x14ac:dyDescent="0.25">
      <c r="E852" s="32">
        <f t="shared" si="68"/>
        <v>0</v>
      </c>
      <c r="I852" s="32">
        <f t="shared" si="69"/>
        <v>0</v>
      </c>
      <c r="K852" s="31">
        <f t="shared" si="66"/>
        <v>0</v>
      </c>
      <c r="L852" s="34">
        <f t="shared" si="67"/>
        <v>0</v>
      </c>
      <c r="M852" s="34">
        <f t="shared" si="65"/>
        <v>0</v>
      </c>
    </row>
    <row r="853" spans="5:13" x14ac:dyDescent="0.25">
      <c r="E853" s="32">
        <f t="shared" si="68"/>
        <v>0</v>
      </c>
      <c r="I853" s="32">
        <f t="shared" si="69"/>
        <v>0</v>
      </c>
      <c r="K853" s="31">
        <f t="shared" si="66"/>
        <v>0</v>
      </c>
      <c r="L853" s="34">
        <f t="shared" si="67"/>
        <v>0</v>
      </c>
      <c r="M853" s="34">
        <f t="shared" si="65"/>
        <v>0</v>
      </c>
    </row>
    <row r="854" spans="5:13" x14ac:dyDescent="0.25">
      <c r="E854" s="32">
        <f t="shared" si="68"/>
        <v>0</v>
      </c>
      <c r="I854" s="32">
        <f t="shared" si="69"/>
        <v>0</v>
      </c>
      <c r="K854" s="31">
        <f t="shared" si="66"/>
        <v>0</v>
      </c>
      <c r="L854" s="34">
        <f t="shared" si="67"/>
        <v>0</v>
      </c>
      <c r="M854" s="34">
        <f t="shared" si="65"/>
        <v>0</v>
      </c>
    </row>
    <row r="855" spans="5:13" x14ac:dyDescent="0.25">
      <c r="E855" s="32">
        <f t="shared" si="68"/>
        <v>0</v>
      </c>
      <c r="I855" s="32">
        <f t="shared" si="69"/>
        <v>0</v>
      </c>
      <c r="K855" s="31">
        <f t="shared" si="66"/>
        <v>0</v>
      </c>
      <c r="L855" s="34">
        <f t="shared" si="67"/>
        <v>0</v>
      </c>
      <c r="M855" s="34">
        <f t="shared" si="65"/>
        <v>0</v>
      </c>
    </row>
    <row r="856" spans="5:13" x14ac:dyDescent="0.25">
      <c r="E856" s="32">
        <f t="shared" si="68"/>
        <v>0</v>
      </c>
      <c r="I856" s="32">
        <f t="shared" si="69"/>
        <v>0</v>
      </c>
      <c r="K856" s="31">
        <f t="shared" si="66"/>
        <v>0</v>
      </c>
      <c r="L856" s="34">
        <f t="shared" si="67"/>
        <v>0</v>
      </c>
      <c r="M856" s="34">
        <f t="shared" si="65"/>
        <v>0</v>
      </c>
    </row>
    <row r="857" spans="5:13" x14ac:dyDescent="0.25">
      <c r="E857" s="32">
        <f t="shared" si="68"/>
        <v>0</v>
      </c>
      <c r="I857" s="32">
        <f t="shared" si="69"/>
        <v>0</v>
      </c>
      <c r="K857" s="31">
        <f t="shared" si="66"/>
        <v>0</v>
      </c>
      <c r="L857" s="34">
        <f t="shared" si="67"/>
        <v>0</v>
      </c>
      <c r="M857" s="34">
        <f t="shared" si="65"/>
        <v>0</v>
      </c>
    </row>
    <row r="858" spans="5:13" x14ac:dyDescent="0.25">
      <c r="E858" s="32">
        <f t="shared" si="68"/>
        <v>0</v>
      </c>
      <c r="I858" s="32">
        <f t="shared" si="69"/>
        <v>0</v>
      </c>
      <c r="K858" s="31">
        <f t="shared" si="66"/>
        <v>0</v>
      </c>
      <c r="L858" s="34">
        <f t="shared" si="67"/>
        <v>0</v>
      </c>
      <c r="M858" s="34">
        <f t="shared" si="65"/>
        <v>0</v>
      </c>
    </row>
    <row r="859" spans="5:13" x14ac:dyDescent="0.25">
      <c r="E859" s="32">
        <f t="shared" si="68"/>
        <v>0</v>
      </c>
      <c r="I859" s="32">
        <f t="shared" si="69"/>
        <v>0</v>
      </c>
      <c r="K859" s="31">
        <f t="shared" si="66"/>
        <v>0</v>
      </c>
      <c r="L859" s="34">
        <f t="shared" si="67"/>
        <v>0</v>
      </c>
      <c r="M859" s="34">
        <f t="shared" si="65"/>
        <v>0</v>
      </c>
    </row>
    <row r="860" spans="5:13" x14ac:dyDescent="0.25">
      <c r="E860" s="32">
        <f t="shared" si="68"/>
        <v>0</v>
      </c>
      <c r="I860" s="32">
        <f t="shared" si="69"/>
        <v>0</v>
      </c>
      <c r="K860" s="31">
        <f t="shared" si="66"/>
        <v>0</v>
      </c>
      <c r="L860" s="34">
        <f t="shared" si="67"/>
        <v>0</v>
      </c>
      <c r="M860" s="34">
        <f t="shared" si="65"/>
        <v>0</v>
      </c>
    </row>
    <row r="861" spans="5:13" x14ac:dyDescent="0.25">
      <c r="E861" s="32">
        <f t="shared" si="68"/>
        <v>0</v>
      </c>
      <c r="I861" s="32">
        <f t="shared" si="69"/>
        <v>0</v>
      </c>
      <c r="K861" s="31">
        <f t="shared" si="66"/>
        <v>0</v>
      </c>
      <c r="L861" s="34">
        <f t="shared" si="67"/>
        <v>0</v>
      </c>
      <c r="M861" s="34">
        <f t="shared" si="65"/>
        <v>0</v>
      </c>
    </row>
    <row r="862" spans="5:13" x14ac:dyDescent="0.25">
      <c r="E862" s="32">
        <f t="shared" si="68"/>
        <v>0</v>
      </c>
      <c r="I862" s="32">
        <f t="shared" si="69"/>
        <v>0</v>
      </c>
      <c r="K862" s="31">
        <f t="shared" si="66"/>
        <v>0</v>
      </c>
      <c r="L862" s="34">
        <f t="shared" si="67"/>
        <v>0</v>
      </c>
      <c r="M862" s="34">
        <f t="shared" si="65"/>
        <v>0</v>
      </c>
    </row>
    <row r="863" spans="5:13" x14ac:dyDescent="0.25">
      <c r="E863" s="32">
        <f t="shared" si="68"/>
        <v>0</v>
      </c>
      <c r="I863" s="32">
        <f t="shared" si="69"/>
        <v>0</v>
      </c>
      <c r="K863" s="31">
        <f t="shared" si="66"/>
        <v>0</v>
      </c>
      <c r="L863" s="34">
        <f t="shared" si="67"/>
        <v>0</v>
      </c>
      <c r="M863" s="34">
        <f t="shared" si="65"/>
        <v>0</v>
      </c>
    </row>
    <row r="864" spans="5:13" x14ac:dyDescent="0.25">
      <c r="E864" s="32">
        <f t="shared" si="68"/>
        <v>0</v>
      </c>
      <c r="I864" s="32">
        <f t="shared" si="69"/>
        <v>0</v>
      </c>
      <c r="K864" s="31">
        <f t="shared" si="66"/>
        <v>0</v>
      </c>
      <c r="L864" s="34">
        <f t="shared" si="67"/>
        <v>0</v>
      </c>
      <c r="M864" s="34">
        <f t="shared" si="65"/>
        <v>0</v>
      </c>
    </row>
    <row r="865" spans="5:13" x14ac:dyDescent="0.25">
      <c r="E865" s="32">
        <f t="shared" si="68"/>
        <v>0</v>
      </c>
      <c r="I865" s="32">
        <f t="shared" si="69"/>
        <v>0</v>
      </c>
      <c r="K865" s="31">
        <f t="shared" si="66"/>
        <v>0</v>
      </c>
      <c r="L865" s="34">
        <f t="shared" si="67"/>
        <v>0</v>
      </c>
      <c r="M865" s="34">
        <f t="shared" si="65"/>
        <v>0</v>
      </c>
    </row>
    <row r="866" spans="5:13" x14ac:dyDescent="0.25">
      <c r="E866" s="32">
        <f t="shared" si="68"/>
        <v>0</v>
      </c>
      <c r="I866" s="32">
        <f t="shared" si="69"/>
        <v>0</v>
      </c>
      <c r="K866" s="31">
        <f t="shared" si="66"/>
        <v>0</v>
      </c>
      <c r="L866" s="34">
        <f t="shared" si="67"/>
        <v>0</v>
      </c>
      <c r="M866" s="34">
        <f t="shared" si="65"/>
        <v>0</v>
      </c>
    </row>
    <row r="867" spans="5:13" x14ac:dyDescent="0.25">
      <c r="E867" s="32">
        <f t="shared" si="68"/>
        <v>0</v>
      </c>
      <c r="I867" s="32">
        <f t="shared" si="69"/>
        <v>0</v>
      </c>
      <c r="K867" s="31">
        <f t="shared" si="66"/>
        <v>0</v>
      </c>
      <c r="L867" s="34">
        <f t="shared" si="67"/>
        <v>0</v>
      </c>
      <c r="M867" s="34">
        <f t="shared" si="65"/>
        <v>0</v>
      </c>
    </row>
    <row r="868" spans="5:13" x14ac:dyDescent="0.25">
      <c r="E868" s="32">
        <f t="shared" si="68"/>
        <v>0</v>
      </c>
      <c r="I868" s="32">
        <f t="shared" si="69"/>
        <v>0</v>
      </c>
      <c r="K868" s="31">
        <f t="shared" si="66"/>
        <v>0</v>
      </c>
      <c r="L868" s="34">
        <f t="shared" si="67"/>
        <v>0</v>
      </c>
      <c r="M868" s="34">
        <f t="shared" si="65"/>
        <v>0</v>
      </c>
    </row>
    <row r="869" spans="5:13" x14ac:dyDescent="0.25">
      <c r="E869" s="32">
        <f t="shared" si="68"/>
        <v>0</v>
      </c>
      <c r="I869" s="32">
        <f t="shared" si="69"/>
        <v>0</v>
      </c>
      <c r="K869" s="31">
        <f t="shared" si="66"/>
        <v>0</v>
      </c>
      <c r="L869" s="34">
        <f t="shared" si="67"/>
        <v>0</v>
      </c>
      <c r="M869" s="34">
        <f t="shared" si="65"/>
        <v>0</v>
      </c>
    </row>
    <row r="870" spans="5:13" x14ac:dyDescent="0.25">
      <c r="E870" s="32">
        <f t="shared" si="68"/>
        <v>0</v>
      </c>
      <c r="I870" s="32">
        <f t="shared" si="69"/>
        <v>0</v>
      </c>
      <c r="K870" s="31">
        <f t="shared" si="66"/>
        <v>0</v>
      </c>
      <c r="L870" s="34">
        <f t="shared" si="67"/>
        <v>0</v>
      </c>
      <c r="M870" s="34">
        <f t="shared" si="65"/>
        <v>0</v>
      </c>
    </row>
    <row r="871" spans="5:13" x14ac:dyDescent="0.25">
      <c r="E871" s="32">
        <f t="shared" si="68"/>
        <v>0</v>
      </c>
      <c r="I871" s="32">
        <f t="shared" si="69"/>
        <v>0</v>
      </c>
      <c r="K871" s="31">
        <f t="shared" si="66"/>
        <v>0</v>
      </c>
      <c r="L871" s="34">
        <f t="shared" si="67"/>
        <v>0</v>
      </c>
      <c r="M871" s="34">
        <f t="shared" si="65"/>
        <v>0</v>
      </c>
    </row>
    <row r="872" spans="5:13" x14ac:dyDescent="0.25">
      <c r="E872" s="32">
        <f t="shared" si="68"/>
        <v>0</v>
      </c>
      <c r="I872" s="32">
        <f t="shared" si="69"/>
        <v>0</v>
      </c>
      <c r="K872" s="31">
        <f t="shared" si="66"/>
        <v>0</v>
      </c>
      <c r="L872" s="34">
        <f t="shared" si="67"/>
        <v>0</v>
      </c>
      <c r="M872" s="34">
        <f t="shared" si="65"/>
        <v>0</v>
      </c>
    </row>
    <row r="873" spans="5:13" x14ac:dyDescent="0.25">
      <c r="E873" s="32">
        <f t="shared" si="68"/>
        <v>0</v>
      </c>
      <c r="I873" s="32">
        <f t="shared" si="69"/>
        <v>0</v>
      </c>
      <c r="K873" s="31">
        <f t="shared" si="66"/>
        <v>0</v>
      </c>
      <c r="L873" s="34">
        <f t="shared" si="67"/>
        <v>0</v>
      </c>
      <c r="M873" s="34">
        <f t="shared" si="65"/>
        <v>0</v>
      </c>
    </row>
    <row r="874" spans="5:13" x14ac:dyDescent="0.25">
      <c r="E874" s="32">
        <f t="shared" si="68"/>
        <v>0</v>
      </c>
      <c r="I874" s="32">
        <f t="shared" si="69"/>
        <v>0</v>
      </c>
      <c r="K874" s="31">
        <f t="shared" si="66"/>
        <v>0</v>
      </c>
      <c r="L874" s="34">
        <f t="shared" si="67"/>
        <v>0</v>
      </c>
      <c r="M874" s="34">
        <f t="shared" si="65"/>
        <v>0</v>
      </c>
    </row>
    <row r="875" spans="5:13" x14ac:dyDescent="0.25">
      <c r="E875" s="32">
        <f t="shared" si="68"/>
        <v>0</v>
      </c>
      <c r="I875" s="32">
        <f t="shared" si="69"/>
        <v>0</v>
      </c>
      <c r="K875" s="31">
        <f t="shared" si="66"/>
        <v>0</v>
      </c>
      <c r="L875" s="34">
        <f t="shared" si="67"/>
        <v>0</v>
      </c>
      <c r="M875" s="34">
        <f t="shared" si="65"/>
        <v>0</v>
      </c>
    </row>
    <row r="876" spans="5:13" x14ac:dyDescent="0.25">
      <c r="E876" s="32">
        <f t="shared" si="68"/>
        <v>0</v>
      </c>
      <c r="I876" s="32">
        <f t="shared" si="69"/>
        <v>0</v>
      </c>
      <c r="K876" s="31">
        <f t="shared" si="66"/>
        <v>0</v>
      </c>
      <c r="L876" s="34">
        <f t="shared" si="67"/>
        <v>0</v>
      </c>
      <c r="M876" s="34">
        <f t="shared" si="65"/>
        <v>0</v>
      </c>
    </row>
    <row r="877" spans="5:13" x14ac:dyDescent="0.25">
      <c r="E877" s="32">
        <f t="shared" si="68"/>
        <v>0</v>
      </c>
      <c r="I877" s="32">
        <f t="shared" si="69"/>
        <v>0</v>
      </c>
      <c r="K877" s="31">
        <f t="shared" si="66"/>
        <v>0</v>
      </c>
      <c r="L877" s="34">
        <f t="shared" si="67"/>
        <v>0</v>
      </c>
      <c r="M877" s="34">
        <f t="shared" si="65"/>
        <v>0</v>
      </c>
    </row>
    <row r="878" spans="5:13" x14ac:dyDescent="0.25">
      <c r="E878" s="32">
        <f t="shared" si="68"/>
        <v>0</v>
      </c>
      <c r="I878" s="32">
        <f t="shared" si="69"/>
        <v>0</v>
      </c>
      <c r="K878" s="31">
        <f t="shared" si="66"/>
        <v>0</v>
      </c>
      <c r="L878" s="34">
        <f t="shared" si="67"/>
        <v>0</v>
      </c>
      <c r="M878" s="34">
        <f t="shared" si="65"/>
        <v>0</v>
      </c>
    </row>
    <row r="879" spans="5:13" x14ac:dyDescent="0.25">
      <c r="E879" s="32">
        <f t="shared" si="68"/>
        <v>0</v>
      </c>
      <c r="I879" s="32">
        <f t="shared" si="69"/>
        <v>0</v>
      </c>
      <c r="K879" s="31">
        <f t="shared" si="66"/>
        <v>0</v>
      </c>
      <c r="L879" s="34">
        <f t="shared" si="67"/>
        <v>0</v>
      </c>
      <c r="M879" s="34">
        <f t="shared" si="65"/>
        <v>0</v>
      </c>
    </row>
    <row r="880" spans="5:13" x14ac:dyDescent="0.25">
      <c r="E880" s="32">
        <f t="shared" si="68"/>
        <v>0</v>
      </c>
      <c r="I880" s="32">
        <f t="shared" si="69"/>
        <v>0</v>
      </c>
      <c r="K880" s="31">
        <f t="shared" si="66"/>
        <v>0</v>
      </c>
      <c r="L880" s="34">
        <f t="shared" si="67"/>
        <v>0</v>
      </c>
      <c r="M880" s="34">
        <f t="shared" si="65"/>
        <v>0</v>
      </c>
    </row>
    <row r="881" spans="5:13" x14ac:dyDescent="0.25">
      <c r="E881" s="32">
        <f t="shared" si="68"/>
        <v>0</v>
      </c>
      <c r="I881" s="32">
        <f t="shared" si="69"/>
        <v>0</v>
      </c>
      <c r="K881" s="31">
        <f t="shared" si="66"/>
        <v>0</v>
      </c>
      <c r="L881" s="34">
        <f t="shared" si="67"/>
        <v>0</v>
      </c>
      <c r="M881" s="34">
        <f t="shared" si="65"/>
        <v>0</v>
      </c>
    </row>
    <row r="882" spans="5:13" x14ac:dyDescent="0.25">
      <c r="E882" s="32">
        <f t="shared" si="68"/>
        <v>0</v>
      </c>
      <c r="I882" s="32">
        <f t="shared" si="69"/>
        <v>0</v>
      </c>
      <c r="K882" s="31">
        <f t="shared" si="66"/>
        <v>0</v>
      </c>
      <c r="L882" s="34">
        <f t="shared" si="67"/>
        <v>0</v>
      </c>
      <c r="M882" s="34">
        <f t="shared" si="65"/>
        <v>0</v>
      </c>
    </row>
    <row r="883" spans="5:13" x14ac:dyDescent="0.25">
      <c r="E883" s="32">
        <f t="shared" si="68"/>
        <v>0</v>
      </c>
      <c r="I883" s="32">
        <f t="shared" si="69"/>
        <v>0</v>
      </c>
      <c r="K883" s="31">
        <f t="shared" si="66"/>
        <v>0</v>
      </c>
      <c r="L883" s="34">
        <f t="shared" si="67"/>
        <v>0</v>
      </c>
      <c r="M883" s="34">
        <f t="shared" si="65"/>
        <v>0</v>
      </c>
    </row>
    <row r="884" spans="5:13" x14ac:dyDescent="0.25">
      <c r="E884" s="32">
        <f t="shared" si="68"/>
        <v>0</v>
      </c>
      <c r="I884" s="32">
        <f t="shared" si="69"/>
        <v>0</v>
      </c>
      <c r="K884" s="31">
        <f t="shared" si="66"/>
        <v>0</v>
      </c>
      <c r="L884" s="34">
        <f t="shared" si="67"/>
        <v>0</v>
      </c>
      <c r="M884" s="34">
        <f t="shared" si="65"/>
        <v>0</v>
      </c>
    </row>
    <row r="885" spans="5:13" x14ac:dyDescent="0.25">
      <c r="E885" s="32">
        <f t="shared" si="68"/>
        <v>0</v>
      </c>
      <c r="I885" s="32">
        <f t="shared" si="69"/>
        <v>0</v>
      </c>
      <c r="K885" s="31">
        <f t="shared" si="66"/>
        <v>0</v>
      </c>
      <c r="L885" s="34">
        <f t="shared" si="67"/>
        <v>0</v>
      </c>
      <c r="M885" s="34">
        <f t="shared" si="65"/>
        <v>0</v>
      </c>
    </row>
    <row r="886" spans="5:13" x14ac:dyDescent="0.25">
      <c r="E886" s="32">
        <f t="shared" si="68"/>
        <v>0</v>
      </c>
      <c r="I886" s="32">
        <f t="shared" si="69"/>
        <v>0</v>
      </c>
      <c r="K886" s="31">
        <f t="shared" si="66"/>
        <v>0</v>
      </c>
      <c r="L886" s="34">
        <f t="shared" si="67"/>
        <v>0</v>
      </c>
      <c r="M886" s="34">
        <f t="shared" si="65"/>
        <v>0</v>
      </c>
    </row>
    <row r="887" spans="5:13" x14ac:dyDescent="0.25">
      <c r="E887" s="32">
        <f t="shared" si="68"/>
        <v>0</v>
      </c>
      <c r="I887" s="32">
        <f t="shared" si="69"/>
        <v>0</v>
      </c>
      <c r="K887" s="31">
        <f t="shared" si="66"/>
        <v>0</v>
      </c>
      <c r="L887" s="34">
        <f t="shared" si="67"/>
        <v>0</v>
      </c>
      <c r="M887" s="34">
        <f t="shared" si="65"/>
        <v>0</v>
      </c>
    </row>
    <row r="888" spans="5:13" x14ac:dyDescent="0.25">
      <c r="E888" s="32">
        <f t="shared" si="68"/>
        <v>0</v>
      </c>
      <c r="I888" s="32">
        <f t="shared" si="69"/>
        <v>0</v>
      </c>
      <c r="K888" s="31">
        <f t="shared" si="66"/>
        <v>0</v>
      </c>
      <c r="L888" s="34">
        <f t="shared" si="67"/>
        <v>0</v>
      </c>
      <c r="M888" s="34">
        <f t="shared" si="65"/>
        <v>0</v>
      </c>
    </row>
    <row r="889" spans="5:13" x14ac:dyDescent="0.25">
      <c r="E889" s="32">
        <f t="shared" si="68"/>
        <v>0</v>
      </c>
      <c r="I889" s="32">
        <f t="shared" si="69"/>
        <v>0</v>
      </c>
      <c r="K889" s="31">
        <f t="shared" si="66"/>
        <v>0</v>
      </c>
      <c r="L889" s="34">
        <f t="shared" si="67"/>
        <v>0</v>
      </c>
      <c r="M889" s="34">
        <f t="shared" si="65"/>
        <v>0</v>
      </c>
    </row>
    <row r="890" spans="5:13" x14ac:dyDescent="0.25">
      <c r="E890" s="32">
        <f t="shared" si="68"/>
        <v>0</v>
      </c>
      <c r="I890" s="32">
        <f t="shared" si="69"/>
        <v>0</v>
      </c>
      <c r="K890" s="31">
        <f t="shared" si="66"/>
        <v>0</v>
      </c>
      <c r="L890" s="34">
        <f t="shared" si="67"/>
        <v>0</v>
      </c>
      <c r="M890" s="34">
        <f t="shared" si="65"/>
        <v>0</v>
      </c>
    </row>
    <row r="891" spans="5:13" x14ac:dyDescent="0.25">
      <c r="E891" s="32">
        <f t="shared" si="68"/>
        <v>0</v>
      </c>
      <c r="I891" s="32">
        <f t="shared" si="69"/>
        <v>0</v>
      </c>
      <c r="K891" s="31">
        <f t="shared" si="66"/>
        <v>0</v>
      </c>
      <c r="L891" s="34">
        <f t="shared" si="67"/>
        <v>0</v>
      </c>
      <c r="M891" s="34">
        <f t="shared" si="65"/>
        <v>0</v>
      </c>
    </row>
    <row r="892" spans="5:13" x14ac:dyDescent="0.25">
      <c r="E892" s="32">
        <f t="shared" si="68"/>
        <v>0</v>
      </c>
      <c r="I892" s="32">
        <f t="shared" si="69"/>
        <v>0</v>
      </c>
      <c r="K892" s="31">
        <f t="shared" si="66"/>
        <v>0</v>
      </c>
      <c r="L892" s="34">
        <f t="shared" si="67"/>
        <v>0</v>
      </c>
      <c r="M892" s="34">
        <f t="shared" si="65"/>
        <v>0</v>
      </c>
    </row>
    <row r="893" spans="5:13" x14ac:dyDescent="0.25">
      <c r="E893" s="32">
        <f t="shared" si="68"/>
        <v>0</v>
      </c>
      <c r="I893" s="32">
        <f t="shared" si="69"/>
        <v>0</v>
      </c>
      <c r="K893" s="31">
        <f t="shared" si="66"/>
        <v>0</v>
      </c>
      <c r="L893" s="34">
        <f t="shared" si="67"/>
        <v>0</v>
      </c>
      <c r="M893" s="34">
        <f t="shared" si="65"/>
        <v>0</v>
      </c>
    </row>
    <row r="894" spans="5:13" x14ac:dyDescent="0.25">
      <c r="E894" s="32">
        <f t="shared" si="68"/>
        <v>0</v>
      </c>
      <c r="I894" s="32">
        <f t="shared" si="69"/>
        <v>0</v>
      </c>
      <c r="K894" s="31">
        <f t="shared" si="66"/>
        <v>0</v>
      </c>
      <c r="L894" s="34">
        <f t="shared" si="67"/>
        <v>0</v>
      </c>
      <c r="M894" s="34">
        <f t="shared" si="65"/>
        <v>0</v>
      </c>
    </row>
    <row r="895" spans="5:13" x14ac:dyDescent="0.25">
      <c r="E895" s="32">
        <f t="shared" si="68"/>
        <v>0</v>
      </c>
      <c r="I895" s="32">
        <f t="shared" si="69"/>
        <v>0</v>
      </c>
      <c r="K895" s="31">
        <f t="shared" si="66"/>
        <v>0</v>
      </c>
      <c r="L895" s="34">
        <f t="shared" si="67"/>
        <v>0</v>
      </c>
      <c r="M895" s="34">
        <f t="shared" si="65"/>
        <v>0</v>
      </c>
    </row>
    <row r="896" spans="5:13" x14ac:dyDescent="0.25">
      <c r="E896" s="32">
        <f t="shared" si="68"/>
        <v>0</v>
      </c>
      <c r="I896" s="32">
        <f t="shared" si="69"/>
        <v>0</v>
      </c>
      <c r="K896" s="31">
        <f t="shared" si="66"/>
        <v>0</v>
      </c>
      <c r="L896" s="34">
        <f t="shared" si="67"/>
        <v>0</v>
      </c>
      <c r="M896" s="34">
        <f t="shared" si="65"/>
        <v>0</v>
      </c>
    </row>
    <row r="897" spans="5:13" x14ac:dyDescent="0.25">
      <c r="E897" s="32">
        <f t="shared" si="68"/>
        <v>0</v>
      </c>
      <c r="I897" s="32">
        <f t="shared" si="69"/>
        <v>0</v>
      </c>
      <c r="K897" s="31">
        <f t="shared" si="66"/>
        <v>0</v>
      </c>
      <c r="L897" s="34">
        <f t="shared" si="67"/>
        <v>0</v>
      </c>
      <c r="M897" s="34">
        <f t="shared" si="65"/>
        <v>0</v>
      </c>
    </row>
    <row r="898" spans="5:13" x14ac:dyDescent="0.25">
      <c r="E898" s="32">
        <f t="shared" si="68"/>
        <v>0</v>
      </c>
      <c r="I898" s="32">
        <f t="shared" si="69"/>
        <v>0</v>
      </c>
      <c r="K898" s="31">
        <f t="shared" si="66"/>
        <v>0</v>
      </c>
      <c r="L898" s="34">
        <f t="shared" si="67"/>
        <v>0</v>
      </c>
      <c r="M898" s="34">
        <f t="shared" si="65"/>
        <v>0</v>
      </c>
    </row>
    <row r="899" spans="5:13" x14ac:dyDescent="0.25">
      <c r="E899" s="32">
        <f t="shared" si="68"/>
        <v>0</v>
      </c>
      <c r="I899" s="32">
        <f t="shared" si="69"/>
        <v>0</v>
      </c>
      <c r="K899" s="31">
        <f t="shared" si="66"/>
        <v>0</v>
      </c>
      <c r="L899" s="34">
        <f t="shared" si="67"/>
        <v>0</v>
      </c>
      <c r="M899" s="34">
        <f t="shared" si="65"/>
        <v>0</v>
      </c>
    </row>
    <row r="900" spans="5:13" x14ac:dyDescent="0.25">
      <c r="E900" s="32">
        <f t="shared" si="68"/>
        <v>0</v>
      </c>
      <c r="I900" s="32">
        <f t="shared" si="69"/>
        <v>0</v>
      </c>
      <c r="K900" s="31">
        <f t="shared" si="66"/>
        <v>0</v>
      </c>
      <c r="L900" s="34">
        <f t="shared" si="67"/>
        <v>0</v>
      </c>
      <c r="M900" s="34">
        <f t="shared" ref="M900:M963" si="70">(L900/27)*4</f>
        <v>0</v>
      </c>
    </row>
    <row r="901" spans="5:13" x14ac:dyDescent="0.25">
      <c r="E901" s="32">
        <f t="shared" si="68"/>
        <v>0</v>
      </c>
      <c r="I901" s="32">
        <f t="shared" si="69"/>
        <v>0</v>
      </c>
      <c r="K901" s="31">
        <f t="shared" ref="K901:K964" si="71">B901/30</f>
        <v>0</v>
      </c>
      <c r="L901" s="34">
        <f t="shared" ref="L901:L964" si="72">IF(J901="S",((I901*24)*K901)*2,((I901*24)*K901)*1.5)</f>
        <v>0</v>
      </c>
      <c r="M901" s="34">
        <f t="shared" si="70"/>
        <v>0</v>
      </c>
    </row>
    <row r="902" spans="5:13" x14ac:dyDescent="0.25">
      <c r="E902" s="32">
        <f t="shared" ref="E902:E965" si="73">D902-C902</f>
        <v>0</v>
      </c>
      <c r="I902" s="32">
        <f t="shared" ref="I902:I965" si="74">H902-G902</f>
        <v>0</v>
      </c>
      <c r="K902" s="31">
        <f t="shared" si="71"/>
        <v>0</v>
      </c>
      <c r="L902" s="34">
        <f t="shared" si="72"/>
        <v>0</v>
      </c>
      <c r="M902" s="34">
        <f t="shared" si="70"/>
        <v>0</v>
      </c>
    </row>
    <row r="903" spans="5:13" x14ac:dyDescent="0.25">
      <c r="E903" s="32">
        <f t="shared" si="73"/>
        <v>0</v>
      </c>
      <c r="I903" s="32">
        <f t="shared" si="74"/>
        <v>0</v>
      </c>
      <c r="K903" s="31">
        <f t="shared" si="71"/>
        <v>0</v>
      </c>
      <c r="L903" s="34">
        <f t="shared" si="72"/>
        <v>0</v>
      </c>
      <c r="M903" s="34">
        <f t="shared" si="70"/>
        <v>0</v>
      </c>
    </row>
    <row r="904" spans="5:13" x14ac:dyDescent="0.25">
      <c r="E904" s="32">
        <f t="shared" si="73"/>
        <v>0</v>
      </c>
      <c r="I904" s="32">
        <f t="shared" si="74"/>
        <v>0</v>
      </c>
      <c r="K904" s="31">
        <f t="shared" si="71"/>
        <v>0</v>
      </c>
      <c r="L904" s="34">
        <f t="shared" si="72"/>
        <v>0</v>
      </c>
      <c r="M904" s="34">
        <f t="shared" si="70"/>
        <v>0</v>
      </c>
    </row>
    <row r="905" spans="5:13" x14ac:dyDescent="0.25">
      <c r="E905" s="32">
        <f t="shared" si="73"/>
        <v>0</v>
      </c>
      <c r="I905" s="32">
        <f t="shared" si="74"/>
        <v>0</v>
      </c>
      <c r="K905" s="31">
        <f t="shared" si="71"/>
        <v>0</v>
      </c>
      <c r="L905" s="34">
        <f t="shared" si="72"/>
        <v>0</v>
      </c>
      <c r="M905" s="34">
        <f t="shared" si="70"/>
        <v>0</v>
      </c>
    </row>
    <row r="906" spans="5:13" x14ac:dyDescent="0.25">
      <c r="E906" s="32">
        <f t="shared" si="73"/>
        <v>0</v>
      </c>
      <c r="I906" s="32">
        <f t="shared" si="74"/>
        <v>0</v>
      </c>
      <c r="K906" s="31">
        <f t="shared" si="71"/>
        <v>0</v>
      </c>
      <c r="L906" s="34">
        <f t="shared" si="72"/>
        <v>0</v>
      </c>
      <c r="M906" s="34">
        <f t="shared" si="70"/>
        <v>0</v>
      </c>
    </row>
    <row r="907" spans="5:13" x14ac:dyDescent="0.25">
      <c r="E907" s="32">
        <f t="shared" si="73"/>
        <v>0</v>
      </c>
      <c r="I907" s="32">
        <f t="shared" si="74"/>
        <v>0</v>
      </c>
      <c r="K907" s="31">
        <f t="shared" si="71"/>
        <v>0</v>
      </c>
      <c r="L907" s="34">
        <f t="shared" si="72"/>
        <v>0</v>
      </c>
      <c r="M907" s="34">
        <f t="shared" si="70"/>
        <v>0</v>
      </c>
    </row>
    <row r="908" spans="5:13" x14ac:dyDescent="0.25">
      <c r="E908" s="32">
        <f t="shared" si="73"/>
        <v>0</v>
      </c>
      <c r="I908" s="32">
        <f t="shared" si="74"/>
        <v>0</v>
      </c>
      <c r="K908" s="31">
        <f t="shared" si="71"/>
        <v>0</v>
      </c>
      <c r="L908" s="34">
        <f t="shared" si="72"/>
        <v>0</v>
      </c>
      <c r="M908" s="34">
        <f t="shared" si="70"/>
        <v>0</v>
      </c>
    </row>
    <row r="909" spans="5:13" x14ac:dyDescent="0.25">
      <c r="E909" s="32">
        <f t="shared" si="73"/>
        <v>0</v>
      </c>
      <c r="I909" s="32">
        <f t="shared" si="74"/>
        <v>0</v>
      </c>
      <c r="K909" s="31">
        <f t="shared" si="71"/>
        <v>0</v>
      </c>
      <c r="L909" s="34">
        <f t="shared" si="72"/>
        <v>0</v>
      </c>
      <c r="M909" s="34">
        <f t="shared" si="70"/>
        <v>0</v>
      </c>
    </row>
    <row r="910" spans="5:13" x14ac:dyDescent="0.25">
      <c r="E910" s="32">
        <f t="shared" si="73"/>
        <v>0</v>
      </c>
      <c r="I910" s="32">
        <f t="shared" si="74"/>
        <v>0</v>
      </c>
      <c r="K910" s="31">
        <f t="shared" si="71"/>
        <v>0</v>
      </c>
      <c r="L910" s="34">
        <f t="shared" si="72"/>
        <v>0</v>
      </c>
      <c r="M910" s="34">
        <f t="shared" si="70"/>
        <v>0</v>
      </c>
    </row>
    <row r="911" spans="5:13" x14ac:dyDescent="0.25">
      <c r="E911" s="32">
        <f t="shared" si="73"/>
        <v>0</v>
      </c>
      <c r="I911" s="32">
        <f t="shared" si="74"/>
        <v>0</v>
      </c>
      <c r="K911" s="31">
        <f t="shared" si="71"/>
        <v>0</v>
      </c>
      <c r="L911" s="34">
        <f t="shared" si="72"/>
        <v>0</v>
      </c>
      <c r="M911" s="34">
        <f t="shared" si="70"/>
        <v>0</v>
      </c>
    </row>
    <row r="912" spans="5:13" x14ac:dyDescent="0.25">
      <c r="E912" s="32">
        <f t="shared" si="73"/>
        <v>0</v>
      </c>
      <c r="I912" s="32">
        <f t="shared" si="74"/>
        <v>0</v>
      </c>
      <c r="K912" s="31">
        <f t="shared" si="71"/>
        <v>0</v>
      </c>
      <c r="L912" s="34">
        <f t="shared" si="72"/>
        <v>0</v>
      </c>
      <c r="M912" s="34">
        <f t="shared" si="70"/>
        <v>0</v>
      </c>
    </row>
    <row r="913" spans="5:13" x14ac:dyDescent="0.25">
      <c r="E913" s="32">
        <f t="shared" si="73"/>
        <v>0</v>
      </c>
      <c r="I913" s="32">
        <f t="shared" si="74"/>
        <v>0</v>
      </c>
      <c r="K913" s="31">
        <f t="shared" si="71"/>
        <v>0</v>
      </c>
      <c r="L913" s="34">
        <f t="shared" si="72"/>
        <v>0</v>
      </c>
      <c r="M913" s="34">
        <f t="shared" si="70"/>
        <v>0</v>
      </c>
    </row>
    <row r="914" spans="5:13" x14ac:dyDescent="0.25">
      <c r="E914" s="32">
        <f t="shared" si="73"/>
        <v>0</v>
      </c>
      <c r="I914" s="32">
        <f t="shared" si="74"/>
        <v>0</v>
      </c>
      <c r="K914" s="31">
        <f t="shared" si="71"/>
        <v>0</v>
      </c>
      <c r="L914" s="34">
        <f t="shared" si="72"/>
        <v>0</v>
      </c>
      <c r="M914" s="34">
        <f t="shared" si="70"/>
        <v>0</v>
      </c>
    </row>
    <row r="915" spans="5:13" x14ac:dyDescent="0.25">
      <c r="E915" s="32">
        <f t="shared" si="73"/>
        <v>0</v>
      </c>
      <c r="I915" s="32">
        <f t="shared" si="74"/>
        <v>0</v>
      </c>
      <c r="K915" s="31">
        <f t="shared" si="71"/>
        <v>0</v>
      </c>
      <c r="L915" s="34">
        <f t="shared" si="72"/>
        <v>0</v>
      </c>
      <c r="M915" s="34">
        <f t="shared" si="70"/>
        <v>0</v>
      </c>
    </row>
    <row r="916" spans="5:13" x14ac:dyDescent="0.25">
      <c r="E916" s="32">
        <f t="shared" si="73"/>
        <v>0</v>
      </c>
      <c r="I916" s="32">
        <f t="shared" si="74"/>
        <v>0</v>
      </c>
      <c r="K916" s="31">
        <f t="shared" si="71"/>
        <v>0</v>
      </c>
      <c r="L916" s="34">
        <f t="shared" si="72"/>
        <v>0</v>
      </c>
      <c r="M916" s="34">
        <f t="shared" si="70"/>
        <v>0</v>
      </c>
    </row>
    <row r="917" spans="5:13" x14ac:dyDescent="0.25">
      <c r="E917" s="32">
        <f t="shared" si="73"/>
        <v>0</v>
      </c>
      <c r="I917" s="32">
        <f t="shared" si="74"/>
        <v>0</v>
      </c>
      <c r="K917" s="31">
        <f t="shared" si="71"/>
        <v>0</v>
      </c>
      <c r="L917" s="34">
        <f t="shared" si="72"/>
        <v>0</v>
      </c>
      <c r="M917" s="34">
        <f t="shared" si="70"/>
        <v>0</v>
      </c>
    </row>
    <row r="918" spans="5:13" x14ac:dyDescent="0.25">
      <c r="E918" s="32">
        <f t="shared" si="73"/>
        <v>0</v>
      </c>
      <c r="I918" s="32">
        <f t="shared" si="74"/>
        <v>0</v>
      </c>
      <c r="K918" s="31">
        <f t="shared" si="71"/>
        <v>0</v>
      </c>
      <c r="L918" s="34">
        <f t="shared" si="72"/>
        <v>0</v>
      </c>
      <c r="M918" s="34">
        <f t="shared" si="70"/>
        <v>0</v>
      </c>
    </row>
    <row r="919" spans="5:13" x14ac:dyDescent="0.25">
      <c r="E919" s="32">
        <f t="shared" si="73"/>
        <v>0</v>
      </c>
      <c r="I919" s="32">
        <f t="shared" si="74"/>
        <v>0</v>
      </c>
      <c r="K919" s="31">
        <f t="shared" si="71"/>
        <v>0</v>
      </c>
      <c r="L919" s="34">
        <f t="shared" si="72"/>
        <v>0</v>
      </c>
      <c r="M919" s="34">
        <f t="shared" si="70"/>
        <v>0</v>
      </c>
    </row>
    <row r="920" spans="5:13" x14ac:dyDescent="0.25">
      <c r="E920" s="32">
        <f t="shared" si="73"/>
        <v>0</v>
      </c>
      <c r="I920" s="32">
        <f t="shared" si="74"/>
        <v>0</v>
      </c>
      <c r="K920" s="31">
        <f t="shared" si="71"/>
        <v>0</v>
      </c>
      <c r="L920" s="34">
        <f t="shared" si="72"/>
        <v>0</v>
      </c>
      <c r="M920" s="34">
        <f t="shared" si="70"/>
        <v>0</v>
      </c>
    </row>
    <row r="921" spans="5:13" x14ac:dyDescent="0.25">
      <c r="E921" s="32">
        <f t="shared" si="73"/>
        <v>0</v>
      </c>
      <c r="I921" s="32">
        <f t="shared" si="74"/>
        <v>0</v>
      </c>
      <c r="K921" s="31">
        <f t="shared" si="71"/>
        <v>0</v>
      </c>
      <c r="L921" s="34">
        <f t="shared" si="72"/>
        <v>0</v>
      </c>
      <c r="M921" s="34">
        <f t="shared" si="70"/>
        <v>0</v>
      </c>
    </row>
    <row r="922" spans="5:13" x14ac:dyDescent="0.25">
      <c r="E922" s="32">
        <f t="shared" si="73"/>
        <v>0</v>
      </c>
      <c r="I922" s="32">
        <f t="shared" si="74"/>
        <v>0</v>
      </c>
      <c r="K922" s="31">
        <f t="shared" si="71"/>
        <v>0</v>
      </c>
      <c r="L922" s="34">
        <f t="shared" si="72"/>
        <v>0</v>
      </c>
      <c r="M922" s="34">
        <f t="shared" si="70"/>
        <v>0</v>
      </c>
    </row>
    <row r="923" spans="5:13" x14ac:dyDescent="0.25">
      <c r="E923" s="32">
        <f t="shared" si="73"/>
        <v>0</v>
      </c>
      <c r="I923" s="32">
        <f t="shared" si="74"/>
        <v>0</v>
      </c>
      <c r="K923" s="31">
        <f t="shared" si="71"/>
        <v>0</v>
      </c>
      <c r="L923" s="34">
        <f t="shared" si="72"/>
        <v>0</v>
      </c>
      <c r="M923" s="34">
        <f t="shared" si="70"/>
        <v>0</v>
      </c>
    </row>
    <row r="924" spans="5:13" x14ac:dyDescent="0.25">
      <c r="E924" s="32">
        <f t="shared" si="73"/>
        <v>0</v>
      </c>
      <c r="I924" s="32">
        <f t="shared" si="74"/>
        <v>0</v>
      </c>
      <c r="K924" s="31">
        <f t="shared" si="71"/>
        <v>0</v>
      </c>
      <c r="L924" s="34">
        <f t="shared" si="72"/>
        <v>0</v>
      </c>
      <c r="M924" s="34">
        <f t="shared" si="70"/>
        <v>0</v>
      </c>
    </row>
    <row r="925" spans="5:13" x14ac:dyDescent="0.25">
      <c r="E925" s="32">
        <f t="shared" si="73"/>
        <v>0</v>
      </c>
      <c r="I925" s="32">
        <f t="shared" si="74"/>
        <v>0</v>
      </c>
      <c r="K925" s="31">
        <f t="shared" si="71"/>
        <v>0</v>
      </c>
      <c r="L925" s="34">
        <f t="shared" si="72"/>
        <v>0</v>
      </c>
      <c r="M925" s="34">
        <f t="shared" si="70"/>
        <v>0</v>
      </c>
    </row>
    <row r="926" spans="5:13" x14ac:dyDescent="0.25">
      <c r="E926" s="32">
        <f t="shared" si="73"/>
        <v>0</v>
      </c>
      <c r="I926" s="32">
        <f t="shared" si="74"/>
        <v>0</v>
      </c>
      <c r="K926" s="31">
        <f t="shared" si="71"/>
        <v>0</v>
      </c>
      <c r="L926" s="34">
        <f t="shared" si="72"/>
        <v>0</v>
      </c>
      <c r="M926" s="34">
        <f t="shared" si="70"/>
        <v>0</v>
      </c>
    </row>
    <row r="927" spans="5:13" x14ac:dyDescent="0.25">
      <c r="E927" s="32">
        <f t="shared" si="73"/>
        <v>0</v>
      </c>
      <c r="I927" s="32">
        <f t="shared" si="74"/>
        <v>0</v>
      </c>
      <c r="K927" s="31">
        <f t="shared" si="71"/>
        <v>0</v>
      </c>
      <c r="L927" s="34">
        <f t="shared" si="72"/>
        <v>0</v>
      </c>
      <c r="M927" s="34">
        <f t="shared" si="70"/>
        <v>0</v>
      </c>
    </row>
    <row r="928" spans="5:13" x14ac:dyDescent="0.25">
      <c r="E928" s="32">
        <f t="shared" si="73"/>
        <v>0</v>
      </c>
      <c r="I928" s="32">
        <f t="shared" si="74"/>
        <v>0</v>
      </c>
      <c r="K928" s="31">
        <f t="shared" si="71"/>
        <v>0</v>
      </c>
      <c r="L928" s="34">
        <f t="shared" si="72"/>
        <v>0</v>
      </c>
      <c r="M928" s="34">
        <f t="shared" si="70"/>
        <v>0</v>
      </c>
    </row>
    <row r="929" spans="5:13" x14ac:dyDescent="0.25">
      <c r="E929" s="32">
        <f t="shared" si="73"/>
        <v>0</v>
      </c>
      <c r="I929" s="32">
        <f t="shared" si="74"/>
        <v>0</v>
      </c>
      <c r="K929" s="31">
        <f t="shared" si="71"/>
        <v>0</v>
      </c>
      <c r="L929" s="34">
        <f t="shared" si="72"/>
        <v>0</v>
      </c>
      <c r="M929" s="34">
        <f t="shared" si="70"/>
        <v>0</v>
      </c>
    </row>
    <row r="930" spans="5:13" x14ac:dyDescent="0.25">
      <c r="E930" s="32">
        <f t="shared" si="73"/>
        <v>0</v>
      </c>
      <c r="I930" s="32">
        <f t="shared" si="74"/>
        <v>0</v>
      </c>
      <c r="K930" s="31">
        <f t="shared" si="71"/>
        <v>0</v>
      </c>
      <c r="L930" s="34">
        <f t="shared" si="72"/>
        <v>0</v>
      </c>
      <c r="M930" s="34">
        <f t="shared" si="70"/>
        <v>0</v>
      </c>
    </row>
    <row r="931" spans="5:13" x14ac:dyDescent="0.25">
      <c r="E931" s="32">
        <f t="shared" si="73"/>
        <v>0</v>
      </c>
      <c r="I931" s="32">
        <f t="shared" si="74"/>
        <v>0</v>
      </c>
      <c r="K931" s="31">
        <f t="shared" si="71"/>
        <v>0</v>
      </c>
      <c r="L931" s="34">
        <f t="shared" si="72"/>
        <v>0</v>
      </c>
      <c r="M931" s="34">
        <f t="shared" si="70"/>
        <v>0</v>
      </c>
    </row>
    <row r="932" spans="5:13" x14ac:dyDescent="0.25">
      <c r="E932" s="32">
        <f t="shared" si="73"/>
        <v>0</v>
      </c>
      <c r="I932" s="32">
        <f t="shared" si="74"/>
        <v>0</v>
      </c>
      <c r="K932" s="31">
        <f t="shared" si="71"/>
        <v>0</v>
      </c>
      <c r="L932" s="34">
        <f t="shared" si="72"/>
        <v>0</v>
      </c>
      <c r="M932" s="34">
        <f t="shared" si="70"/>
        <v>0</v>
      </c>
    </row>
    <row r="933" spans="5:13" x14ac:dyDescent="0.25">
      <c r="E933" s="32">
        <f t="shared" si="73"/>
        <v>0</v>
      </c>
      <c r="I933" s="32">
        <f t="shared" si="74"/>
        <v>0</v>
      </c>
      <c r="K933" s="31">
        <f t="shared" si="71"/>
        <v>0</v>
      </c>
      <c r="L933" s="34">
        <f t="shared" si="72"/>
        <v>0</v>
      </c>
      <c r="M933" s="34">
        <f t="shared" si="70"/>
        <v>0</v>
      </c>
    </row>
    <row r="934" spans="5:13" x14ac:dyDescent="0.25">
      <c r="E934" s="32">
        <f t="shared" si="73"/>
        <v>0</v>
      </c>
      <c r="I934" s="32">
        <f t="shared" si="74"/>
        <v>0</v>
      </c>
      <c r="K934" s="31">
        <f t="shared" si="71"/>
        <v>0</v>
      </c>
      <c r="L934" s="34">
        <f t="shared" si="72"/>
        <v>0</v>
      </c>
      <c r="M934" s="34">
        <f t="shared" si="70"/>
        <v>0</v>
      </c>
    </row>
    <row r="935" spans="5:13" x14ac:dyDescent="0.25">
      <c r="E935" s="32">
        <f t="shared" si="73"/>
        <v>0</v>
      </c>
      <c r="I935" s="32">
        <f t="shared" si="74"/>
        <v>0</v>
      </c>
      <c r="K935" s="31">
        <f t="shared" si="71"/>
        <v>0</v>
      </c>
      <c r="L935" s="34">
        <f t="shared" si="72"/>
        <v>0</v>
      </c>
      <c r="M935" s="34">
        <f t="shared" si="70"/>
        <v>0</v>
      </c>
    </row>
    <row r="936" spans="5:13" x14ac:dyDescent="0.25">
      <c r="E936" s="32">
        <f t="shared" si="73"/>
        <v>0</v>
      </c>
      <c r="I936" s="32">
        <f t="shared" si="74"/>
        <v>0</v>
      </c>
      <c r="K936" s="31">
        <f t="shared" si="71"/>
        <v>0</v>
      </c>
      <c r="L936" s="34">
        <f t="shared" si="72"/>
        <v>0</v>
      </c>
      <c r="M936" s="34">
        <f t="shared" si="70"/>
        <v>0</v>
      </c>
    </row>
    <row r="937" spans="5:13" x14ac:dyDescent="0.25">
      <c r="E937" s="32">
        <f t="shared" si="73"/>
        <v>0</v>
      </c>
      <c r="I937" s="32">
        <f t="shared" si="74"/>
        <v>0</v>
      </c>
      <c r="K937" s="31">
        <f t="shared" si="71"/>
        <v>0</v>
      </c>
      <c r="L937" s="34">
        <f t="shared" si="72"/>
        <v>0</v>
      </c>
      <c r="M937" s="34">
        <f t="shared" si="70"/>
        <v>0</v>
      </c>
    </row>
    <row r="938" spans="5:13" x14ac:dyDescent="0.25">
      <c r="E938" s="32">
        <f t="shared" si="73"/>
        <v>0</v>
      </c>
      <c r="I938" s="32">
        <f t="shared" si="74"/>
        <v>0</v>
      </c>
      <c r="K938" s="31">
        <f t="shared" si="71"/>
        <v>0</v>
      </c>
      <c r="L938" s="34">
        <f t="shared" si="72"/>
        <v>0</v>
      </c>
      <c r="M938" s="34">
        <f t="shared" si="70"/>
        <v>0</v>
      </c>
    </row>
    <row r="939" spans="5:13" x14ac:dyDescent="0.25">
      <c r="E939" s="32">
        <f t="shared" si="73"/>
        <v>0</v>
      </c>
      <c r="I939" s="32">
        <f t="shared" si="74"/>
        <v>0</v>
      </c>
      <c r="K939" s="31">
        <f t="shared" si="71"/>
        <v>0</v>
      </c>
      <c r="L939" s="34">
        <f t="shared" si="72"/>
        <v>0</v>
      </c>
      <c r="M939" s="34">
        <f t="shared" si="70"/>
        <v>0</v>
      </c>
    </row>
    <row r="940" spans="5:13" x14ac:dyDescent="0.25">
      <c r="E940" s="32">
        <f t="shared" si="73"/>
        <v>0</v>
      </c>
      <c r="I940" s="32">
        <f t="shared" si="74"/>
        <v>0</v>
      </c>
      <c r="K940" s="31">
        <f t="shared" si="71"/>
        <v>0</v>
      </c>
      <c r="L940" s="34">
        <f t="shared" si="72"/>
        <v>0</v>
      </c>
      <c r="M940" s="34">
        <f t="shared" si="70"/>
        <v>0</v>
      </c>
    </row>
    <row r="941" spans="5:13" x14ac:dyDescent="0.25">
      <c r="E941" s="32">
        <f t="shared" si="73"/>
        <v>0</v>
      </c>
      <c r="I941" s="32">
        <f t="shared" si="74"/>
        <v>0</v>
      </c>
      <c r="K941" s="31">
        <f t="shared" si="71"/>
        <v>0</v>
      </c>
      <c r="L941" s="34">
        <f t="shared" si="72"/>
        <v>0</v>
      </c>
      <c r="M941" s="34">
        <f t="shared" si="70"/>
        <v>0</v>
      </c>
    </row>
    <row r="942" spans="5:13" x14ac:dyDescent="0.25">
      <c r="E942" s="32">
        <f t="shared" si="73"/>
        <v>0</v>
      </c>
      <c r="I942" s="32">
        <f t="shared" si="74"/>
        <v>0</v>
      </c>
      <c r="K942" s="31">
        <f t="shared" si="71"/>
        <v>0</v>
      </c>
      <c r="L942" s="34">
        <f t="shared" si="72"/>
        <v>0</v>
      </c>
      <c r="M942" s="34">
        <f t="shared" si="70"/>
        <v>0</v>
      </c>
    </row>
    <row r="943" spans="5:13" x14ac:dyDescent="0.25">
      <c r="E943" s="32">
        <f t="shared" si="73"/>
        <v>0</v>
      </c>
      <c r="I943" s="32">
        <f t="shared" si="74"/>
        <v>0</v>
      </c>
      <c r="K943" s="31">
        <f t="shared" si="71"/>
        <v>0</v>
      </c>
      <c r="L943" s="34">
        <f t="shared" si="72"/>
        <v>0</v>
      </c>
      <c r="M943" s="34">
        <f t="shared" si="70"/>
        <v>0</v>
      </c>
    </row>
    <row r="944" spans="5:13" x14ac:dyDescent="0.25">
      <c r="E944" s="32">
        <f t="shared" si="73"/>
        <v>0</v>
      </c>
      <c r="I944" s="32">
        <f t="shared" si="74"/>
        <v>0</v>
      </c>
      <c r="K944" s="31">
        <f t="shared" si="71"/>
        <v>0</v>
      </c>
      <c r="L944" s="34">
        <f t="shared" si="72"/>
        <v>0</v>
      </c>
      <c r="M944" s="34">
        <f t="shared" si="70"/>
        <v>0</v>
      </c>
    </row>
    <row r="945" spans="5:13" x14ac:dyDescent="0.25">
      <c r="E945" s="32">
        <f t="shared" si="73"/>
        <v>0</v>
      </c>
      <c r="I945" s="32">
        <f t="shared" si="74"/>
        <v>0</v>
      </c>
      <c r="K945" s="31">
        <f t="shared" si="71"/>
        <v>0</v>
      </c>
      <c r="L945" s="34">
        <f t="shared" si="72"/>
        <v>0</v>
      </c>
      <c r="M945" s="34">
        <f t="shared" si="70"/>
        <v>0</v>
      </c>
    </row>
    <row r="946" spans="5:13" x14ac:dyDescent="0.25">
      <c r="E946" s="32">
        <f t="shared" si="73"/>
        <v>0</v>
      </c>
      <c r="I946" s="32">
        <f t="shared" si="74"/>
        <v>0</v>
      </c>
      <c r="K946" s="31">
        <f t="shared" si="71"/>
        <v>0</v>
      </c>
      <c r="L946" s="34">
        <f t="shared" si="72"/>
        <v>0</v>
      </c>
      <c r="M946" s="34">
        <f t="shared" si="70"/>
        <v>0</v>
      </c>
    </row>
    <row r="947" spans="5:13" x14ac:dyDescent="0.25">
      <c r="E947" s="32">
        <f t="shared" si="73"/>
        <v>0</v>
      </c>
      <c r="I947" s="32">
        <f t="shared" si="74"/>
        <v>0</v>
      </c>
      <c r="K947" s="31">
        <f t="shared" si="71"/>
        <v>0</v>
      </c>
      <c r="L947" s="34">
        <f t="shared" si="72"/>
        <v>0</v>
      </c>
      <c r="M947" s="34">
        <f t="shared" si="70"/>
        <v>0</v>
      </c>
    </row>
    <row r="948" spans="5:13" x14ac:dyDescent="0.25">
      <c r="E948" s="32">
        <f t="shared" si="73"/>
        <v>0</v>
      </c>
      <c r="I948" s="32">
        <f t="shared" si="74"/>
        <v>0</v>
      </c>
      <c r="K948" s="31">
        <f t="shared" si="71"/>
        <v>0</v>
      </c>
      <c r="L948" s="34">
        <f t="shared" si="72"/>
        <v>0</v>
      </c>
      <c r="M948" s="34">
        <f t="shared" si="70"/>
        <v>0</v>
      </c>
    </row>
    <row r="949" spans="5:13" x14ac:dyDescent="0.25">
      <c r="E949" s="32">
        <f t="shared" si="73"/>
        <v>0</v>
      </c>
      <c r="I949" s="32">
        <f t="shared" si="74"/>
        <v>0</v>
      </c>
      <c r="K949" s="31">
        <f t="shared" si="71"/>
        <v>0</v>
      </c>
      <c r="L949" s="34">
        <f t="shared" si="72"/>
        <v>0</v>
      </c>
      <c r="M949" s="34">
        <f t="shared" si="70"/>
        <v>0</v>
      </c>
    </row>
    <row r="950" spans="5:13" x14ac:dyDescent="0.25">
      <c r="E950" s="32">
        <f t="shared" si="73"/>
        <v>0</v>
      </c>
      <c r="I950" s="32">
        <f t="shared" si="74"/>
        <v>0</v>
      </c>
      <c r="K950" s="31">
        <f t="shared" si="71"/>
        <v>0</v>
      </c>
      <c r="L950" s="34">
        <f t="shared" si="72"/>
        <v>0</v>
      </c>
      <c r="M950" s="34">
        <f t="shared" si="70"/>
        <v>0</v>
      </c>
    </row>
    <row r="951" spans="5:13" x14ac:dyDescent="0.25">
      <c r="E951" s="32">
        <f t="shared" si="73"/>
        <v>0</v>
      </c>
      <c r="I951" s="32">
        <f t="shared" si="74"/>
        <v>0</v>
      </c>
      <c r="K951" s="31">
        <f t="shared" si="71"/>
        <v>0</v>
      </c>
      <c r="L951" s="34">
        <f t="shared" si="72"/>
        <v>0</v>
      </c>
      <c r="M951" s="34">
        <f t="shared" si="70"/>
        <v>0</v>
      </c>
    </row>
    <row r="952" spans="5:13" x14ac:dyDescent="0.25">
      <c r="E952" s="32">
        <f t="shared" si="73"/>
        <v>0</v>
      </c>
      <c r="I952" s="32">
        <f t="shared" si="74"/>
        <v>0</v>
      </c>
      <c r="K952" s="31">
        <f t="shared" si="71"/>
        <v>0</v>
      </c>
      <c r="L952" s="34">
        <f t="shared" si="72"/>
        <v>0</v>
      </c>
      <c r="M952" s="34">
        <f t="shared" si="70"/>
        <v>0</v>
      </c>
    </row>
    <row r="953" spans="5:13" x14ac:dyDescent="0.25">
      <c r="E953" s="32">
        <f t="shared" si="73"/>
        <v>0</v>
      </c>
      <c r="I953" s="32">
        <f t="shared" si="74"/>
        <v>0</v>
      </c>
      <c r="K953" s="31">
        <f t="shared" si="71"/>
        <v>0</v>
      </c>
      <c r="L953" s="34">
        <f t="shared" si="72"/>
        <v>0</v>
      </c>
      <c r="M953" s="34">
        <f t="shared" si="70"/>
        <v>0</v>
      </c>
    </row>
    <row r="954" spans="5:13" x14ac:dyDescent="0.25">
      <c r="E954" s="32">
        <f t="shared" si="73"/>
        <v>0</v>
      </c>
      <c r="I954" s="32">
        <f t="shared" si="74"/>
        <v>0</v>
      </c>
      <c r="K954" s="31">
        <f t="shared" si="71"/>
        <v>0</v>
      </c>
      <c r="L954" s="34">
        <f t="shared" si="72"/>
        <v>0</v>
      </c>
      <c r="M954" s="34">
        <f t="shared" si="70"/>
        <v>0</v>
      </c>
    </row>
    <row r="955" spans="5:13" x14ac:dyDescent="0.25">
      <c r="E955" s="32">
        <f t="shared" si="73"/>
        <v>0</v>
      </c>
      <c r="I955" s="32">
        <f t="shared" si="74"/>
        <v>0</v>
      </c>
      <c r="K955" s="31">
        <f t="shared" si="71"/>
        <v>0</v>
      </c>
      <c r="L955" s="34">
        <f t="shared" si="72"/>
        <v>0</v>
      </c>
      <c r="M955" s="34">
        <f t="shared" si="70"/>
        <v>0</v>
      </c>
    </row>
    <row r="956" spans="5:13" x14ac:dyDescent="0.25">
      <c r="E956" s="32">
        <f t="shared" si="73"/>
        <v>0</v>
      </c>
      <c r="I956" s="32">
        <f t="shared" si="74"/>
        <v>0</v>
      </c>
      <c r="K956" s="31">
        <f t="shared" si="71"/>
        <v>0</v>
      </c>
      <c r="L956" s="34">
        <f t="shared" si="72"/>
        <v>0</v>
      </c>
      <c r="M956" s="34">
        <f t="shared" si="70"/>
        <v>0</v>
      </c>
    </row>
    <row r="957" spans="5:13" x14ac:dyDescent="0.25">
      <c r="E957" s="32">
        <f t="shared" si="73"/>
        <v>0</v>
      </c>
      <c r="I957" s="32">
        <f t="shared" si="74"/>
        <v>0</v>
      </c>
      <c r="K957" s="31">
        <f t="shared" si="71"/>
        <v>0</v>
      </c>
      <c r="L957" s="34">
        <f t="shared" si="72"/>
        <v>0</v>
      </c>
      <c r="M957" s="34">
        <f t="shared" si="70"/>
        <v>0</v>
      </c>
    </row>
    <row r="958" spans="5:13" x14ac:dyDescent="0.25">
      <c r="E958" s="32">
        <f t="shared" si="73"/>
        <v>0</v>
      </c>
      <c r="I958" s="32">
        <f t="shared" si="74"/>
        <v>0</v>
      </c>
      <c r="K958" s="31">
        <f t="shared" si="71"/>
        <v>0</v>
      </c>
      <c r="L958" s="34">
        <f t="shared" si="72"/>
        <v>0</v>
      </c>
      <c r="M958" s="34">
        <f t="shared" si="70"/>
        <v>0</v>
      </c>
    </row>
    <row r="959" spans="5:13" x14ac:dyDescent="0.25">
      <c r="E959" s="32">
        <f t="shared" si="73"/>
        <v>0</v>
      </c>
      <c r="I959" s="32">
        <f t="shared" si="74"/>
        <v>0</v>
      </c>
      <c r="K959" s="31">
        <f t="shared" si="71"/>
        <v>0</v>
      </c>
      <c r="L959" s="34">
        <f t="shared" si="72"/>
        <v>0</v>
      </c>
      <c r="M959" s="34">
        <f t="shared" si="70"/>
        <v>0</v>
      </c>
    </row>
    <row r="960" spans="5:13" x14ac:dyDescent="0.25">
      <c r="E960" s="32">
        <f t="shared" si="73"/>
        <v>0</v>
      </c>
      <c r="I960" s="32">
        <f t="shared" si="74"/>
        <v>0</v>
      </c>
      <c r="K960" s="31">
        <f t="shared" si="71"/>
        <v>0</v>
      </c>
      <c r="L960" s="34">
        <f t="shared" si="72"/>
        <v>0</v>
      </c>
      <c r="M960" s="34">
        <f t="shared" si="70"/>
        <v>0</v>
      </c>
    </row>
    <row r="961" spans="5:13" x14ac:dyDescent="0.25">
      <c r="E961" s="32">
        <f t="shared" si="73"/>
        <v>0</v>
      </c>
      <c r="I961" s="32">
        <f t="shared" si="74"/>
        <v>0</v>
      </c>
      <c r="K961" s="31">
        <f t="shared" si="71"/>
        <v>0</v>
      </c>
      <c r="L961" s="34">
        <f t="shared" si="72"/>
        <v>0</v>
      </c>
      <c r="M961" s="34">
        <f t="shared" si="70"/>
        <v>0</v>
      </c>
    </row>
    <row r="962" spans="5:13" x14ac:dyDescent="0.25">
      <c r="E962" s="32">
        <f t="shared" si="73"/>
        <v>0</v>
      </c>
      <c r="I962" s="32">
        <f t="shared" si="74"/>
        <v>0</v>
      </c>
      <c r="K962" s="31">
        <f t="shared" si="71"/>
        <v>0</v>
      </c>
      <c r="L962" s="34">
        <f t="shared" si="72"/>
        <v>0</v>
      </c>
      <c r="M962" s="34">
        <f t="shared" si="70"/>
        <v>0</v>
      </c>
    </row>
    <row r="963" spans="5:13" x14ac:dyDescent="0.25">
      <c r="E963" s="32">
        <f t="shared" si="73"/>
        <v>0</v>
      </c>
      <c r="I963" s="32">
        <f t="shared" si="74"/>
        <v>0</v>
      </c>
      <c r="K963" s="31">
        <f t="shared" si="71"/>
        <v>0</v>
      </c>
      <c r="L963" s="34">
        <f t="shared" si="72"/>
        <v>0</v>
      </c>
      <c r="M963" s="34">
        <f t="shared" si="70"/>
        <v>0</v>
      </c>
    </row>
    <row r="964" spans="5:13" x14ac:dyDescent="0.25">
      <c r="E964" s="32">
        <f t="shared" si="73"/>
        <v>0</v>
      </c>
      <c r="I964" s="32">
        <f t="shared" si="74"/>
        <v>0</v>
      </c>
      <c r="K964" s="31">
        <f t="shared" si="71"/>
        <v>0</v>
      </c>
      <c r="L964" s="34">
        <f t="shared" si="72"/>
        <v>0</v>
      </c>
      <c r="M964" s="34">
        <f t="shared" ref="M964:M1027" si="75">(L964/27)*4</f>
        <v>0</v>
      </c>
    </row>
    <row r="965" spans="5:13" x14ac:dyDescent="0.25">
      <c r="E965" s="32">
        <f t="shared" si="73"/>
        <v>0</v>
      </c>
      <c r="I965" s="32">
        <f t="shared" si="74"/>
        <v>0</v>
      </c>
      <c r="K965" s="31">
        <f t="shared" ref="K965:K1028" si="76">B965/30</f>
        <v>0</v>
      </c>
      <c r="L965" s="34">
        <f t="shared" ref="L965:L1028" si="77">IF(J965="S",((I965*24)*K965)*2,((I965*24)*K965)*1.5)</f>
        <v>0</v>
      </c>
      <c r="M965" s="34">
        <f t="shared" si="75"/>
        <v>0</v>
      </c>
    </row>
    <row r="966" spans="5:13" x14ac:dyDescent="0.25">
      <c r="E966" s="32">
        <f t="shared" ref="E966:E1029" si="78">D966-C966</f>
        <v>0</v>
      </c>
      <c r="I966" s="32">
        <f t="shared" ref="I966:I1029" si="79">H966-G966</f>
        <v>0</v>
      </c>
      <c r="K966" s="31">
        <f t="shared" si="76"/>
        <v>0</v>
      </c>
      <c r="L966" s="34">
        <f t="shared" si="77"/>
        <v>0</v>
      </c>
      <c r="M966" s="34">
        <f t="shared" si="75"/>
        <v>0</v>
      </c>
    </row>
    <row r="967" spans="5:13" x14ac:dyDescent="0.25">
      <c r="E967" s="32">
        <f t="shared" si="78"/>
        <v>0</v>
      </c>
      <c r="I967" s="32">
        <f t="shared" si="79"/>
        <v>0</v>
      </c>
      <c r="K967" s="31">
        <f t="shared" si="76"/>
        <v>0</v>
      </c>
      <c r="L967" s="34">
        <f t="shared" si="77"/>
        <v>0</v>
      </c>
      <c r="M967" s="34">
        <f t="shared" si="75"/>
        <v>0</v>
      </c>
    </row>
    <row r="968" spans="5:13" x14ac:dyDescent="0.25">
      <c r="E968" s="32">
        <f t="shared" si="78"/>
        <v>0</v>
      </c>
      <c r="I968" s="32">
        <f t="shared" si="79"/>
        <v>0</v>
      </c>
      <c r="K968" s="31">
        <f t="shared" si="76"/>
        <v>0</v>
      </c>
      <c r="L968" s="34">
        <f t="shared" si="77"/>
        <v>0</v>
      </c>
      <c r="M968" s="34">
        <f t="shared" si="75"/>
        <v>0</v>
      </c>
    </row>
    <row r="969" spans="5:13" x14ac:dyDescent="0.25">
      <c r="E969" s="32">
        <f t="shared" si="78"/>
        <v>0</v>
      </c>
      <c r="I969" s="32">
        <f t="shared" si="79"/>
        <v>0</v>
      </c>
      <c r="K969" s="31">
        <f t="shared" si="76"/>
        <v>0</v>
      </c>
      <c r="L969" s="34">
        <f t="shared" si="77"/>
        <v>0</v>
      </c>
      <c r="M969" s="34">
        <f t="shared" si="75"/>
        <v>0</v>
      </c>
    </row>
    <row r="970" spans="5:13" x14ac:dyDescent="0.25">
      <c r="E970" s="32">
        <f t="shared" si="78"/>
        <v>0</v>
      </c>
      <c r="I970" s="32">
        <f t="shared" si="79"/>
        <v>0</v>
      </c>
      <c r="K970" s="31">
        <f t="shared" si="76"/>
        <v>0</v>
      </c>
      <c r="L970" s="34">
        <f t="shared" si="77"/>
        <v>0</v>
      </c>
      <c r="M970" s="34">
        <f t="shared" si="75"/>
        <v>0</v>
      </c>
    </row>
    <row r="971" spans="5:13" x14ac:dyDescent="0.25">
      <c r="E971" s="32">
        <f t="shared" si="78"/>
        <v>0</v>
      </c>
      <c r="I971" s="32">
        <f t="shared" si="79"/>
        <v>0</v>
      </c>
      <c r="K971" s="31">
        <f t="shared" si="76"/>
        <v>0</v>
      </c>
      <c r="L971" s="34">
        <f t="shared" si="77"/>
        <v>0</v>
      </c>
      <c r="M971" s="34">
        <f t="shared" si="75"/>
        <v>0</v>
      </c>
    </row>
    <row r="972" spans="5:13" x14ac:dyDescent="0.25">
      <c r="E972" s="32">
        <f t="shared" si="78"/>
        <v>0</v>
      </c>
      <c r="I972" s="32">
        <f t="shared" si="79"/>
        <v>0</v>
      </c>
      <c r="K972" s="31">
        <f t="shared" si="76"/>
        <v>0</v>
      </c>
      <c r="L972" s="34">
        <f t="shared" si="77"/>
        <v>0</v>
      </c>
      <c r="M972" s="34">
        <f t="shared" si="75"/>
        <v>0</v>
      </c>
    </row>
    <row r="973" spans="5:13" x14ac:dyDescent="0.25">
      <c r="E973" s="32">
        <f t="shared" si="78"/>
        <v>0</v>
      </c>
      <c r="I973" s="32">
        <f t="shared" si="79"/>
        <v>0</v>
      </c>
      <c r="K973" s="31">
        <f t="shared" si="76"/>
        <v>0</v>
      </c>
      <c r="L973" s="34">
        <f t="shared" si="77"/>
        <v>0</v>
      </c>
      <c r="M973" s="34">
        <f t="shared" si="75"/>
        <v>0</v>
      </c>
    </row>
    <row r="974" spans="5:13" x14ac:dyDescent="0.25">
      <c r="E974" s="32">
        <f t="shared" si="78"/>
        <v>0</v>
      </c>
      <c r="I974" s="32">
        <f t="shared" si="79"/>
        <v>0</v>
      </c>
      <c r="K974" s="31">
        <f t="shared" si="76"/>
        <v>0</v>
      </c>
      <c r="L974" s="34">
        <f t="shared" si="77"/>
        <v>0</v>
      </c>
      <c r="M974" s="34">
        <f t="shared" si="75"/>
        <v>0</v>
      </c>
    </row>
    <row r="975" spans="5:13" x14ac:dyDescent="0.25">
      <c r="E975" s="32">
        <f t="shared" si="78"/>
        <v>0</v>
      </c>
      <c r="I975" s="32">
        <f t="shared" si="79"/>
        <v>0</v>
      </c>
      <c r="K975" s="31">
        <f t="shared" si="76"/>
        <v>0</v>
      </c>
      <c r="L975" s="34">
        <f t="shared" si="77"/>
        <v>0</v>
      </c>
      <c r="M975" s="34">
        <f t="shared" si="75"/>
        <v>0</v>
      </c>
    </row>
    <row r="976" spans="5:13" x14ac:dyDescent="0.25">
      <c r="E976" s="32">
        <f t="shared" si="78"/>
        <v>0</v>
      </c>
      <c r="I976" s="32">
        <f t="shared" si="79"/>
        <v>0</v>
      </c>
      <c r="K976" s="31">
        <f t="shared" si="76"/>
        <v>0</v>
      </c>
      <c r="L976" s="34">
        <f t="shared" si="77"/>
        <v>0</v>
      </c>
      <c r="M976" s="34">
        <f t="shared" si="75"/>
        <v>0</v>
      </c>
    </row>
    <row r="977" spans="5:13" x14ac:dyDescent="0.25">
      <c r="E977" s="32">
        <f t="shared" si="78"/>
        <v>0</v>
      </c>
      <c r="I977" s="32">
        <f t="shared" si="79"/>
        <v>0</v>
      </c>
      <c r="K977" s="31">
        <f t="shared" si="76"/>
        <v>0</v>
      </c>
      <c r="L977" s="34">
        <f t="shared" si="77"/>
        <v>0</v>
      </c>
      <c r="M977" s="34">
        <f t="shared" si="75"/>
        <v>0</v>
      </c>
    </row>
    <row r="978" spans="5:13" x14ac:dyDescent="0.25">
      <c r="E978" s="32">
        <f t="shared" si="78"/>
        <v>0</v>
      </c>
      <c r="I978" s="32">
        <f t="shared" si="79"/>
        <v>0</v>
      </c>
      <c r="K978" s="31">
        <f t="shared" si="76"/>
        <v>0</v>
      </c>
      <c r="L978" s="34">
        <f t="shared" si="77"/>
        <v>0</v>
      </c>
      <c r="M978" s="34">
        <f t="shared" si="75"/>
        <v>0</v>
      </c>
    </row>
    <row r="979" spans="5:13" x14ac:dyDescent="0.25">
      <c r="E979" s="32">
        <f t="shared" si="78"/>
        <v>0</v>
      </c>
      <c r="I979" s="32">
        <f t="shared" si="79"/>
        <v>0</v>
      </c>
      <c r="K979" s="31">
        <f t="shared" si="76"/>
        <v>0</v>
      </c>
      <c r="L979" s="34">
        <f t="shared" si="77"/>
        <v>0</v>
      </c>
      <c r="M979" s="34">
        <f t="shared" si="75"/>
        <v>0</v>
      </c>
    </row>
    <row r="980" spans="5:13" x14ac:dyDescent="0.25">
      <c r="E980" s="32">
        <f t="shared" si="78"/>
        <v>0</v>
      </c>
      <c r="I980" s="32">
        <f t="shared" si="79"/>
        <v>0</v>
      </c>
      <c r="K980" s="31">
        <f t="shared" si="76"/>
        <v>0</v>
      </c>
      <c r="L980" s="34">
        <f t="shared" si="77"/>
        <v>0</v>
      </c>
      <c r="M980" s="34">
        <f t="shared" si="75"/>
        <v>0</v>
      </c>
    </row>
    <row r="981" spans="5:13" x14ac:dyDescent="0.25">
      <c r="E981" s="32">
        <f t="shared" si="78"/>
        <v>0</v>
      </c>
      <c r="I981" s="32">
        <f t="shared" si="79"/>
        <v>0</v>
      </c>
      <c r="K981" s="31">
        <f t="shared" si="76"/>
        <v>0</v>
      </c>
      <c r="L981" s="34">
        <f t="shared" si="77"/>
        <v>0</v>
      </c>
      <c r="M981" s="34">
        <f t="shared" si="75"/>
        <v>0</v>
      </c>
    </row>
    <row r="982" spans="5:13" x14ac:dyDescent="0.25">
      <c r="E982" s="32">
        <f t="shared" si="78"/>
        <v>0</v>
      </c>
      <c r="I982" s="32">
        <f t="shared" si="79"/>
        <v>0</v>
      </c>
      <c r="K982" s="31">
        <f t="shared" si="76"/>
        <v>0</v>
      </c>
      <c r="L982" s="34">
        <f t="shared" si="77"/>
        <v>0</v>
      </c>
      <c r="M982" s="34">
        <f t="shared" si="75"/>
        <v>0</v>
      </c>
    </row>
    <row r="983" spans="5:13" x14ac:dyDescent="0.25">
      <c r="E983" s="32">
        <f t="shared" si="78"/>
        <v>0</v>
      </c>
      <c r="I983" s="32">
        <f t="shared" si="79"/>
        <v>0</v>
      </c>
      <c r="K983" s="31">
        <f t="shared" si="76"/>
        <v>0</v>
      </c>
      <c r="L983" s="34">
        <f t="shared" si="77"/>
        <v>0</v>
      </c>
      <c r="M983" s="34">
        <f t="shared" si="75"/>
        <v>0</v>
      </c>
    </row>
    <row r="984" spans="5:13" x14ac:dyDescent="0.25">
      <c r="E984" s="32">
        <f t="shared" si="78"/>
        <v>0</v>
      </c>
      <c r="I984" s="32">
        <f t="shared" si="79"/>
        <v>0</v>
      </c>
      <c r="K984" s="31">
        <f t="shared" si="76"/>
        <v>0</v>
      </c>
      <c r="L984" s="34">
        <f t="shared" si="77"/>
        <v>0</v>
      </c>
      <c r="M984" s="34">
        <f t="shared" si="75"/>
        <v>0</v>
      </c>
    </row>
    <row r="985" spans="5:13" x14ac:dyDescent="0.25">
      <c r="E985" s="32">
        <f t="shared" si="78"/>
        <v>0</v>
      </c>
      <c r="I985" s="32">
        <f t="shared" si="79"/>
        <v>0</v>
      </c>
      <c r="K985" s="31">
        <f t="shared" si="76"/>
        <v>0</v>
      </c>
      <c r="L985" s="34">
        <f t="shared" si="77"/>
        <v>0</v>
      </c>
      <c r="M985" s="34">
        <f t="shared" si="75"/>
        <v>0</v>
      </c>
    </row>
    <row r="986" spans="5:13" x14ac:dyDescent="0.25">
      <c r="E986" s="32">
        <f t="shared" si="78"/>
        <v>0</v>
      </c>
      <c r="I986" s="32">
        <f t="shared" si="79"/>
        <v>0</v>
      </c>
      <c r="K986" s="31">
        <f t="shared" si="76"/>
        <v>0</v>
      </c>
      <c r="L986" s="34">
        <f t="shared" si="77"/>
        <v>0</v>
      </c>
      <c r="M986" s="34">
        <f t="shared" si="75"/>
        <v>0</v>
      </c>
    </row>
    <row r="987" spans="5:13" x14ac:dyDescent="0.25">
      <c r="E987" s="32">
        <f t="shared" si="78"/>
        <v>0</v>
      </c>
      <c r="I987" s="32">
        <f t="shared" si="79"/>
        <v>0</v>
      </c>
      <c r="K987" s="31">
        <f t="shared" si="76"/>
        <v>0</v>
      </c>
      <c r="L987" s="34">
        <f t="shared" si="77"/>
        <v>0</v>
      </c>
      <c r="M987" s="34">
        <f t="shared" si="75"/>
        <v>0</v>
      </c>
    </row>
    <row r="988" spans="5:13" x14ac:dyDescent="0.25">
      <c r="E988" s="32">
        <f t="shared" si="78"/>
        <v>0</v>
      </c>
      <c r="I988" s="32">
        <f t="shared" si="79"/>
        <v>0</v>
      </c>
      <c r="K988" s="31">
        <f t="shared" si="76"/>
        <v>0</v>
      </c>
      <c r="L988" s="34">
        <f t="shared" si="77"/>
        <v>0</v>
      </c>
      <c r="M988" s="34">
        <f t="shared" si="75"/>
        <v>0</v>
      </c>
    </row>
    <row r="989" spans="5:13" x14ac:dyDescent="0.25">
      <c r="E989" s="32">
        <f t="shared" si="78"/>
        <v>0</v>
      </c>
      <c r="I989" s="32">
        <f t="shared" si="79"/>
        <v>0</v>
      </c>
      <c r="K989" s="31">
        <f t="shared" si="76"/>
        <v>0</v>
      </c>
      <c r="L989" s="34">
        <f t="shared" si="77"/>
        <v>0</v>
      </c>
      <c r="M989" s="34">
        <f t="shared" si="75"/>
        <v>0</v>
      </c>
    </row>
    <row r="990" spans="5:13" x14ac:dyDescent="0.25">
      <c r="E990" s="32">
        <f t="shared" si="78"/>
        <v>0</v>
      </c>
      <c r="I990" s="32">
        <f t="shared" si="79"/>
        <v>0</v>
      </c>
      <c r="K990" s="31">
        <f t="shared" si="76"/>
        <v>0</v>
      </c>
      <c r="L990" s="34">
        <f t="shared" si="77"/>
        <v>0</v>
      </c>
      <c r="M990" s="34">
        <f t="shared" si="75"/>
        <v>0</v>
      </c>
    </row>
    <row r="991" spans="5:13" x14ac:dyDescent="0.25">
      <c r="E991" s="32">
        <f t="shared" si="78"/>
        <v>0</v>
      </c>
      <c r="I991" s="32">
        <f t="shared" si="79"/>
        <v>0</v>
      </c>
      <c r="K991" s="31">
        <f t="shared" si="76"/>
        <v>0</v>
      </c>
      <c r="L991" s="34">
        <f t="shared" si="77"/>
        <v>0</v>
      </c>
      <c r="M991" s="34">
        <f t="shared" si="75"/>
        <v>0</v>
      </c>
    </row>
    <row r="992" spans="5:13" x14ac:dyDescent="0.25">
      <c r="E992" s="32">
        <f t="shared" si="78"/>
        <v>0</v>
      </c>
      <c r="I992" s="32">
        <f t="shared" si="79"/>
        <v>0</v>
      </c>
      <c r="K992" s="31">
        <f t="shared" si="76"/>
        <v>0</v>
      </c>
      <c r="L992" s="34">
        <f t="shared" si="77"/>
        <v>0</v>
      </c>
      <c r="M992" s="34">
        <f t="shared" si="75"/>
        <v>0</v>
      </c>
    </row>
    <row r="993" spans="5:13" x14ac:dyDescent="0.25">
      <c r="E993" s="32">
        <f t="shared" si="78"/>
        <v>0</v>
      </c>
      <c r="I993" s="32">
        <f t="shared" si="79"/>
        <v>0</v>
      </c>
      <c r="K993" s="31">
        <f t="shared" si="76"/>
        <v>0</v>
      </c>
      <c r="L993" s="34">
        <f t="shared" si="77"/>
        <v>0</v>
      </c>
      <c r="M993" s="34">
        <f t="shared" si="75"/>
        <v>0</v>
      </c>
    </row>
    <row r="994" spans="5:13" x14ac:dyDescent="0.25">
      <c r="E994" s="32">
        <f t="shared" si="78"/>
        <v>0</v>
      </c>
      <c r="I994" s="32">
        <f t="shared" si="79"/>
        <v>0</v>
      </c>
      <c r="K994" s="31">
        <f t="shared" si="76"/>
        <v>0</v>
      </c>
      <c r="L994" s="34">
        <f t="shared" si="77"/>
        <v>0</v>
      </c>
      <c r="M994" s="34">
        <f t="shared" si="75"/>
        <v>0</v>
      </c>
    </row>
    <row r="995" spans="5:13" x14ac:dyDescent="0.25">
      <c r="E995" s="32">
        <f t="shared" si="78"/>
        <v>0</v>
      </c>
      <c r="I995" s="32">
        <f t="shared" si="79"/>
        <v>0</v>
      </c>
      <c r="K995" s="31">
        <f t="shared" si="76"/>
        <v>0</v>
      </c>
      <c r="L995" s="34">
        <f t="shared" si="77"/>
        <v>0</v>
      </c>
      <c r="M995" s="34">
        <f t="shared" si="75"/>
        <v>0</v>
      </c>
    </row>
    <row r="996" spans="5:13" x14ac:dyDescent="0.25">
      <c r="E996" s="32">
        <f t="shared" si="78"/>
        <v>0</v>
      </c>
      <c r="I996" s="32">
        <f t="shared" si="79"/>
        <v>0</v>
      </c>
      <c r="K996" s="31">
        <f t="shared" si="76"/>
        <v>0</v>
      </c>
      <c r="L996" s="34">
        <f t="shared" si="77"/>
        <v>0</v>
      </c>
      <c r="M996" s="34">
        <f t="shared" si="75"/>
        <v>0</v>
      </c>
    </row>
    <row r="997" spans="5:13" x14ac:dyDescent="0.25">
      <c r="E997" s="32">
        <f t="shared" si="78"/>
        <v>0</v>
      </c>
      <c r="I997" s="32">
        <f t="shared" si="79"/>
        <v>0</v>
      </c>
      <c r="K997" s="31">
        <f t="shared" si="76"/>
        <v>0</v>
      </c>
      <c r="L997" s="34">
        <f t="shared" si="77"/>
        <v>0</v>
      </c>
      <c r="M997" s="34">
        <f t="shared" si="75"/>
        <v>0</v>
      </c>
    </row>
    <row r="998" spans="5:13" x14ac:dyDescent="0.25">
      <c r="E998" s="32">
        <f t="shared" si="78"/>
        <v>0</v>
      </c>
      <c r="I998" s="32">
        <f t="shared" si="79"/>
        <v>0</v>
      </c>
      <c r="K998" s="31">
        <f t="shared" si="76"/>
        <v>0</v>
      </c>
      <c r="L998" s="34">
        <f t="shared" si="77"/>
        <v>0</v>
      </c>
      <c r="M998" s="34">
        <f t="shared" si="75"/>
        <v>0</v>
      </c>
    </row>
    <row r="999" spans="5:13" x14ac:dyDescent="0.25">
      <c r="E999" s="32">
        <f t="shared" si="78"/>
        <v>0</v>
      </c>
      <c r="I999" s="32">
        <f t="shared" si="79"/>
        <v>0</v>
      </c>
      <c r="K999" s="31">
        <f t="shared" si="76"/>
        <v>0</v>
      </c>
      <c r="L999" s="34">
        <f t="shared" si="77"/>
        <v>0</v>
      </c>
      <c r="M999" s="34">
        <f t="shared" si="75"/>
        <v>0</v>
      </c>
    </row>
    <row r="1000" spans="5:13" x14ac:dyDescent="0.25">
      <c r="E1000" s="32">
        <f t="shared" si="78"/>
        <v>0</v>
      </c>
      <c r="I1000" s="32">
        <f t="shared" si="79"/>
        <v>0</v>
      </c>
      <c r="K1000" s="31">
        <f t="shared" si="76"/>
        <v>0</v>
      </c>
      <c r="L1000" s="34">
        <f t="shared" si="77"/>
        <v>0</v>
      </c>
      <c r="M1000" s="34">
        <f t="shared" si="75"/>
        <v>0</v>
      </c>
    </row>
    <row r="1001" spans="5:13" x14ac:dyDescent="0.25">
      <c r="E1001" s="32">
        <f t="shared" si="78"/>
        <v>0</v>
      </c>
      <c r="I1001" s="32">
        <f t="shared" si="79"/>
        <v>0</v>
      </c>
      <c r="K1001" s="31">
        <f t="shared" si="76"/>
        <v>0</v>
      </c>
      <c r="L1001" s="34">
        <f t="shared" si="77"/>
        <v>0</v>
      </c>
      <c r="M1001" s="34">
        <f t="shared" si="75"/>
        <v>0</v>
      </c>
    </row>
    <row r="1002" spans="5:13" x14ac:dyDescent="0.25">
      <c r="E1002" s="32">
        <f t="shared" si="78"/>
        <v>0</v>
      </c>
      <c r="I1002" s="32">
        <f t="shared" si="79"/>
        <v>0</v>
      </c>
      <c r="K1002" s="31">
        <f t="shared" si="76"/>
        <v>0</v>
      </c>
      <c r="L1002" s="34">
        <f t="shared" si="77"/>
        <v>0</v>
      </c>
      <c r="M1002" s="34">
        <f t="shared" si="75"/>
        <v>0</v>
      </c>
    </row>
    <row r="1003" spans="5:13" x14ac:dyDescent="0.25">
      <c r="E1003" s="32">
        <f t="shared" si="78"/>
        <v>0</v>
      </c>
      <c r="I1003" s="32">
        <f t="shared" si="79"/>
        <v>0</v>
      </c>
      <c r="K1003" s="31">
        <f t="shared" si="76"/>
        <v>0</v>
      </c>
      <c r="L1003" s="34">
        <f t="shared" si="77"/>
        <v>0</v>
      </c>
      <c r="M1003" s="34">
        <f t="shared" si="75"/>
        <v>0</v>
      </c>
    </row>
    <row r="1004" spans="5:13" x14ac:dyDescent="0.25">
      <c r="E1004" s="32">
        <f t="shared" si="78"/>
        <v>0</v>
      </c>
      <c r="I1004" s="32">
        <f t="shared" si="79"/>
        <v>0</v>
      </c>
      <c r="K1004" s="31">
        <f t="shared" si="76"/>
        <v>0</v>
      </c>
      <c r="L1004" s="34">
        <f t="shared" si="77"/>
        <v>0</v>
      </c>
      <c r="M1004" s="34">
        <f t="shared" si="75"/>
        <v>0</v>
      </c>
    </row>
    <row r="1005" spans="5:13" x14ac:dyDescent="0.25">
      <c r="E1005" s="32">
        <f t="shared" si="78"/>
        <v>0</v>
      </c>
      <c r="I1005" s="32">
        <f t="shared" si="79"/>
        <v>0</v>
      </c>
      <c r="K1005" s="31">
        <f t="shared" si="76"/>
        <v>0</v>
      </c>
      <c r="L1005" s="34">
        <f t="shared" si="77"/>
        <v>0</v>
      </c>
      <c r="M1005" s="34">
        <f t="shared" si="75"/>
        <v>0</v>
      </c>
    </row>
    <row r="1006" spans="5:13" x14ac:dyDescent="0.25">
      <c r="E1006" s="32">
        <f t="shared" si="78"/>
        <v>0</v>
      </c>
      <c r="I1006" s="32">
        <f t="shared" si="79"/>
        <v>0</v>
      </c>
      <c r="K1006" s="31">
        <f t="shared" si="76"/>
        <v>0</v>
      </c>
      <c r="L1006" s="34">
        <f t="shared" si="77"/>
        <v>0</v>
      </c>
      <c r="M1006" s="34">
        <f t="shared" si="75"/>
        <v>0</v>
      </c>
    </row>
    <row r="1007" spans="5:13" x14ac:dyDescent="0.25">
      <c r="E1007" s="32">
        <f t="shared" si="78"/>
        <v>0</v>
      </c>
      <c r="I1007" s="32">
        <f t="shared" si="79"/>
        <v>0</v>
      </c>
      <c r="K1007" s="31">
        <f t="shared" si="76"/>
        <v>0</v>
      </c>
      <c r="L1007" s="34">
        <f t="shared" si="77"/>
        <v>0</v>
      </c>
      <c r="M1007" s="34">
        <f t="shared" si="75"/>
        <v>0</v>
      </c>
    </row>
    <row r="1008" spans="5:13" x14ac:dyDescent="0.25">
      <c r="E1008" s="32">
        <f t="shared" si="78"/>
        <v>0</v>
      </c>
      <c r="I1008" s="32">
        <f t="shared" si="79"/>
        <v>0</v>
      </c>
      <c r="K1008" s="31">
        <f t="shared" si="76"/>
        <v>0</v>
      </c>
      <c r="L1008" s="34">
        <f t="shared" si="77"/>
        <v>0</v>
      </c>
      <c r="M1008" s="34">
        <f t="shared" si="75"/>
        <v>0</v>
      </c>
    </row>
    <row r="1009" spans="5:13" x14ac:dyDescent="0.25">
      <c r="E1009" s="32">
        <f t="shared" si="78"/>
        <v>0</v>
      </c>
      <c r="I1009" s="32">
        <f t="shared" si="79"/>
        <v>0</v>
      </c>
      <c r="K1009" s="31">
        <f t="shared" si="76"/>
        <v>0</v>
      </c>
      <c r="L1009" s="34">
        <f t="shared" si="77"/>
        <v>0</v>
      </c>
      <c r="M1009" s="34">
        <f t="shared" si="75"/>
        <v>0</v>
      </c>
    </row>
    <row r="1010" spans="5:13" x14ac:dyDescent="0.25">
      <c r="E1010" s="32">
        <f t="shared" si="78"/>
        <v>0</v>
      </c>
      <c r="I1010" s="32">
        <f t="shared" si="79"/>
        <v>0</v>
      </c>
      <c r="K1010" s="31">
        <f t="shared" si="76"/>
        <v>0</v>
      </c>
      <c r="L1010" s="34">
        <f t="shared" si="77"/>
        <v>0</v>
      </c>
      <c r="M1010" s="34">
        <f t="shared" si="75"/>
        <v>0</v>
      </c>
    </row>
    <row r="1011" spans="5:13" x14ac:dyDescent="0.25">
      <c r="E1011" s="32">
        <f t="shared" si="78"/>
        <v>0</v>
      </c>
      <c r="I1011" s="32">
        <f t="shared" si="79"/>
        <v>0</v>
      </c>
      <c r="K1011" s="31">
        <f t="shared" si="76"/>
        <v>0</v>
      </c>
      <c r="L1011" s="34">
        <f t="shared" si="77"/>
        <v>0</v>
      </c>
      <c r="M1011" s="34">
        <f t="shared" si="75"/>
        <v>0</v>
      </c>
    </row>
    <row r="1012" spans="5:13" x14ac:dyDescent="0.25">
      <c r="E1012" s="32">
        <f t="shared" si="78"/>
        <v>0</v>
      </c>
      <c r="I1012" s="32">
        <f t="shared" si="79"/>
        <v>0</v>
      </c>
      <c r="K1012" s="31">
        <f t="shared" si="76"/>
        <v>0</v>
      </c>
      <c r="L1012" s="34">
        <f t="shared" si="77"/>
        <v>0</v>
      </c>
      <c r="M1012" s="34">
        <f t="shared" si="75"/>
        <v>0</v>
      </c>
    </row>
    <row r="1013" spans="5:13" x14ac:dyDescent="0.25">
      <c r="E1013" s="32">
        <f t="shared" si="78"/>
        <v>0</v>
      </c>
      <c r="I1013" s="32">
        <f t="shared" si="79"/>
        <v>0</v>
      </c>
      <c r="K1013" s="31">
        <f t="shared" si="76"/>
        <v>0</v>
      </c>
      <c r="L1013" s="34">
        <f t="shared" si="77"/>
        <v>0</v>
      </c>
      <c r="M1013" s="34">
        <f t="shared" si="75"/>
        <v>0</v>
      </c>
    </row>
    <row r="1014" spans="5:13" x14ac:dyDescent="0.25">
      <c r="E1014" s="32">
        <f t="shared" si="78"/>
        <v>0</v>
      </c>
      <c r="I1014" s="32">
        <f t="shared" si="79"/>
        <v>0</v>
      </c>
      <c r="K1014" s="31">
        <f t="shared" si="76"/>
        <v>0</v>
      </c>
      <c r="L1014" s="34">
        <f t="shared" si="77"/>
        <v>0</v>
      </c>
      <c r="M1014" s="34">
        <f t="shared" si="75"/>
        <v>0</v>
      </c>
    </row>
    <row r="1015" spans="5:13" x14ac:dyDescent="0.25">
      <c r="E1015" s="32">
        <f t="shared" si="78"/>
        <v>0</v>
      </c>
      <c r="I1015" s="32">
        <f t="shared" si="79"/>
        <v>0</v>
      </c>
      <c r="K1015" s="31">
        <f t="shared" si="76"/>
        <v>0</v>
      </c>
      <c r="L1015" s="34">
        <f t="shared" si="77"/>
        <v>0</v>
      </c>
      <c r="M1015" s="34">
        <f t="shared" si="75"/>
        <v>0</v>
      </c>
    </row>
    <row r="1016" spans="5:13" x14ac:dyDescent="0.25">
      <c r="E1016" s="32">
        <f t="shared" si="78"/>
        <v>0</v>
      </c>
      <c r="I1016" s="32">
        <f t="shared" si="79"/>
        <v>0</v>
      </c>
      <c r="K1016" s="31">
        <f t="shared" si="76"/>
        <v>0</v>
      </c>
      <c r="L1016" s="34">
        <f t="shared" si="77"/>
        <v>0</v>
      </c>
      <c r="M1016" s="34">
        <f t="shared" si="75"/>
        <v>0</v>
      </c>
    </row>
    <row r="1017" spans="5:13" x14ac:dyDescent="0.25">
      <c r="E1017" s="32">
        <f t="shared" si="78"/>
        <v>0</v>
      </c>
      <c r="I1017" s="32">
        <f t="shared" si="79"/>
        <v>0</v>
      </c>
      <c r="K1017" s="31">
        <f t="shared" si="76"/>
        <v>0</v>
      </c>
      <c r="L1017" s="34">
        <f t="shared" si="77"/>
        <v>0</v>
      </c>
      <c r="M1017" s="34">
        <f t="shared" si="75"/>
        <v>0</v>
      </c>
    </row>
    <row r="1018" spans="5:13" x14ac:dyDescent="0.25">
      <c r="E1018" s="32">
        <f t="shared" si="78"/>
        <v>0</v>
      </c>
      <c r="I1018" s="32">
        <f t="shared" si="79"/>
        <v>0</v>
      </c>
      <c r="K1018" s="31">
        <f t="shared" si="76"/>
        <v>0</v>
      </c>
      <c r="L1018" s="34">
        <f t="shared" si="77"/>
        <v>0</v>
      </c>
      <c r="M1018" s="34">
        <f t="shared" si="75"/>
        <v>0</v>
      </c>
    </row>
    <row r="1019" spans="5:13" x14ac:dyDescent="0.25">
      <c r="E1019" s="32">
        <f t="shared" si="78"/>
        <v>0</v>
      </c>
      <c r="I1019" s="32">
        <f t="shared" si="79"/>
        <v>0</v>
      </c>
      <c r="K1019" s="31">
        <f t="shared" si="76"/>
        <v>0</v>
      </c>
      <c r="L1019" s="34">
        <f t="shared" si="77"/>
        <v>0</v>
      </c>
      <c r="M1019" s="34">
        <f t="shared" si="75"/>
        <v>0</v>
      </c>
    </row>
    <row r="1020" spans="5:13" x14ac:dyDescent="0.25">
      <c r="E1020" s="32">
        <f t="shared" si="78"/>
        <v>0</v>
      </c>
      <c r="I1020" s="32">
        <f t="shared" si="79"/>
        <v>0</v>
      </c>
      <c r="K1020" s="31">
        <f t="shared" si="76"/>
        <v>0</v>
      </c>
      <c r="L1020" s="34">
        <f t="shared" si="77"/>
        <v>0</v>
      </c>
      <c r="M1020" s="34">
        <f t="shared" si="75"/>
        <v>0</v>
      </c>
    </row>
    <row r="1021" spans="5:13" x14ac:dyDescent="0.25">
      <c r="E1021" s="32">
        <f t="shared" si="78"/>
        <v>0</v>
      </c>
      <c r="I1021" s="32">
        <f t="shared" si="79"/>
        <v>0</v>
      </c>
      <c r="K1021" s="31">
        <f t="shared" si="76"/>
        <v>0</v>
      </c>
      <c r="L1021" s="34">
        <f t="shared" si="77"/>
        <v>0</v>
      </c>
      <c r="M1021" s="34">
        <f t="shared" si="75"/>
        <v>0</v>
      </c>
    </row>
    <row r="1022" spans="5:13" x14ac:dyDescent="0.25">
      <c r="E1022" s="32">
        <f t="shared" si="78"/>
        <v>0</v>
      </c>
      <c r="I1022" s="32">
        <f t="shared" si="79"/>
        <v>0</v>
      </c>
      <c r="K1022" s="31">
        <f t="shared" si="76"/>
        <v>0</v>
      </c>
      <c r="L1022" s="34">
        <f t="shared" si="77"/>
        <v>0</v>
      </c>
      <c r="M1022" s="34">
        <f t="shared" si="75"/>
        <v>0</v>
      </c>
    </row>
    <row r="1023" spans="5:13" x14ac:dyDescent="0.25">
      <c r="E1023" s="32">
        <f t="shared" si="78"/>
        <v>0</v>
      </c>
      <c r="I1023" s="32">
        <f t="shared" si="79"/>
        <v>0</v>
      </c>
      <c r="K1023" s="31">
        <f t="shared" si="76"/>
        <v>0</v>
      </c>
      <c r="L1023" s="34">
        <f t="shared" si="77"/>
        <v>0</v>
      </c>
      <c r="M1023" s="34">
        <f t="shared" si="75"/>
        <v>0</v>
      </c>
    </row>
    <row r="1024" spans="5:13" x14ac:dyDescent="0.25">
      <c r="E1024" s="32">
        <f t="shared" si="78"/>
        <v>0</v>
      </c>
      <c r="I1024" s="32">
        <f t="shared" si="79"/>
        <v>0</v>
      </c>
      <c r="K1024" s="31">
        <f t="shared" si="76"/>
        <v>0</v>
      </c>
      <c r="L1024" s="34">
        <f t="shared" si="77"/>
        <v>0</v>
      </c>
      <c r="M1024" s="34">
        <f t="shared" si="75"/>
        <v>0</v>
      </c>
    </row>
    <row r="1025" spans="5:13" x14ac:dyDescent="0.25">
      <c r="E1025" s="32">
        <f t="shared" si="78"/>
        <v>0</v>
      </c>
      <c r="I1025" s="32">
        <f t="shared" si="79"/>
        <v>0</v>
      </c>
      <c r="K1025" s="31">
        <f t="shared" si="76"/>
        <v>0</v>
      </c>
      <c r="L1025" s="34">
        <f t="shared" si="77"/>
        <v>0</v>
      </c>
      <c r="M1025" s="34">
        <f t="shared" si="75"/>
        <v>0</v>
      </c>
    </row>
    <row r="1026" spans="5:13" x14ac:dyDescent="0.25">
      <c r="E1026" s="32">
        <f t="shared" si="78"/>
        <v>0</v>
      </c>
      <c r="I1026" s="32">
        <f t="shared" si="79"/>
        <v>0</v>
      </c>
      <c r="K1026" s="31">
        <f t="shared" si="76"/>
        <v>0</v>
      </c>
      <c r="L1026" s="34">
        <f t="shared" si="77"/>
        <v>0</v>
      </c>
      <c r="M1026" s="34">
        <f t="shared" si="75"/>
        <v>0</v>
      </c>
    </row>
    <row r="1027" spans="5:13" x14ac:dyDescent="0.25">
      <c r="E1027" s="32">
        <f t="shared" si="78"/>
        <v>0</v>
      </c>
      <c r="I1027" s="32">
        <f t="shared" si="79"/>
        <v>0</v>
      </c>
      <c r="K1027" s="31">
        <f t="shared" si="76"/>
        <v>0</v>
      </c>
      <c r="L1027" s="34">
        <f t="shared" si="77"/>
        <v>0</v>
      </c>
      <c r="M1027" s="34">
        <f t="shared" si="75"/>
        <v>0</v>
      </c>
    </row>
    <row r="1028" spans="5:13" x14ac:dyDescent="0.25">
      <c r="E1028" s="32">
        <f t="shared" si="78"/>
        <v>0</v>
      </c>
      <c r="I1028" s="32">
        <f t="shared" si="79"/>
        <v>0</v>
      </c>
      <c r="K1028" s="31">
        <f t="shared" si="76"/>
        <v>0</v>
      </c>
      <c r="L1028" s="34">
        <f t="shared" si="77"/>
        <v>0</v>
      </c>
      <c r="M1028" s="34">
        <f t="shared" ref="M1028:M1091" si="80">(L1028/27)*4</f>
        <v>0</v>
      </c>
    </row>
    <row r="1029" spans="5:13" x14ac:dyDescent="0.25">
      <c r="E1029" s="32">
        <f t="shared" si="78"/>
        <v>0</v>
      </c>
      <c r="I1029" s="32">
        <f t="shared" si="79"/>
        <v>0</v>
      </c>
      <c r="K1029" s="31">
        <f t="shared" ref="K1029:K1092" si="81">B1029/30</f>
        <v>0</v>
      </c>
      <c r="L1029" s="34">
        <f t="shared" ref="L1029:L1092" si="82">IF(J1029="S",((I1029*24)*K1029)*2,((I1029*24)*K1029)*1.5)</f>
        <v>0</v>
      </c>
      <c r="M1029" s="34">
        <f t="shared" si="80"/>
        <v>0</v>
      </c>
    </row>
    <row r="1030" spans="5:13" x14ac:dyDescent="0.25">
      <c r="E1030" s="32">
        <f t="shared" ref="E1030:E1093" si="83">D1030-C1030</f>
        <v>0</v>
      </c>
      <c r="I1030" s="32">
        <f t="shared" ref="I1030:I1093" si="84">H1030-G1030</f>
        <v>0</v>
      </c>
      <c r="K1030" s="31">
        <f t="shared" si="81"/>
        <v>0</v>
      </c>
      <c r="L1030" s="34">
        <f t="shared" si="82"/>
        <v>0</v>
      </c>
      <c r="M1030" s="34">
        <f t="shared" si="80"/>
        <v>0</v>
      </c>
    </row>
    <row r="1031" spans="5:13" x14ac:dyDescent="0.25">
      <c r="E1031" s="32">
        <f t="shared" si="83"/>
        <v>0</v>
      </c>
      <c r="I1031" s="32">
        <f t="shared" si="84"/>
        <v>0</v>
      </c>
      <c r="K1031" s="31">
        <f t="shared" si="81"/>
        <v>0</v>
      </c>
      <c r="L1031" s="34">
        <f t="shared" si="82"/>
        <v>0</v>
      </c>
      <c r="M1031" s="34">
        <f t="shared" si="80"/>
        <v>0</v>
      </c>
    </row>
    <row r="1032" spans="5:13" x14ac:dyDescent="0.25">
      <c r="E1032" s="32">
        <f t="shared" si="83"/>
        <v>0</v>
      </c>
      <c r="I1032" s="32">
        <f t="shared" si="84"/>
        <v>0</v>
      </c>
      <c r="K1032" s="31">
        <f t="shared" si="81"/>
        <v>0</v>
      </c>
      <c r="L1032" s="34">
        <f t="shared" si="82"/>
        <v>0</v>
      </c>
      <c r="M1032" s="34">
        <f t="shared" si="80"/>
        <v>0</v>
      </c>
    </row>
    <row r="1033" spans="5:13" x14ac:dyDescent="0.25">
      <c r="E1033" s="32">
        <f t="shared" si="83"/>
        <v>0</v>
      </c>
      <c r="I1033" s="32">
        <f t="shared" si="84"/>
        <v>0</v>
      </c>
      <c r="K1033" s="31">
        <f t="shared" si="81"/>
        <v>0</v>
      </c>
      <c r="L1033" s="34">
        <f t="shared" si="82"/>
        <v>0</v>
      </c>
      <c r="M1033" s="34">
        <f t="shared" si="80"/>
        <v>0</v>
      </c>
    </row>
    <row r="1034" spans="5:13" x14ac:dyDescent="0.25">
      <c r="E1034" s="32">
        <f t="shared" si="83"/>
        <v>0</v>
      </c>
      <c r="I1034" s="32">
        <f t="shared" si="84"/>
        <v>0</v>
      </c>
      <c r="K1034" s="31">
        <f t="shared" si="81"/>
        <v>0</v>
      </c>
      <c r="L1034" s="34">
        <f t="shared" si="82"/>
        <v>0</v>
      </c>
      <c r="M1034" s="34">
        <f t="shared" si="80"/>
        <v>0</v>
      </c>
    </row>
    <row r="1035" spans="5:13" x14ac:dyDescent="0.25">
      <c r="E1035" s="32">
        <f t="shared" si="83"/>
        <v>0</v>
      </c>
      <c r="I1035" s="32">
        <f t="shared" si="84"/>
        <v>0</v>
      </c>
      <c r="K1035" s="31">
        <f t="shared" si="81"/>
        <v>0</v>
      </c>
      <c r="L1035" s="34">
        <f t="shared" si="82"/>
        <v>0</v>
      </c>
      <c r="M1035" s="34">
        <f t="shared" si="80"/>
        <v>0</v>
      </c>
    </row>
    <row r="1036" spans="5:13" x14ac:dyDescent="0.25">
      <c r="E1036" s="32">
        <f t="shared" si="83"/>
        <v>0</v>
      </c>
      <c r="I1036" s="32">
        <f t="shared" si="84"/>
        <v>0</v>
      </c>
      <c r="K1036" s="31">
        <f t="shared" si="81"/>
        <v>0</v>
      </c>
      <c r="L1036" s="34">
        <f t="shared" si="82"/>
        <v>0</v>
      </c>
      <c r="M1036" s="34">
        <f t="shared" si="80"/>
        <v>0</v>
      </c>
    </row>
    <row r="1037" spans="5:13" x14ac:dyDescent="0.25">
      <c r="E1037" s="32">
        <f t="shared" si="83"/>
        <v>0</v>
      </c>
      <c r="I1037" s="32">
        <f t="shared" si="84"/>
        <v>0</v>
      </c>
      <c r="K1037" s="31">
        <f t="shared" si="81"/>
        <v>0</v>
      </c>
      <c r="L1037" s="34">
        <f t="shared" si="82"/>
        <v>0</v>
      </c>
      <c r="M1037" s="34">
        <f t="shared" si="80"/>
        <v>0</v>
      </c>
    </row>
    <row r="1038" spans="5:13" x14ac:dyDescent="0.25">
      <c r="E1038" s="32">
        <f t="shared" si="83"/>
        <v>0</v>
      </c>
      <c r="I1038" s="32">
        <f t="shared" si="84"/>
        <v>0</v>
      </c>
      <c r="K1038" s="31">
        <f t="shared" si="81"/>
        <v>0</v>
      </c>
      <c r="L1038" s="34">
        <f t="shared" si="82"/>
        <v>0</v>
      </c>
      <c r="M1038" s="34">
        <f t="shared" si="80"/>
        <v>0</v>
      </c>
    </row>
    <row r="1039" spans="5:13" x14ac:dyDescent="0.25">
      <c r="E1039" s="32">
        <f t="shared" si="83"/>
        <v>0</v>
      </c>
      <c r="I1039" s="32">
        <f t="shared" si="84"/>
        <v>0</v>
      </c>
      <c r="K1039" s="31">
        <f t="shared" si="81"/>
        <v>0</v>
      </c>
      <c r="L1039" s="34">
        <f t="shared" si="82"/>
        <v>0</v>
      </c>
      <c r="M1039" s="34">
        <f t="shared" si="80"/>
        <v>0</v>
      </c>
    </row>
    <row r="1040" spans="5:13" x14ac:dyDescent="0.25">
      <c r="E1040" s="32">
        <f t="shared" si="83"/>
        <v>0</v>
      </c>
      <c r="I1040" s="32">
        <f t="shared" si="84"/>
        <v>0</v>
      </c>
      <c r="K1040" s="31">
        <f t="shared" si="81"/>
        <v>0</v>
      </c>
      <c r="L1040" s="34">
        <f t="shared" si="82"/>
        <v>0</v>
      </c>
      <c r="M1040" s="34">
        <f t="shared" si="80"/>
        <v>0</v>
      </c>
    </row>
    <row r="1041" spans="5:13" x14ac:dyDescent="0.25">
      <c r="E1041" s="32">
        <f t="shared" si="83"/>
        <v>0</v>
      </c>
      <c r="I1041" s="32">
        <f t="shared" si="84"/>
        <v>0</v>
      </c>
      <c r="K1041" s="31">
        <f t="shared" si="81"/>
        <v>0</v>
      </c>
      <c r="L1041" s="34">
        <f t="shared" si="82"/>
        <v>0</v>
      </c>
      <c r="M1041" s="34">
        <f t="shared" si="80"/>
        <v>0</v>
      </c>
    </row>
    <row r="1042" spans="5:13" x14ac:dyDescent="0.25">
      <c r="E1042" s="32">
        <f t="shared" si="83"/>
        <v>0</v>
      </c>
      <c r="I1042" s="32">
        <f t="shared" si="84"/>
        <v>0</v>
      </c>
      <c r="K1042" s="31">
        <f t="shared" si="81"/>
        <v>0</v>
      </c>
      <c r="L1042" s="34">
        <f t="shared" si="82"/>
        <v>0</v>
      </c>
      <c r="M1042" s="34">
        <f t="shared" si="80"/>
        <v>0</v>
      </c>
    </row>
    <row r="1043" spans="5:13" x14ac:dyDescent="0.25">
      <c r="E1043" s="32">
        <f t="shared" si="83"/>
        <v>0</v>
      </c>
      <c r="I1043" s="32">
        <f t="shared" si="84"/>
        <v>0</v>
      </c>
      <c r="K1043" s="31">
        <f t="shared" si="81"/>
        <v>0</v>
      </c>
      <c r="L1043" s="34">
        <f t="shared" si="82"/>
        <v>0</v>
      </c>
      <c r="M1043" s="34">
        <f t="shared" si="80"/>
        <v>0</v>
      </c>
    </row>
    <row r="1044" spans="5:13" x14ac:dyDescent="0.25">
      <c r="E1044" s="32">
        <f t="shared" si="83"/>
        <v>0</v>
      </c>
      <c r="I1044" s="32">
        <f t="shared" si="84"/>
        <v>0</v>
      </c>
      <c r="K1044" s="31">
        <f t="shared" si="81"/>
        <v>0</v>
      </c>
      <c r="L1044" s="34">
        <f t="shared" si="82"/>
        <v>0</v>
      </c>
      <c r="M1044" s="34">
        <f t="shared" si="80"/>
        <v>0</v>
      </c>
    </row>
    <row r="1045" spans="5:13" x14ac:dyDescent="0.25">
      <c r="E1045" s="32">
        <f t="shared" si="83"/>
        <v>0</v>
      </c>
      <c r="I1045" s="32">
        <f t="shared" si="84"/>
        <v>0</v>
      </c>
      <c r="K1045" s="31">
        <f t="shared" si="81"/>
        <v>0</v>
      </c>
      <c r="L1045" s="34">
        <f t="shared" si="82"/>
        <v>0</v>
      </c>
      <c r="M1045" s="34">
        <f t="shared" si="80"/>
        <v>0</v>
      </c>
    </row>
    <row r="1046" spans="5:13" x14ac:dyDescent="0.25">
      <c r="E1046" s="32">
        <f t="shared" si="83"/>
        <v>0</v>
      </c>
      <c r="I1046" s="32">
        <f t="shared" si="84"/>
        <v>0</v>
      </c>
      <c r="K1046" s="31">
        <f t="shared" si="81"/>
        <v>0</v>
      </c>
      <c r="L1046" s="34">
        <f t="shared" si="82"/>
        <v>0</v>
      </c>
      <c r="M1046" s="34">
        <f t="shared" si="80"/>
        <v>0</v>
      </c>
    </row>
    <row r="1047" spans="5:13" x14ac:dyDescent="0.25">
      <c r="E1047" s="32">
        <f t="shared" si="83"/>
        <v>0</v>
      </c>
      <c r="I1047" s="32">
        <f t="shared" si="84"/>
        <v>0</v>
      </c>
      <c r="K1047" s="31">
        <f t="shared" si="81"/>
        <v>0</v>
      </c>
      <c r="L1047" s="34">
        <f t="shared" si="82"/>
        <v>0</v>
      </c>
      <c r="M1047" s="34">
        <f t="shared" si="80"/>
        <v>0</v>
      </c>
    </row>
    <row r="1048" spans="5:13" x14ac:dyDescent="0.25">
      <c r="E1048" s="32">
        <f t="shared" si="83"/>
        <v>0</v>
      </c>
      <c r="I1048" s="32">
        <f t="shared" si="84"/>
        <v>0</v>
      </c>
      <c r="K1048" s="31">
        <f t="shared" si="81"/>
        <v>0</v>
      </c>
      <c r="L1048" s="34">
        <f t="shared" si="82"/>
        <v>0</v>
      </c>
      <c r="M1048" s="34">
        <f t="shared" si="80"/>
        <v>0</v>
      </c>
    </row>
    <row r="1049" spans="5:13" x14ac:dyDescent="0.25">
      <c r="E1049" s="32">
        <f t="shared" si="83"/>
        <v>0</v>
      </c>
      <c r="I1049" s="32">
        <f t="shared" si="84"/>
        <v>0</v>
      </c>
      <c r="K1049" s="31">
        <f t="shared" si="81"/>
        <v>0</v>
      </c>
      <c r="L1049" s="34">
        <f t="shared" si="82"/>
        <v>0</v>
      </c>
      <c r="M1049" s="34">
        <f t="shared" si="80"/>
        <v>0</v>
      </c>
    </row>
    <row r="1050" spans="5:13" x14ac:dyDescent="0.25">
      <c r="E1050" s="32">
        <f t="shared" si="83"/>
        <v>0</v>
      </c>
      <c r="I1050" s="32">
        <f t="shared" si="84"/>
        <v>0</v>
      </c>
      <c r="K1050" s="31">
        <f t="shared" si="81"/>
        <v>0</v>
      </c>
      <c r="L1050" s="34">
        <f t="shared" si="82"/>
        <v>0</v>
      </c>
      <c r="M1050" s="34">
        <f t="shared" si="80"/>
        <v>0</v>
      </c>
    </row>
    <row r="1051" spans="5:13" x14ac:dyDescent="0.25">
      <c r="E1051" s="32">
        <f t="shared" si="83"/>
        <v>0</v>
      </c>
      <c r="I1051" s="32">
        <f t="shared" si="84"/>
        <v>0</v>
      </c>
      <c r="K1051" s="31">
        <f t="shared" si="81"/>
        <v>0</v>
      </c>
      <c r="L1051" s="34">
        <f t="shared" si="82"/>
        <v>0</v>
      </c>
      <c r="M1051" s="34">
        <f t="shared" si="80"/>
        <v>0</v>
      </c>
    </row>
    <row r="1052" spans="5:13" x14ac:dyDescent="0.25">
      <c r="E1052" s="32">
        <f t="shared" si="83"/>
        <v>0</v>
      </c>
      <c r="I1052" s="32">
        <f t="shared" si="84"/>
        <v>0</v>
      </c>
      <c r="K1052" s="31">
        <f t="shared" si="81"/>
        <v>0</v>
      </c>
      <c r="L1052" s="34">
        <f t="shared" si="82"/>
        <v>0</v>
      </c>
      <c r="M1052" s="34">
        <f t="shared" si="80"/>
        <v>0</v>
      </c>
    </row>
    <row r="1053" spans="5:13" x14ac:dyDescent="0.25">
      <c r="E1053" s="32">
        <f t="shared" si="83"/>
        <v>0</v>
      </c>
      <c r="I1053" s="32">
        <f t="shared" si="84"/>
        <v>0</v>
      </c>
      <c r="K1053" s="31">
        <f t="shared" si="81"/>
        <v>0</v>
      </c>
      <c r="L1053" s="34">
        <f t="shared" si="82"/>
        <v>0</v>
      </c>
      <c r="M1053" s="34">
        <f t="shared" si="80"/>
        <v>0</v>
      </c>
    </row>
    <row r="1054" spans="5:13" x14ac:dyDescent="0.25">
      <c r="E1054" s="32">
        <f t="shared" si="83"/>
        <v>0</v>
      </c>
      <c r="I1054" s="32">
        <f t="shared" si="84"/>
        <v>0</v>
      </c>
      <c r="K1054" s="31">
        <f t="shared" si="81"/>
        <v>0</v>
      </c>
      <c r="L1054" s="34">
        <f t="shared" si="82"/>
        <v>0</v>
      </c>
      <c r="M1054" s="34">
        <f t="shared" si="80"/>
        <v>0</v>
      </c>
    </row>
    <row r="1055" spans="5:13" x14ac:dyDescent="0.25">
      <c r="E1055" s="32">
        <f t="shared" si="83"/>
        <v>0</v>
      </c>
      <c r="I1055" s="32">
        <f t="shared" si="84"/>
        <v>0</v>
      </c>
      <c r="K1055" s="31">
        <f t="shared" si="81"/>
        <v>0</v>
      </c>
      <c r="L1055" s="34">
        <f t="shared" si="82"/>
        <v>0</v>
      </c>
      <c r="M1055" s="34">
        <f t="shared" si="80"/>
        <v>0</v>
      </c>
    </row>
    <row r="1056" spans="5:13" x14ac:dyDescent="0.25">
      <c r="E1056" s="32">
        <f t="shared" si="83"/>
        <v>0</v>
      </c>
      <c r="I1056" s="32">
        <f t="shared" si="84"/>
        <v>0</v>
      </c>
      <c r="K1056" s="31">
        <f t="shared" si="81"/>
        <v>0</v>
      </c>
      <c r="L1056" s="34">
        <f t="shared" si="82"/>
        <v>0</v>
      </c>
      <c r="M1056" s="34">
        <f t="shared" si="80"/>
        <v>0</v>
      </c>
    </row>
    <row r="1057" spans="5:13" x14ac:dyDescent="0.25">
      <c r="E1057" s="32">
        <f t="shared" si="83"/>
        <v>0</v>
      </c>
      <c r="I1057" s="32">
        <f t="shared" si="84"/>
        <v>0</v>
      </c>
      <c r="K1057" s="31">
        <f t="shared" si="81"/>
        <v>0</v>
      </c>
      <c r="L1057" s="34">
        <f t="shared" si="82"/>
        <v>0</v>
      </c>
      <c r="M1057" s="34">
        <f t="shared" si="80"/>
        <v>0</v>
      </c>
    </row>
    <row r="1058" spans="5:13" x14ac:dyDescent="0.25">
      <c r="E1058" s="32">
        <f t="shared" si="83"/>
        <v>0</v>
      </c>
      <c r="I1058" s="32">
        <f t="shared" si="84"/>
        <v>0</v>
      </c>
      <c r="K1058" s="31">
        <f t="shared" si="81"/>
        <v>0</v>
      </c>
      <c r="L1058" s="34">
        <f t="shared" si="82"/>
        <v>0</v>
      </c>
      <c r="M1058" s="34">
        <f t="shared" si="80"/>
        <v>0</v>
      </c>
    </row>
    <row r="1059" spans="5:13" x14ac:dyDescent="0.25">
      <c r="E1059" s="32">
        <f t="shared" si="83"/>
        <v>0</v>
      </c>
      <c r="I1059" s="32">
        <f t="shared" si="84"/>
        <v>0</v>
      </c>
      <c r="K1059" s="31">
        <f t="shared" si="81"/>
        <v>0</v>
      </c>
      <c r="L1059" s="34">
        <f t="shared" si="82"/>
        <v>0</v>
      </c>
      <c r="M1059" s="34">
        <f t="shared" si="80"/>
        <v>0</v>
      </c>
    </row>
    <row r="1060" spans="5:13" x14ac:dyDescent="0.25">
      <c r="E1060" s="32">
        <f t="shared" si="83"/>
        <v>0</v>
      </c>
      <c r="I1060" s="32">
        <f t="shared" si="84"/>
        <v>0</v>
      </c>
      <c r="K1060" s="31">
        <f t="shared" si="81"/>
        <v>0</v>
      </c>
      <c r="L1060" s="34">
        <f t="shared" si="82"/>
        <v>0</v>
      </c>
      <c r="M1060" s="34">
        <f t="shared" si="80"/>
        <v>0</v>
      </c>
    </row>
    <row r="1061" spans="5:13" x14ac:dyDescent="0.25">
      <c r="E1061" s="32">
        <f t="shared" si="83"/>
        <v>0</v>
      </c>
      <c r="I1061" s="32">
        <f t="shared" si="84"/>
        <v>0</v>
      </c>
      <c r="K1061" s="31">
        <f t="shared" si="81"/>
        <v>0</v>
      </c>
      <c r="L1061" s="34">
        <f t="shared" si="82"/>
        <v>0</v>
      </c>
      <c r="M1061" s="34">
        <f t="shared" si="80"/>
        <v>0</v>
      </c>
    </row>
    <row r="1062" spans="5:13" x14ac:dyDescent="0.25">
      <c r="E1062" s="32">
        <f t="shared" si="83"/>
        <v>0</v>
      </c>
      <c r="I1062" s="32">
        <f t="shared" si="84"/>
        <v>0</v>
      </c>
      <c r="K1062" s="31">
        <f t="shared" si="81"/>
        <v>0</v>
      </c>
      <c r="L1062" s="34">
        <f t="shared" si="82"/>
        <v>0</v>
      </c>
      <c r="M1062" s="34">
        <f t="shared" si="80"/>
        <v>0</v>
      </c>
    </row>
    <row r="1063" spans="5:13" x14ac:dyDescent="0.25">
      <c r="E1063" s="32">
        <f t="shared" si="83"/>
        <v>0</v>
      </c>
      <c r="I1063" s="32">
        <f t="shared" si="84"/>
        <v>0</v>
      </c>
      <c r="K1063" s="31">
        <f t="shared" si="81"/>
        <v>0</v>
      </c>
      <c r="L1063" s="34">
        <f t="shared" si="82"/>
        <v>0</v>
      </c>
      <c r="M1063" s="34">
        <f t="shared" si="80"/>
        <v>0</v>
      </c>
    </row>
    <row r="1064" spans="5:13" x14ac:dyDescent="0.25">
      <c r="E1064" s="32">
        <f t="shared" si="83"/>
        <v>0</v>
      </c>
      <c r="I1064" s="32">
        <f t="shared" si="84"/>
        <v>0</v>
      </c>
      <c r="K1064" s="31">
        <f t="shared" si="81"/>
        <v>0</v>
      </c>
      <c r="L1064" s="34">
        <f t="shared" si="82"/>
        <v>0</v>
      </c>
      <c r="M1064" s="34">
        <f t="shared" si="80"/>
        <v>0</v>
      </c>
    </row>
    <row r="1065" spans="5:13" x14ac:dyDescent="0.25">
      <c r="E1065" s="32">
        <f t="shared" si="83"/>
        <v>0</v>
      </c>
      <c r="I1065" s="32">
        <f t="shared" si="84"/>
        <v>0</v>
      </c>
      <c r="K1065" s="31">
        <f t="shared" si="81"/>
        <v>0</v>
      </c>
      <c r="L1065" s="34">
        <f t="shared" si="82"/>
        <v>0</v>
      </c>
      <c r="M1065" s="34">
        <f t="shared" si="80"/>
        <v>0</v>
      </c>
    </row>
    <row r="1066" spans="5:13" x14ac:dyDescent="0.25">
      <c r="E1066" s="32">
        <f t="shared" si="83"/>
        <v>0</v>
      </c>
      <c r="I1066" s="32">
        <f t="shared" si="84"/>
        <v>0</v>
      </c>
      <c r="K1066" s="31">
        <f t="shared" si="81"/>
        <v>0</v>
      </c>
      <c r="L1066" s="34">
        <f t="shared" si="82"/>
        <v>0</v>
      </c>
      <c r="M1066" s="34">
        <f t="shared" si="80"/>
        <v>0</v>
      </c>
    </row>
    <row r="1067" spans="5:13" x14ac:dyDescent="0.25">
      <c r="E1067" s="32">
        <f t="shared" si="83"/>
        <v>0</v>
      </c>
      <c r="I1067" s="32">
        <f t="shared" si="84"/>
        <v>0</v>
      </c>
      <c r="K1067" s="31">
        <f t="shared" si="81"/>
        <v>0</v>
      </c>
      <c r="L1067" s="34">
        <f t="shared" si="82"/>
        <v>0</v>
      </c>
      <c r="M1067" s="34">
        <f t="shared" si="80"/>
        <v>0</v>
      </c>
    </row>
    <row r="1068" spans="5:13" x14ac:dyDescent="0.25">
      <c r="E1068" s="32">
        <f t="shared" si="83"/>
        <v>0</v>
      </c>
      <c r="I1068" s="32">
        <f t="shared" si="84"/>
        <v>0</v>
      </c>
      <c r="K1068" s="31">
        <f t="shared" si="81"/>
        <v>0</v>
      </c>
      <c r="L1068" s="34">
        <f t="shared" si="82"/>
        <v>0</v>
      </c>
      <c r="M1068" s="34">
        <f t="shared" si="80"/>
        <v>0</v>
      </c>
    </row>
    <row r="1069" spans="5:13" x14ac:dyDescent="0.25">
      <c r="E1069" s="32">
        <f t="shared" si="83"/>
        <v>0</v>
      </c>
      <c r="I1069" s="32">
        <f t="shared" si="84"/>
        <v>0</v>
      </c>
      <c r="K1069" s="31">
        <f t="shared" si="81"/>
        <v>0</v>
      </c>
      <c r="L1069" s="34">
        <f t="shared" si="82"/>
        <v>0</v>
      </c>
      <c r="M1069" s="34">
        <f t="shared" si="80"/>
        <v>0</v>
      </c>
    </row>
    <row r="1070" spans="5:13" x14ac:dyDescent="0.25">
      <c r="E1070" s="32">
        <f t="shared" si="83"/>
        <v>0</v>
      </c>
      <c r="I1070" s="32">
        <f t="shared" si="84"/>
        <v>0</v>
      </c>
      <c r="K1070" s="31">
        <f t="shared" si="81"/>
        <v>0</v>
      </c>
      <c r="L1070" s="34">
        <f t="shared" si="82"/>
        <v>0</v>
      </c>
      <c r="M1070" s="34">
        <f t="shared" si="80"/>
        <v>0</v>
      </c>
    </row>
    <row r="1071" spans="5:13" x14ac:dyDescent="0.25">
      <c r="E1071" s="32">
        <f t="shared" si="83"/>
        <v>0</v>
      </c>
      <c r="I1071" s="32">
        <f t="shared" si="84"/>
        <v>0</v>
      </c>
      <c r="K1071" s="31">
        <f t="shared" si="81"/>
        <v>0</v>
      </c>
      <c r="L1071" s="34">
        <f t="shared" si="82"/>
        <v>0</v>
      </c>
      <c r="M1071" s="34">
        <f t="shared" si="80"/>
        <v>0</v>
      </c>
    </row>
    <row r="1072" spans="5:13" x14ac:dyDescent="0.25">
      <c r="E1072" s="32">
        <f t="shared" si="83"/>
        <v>0</v>
      </c>
      <c r="I1072" s="32">
        <f t="shared" si="84"/>
        <v>0</v>
      </c>
      <c r="K1072" s="31">
        <f t="shared" si="81"/>
        <v>0</v>
      </c>
      <c r="L1072" s="34">
        <f t="shared" si="82"/>
        <v>0</v>
      </c>
      <c r="M1072" s="34">
        <f t="shared" si="80"/>
        <v>0</v>
      </c>
    </row>
    <row r="1073" spans="5:13" x14ac:dyDescent="0.25">
      <c r="E1073" s="32">
        <f t="shared" si="83"/>
        <v>0</v>
      </c>
      <c r="I1073" s="32">
        <f t="shared" si="84"/>
        <v>0</v>
      </c>
      <c r="K1073" s="31">
        <f t="shared" si="81"/>
        <v>0</v>
      </c>
      <c r="L1073" s="34">
        <f t="shared" si="82"/>
        <v>0</v>
      </c>
      <c r="M1073" s="34">
        <f t="shared" si="80"/>
        <v>0</v>
      </c>
    </row>
    <row r="1074" spans="5:13" x14ac:dyDescent="0.25">
      <c r="E1074" s="32">
        <f t="shared" si="83"/>
        <v>0</v>
      </c>
      <c r="I1074" s="32">
        <f t="shared" si="84"/>
        <v>0</v>
      </c>
      <c r="K1074" s="31">
        <f t="shared" si="81"/>
        <v>0</v>
      </c>
      <c r="L1074" s="34">
        <f t="shared" si="82"/>
        <v>0</v>
      </c>
      <c r="M1074" s="34">
        <f t="shared" si="80"/>
        <v>0</v>
      </c>
    </row>
    <row r="1075" spans="5:13" x14ac:dyDescent="0.25">
      <c r="E1075" s="32">
        <f t="shared" si="83"/>
        <v>0</v>
      </c>
      <c r="I1075" s="32">
        <f t="shared" si="84"/>
        <v>0</v>
      </c>
      <c r="K1075" s="31">
        <f t="shared" si="81"/>
        <v>0</v>
      </c>
      <c r="L1075" s="34">
        <f t="shared" si="82"/>
        <v>0</v>
      </c>
      <c r="M1075" s="34">
        <f t="shared" si="80"/>
        <v>0</v>
      </c>
    </row>
    <row r="1076" spans="5:13" x14ac:dyDescent="0.25">
      <c r="E1076" s="32">
        <f t="shared" si="83"/>
        <v>0</v>
      </c>
      <c r="I1076" s="32">
        <f t="shared" si="84"/>
        <v>0</v>
      </c>
      <c r="K1076" s="31">
        <f t="shared" si="81"/>
        <v>0</v>
      </c>
      <c r="L1076" s="34">
        <f t="shared" si="82"/>
        <v>0</v>
      </c>
      <c r="M1076" s="34">
        <f t="shared" si="80"/>
        <v>0</v>
      </c>
    </row>
    <row r="1077" spans="5:13" x14ac:dyDescent="0.25">
      <c r="E1077" s="32">
        <f t="shared" si="83"/>
        <v>0</v>
      </c>
      <c r="I1077" s="32">
        <f t="shared" si="84"/>
        <v>0</v>
      </c>
      <c r="K1077" s="31">
        <f t="shared" si="81"/>
        <v>0</v>
      </c>
      <c r="L1077" s="34">
        <f t="shared" si="82"/>
        <v>0</v>
      </c>
      <c r="M1077" s="34">
        <f t="shared" si="80"/>
        <v>0</v>
      </c>
    </row>
    <row r="1078" spans="5:13" x14ac:dyDescent="0.25">
      <c r="E1078" s="32">
        <f t="shared" si="83"/>
        <v>0</v>
      </c>
      <c r="I1078" s="32">
        <f t="shared" si="84"/>
        <v>0</v>
      </c>
      <c r="K1078" s="31">
        <f t="shared" si="81"/>
        <v>0</v>
      </c>
      <c r="L1078" s="34">
        <f t="shared" si="82"/>
        <v>0</v>
      </c>
      <c r="M1078" s="34">
        <f t="shared" si="80"/>
        <v>0</v>
      </c>
    </row>
    <row r="1079" spans="5:13" x14ac:dyDescent="0.25">
      <c r="E1079" s="32">
        <f t="shared" si="83"/>
        <v>0</v>
      </c>
      <c r="I1079" s="32">
        <f t="shared" si="84"/>
        <v>0</v>
      </c>
      <c r="K1079" s="31">
        <f t="shared" si="81"/>
        <v>0</v>
      </c>
      <c r="L1079" s="34">
        <f t="shared" si="82"/>
        <v>0</v>
      </c>
      <c r="M1079" s="34">
        <f t="shared" si="80"/>
        <v>0</v>
      </c>
    </row>
    <row r="1080" spans="5:13" x14ac:dyDescent="0.25">
      <c r="E1080" s="32">
        <f t="shared" si="83"/>
        <v>0</v>
      </c>
      <c r="I1080" s="32">
        <f t="shared" si="84"/>
        <v>0</v>
      </c>
      <c r="K1080" s="31">
        <f t="shared" si="81"/>
        <v>0</v>
      </c>
      <c r="L1080" s="34">
        <f t="shared" si="82"/>
        <v>0</v>
      </c>
      <c r="M1080" s="34">
        <f t="shared" si="80"/>
        <v>0</v>
      </c>
    </row>
    <row r="1081" spans="5:13" x14ac:dyDescent="0.25">
      <c r="E1081" s="32">
        <f t="shared" si="83"/>
        <v>0</v>
      </c>
      <c r="I1081" s="32">
        <f t="shared" si="84"/>
        <v>0</v>
      </c>
      <c r="K1081" s="31">
        <f t="shared" si="81"/>
        <v>0</v>
      </c>
      <c r="L1081" s="34">
        <f t="shared" si="82"/>
        <v>0</v>
      </c>
      <c r="M1081" s="34">
        <f t="shared" si="80"/>
        <v>0</v>
      </c>
    </row>
    <row r="1082" spans="5:13" x14ac:dyDescent="0.25">
      <c r="E1082" s="32">
        <f t="shared" si="83"/>
        <v>0</v>
      </c>
      <c r="I1082" s="32">
        <f t="shared" si="84"/>
        <v>0</v>
      </c>
      <c r="K1082" s="31">
        <f t="shared" si="81"/>
        <v>0</v>
      </c>
      <c r="L1082" s="34">
        <f t="shared" si="82"/>
        <v>0</v>
      </c>
      <c r="M1082" s="34">
        <f t="shared" si="80"/>
        <v>0</v>
      </c>
    </row>
    <row r="1083" spans="5:13" x14ac:dyDescent="0.25">
      <c r="E1083" s="32">
        <f t="shared" si="83"/>
        <v>0</v>
      </c>
      <c r="I1083" s="32">
        <f t="shared" si="84"/>
        <v>0</v>
      </c>
      <c r="K1083" s="31">
        <f t="shared" si="81"/>
        <v>0</v>
      </c>
      <c r="L1083" s="34">
        <f t="shared" si="82"/>
        <v>0</v>
      </c>
      <c r="M1083" s="34">
        <f t="shared" si="80"/>
        <v>0</v>
      </c>
    </row>
    <row r="1084" spans="5:13" x14ac:dyDescent="0.25">
      <c r="E1084" s="32">
        <f t="shared" si="83"/>
        <v>0</v>
      </c>
      <c r="I1084" s="32">
        <f t="shared" si="84"/>
        <v>0</v>
      </c>
      <c r="K1084" s="31">
        <f t="shared" si="81"/>
        <v>0</v>
      </c>
      <c r="L1084" s="34">
        <f t="shared" si="82"/>
        <v>0</v>
      </c>
      <c r="M1084" s="34">
        <f t="shared" si="80"/>
        <v>0</v>
      </c>
    </row>
    <row r="1085" spans="5:13" x14ac:dyDescent="0.25">
      <c r="E1085" s="32">
        <f t="shared" si="83"/>
        <v>0</v>
      </c>
      <c r="I1085" s="32">
        <f t="shared" si="84"/>
        <v>0</v>
      </c>
      <c r="K1085" s="31">
        <f t="shared" si="81"/>
        <v>0</v>
      </c>
      <c r="L1085" s="34">
        <f t="shared" si="82"/>
        <v>0</v>
      </c>
      <c r="M1085" s="34">
        <f t="shared" si="80"/>
        <v>0</v>
      </c>
    </row>
    <row r="1086" spans="5:13" x14ac:dyDescent="0.25">
      <c r="E1086" s="32">
        <f t="shared" si="83"/>
        <v>0</v>
      </c>
      <c r="I1086" s="32">
        <f t="shared" si="84"/>
        <v>0</v>
      </c>
      <c r="K1086" s="31">
        <f t="shared" si="81"/>
        <v>0</v>
      </c>
      <c r="L1086" s="34">
        <f t="shared" si="82"/>
        <v>0</v>
      </c>
      <c r="M1086" s="34">
        <f t="shared" si="80"/>
        <v>0</v>
      </c>
    </row>
    <row r="1087" spans="5:13" x14ac:dyDescent="0.25">
      <c r="E1087" s="32">
        <f t="shared" si="83"/>
        <v>0</v>
      </c>
      <c r="I1087" s="32">
        <f t="shared" si="84"/>
        <v>0</v>
      </c>
      <c r="K1087" s="31">
        <f t="shared" si="81"/>
        <v>0</v>
      </c>
      <c r="L1087" s="34">
        <f t="shared" si="82"/>
        <v>0</v>
      </c>
      <c r="M1087" s="34">
        <f t="shared" si="80"/>
        <v>0</v>
      </c>
    </row>
    <row r="1088" spans="5:13" x14ac:dyDescent="0.25">
      <c r="E1088" s="32">
        <f t="shared" si="83"/>
        <v>0</v>
      </c>
      <c r="I1088" s="32">
        <f t="shared" si="84"/>
        <v>0</v>
      </c>
      <c r="K1088" s="31">
        <f t="shared" si="81"/>
        <v>0</v>
      </c>
      <c r="L1088" s="34">
        <f t="shared" si="82"/>
        <v>0</v>
      </c>
      <c r="M1088" s="34">
        <f t="shared" si="80"/>
        <v>0</v>
      </c>
    </row>
    <row r="1089" spans="5:13" x14ac:dyDescent="0.25">
      <c r="E1089" s="32">
        <f t="shared" si="83"/>
        <v>0</v>
      </c>
      <c r="I1089" s="32">
        <f t="shared" si="84"/>
        <v>0</v>
      </c>
      <c r="K1089" s="31">
        <f t="shared" si="81"/>
        <v>0</v>
      </c>
      <c r="L1089" s="34">
        <f t="shared" si="82"/>
        <v>0</v>
      </c>
      <c r="M1089" s="34">
        <f t="shared" si="80"/>
        <v>0</v>
      </c>
    </row>
    <row r="1090" spans="5:13" x14ac:dyDescent="0.25">
      <c r="E1090" s="32">
        <f t="shared" si="83"/>
        <v>0</v>
      </c>
      <c r="I1090" s="32">
        <f t="shared" si="84"/>
        <v>0</v>
      </c>
      <c r="K1090" s="31">
        <f t="shared" si="81"/>
        <v>0</v>
      </c>
      <c r="L1090" s="34">
        <f t="shared" si="82"/>
        <v>0</v>
      </c>
      <c r="M1090" s="34">
        <f t="shared" si="80"/>
        <v>0</v>
      </c>
    </row>
    <row r="1091" spans="5:13" x14ac:dyDescent="0.25">
      <c r="E1091" s="32">
        <f t="shared" si="83"/>
        <v>0</v>
      </c>
      <c r="I1091" s="32">
        <f t="shared" si="84"/>
        <v>0</v>
      </c>
      <c r="K1091" s="31">
        <f t="shared" si="81"/>
        <v>0</v>
      </c>
      <c r="L1091" s="34">
        <f t="shared" si="82"/>
        <v>0</v>
      </c>
      <c r="M1091" s="34">
        <f t="shared" si="80"/>
        <v>0</v>
      </c>
    </row>
    <row r="1092" spans="5:13" x14ac:dyDescent="0.25">
      <c r="E1092" s="32">
        <f t="shared" si="83"/>
        <v>0</v>
      </c>
      <c r="I1092" s="32">
        <f t="shared" si="84"/>
        <v>0</v>
      </c>
      <c r="K1092" s="31">
        <f t="shared" si="81"/>
        <v>0</v>
      </c>
      <c r="L1092" s="34">
        <f t="shared" si="82"/>
        <v>0</v>
      </c>
      <c r="M1092" s="34">
        <f t="shared" ref="M1092:M1155" si="85">(L1092/27)*4</f>
        <v>0</v>
      </c>
    </row>
    <row r="1093" spans="5:13" x14ac:dyDescent="0.25">
      <c r="E1093" s="32">
        <f t="shared" si="83"/>
        <v>0</v>
      </c>
      <c r="I1093" s="32">
        <f t="shared" si="84"/>
        <v>0</v>
      </c>
      <c r="K1093" s="31">
        <f t="shared" ref="K1093:K1156" si="86">B1093/30</f>
        <v>0</v>
      </c>
      <c r="L1093" s="34">
        <f t="shared" ref="L1093:L1156" si="87">IF(J1093="S",((I1093*24)*K1093)*2,((I1093*24)*K1093)*1.5)</f>
        <v>0</v>
      </c>
      <c r="M1093" s="34">
        <f t="shared" si="85"/>
        <v>0</v>
      </c>
    </row>
    <row r="1094" spans="5:13" x14ac:dyDescent="0.25">
      <c r="E1094" s="32">
        <f t="shared" ref="E1094:E1157" si="88">D1094-C1094</f>
        <v>0</v>
      </c>
      <c r="I1094" s="32">
        <f t="shared" ref="I1094:I1157" si="89">H1094-G1094</f>
        <v>0</v>
      </c>
      <c r="K1094" s="31">
        <f t="shared" si="86"/>
        <v>0</v>
      </c>
      <c r="L1094" s="34">
        <f t="shared" si="87"/>
        <v>0</v>
      </c>
      <c r="M1094" s="34">
        <f t="shared" si="85"/>
        <v>0</v>
      </c>
    </row>
    <row r="1095" spans="5:13" x14ac:dyDescent="0.25">
      <c r="E1095" s="32">
        <f t="shared" si="88"/>
        <v>0</v>
      </c>
      <c r="I1095" s="32">
        <f t="shared" si="89"/>
        <v>0</v>
      </c>
      <c r="K1095" s="31">
        <f t="shared" si="86"/>
        <v>0</v>
      </c>
      <c r="L1095" s="34">
        <f t="shared" si="87"/>
        <v>0</v>
      </c>
      <c r="M1095" s="34">
        <f t="shared" si="85"/>
        <v>0</v>
      </c>
    </row>
    <row r="1096" spans="5:13" x14ac:dyDescent="0.25">
      <c r="E1096" s="32">
        <f t="shared" si="88"/>
        <v>0</v>
      </c>
      <c r="I1096" s="32">
        <f t="shared" si="89"/>
        <v>0</v>
      </c>
      <c r="K1096" s="31">
        <f t="shared" si="86"/>
        <v>0</v>
      </c>
      <c r="L1096" s="34">
        <f t="shared" si="87"/>
        <v>0</v>
      </c>
      <c r="M1096" s="34">
        <f t="shared" si="85"/>
        <v>0</v>
      </c>
    </row>
    <row r="1097" spans="5:13" x14ac:dyDescent="0.25">
      <c r="E1097" s="32">
        <f t="shared" si="88"/>
        <v>0</v>
      </c>
      <c r="I1097" s="32">
        <f t="shared" si="89"/>
        <v>0</v>
      </c>
      <c r="K1097" s="31">
        <f t="shared" si="86"/>
        <v>0</v>
      </c>
      <c r="L1097" s="34">
        <f t="shared" si="87"/>
        <v>0</v>
      </c>
      <c r="M1097" s="34">
        <f t="shared" si="85"/>
        <v>0</v>
      </c>
    </row>
    <row r="1098" spans="5:13" x14ac:dyDescent="0.25">
      <c r="E1098" s="32">
        <f t="shared" si="88"/>
        <v>0</v>
      </c>
      <c r="I1098" s="32">
        <f t="shared" si="89"/>
        <v>0</v>
      </c>
      <c r="K1098" s="31">
        <f t="shared" si="86"/>
        <v>0</v>
      </c>
      <c r="L1098" s="34">
        <f t="shared" si="87"/>
        <v>0</v>
      </c>
      <c r="M1098" s="34">
        <f t="shared" si="85"/>
        <v>0</v>
      </c>
    </row>
    <row r="1099" spans="5:13" x14ac:dyDescent="0.25">
      <c r="E1099" s="32">
        <f t="shared" si="88"/>
        <v>0</v>
      </c>
      <c r="I1099" s="32">
        <f t="shared" si="89"/>
        <v>0</v>
      </c>
      <c r="K1099" s="31">
        <f t="shared" si="86"/>
        <v>0</v>
      </c>
      <c r="L1099" s="34">
        <f t="shared" si="87"/>
        <v>0</v>
      </c>
      <c r="M1099" s="34">
        <f t="shared" si="85"/>
        <v>0</v>
      </c>
    </row>
    <row r="1100" spans="5:13" x14ac:dyDescent="0.25">
      <c r="E1100" s="32">
        <f t="shared" si="88"/>
        <v>0</v>
      </c>
      <c r="I1100" s="32">
        <f t="shared" si="89"/>
        <v>0</v>
      </c>
      <c r="K1100" s="31">
        <f t="shared" si="86"/>
        <v>0</v>
      </c>
      <c r="L1100" s="34">
        <f t="shared" si="87"/>
        <v>0</v>
      </c>
      <c r="M1100" s="34">
        <f t="shared" si="85"/>
        <v>0</v>
      </c>
    </row>
    <row r="1101" spans="5:13" x14ac:dyDescent="0.25">
      <c r="E1101" s="32">
        <f t="shared" si="88"/>
        <v>0</v>
      </c>
      <c r="I1101" s="32">
        <f t="shared" si="89"/>
        <v>0</v>
      </c>
      <c r="K1101" s="31">
        <f t="shared" si="86"/>
        <v>0</v>
      </c>
      <c r="L1101" s="34">
        <f t="shared" si="87"/>
        <v>0</v>
      </c>
      <c r="M1101" s="34">
        <f t="shared" si="85"/>
        <v>0</v>
      </c>
    </row>
    <row r="1102" spans="5:13" x14ac:dyDescent="0.25">
      <c r="E1102" s="32">
        <f t="shared" si="88"/>
        <v>0</v>
      </c>
      <c r="I1102" s="32">
        <f t="shared" si="89"/>
        <v>0</v>
      </c>
      <c r="K1102" s="31">
        <f t="shared" si="86"/>
        <v>0</v>
      </c>
      <c r="L1102" s="34">
        <f t="shared" si="87"/>
        <v>0</v>
      </c>
      <c r="M1102" s="34">
        <f t="shared" si="85"/>
        <v>0</v>
      </c>
    </row>
    <row r="1103" spans="5:13" x14ac:dyDescent="0.25">
      <c r="E1103" s="32">
        <f t="shared" si="88"/>
        <v>0</v>
      </c>
      <c r="I1103" s="32">
        <f t="shared" si="89"/>
        <v>0</v>
      </c>
      <c r="K1103" s="31">
        <f t="shared" si="86"/>
        <v>0</v>
      </c>
      <c r="L1103" s="34">
        <f t="shared" si="87"/>
        <v>0</v>
      </c>
      <c r="M1103" s="34">
        <f t="shared" si="85"/>
        <v>0</v>
      </c>
    </row>
    <row r="1104" spans="5:13" x14ac:dyDescent="0.25">
      <c r="E1104" s="32">
        <f t="shared" si="88"/>
        <v>0</v>
      </c>
      <c r="I1104" s="32">
        <f t="shared" si="89"/>
        <v>0</v>
      </c>
      <c r="K1104" s="31">
        <f t="shared" si="86"/>
        <v>0</v>
      </c>
      <c r="L1104" s="34">
        <f t="shared" si="87"/>
        <v>0</v>
      </c>
      <c r="M1104" s="34">
        <f t="shared" si="85"/>
        <v>0</v>
      </c>
    </row>
    <row r="1105" spans="5:13" x14ac:dyDescent="0.25">
      <c r="E1105" s="32">
        <f t="shared" si="88"/>
        <v>0</v>
      </c>
      <c r="I1105" s="32">
        <f t="shared" si="89"/>
        <v>0</v>
      </c>
      <c r="K1105" s="31">
        <f t="shared" si="86"/>
        <v>0</v>
      </c>
      <c r="L1105" s="34">
        <f t="shared" si="87"/>
        <v>0</v>
      </c>
      <c r="M1105" s="34">
        <f t="shared" si="85"/>
        <v>0</v>
      </c>
    </row>
    <row r="1106" spans="5:13" x14ac:dyDescent="0.25">
      <c r="E1106" s="32">
        <f t="shared" si="88"/>
        <v>0</v>
      </c>
      <c r="I1106" s="32">
        <f t="shared" si="89"/>
        <v>0</v>
      </c>
      <c r="K1106" s="31">
        <f t="shared" si="86"/>
        <v>0</v>
      </c>
      <c r="L1106" s="34">
        <f t="shared" si="87"/>
        <v>0</v>
      </c>
      <c r="M1106" s="34">
        <f t="shared" si="85"/>
        <v>0</v>
      </c>
    </row>
    <row r="1107" spans="5:13" x14ac:dyDescent="0.25">
      <c r="E1107" s="32">
        <f t="shared" si="88"/>
        <v>0</v>
      </c>
      <c r="I1107" s="32">
        <f t="shared" si="89"/>
        <v>0</v>
      </c>
      <c r="K1107" s="31">
        <f t="shared" si="86"/>
        <v>0</v>
      </c>
      <c r="L1107" s="34">
        <f t="shared" si="87"/>
        <v>0</v>
      </c>
      <c r="M1107" s="34">
        <f t="shared" si="85"/>
        <v>0</v>
      </c>
    </row>
    <row r="1108" spans="5:13" x14ac:dyDescent="0.25">
      <c r="E1108" s="32">
        <f t="shared" si="88"/>
        <v>0</v>
      </c>
      <c r="I1108" s="32">
        <f t="shared" si="89"/>
        <v>0</v>
      </c>
      <c r="K1108" s="31">
        <f t="shared" si="86"/>
        <v>0</v>
      </c>
      <c r="L1108" s="34">
        <f t="shared" si="87"/>
        <v>0</v>
      </c>
      <c r="M1108" s="34">
        <f t="shared" si="85"/>
        <v>0</v>
      </c>
    </row>
    <row r="1109" spans="5:13" x14ac:dyDescent="0.25">
      <c r="E1109" s="32">
        <f t="shared" si="88"/>
        <v>0</v>
      </c>
      <c r="I1109" s="32">
        <f t="shared" si="89"/>
        <v>0</v>
      </c>
      <c r="K1109" s="31">
        <f t="shared" si="86"/>
        <v>0</v>
      </c>
      <c r="L1109" s="34">
        <f t="shared" si="87"/>
        <v>0</v>
      </c>
      <c r="M1109" s="34">
        <f t="shared" si="85"/>
        <v>0</v>
      </c>
    </row>
    <row r="1110" spans="5:13" x14ac:dyDescent="0.25">
      <c r="E1110" s="32">
        <f t="shared" si="88"/>
        <v>0</v>
      </c>
      <c r="I1110" s="32">
        <f t="shared" si="89"/>
        <v>0</v>
      </c>
      <c r="K1110" s="31">
        <f t="shared" si="86"/>
        <v>0</v>
      </c>
      <c r="L1110" s="34">
        <f t="shared" si="87"/>
        <v>0</v>
      </c>
      <c r="M1110" s="34">
        <f t="shared" si="85"/>
        <v>0</v>
      </c>
    </row>
    <row r="1111" spans="5:13" x14ac:dyDescent="0.25">
      <c r="E1111" s="32">
        <f t="shared" si="88"/>
        <v>0</v>
      </c>
      <c r="I1111" s="32">
        <f t="shared" si="89"/>
        <v>0</v>
      </c>
      <c r="K1111" s="31">
        <f t="shared" si="86"/>
        <v>0</v>
      </c>
      <c r="L1111" s="34">
        <f t="shared" si="87"/>
        <v>0</v>
      </c>
      <c r="M1111" s="34">
        <f t="shared" si="85"/>
        <v>0</v>
      </c>
    </row>
    <row r="1112" spans="5:13" x14ac:dyDescent="0.25">
      <c r="E1112" s="32">
        <f t="shared" si="88"/>
        <v>0</v>
      </c>
      <c r="I1112" s="32">
        <f t="shared" si="89"/>
        <v>0</v>
      </c>
      <c r="K1112" s="31">
        <f t="shared" si="86"/>
        <v>0</v>
      </c>
      <c r="L1112" s="34">
        <f t="shared" si="87"/>
        <v>0</v>
      </c>
      <c r="M1112" s="34">
        <f t="shared" si="85"/>
        <v>0</v>
      </c>
    </row>
    <row r="1113" spans="5:13" x14ac:dyDescent="0.25">
      <c r="E1113" s="32">
        <f t="shared" si="88"/>
        <v>0</v>
      </c>
      <c r="I1113" s="32">
        <f t="shared" si="89"/>
        <v>0</v>
      </c>
      <c r="K1113" s="31">
        <f t="shared" si="86"/>
        <v>0</v>
      </c>
      <c r="L1113" s="34">
        <f t="shared" si="87"/>
        <v>0</v>
      </c>
      <c r="M1113" s="34">
        <f t="shared" si="85"/>
        <v>0</v>
      </c>
    </row>
    <row r="1114" spans="5:13" x14ac:dyDescent="0.25">
      <c r="E1114" s="32">
        <f t="shared" si="88"/>
        <v>0</v>
      </c>
      <c r="I1114" s="32">
        <f t="shared" si="89"/>
        <v>0</v>
      </c>
      <c r="K1114" s="31">
        <f t="shared" si="86"/>
        <v>0</v>
      </c>
      <c r="L1114" s="34">
        <f t="shared" si="87"/>
        <v>0</v>
      </c>
      <c r="M1114" s="34">
        <f t="shared" si="85"/>
        <v>0</v>
      </c>
    </row>
    <row r="1115" spans="5:13" x14ac:dyDescent="0.25">
      <c r="E1115" s="32">
        <f t="shared" si="88"/>
        <v>0</v>
      </c>
      <c r="I1115" s="32">
        <f t="shared" si="89"/>
        <v>0</v>
      </c>
      <c r="K1115" s="31">
        <f t="shared" si="86"/>
        <v>0</v>
      </c>
      <c r="L1115" s="34">
        <f t="shared" si="87"/>
        <v>0</v>
      </c>
      <c r="M1115" s="34">
        <f t="shared" si="85"/>
        <v>0</v>
      </c>
    </row>
    <row r="1116" spans="5:13" x14ac:dyDescent="0.25">
      <c r="E1116" s="32">
        <f t="shared" si="88"/>
        <v>0</v>
      </c>
      <c r="I1116" s="32">
        <f t="shared" si="89"/>
        <v>0</v>
      </c>
      <c r="K1116" s="31">
        <f t="shared" si="86"/>
        <v>0</v>
      </c>
      <c r="L1116" s="34">
        <f t="shared" si="87"/>
        <v>0</v>
      </c>
      <c r="M1116" s="34">
        <f t="shared" si="85"/>
        <v>0</v>
      </c>
    </row>
    <row r="1117" spans="5:13" x14ac:dyDescent="0.25">
      <c r="E1117" s="32">
        <f t="shared" si="88"/>
        <v>0</v>
      </c>
      <c r="I1117" s="32">
        <f t="shared" si="89"/>
        <v>0</v>
      </c>
      <c r="K1117" s="31">
        <f t="shared" si="86"/>
        <v>0</v>
      </c>
      <c r="L1117" s="34">
        <f t="shared" si="87"/>
        <v>0</v>
      </c>
      <c r="M1117" s="34">
        <f t="shared" si="85"/>
        <v>0</v>
      </c>
    </row>
    <row r="1118" spans="5:13" x14ac:dyDescent="0.25">
      <c r="E1118" s="32">
        <f t="shared" si="88"/>
        <v>0</v>
      </c>
      <c r="I1118" s="32">
        <f t="shared" si="89"/>
        <v>0</v>
      </c>
      <c r="K1118" s="31">
        <f t="shared" si="86"/>
        <v>0</v>
      </c>
      <c r="L1118" s="34">
        <f t="shared" si="87"/>
        <v>0</v>
      </c>
      <c r="M1118" s="34">
        <f t="shared" si="85"/>
        <v>0</v>
      </c>
    </row>
    <row r="1119" spans="5:13" x14ac:dyDescent="0.25">
      <c r="E1119" s="32">
        <f t="shared" si="88"/>
        <v>0</v>
      </c>
      <c r="I1119" s="32">
        <f t="shared" si="89"/>
        <v>0</v>
      </c>
      <c r="K1119" s="31">
        <f t="shared" si="86"/>
        <v>0</v>
      </c>
      <c r="L1119" s="34">
        <f t="shared" si="87"/>
        <v>0</v>
      </c>
      <c r="M1119" s="34">
        <f t="shared" si="85"/>
        <v>0</v>
      </c>
    </row>
    <row r="1120" spans="5:13" x14ac:dyDescent="0.25">
      <c r="E1120" s="32">
        <f t="shared" si="88"/>
        <v>0</v>
      </c>
      <c r="I1120" s="32">
        <f t="shared" si="89"/>
        <v>0</v>
      </c>
      <c r="K1120" s="31">
        <f t="shared" si="86"/>
        <v>0</v>
      </c>
      <c r="L1120" s="34">
        <f t="shared" si="87"/>
        <v>0</v>
      </c>
      <c r="M1120" s="34">
        <f t="shared" si="85"/>
        <v>0</v>
      </c>
    </row>
    <row r="1121" spans="5:13" x14ac:dyDescent="0.25">
      <c r="E1121" s="32">
        <f t="shared" si="88"/>
        <v>0</v>
      </c>
      <c r="I1121" s="32">
        <f t="shared" si="89"/>
        <v>0</v>
      </c>
      <c r="K1121" s="31">
        <f t="shared" si="86"/>
        <v>0</v>
      </c>
      <c r="L1121" s="34">
        <f t="shared" si="87"/>
        <v>0</v>
      </c>
      <c r="M1121" s="34">
        <f t="shared" si="85"/>
        <v>0</v>
      </c>
    </row>
    <row r="1122" spans="5:13" x14ac:dyDescent="0.25">
      <c r="E1122" s="32">
        <f t="shared" si="88"/>
        <v>0</v>
      </c>
      <c r="I1122" s="32">
        <f t="shared" si="89"/>
        <v>0</v>
      </c>
      <c r="K1122" s="31">
        <f t="shared" si="86"/>
        <v>0</v>
      </c>
      <c r="L1122" s="34">
        <f t="shared" si="87"/>
        <v>0</v>
      </c>
      <c r="M1122" s="34">
        <f t="shared" si="85"/>
        <v>0</v>
      </c>
    </row>
    <row r="1123" spans="5:13" x14ac:dyDescent="0.25">
      <c r="E1123" s="32">
        <f t="shared" si="88"/>
        <v>0</v>
      </c>
      <c r="I1123" s="32">
        <f t="shared" si="89"/>
        <v>0</v>
      </c>
      <c r="K1123" s="31">
        <f t="shared" si="86"/>
        <v>0</v>
      </c>
      <c r="L1123" s="34">
        <f t="shared" si="87"/>
        <v>0</v>
      </c>
      <c r="M1123" s="34">
        <f t="shared" si="85"/>
        <v>0</v>
      </c>
    </row>
    <row r="1124" spans="5:13" x14ac:dyDescent="0.25">
      <c r="E1124" s="32">
        <f t="shared" si="88"/>
        <v>0</v>
      </c>
      <c r="I1124" s="32">
        <f t="shared" si="89"/>
        <v>0</v>
      </c>
      <c r="K1124" s="31">
        <f t="shared" si="86"/>
        <v>0</v>
      </c>
      <c r="L1124" s="34">
        <f t="shared" si="87"/>
        <v>0</v>
      </c>
      <c r="M1124" s="34">
        <f t="shared" si="85"/>
        <v>0</v>
      </c>
    </row>
    <row r="1125" spans="5:13" x14ac:dyDescent="0.25">
      <c r="E1125" s="32">
        <f t="shared" si="88"/>
        <v>0</v>
      </c>
      <c r="I1125" s="32">
        <f t="shared" si="89"/>
        <v>0</v>
      </c>
      <c r="K1125" s="31">
        <f t="shared" si="86"/>
        <v>0</v>
      </c>
      <c r="L1125" s="34">
        <f t="shared" si="87"/>
        <v>0</v>
      </c>
      <c r="M1125" s="34">
        <f t="shared" si="85"/>
        <v>0</v>
      </c>
    </row>
    <row r="1126" spans="5:13" x14ac:dyDescent="0.25">
      <c r="E1126" s="32">
        <f t="shared" si="88"/>
        <v>0</v>
      </c>
      <c r="I1126" s="32">
        <f t="shared" si="89"/>
        <v>0</v>
      </c>
      <c r="K1126" s="31">
        <f t="shared" si="86"/>
        <v>0</v>
      </c>
      <c r="L1126" s="34">
        <f t="shared" si="87"/>
        <v>0</v>
      </c>
      <c r="M1126" s="34">
        <f t="shared" si="85"/>
        <v>0</v>
      </c>
    </row>
    <row r="1127" spans="5:13" x14ac:dyDescent="0.25">
      <c r="E1127" s="32">
        <f t="shared" si="88"/>
        <v>0</v>
      </c>
      <c r="I1127" s="32">
        <f t="shared" si="89"/>
        <v>0</v>
      </c>
      <c r="K1127" s="31">
        <f t="shared" si="86"/>
        <v>0</v>
      </c>
      <c r="L1127" s="34">
        <f t="shared" si="87"/>
        <v>0</v>
      </c>
      <c r="M1127" s="34">
        <f t="shared" si="85"/>
        <v>0</v>
      </c>
    </row>
    <row r="1128" spans="5:13" x14ac:dyDescent="0.25">
      <c r="E1128" s="32">
        <f t="shared" si="88"/>
        <v>0</v>
      </c>
      <c r="I1128" s="32">
        <f t="shared" si="89"/>
        <v>0</v>
      </c>
      <c r="K1128" s="31">
        <f t="shared" si="86"/>
        <v>0</v>
      </c>
      <c r="L1128" s="34">
        <f t="shared" si="87"/>
        <v>0</v>
      </c>
      <c r="M1128" s="34">
        <f t="shared" si="85"/>
        <v>0</v>
      </c>
    </row>
    <row r="1129" spans="5:13" x14ac:dyDescent="0.25">
      <c r="E1129" s="32">
        <f t="shared" si="88"/>
        <v>0</v>
      </c>
      <c r="I1129" s="32">
        <f t="shared" si="89"/>
        <v>0</v>
      </c>
      <c r="K1129" s="31">
        <f t="shared" si="86"/>
        <v>0</v>
      </c>
      <c r="L1129" s="34">
        <f t="shared" si="87"/>
        <v>0</v>
      </c>
      <c r="M1129" s="34">
        <f t="shared" si="85"/>
        <v>0</v>
      </c>
    </row>
    <row r="1130" spans="5:13" x14ac:dyDescent="0.25">
      <c r="E1130" s="32">
        <f t="shared" si="88"/>
        <v>0</v>
      </c>
      <c r="I1130" s="32">
        <f t="shared" si="89"/>
        <v>0</v>
      </c>
      <c r="K1130" s="31">
        <f t="shared" si="86"/>
        <v>0</v>
      </c>
      <c r="L1130" s="34">
        <f t="shared" si="87"/>
        <v>0</v>
      </c>
      <c r="M1130" s="34">
        <f t="shared" si="85"/>
        <v>0</v>
      </c>
    </row>
    <row r="1131" spans="5:13" x14ac:dyDescent="0.25">
      <c r="E1131" s="32">
        <f t="shared" si="88"/>
        <v>0</v>
      </c>
      <c r="I1131" s="32">
        <f t="shared" si="89"/>
        <v>0</v>
      </c>
      <c r="K1131" s="31">
        <f t="shared" si="86"/>
        <v>0</v>
      </c>
      <c r="L1131" s="34">
        <f t="shared" si="87"/>
        <v>0</v>
      </c>
      <c r="M1131" s="34">
        <f t="shared" si="85"/>
        <v>0</v>
      </c>
    </row>
    <row r="1132" spans="5:13" x14ac:dyDescent="0.25">
      <c r="E1132" s="32">
        <f t="shared" si="88"/>
        <v>0</v>
      </c>
      <c r="I1132" s="32">
        <f t="shared" si="89"/>
        <v>0</v>
      </c>
      <c r="K1132" s="31">
        <f t="shared" si="86"/>
        <v>0</v>
      </c>
      <c r="L1132" s="34">
        <f t="shared" si="87"/>
        <v>0</v>
      </c>
      <c r="M1132" s="34">
        <f t="shared" si="85"/>
        <v>0</v>
      </c>
    </row>
    <row r="1133" spans="5:13" x14ac:dyDescent="0.25">
      <c r="E1133" s="32">
        <f t="shared" si="88"/>
        <v>0</v>
      </c>
      <c r="I1133" s="32">
        <f t="shared" si="89"/>
        <v>0</v>
      </c>
      <c r="K1133" s="31">
        <f t="shared" si="86"/>
        <v>0</v>
      </c>
      <c r="L1133" s="34">
        <f t="shared" si="87"/>
        <v>0</v>
      </c>
      <c r="M1133" s="34">
        <f t="shared" si="85"/>
        <v>0</v>
      </c>
    </row>
    <row r="1134" spans="5:13" x14ac:dyDescent="0.25">
      <c r="E1134" s="32">
        <f t="shared" si="88"/>
        <v>0</v>
      </c>
      <c r="I1134" s="32">
        <f t="shared" si="89"/>
        <v>0</v>
      </c>
      <c r="K1134" s="31">
        <f t="shared" si="86"/>
        <v>0</v>
      </c>
      <c r="L1134" s="34">
        <f t="shared" si="87"/>
        <v>0</v>
      </c>
      <c r="M1134" s="34">
        <f t="shared" si="85"/>
        <v>0</v>
      </c>
    </row>
    <row r="1135" spans="5:13" x14ac:dyDescent="0.25">
      <c r="E1135" s="32">
        <f t="shared" si="88"/>
        <v>0</v>
      </c>
      <c r="I1135" s="32">
        <f t="shared" si="89"/>
        <v>0</v>
      </c>
      <c r="K1135" s="31">
        <f t="shared" si="86"/>
        <v>0</v>
      </c>
      <c r="L1135" s="34">
        <f t="shared" si="87"/>
        <v>0</v>
      </c>
      <c r="M1135" s="34">
        <f t="shared" si="85"/>
        <v>0</v>
      </c>
    </row>
    <row r="1136" spans="5:13" x14ac:dyDescent="0.25">
      <c r="E1136" s="32">
        <f t="shared" si="88"/>
        <v>0</v>
      </c>
      <c r="I1136" s="32">
        <f t="shared" si="89"/>
        <v>0</v>
      </c>
      <c r="K1136" s="31">
        <f t="shared" si="86"/>
        <v>0</v>
      </c>
      <c r="L1136" s="34">
        <f t="shared" si="87"/>
        <v>0</v>
      </c>
      <c r="M1136" s="34">
        <f t="shared" si="85"/>
        <v>0</v>
      </c>
    </row>
    <row r="1137" spans="5:13" x14ac:dyDescent="0.25">
      <c r="E1137" s="32">
        <f t="shared" si="88"/>
        <v>0</v>
      </c>
      <c r="I1137" s="32">
        <f t="shared" si="89"/>
        <v>0</v>
      </c>
      <c r="K1137" s="31">
        <f t="shared" si="86"/>
        <v>0</v>
      </c>
      <c r="L1137" s="34">
        <f t="shared" si="87"/>
        <v>0</v>
      </c>
      <c r="M1137" s="34">
        <f t="shared" si="85"/>
        <v>0</v>
      </c>
    </row>
    <row r="1138" spans="5:13" x14ac:dyDescent="0.25">
      <c r="E1138" s="32">
        <f t="shared" si="88"/>
        <v>0</v>
      </c>
      <c r="I1138" s="32">
        <f t="shared" si="89"/>
        <v>0</v>
      </c>
      <c r="K1138" s="31">
        <f t="shared" si="86"/>
        <v>0</v>
      </c>
      <c r="L1138" s="34">
        <f t="shared" si="87"/>
        <v>0</v>
      </c>
      <c r="M1138" s="34">
        <f t="shared" si="85"/>
        <v>0</v>
      </c>
    </row>
    <row r="1139" spans="5:13" x14ac:dyDescent="0.25">
      <c r="E1139" s="32">
        <f t="shared" si="88"/>
        <v>0</v>
      </c>
      <c r="I1139" s="32">
        <f t="shared" si="89"/>
        <v>0</v>
      </c>
      <c r="K1139" s="31">
        <f t="shared" si="86"/>
        <v>0</v>
      </c>
      <c r="L1139" s="34">
        <f t="shared" si="87"/>
        <v>0</v>
      </c>
      <c r="M1139" s="34">
        <f t="shared" si="85"/>
        <v>0</v>
      </c>
    </row>
    <row r="1140" spans="5:13" x14ac:dyDescent="0.25">
      <c r="E1140" s="32">
        <f t="shared" si="88"/>
        <v>0</v>
      </c>
      <c r="I1140" s="32">
        <f t="shared" si="89"/>
        <v>0</v>
      </c>
      <c r="K1140" s="31">
        <f t="shared" si="86"/>
        <v>0</v>
      </c>
      <c r="L1140" s="34">
        <f t="shared" si="87"/>
        <v>0</v>
      </c>
      <c r="M1140" s="34">
        <f t="shared" si="85"/>
        <v>0</v>
      </c>
    </row>
    <row r="1141" spans="5:13" x14ac:dyDescent="0.25">
      <c r="E1141" s="32">
        <f t="shared" si="88"/>
        <v>0</v>
      </c>
      <c r="I1141" s="32">
        <f t="shared" si="89"/>
        <v>0</v>
      </c>
      <c r="K1141" s="31">
        <f t="shared" si="86"/>
        <v>0</v>
      </c>
      <c r="L1141" s="34">
        <f t="shared" si="87"/>
        <v>0</v>
      </c>
      <c r="M1141" s="34">
        <f t="shared" si="85"/>
        <v>0</v>
      </c>
    </row>
    <row r="1142" spans="5:13" x14ac:dyDescent="0.25">
      <c r="E1142" s="32">
        <f t="shared" si="88"/>
        <v>0</v>
      </c>
      <c r="I1142" s="32">
        <f t="shared" si="89"/>
        <v>0</v>
      </c>
      <c r="K1142" s="31">
        <f t="shared" si="86"/>
        <v>0</v>
      </c>
      <c r="L1142" s="34">
        <f t="shared" si="87"/>
        <v>0</v>
      </c>
      <c r="M1142" s="34">
        <f t="shared" si="85"/>
        <v>0</v>
      </c>
    </row>
    <row r="1143" spans="5:13" x14ac:dyDescent="0.25">
      <c r="E1143" s="32">
        <f t="shared" si="88"/>
        <v>0</v>
      </c>
      <c r="I1143" s="32">
        <f t="shared" si="89"/>
        <v>0</v>
      </c>
      <c r="K1143" s="31">
        <f t="shared" si="86"/>
        <v>0</v>
      </c>
      <c r="L1143" s="34">
        <f t="shared" si="87"/>
        <v>0</v>
      </c>
      <c r="M1143" s="34">
        <f t="shared" si="85"/>
        <v>0</v>
      </c>
    </row>
    <row r="1144" spans="5:13" x14ac:dyDescent="0.25">
      <c r="E1144" s="32">
        <f t="shared" si="88"/>
        <v>0</v>
      </c>
      <c r="I1144" s="32">
        <f t="shared" si="89"/>
        <v>0</v>
      </c>
      <c r="K1144" s="31">
        <f t="shared" si="86"/>
        <v>0</v>
      </c>
      <c r="L1144" s="34">
        <f t="shared" si="87"/>
        <v>0</v>
      </c>
      <c r="M1144" s="34">
        <f t="shared" si="85"/>
        <v>0</v>
      </c>
    </row>
    <row r="1145" spans="5:13" x14ac:dyDescent="0.25">
      <c r="E1145" s="32">
        <f t="shared" si="88"/>
        <v>0</v>
      </c>
      <c r="I1145" s="32">
        <f t="shared" si="89"/>
        <v>0</v>
      </c>
      <c r="K1145" s="31">
        <f t="shared" si="86"/>
        <v>0</v>
      </c>
      <c r="L1145" s="34">
        <f t="shared" si="87"/>
        <v>0</v>
      </c>
      <c r="M1145" s="34">
        <f t="shared" si="85"/>
        <v>0</v>
      </c>
    </row>
    <row r="1146" spans="5:13" x14ac:dyDescent="0.25">
      <c r="E1146" s="32">
        <f t="shared" si="88"/>
        <v>0</v>
      </c>
      <c r="I1146" s="32">
        <f t="shared" si="89"/>
        <v>0</v>
      </c>
      <c r="K1146" s="31">
        <f t="shared" si="86"/>
        <v>0</v>
      </c>
      <c r="L1146" s="34">
        <f t="shared" si="87"/>
        <v>0</v>
      </c>
      <c r="M1146" s="34">
        <f t="shared" si="85"/>
        <v>0</v>
      </c>
    </row>
    <row r="1147" spans="5:13" x14ac:dyDescent="0.25">
      <c r="E1147" s="32">
        <f t="shared" si="88"/>
        <v>0</v>
      </c>
      <c r="I1147" s="32">
        <f t="shared" si="89"/>
        <v>0</v>
      </c>
      <c r="K1147" s="31">
        <f t="shared" si="86"/>
        <v>0</v>
      </c>
      <c r="L1147" s="34">
        <f t="shared" si="87"/>
        <v>0</v>
      </c>
      <c r="M1147" s="34">
        <f t="shared" si="85"/>
        <v>0</v>
      </c>
    </row>
    <row r="1148" spans="5:13" x14ac:dyDescent="0.25">
      <c r="E1148" s="32">
        <f t="shared" si="88"/>
        <v>0</v>
      </c>
      <c r="I1148" s="32">
        <f t="shared" si="89"/>
        <v>0</v>
      </c>
      <c r="K1148" s="31">
        <f t="shared" si="86"/>
        <v>0</v>
      </c>
      <c r="L1148" s="34">
        <f t="shared" si="87"/>
        <v>0</v>
      </c>
      <c r="M1148" s="34">
        <f t="shared" si="85"/>
        <v>0</v>
      </c>
    </row>
    <row r="1149" spans="5:13" x14ac:dyDescent="0.25">
      <c r="E1149" s="32">
        <f t="shared" si="88"/>
        <v>0</v>
      </c>
      <c r="I1149" s="32">
        <f t="shared" si="89"/>
        <v>0</v>
      </c>
      <c r="K1149" s="31">
        <f t="shared" si="86"/>
        <v>0</v>
      </c>
      <c r="L1149" s="34">
        <f t="shared" si="87"/>
        <v>0</v>
      </c>
      <c r="M1149" s="34">
        <f t="shared" si="85"/>
        <v>0</v>
      </c>
    </row>
    <row r="1150" spans="5:13" x14ac:dyDescent="0.25">
      <c r="E1150" s="32">
        <f t="shared" si="88"/>
        <v>0</v>
      </c>
      <c r="I1150" s="32">
        <f t="shared" si="89"/>
        <v>0</v>
      </c>
      <c r="K1150" s="31">
        <f t="shared" si="86"/>
        <v>0</v>
      </c>
      <c r="L1150" s="34">
        <f t="shared" si="87"/>
        <v>0</v>
      </c>
      <c r="M1150" s="34">
        <f t="shared" si="85"/>
        <v>0</v>
      </c>
    </row>
    <row r="1151" spans="5:13" x14ac:dyDescent="0.25">
      <c r="E1151" s="32">
        <f t="shared" si="88"/>
        <v>0</v>
      </c>
      <c r="I1151" s="32">
        <f t="shared" si="89"/>
        <v>0</v>
      </c>
      <c r="K1151" s="31">
        <f t="shared" si="86"/>
        <v>0</v>
      </c>
      <c r="L1151" s="34">
        <f t="shared" si="87"/>
        <v>0</v>
      </c>
      <c r="M1151" s="34">
        <f t="shared" si="85"/>
        <v>0</v>
      </c>
    </row>
    <row r="1152" spans="5:13" x14ac:dyDescent="0.25">
      <c r="E1152" s="32">
        <f t="shared" si="88"/>
        <v>0</v>
      </c>
      <c r="I1152" s="32">
        <f t="shared" si="89"/>
        <v>0</v>
      </c>
      <c r="K1152" s="31">
        <f t="shared" si="86"/>
        <v>0</v>
      </c>
      <c r="L1152" s="34">
        <f t="shared" si="87"/>
        <v>0</v>
      </c>
      <c r="M1152" s="34">
        <f t="shared" si="85"/>
        <v>0</v>
      </c>
    </row>
    <row r="1153" spans="5:13" x14ac:dyDescent="0.25">
      <c r="E1153" s="32">
        <f t="shared" si="88"/>
        <v>0</v>
      </c>
      <c r="I1153" s="32">
        <f t="shared" si="89"/>
        <v>0</v>
      </c>
      <c r="K1153" s="31">
        <f t="shared" si="86"/>
        <v>0</v>
      </c>
      <c r="L1153" s="34">
        <f t="shared" si="87"/>
        <v>0</v>
      </c>
      <c r="M1153" s="34">
        <f t="shared" si="85"/>
        <v>0</v>
      </c>
    </row>
    <row r="1154" spans="5:13" x14ac:dyDescent="0.25">
      <c r="E1154" s="32">
        <f t="shared" si="88"/>
        <v>0</v>
      </c>
      <c r="I1154" s="32">
        <f t="shared" si="89"/>
        <v>0</v>
      </c>
      <c r="K1154" s="31">
        <f t="shared" si="86"/>
        <v>0</v>
      </c>
      <c r="L1154" s="34">
        <f t="shared" si="87"/>
        <v>0</v>
      </c>
      <c r="M1154" s="34">
        <f t="shared" si="85"/>
        <v>0</v>
      </c>
    </row>
    <row r="1155" spans="5:13" x14ac:dyDescent="0.25">
      <c r="E1155" s="32">
        <f t="shared" si="88"/>
        <v>0</v>
      </c>
      <c r="I1155" s="32">
        <f t="shared" si="89"/>
        <v>0</v>
      </c>
      <c r="K1155" s="31">
        <f t="shared" si="86"/>
        <v>0</v>
      </c>
      <c r="L1155" s="34">
        <f t="shared" si="87"/>
        <v>0</v>
      </c>
      <c r="M1155" s="34">
        <f t="shared" si="85"/>
        <v>0</v>
      </c>
    </row>
    <row r="1156" spans="5:13" x14ac:dyDescent="0.25">
      <c r="E1156" s="32">
        <f t="shared" si="88"/>
        <v>0</v>
      </c>
      <c r="I1156" s="32">
        <f t="shared" si="89"/>
        <v>0</v>
      </c>
      <c r="K1156" s="31">
        <f t="shared" si="86"/>
        <v>0</v>
      </c>
      <c r="L1156" s="34">
        <f t="shared" si="87"/>
        <v>0</v>
      </c>
      <c r="M1156" s="34">
        <f t="shared" ref="M1156:M1219" si="90">(L1156/27)*4</f>
        <v>0</v>
      </c>
    </row>
    <row r="1157" spans="5:13" x14ac:dyDescent="0.25">
      <c r="E1157" s="32">
        <f t="shared" si="88"/>
        <v>0</v>
      </c>
      <c r="I1157" s="32">
        <f t="shared" si="89"/>
        <v>0</v>
      </c>
      <c r="K1157" s="31">
        <f t="shared" ref="K1157:K1220" si="91">B1157/30</f>
        <v>0</v>
      </c>
      <c r="L1157" s="34">
        <f t="shared" ref="L1157:L1220" si="92">IF(J1157="S",((I1157*24)*K1157)*2,((I1157*24)*K1157)*1.5)</f>
        <v>0</v>
      </c>
      <c r="M1157" s="34">
        <f t="shared" si="90"/>
        <v>0</v>
      </c>
    </row>
    <row r="1158" spans="5:13" x14ac:dyDescent="0.25">
      <c r="E1158" s="32">
        <f t="shared" ref="E1158:E1221" si="93">D1158-C1158</f>
        <v>0</v>
      </c>
      <c r="I1158" s="32">
        <f t="shared" ref="I1158:I1221" si="94">H1158-G1158</f>
        <v>0</v>
      </c>
      <c r="K1158" s="31">
        <f t="shared" si="91"/>
        <v>0</v>
      </c>
      <c r="L1158" s="34">
        <f t="shared" si="92"/>
        <v>0</v>
      </c>
      <c r="M1158" s="34">
        <f t="shared" si="90"/>
        <v>0</v>
      </c>
    </row>
    <row r="1159" spans="5:13" x14ac:dyDescent="0.25">
      <c r="E1159" s="32">
        <f t="shared" si="93"/>
        <v>0</v>
      </c>
      <c r="I1159" s="32">
        <f t="shared" si="94"/>
        <v>0</v>
      </c>
      <c r="K1159" s="31">
        <f t="shared" si="91"/>
        <v>0</v>
      </c>
      <c r="L1159" s="34">
        <f t="shared" si="92"/>
        <v>0</v>
      </c>
      <c r="M1159" s="34">
        <f t="shared" si="90"/>
        <v>0</v>
      </c>
    </row>
    <row r="1160" spans="5:13" x14ac:dyDescent="0.25">
      <c r="E1160" s="32">
        <f t="shared" si="93"/>
        <v>0</v>
      </c>
      <c r="I1160" s="32">
        <f t="shared" si="94"/>
        <v>0</v>
      </c>
      <c r="K1160" s="31">
        <f t="shared" si="91"/>
        <v>0</v>
      </c>
      <c r="L1160" s="34">
        <f t="shared" si="92"/>
        <v>0</v>
      </c>
      <c r="M1160" s="34">
        <f t="shared" si="90"/>
        <v>0</v>
      </c>
    </row>
    <row r="1161" spans="5:13" x14ac:dyDescent="0.25">
      <c r="E1161" s="32">
        <f t="shared" si="93"/>
        <v>0</v>
      </c>
      <c r="I1161" s="32">
        <f t="shared" si="94"/>
        <v>0</v>
      </c>
      <c r="K1161" s="31">
        <f t="shared" si="91"/>
        <v>0</v>
      </c>
      <c r="L1161" s="34">
        <f t="shared" si="92"/>
        <v>0</v>
      </c>
      <c r="M1161" s="34">
        <f t="shared" si="90"/>
        <v>0</v>
      </c>
    </row>
    <row r="1162" spans="5:13" x14ac:dyDescent="0.25">
      <c r="E1162" s="32">
        <f t="shared" si="93"/>
        <v>0</v>
      </c>
      <c r="I1162" s="32">
        <f t="shared" si="94"/>
        <v>0</v>
      </c>
      <c r="K1162" s="31">
        <f t="shared" si="91"/>
        <v>0</v>
      </c>
      <c r="L1162" s="34">
        <f t="shared" si="92"/>
        <v>0</v>
      </c>
      <c r="M1162" s="34">
        <f t="shared" si="90"/>
        <v>0</v>
      </c>
    </row>
    <row r="1163" spans="5:13" x14ac:dyDescent="0.25">
      <c r="E1163" s="32">
        <f t="shared" si="93"/>
        <v>0</v>
      </c>
      <c r="I1163" s="32">
        <f t="shared" si="94"/>
        <v>0</v>
      </c>
      <c r="K1163" s="31">
        <f t="shared" si="91"/>
        <v>0</v>
      </c>
      <c r="L1163" s="34">
        <f t="shared" si="92"/>
        <v>0</v>
      </c>
      <c r="M1163" s="34">
        <f t="shared" si="90"/>
        <v>0</v>
      </c>
    </row>
    <row r="1164" spans="5:13" x14ac:dyDescent="0.25">
      <c r="E1164" s="32">
        <f t="shared" si="93"/>
        <v>0</v>
      </c>
      <c r="I1164" s="32">
        <f t="shared" si="94"/>
        <v>0</v>
      </c>
      <c r="K1164" s="31">
        <f t="shared" si="91"/>
        <v>0</v>
      </c>
      <c r="L1164" s="34">
        <f t="shared" si="92"/>
        <v>0</v>
      </c>
      <c r="M1164" s="34">
        <f t="shared" si="90"/>
        <v>0</v>
      </c>
    </row>
    <row r="1165" spans="5:13" x14ac:dyDescent="0.25">
      <c r="E1165" s="32">
        <f t="shared" si="93"/>
        <v>0</v>
      </c>
      <c r="I1165" s="32">
        <f t="shared" si="94"/>
        <v>0</v>
      </c>
      <c r="K1165" s="31">
        <f t="shared" si="91"/>
        <v>0</v>
      </c>
      <c r="L1165" s="34">
        <f t="shared" si="92"/>
        <v>0</v>
      </c>
      <c r="M1165" s="34">
        <f t="shared" si="90"/>
        <v>0</v>
      </c>
    </row>
    <row r="1166" spans="5:13" x14ac:dyDescent="0.25">
      <c r="E1166" s="32">
        <f t="shared" si="93"/>
        <v>0</v>
      </c>
      <c r="I1166" s="32">
        <f t="shared" si="94"/>
        <v>0</v>
      </c>
      <c r="K1166" s="31">
        <f t="shared" si="91"/>
        <v>0</v>
      </c>
      <c r="L1166" s="34">
        <f t="shared" si="92"/>
        <v>0</v>
      </c>
      <c r="M1166" s="34">
        <f t="shared" si="90"/>
        <v>0</v>
      </c>
    </row>
    <row r="1167" spans="5:13" x14ac:dyDescent="0.25">
      <c r="E1167" s="32">
        <f t="shared" si="93"/>
        <v>0</v>
      </c>
      <c r="I1167" s="32">
        <f t="shared" si="94"/>
        <v>0</v>
      </c>
      <c r="K1167" s="31">
        <f t="shared" si="91"/>
        <v>0</v>
      </c>
      <c r="L1167" s="34">
        <f t="shared" si="92"/>
        <v>0</v>
      </c>
      <c r="M1167" s="34">
        <f t="shared" si="90"/>
        <v>0</v>
      </c>
    </row>
    <row r="1168" spans="5:13" x14ac:dyDescent="0.25">
      <c r="E1168" s="32">
        <f t="shared" si="93"/>
        <v>0</v>
      </c>
      <c r="I1168" s="32">
        <f t="shared" si="94"/>
        <v>0</v>
      </c>
      <c r="K1168" s="31">
        <f t="shared" si="91"/>
        <v>0</v>
      </c>
      <c r="L1168" s="34">
        <f t="shared" si="92"/>
        <v>0</v>
      </c>
      <c r="M1168" s="34">
        <f t="shared" si="90"/>
        <v>0</v>
      </c>
    </row>
    <row r="1169" spans="5:13" x14ac:dyDescent="0.25">
      <c r="E1169" s="32">
        <f t="shared" si="93"/>
        <v>0</v>
      </c>
      <c r="I1169" s="32">
        <f t="shared" si="94"/>
        <v>0</v>
      </c>
      <c r="K1169" s="31">
        <f t="shared" si="91"/>
        <v>0</v>
      </c>
      <c r="L1169" s="34">
        <f t="shared" si="92"/>
        <v>0</v>
      </c>
      <c r="M1169" s="34">
        <f t="shared" si="90"/>
        <v>0</v>
      </c>
    </row>
    <row r="1170" spans="5:13" x14ac:dyDescent="0.25">
      <c r="E1170" s="32">
        <f t="shared" si="93"/>
        <v>0</v>
      </c>
      <c r="I1170" s="32">
        <f t="shared" si="94"/>
        <v>0</v>
      </c>
      <c r="K1170" s="31">
        <f t="shared" si="91"/>
        <v>0</v>
      </c>
      <c r="L1170" s="34">
        <f t="shared" si="92"/>
        <v>0</v>
      </c>
      <c r="M1170" s="34">
        <f t="shared" si="90"/>
        <v>0</v>
      </c>
    </row>
    <row r="1171" spans="5:13" x14ac:dyDescent="0.25">
      <c r="E1171" s="32">
        <f t="shared" si="93"/>
        <v>0</v>
      </c>
      <c r="I1171" s="32">
        <f t="shared" si="94"/>
        <v>0</v>
      </c>
      <c r="K1171" s="31">
        <f t="shared" si="91"/>
        <v>0</v>
      </c>
      <c r="L1171" s="34">
        <f t="shared" si="92"/>
        <v>0</v>
      </c>
      <c r="M1171" s="34">
        <f t="shared" si="90"/>
        <v>0</v>
      </c>
    </row>
    <row r="1172" spans="5:13" x14ac:dyDescent="0.25">
      <c r="E1172" s="32">
        <f t="shared" si="93"/>
        <v>0</v>
      </c>
      <c r="I1172" s="32">
        <f t="shared" si="94"/>
        <v>0</v>
      </c>
      <c r="K1172" s="31">
        <f t="shared" si="91"/>
        <v>0</v>
      </c>
      <c r="L1172" s="34">
        <f t="shared" si="92"/>
        <v>0</v>
      </c>
      <c r="M1172" s="34">
        <f t="shared" si="90"/>
        <v>0</v>
      </c>
    </row>
    <row r="1173" spans="5:13" x14ac:dyDescent="0.25">
      <c r="E1173" s="32">
        <f t="shared" si="93"/>
        <v>0</v>
      </c>
      <c r="I1173" s="32">
        <f t="shared" si="94"/>
        <v>0</v>
      </c>
      <c r="K1173" s="31">
        <f t="shared" si="91"/>
        <v>0</v>
      </c>
      <c r="L1173" s="34">
        <f t="shared" si="92"/>
        <v>0</v>
      </c>
      <c r="M1173" s="34">
        <f t="shared" si="90"/>
        <v>0</v>
      </c>
    </row>
    <row r="1174" spans="5:13" x14ac:dyDescent="0.25">
      <c r="E1174" s="32">
        <f t="shared" si="93"/>
        <v>0</v>
      </c>
      <c r="I1174" s="32">
        <f t="shared" si="94"/>
        <v>0</v>
      </c>
      <c r="K1174" s="31">
        <f t="shared" si="91"/>
        <v>0</v>
      </c>
      <c r="L1174" s="34">
        <f t="shared" si="92"/>
        <v>0</v>
      </c>
      <c r="M1174" s="34">
        <f t="shared" si="90"/>
        <v>0</v>
      </c>
    </row>
    <row r="1175" spans="5:13" x14ac:dyDescent="0.25">
      <c r="E1175" s="32">
        <f t="shared" si="93"/>
        <v>0</v>
      </c>
      <c r="I1175" s="32">
        <f t="shared" si="94"/>
        <v>0</v>
      </c>
      <c r="K1175" s="31">
        <f t="shared" si="91"/>
        <v>0</v>
      </c>
      <c r="L1175" s="34">
        <f t="shared" si="92"/>
        <v>0</v>
      </c>
      <c r="M1175" s="34">
        <f t="shared" si="90"/>
        <v>0</v>
      </c>
    </row>
    <row r="1176" spans="5:13" x14ac:dyDescent="0.25">
      <c r="E1176" s="32">
        <f t="shared" si="93"/>
        <v>0</v>
      </c>
      <c r="I1176" s="32">
        <f t="shared" si="94"/>
        <v>0</v>
      </c>
      <c r="K1176" s="31">
        <f t="shared" si="91"/>
        <v>0</v>
      </c>
      <c r="L1176" s="34">
        <f t="shared" si="92"/>
        <v>0</v>
      </c>
      <c r="M1176" s="34">
        <f t="shared" si="90"/>
        <v>0</v>
      </c>
    </row>
    <row r="1177" spans="5:13" x14ac:dyDescent="0.25">
      <c r="E1177" s="32">
        <f t="shared" si="93"/>
        <v>0</v>
      </c>
      <c r="I1177" s="32">
        <f t="shared" si="94"/>
        <v>0</v>
      </c>
      <c r="K1177" s="31">
        <f t="shared" si="91"/>
        <v>0</v>
      </c>
      <c r="L1177" s="34">
        <f t="shared" si="92"/>
        <v>0</v>
      </c>
      <c r="M1177" s="34">
        <f t="shared" si="90"/>
        <v>0</v>
      </c>
    </row>
    <row r="1178" spans="5:13" x14ac:dyDescent="0.25">
      <c r="E1178" s="32">
        <f t="shared" si="93"/>
        <v>0</v>
      </c>
      <c r="I1178" s="32">
        <f t="shared" si="94"/>
        <v>0</v>
      </c>
      <c r="K1178" s="31">
        <f t="shared" si="91"/>
        <v>0</v>
      </c>
      <c r="L1178" s="34">
        <f t="shared" si="92"/>
        <v>0</v>
      </c>
      <c r="M1178" s="34">
        <f t="shared" si="90"/>
        <v>0</v>
      </c>
    </row>
    <row r="1179" spans="5:13" x14ac:dyDescent="0.25">
      <c r="E1179" s="32">
        <f t="shared" si="93"/>
        <v>0</v>
      </c>
      <c r="I1179" s="32">
        <f t="shared" si="94"/>
        <v>0</v>
      </c>
      <c r="K1179" s="31">
        <f t="shared" si="91"/>
        <v>0</v>
      </c>
      <c r="L1179" s="34">
        <f t="shared" si="92"/>
        <v>0</v>
      </c>
      <c r="M1179" s="34">
        <f t="shared" si="90"/>
        <v>0</v>
      </c>
    </row>
    <row r="1180" spans="5:13" x14ac:dyDescent="0.25">
      <c r="E1180" s="32">
        <f t="shared" si="93"/>
        <v>0</v>
      </c>
      <c r="I1180" s="32">
        <f t="shared" si="94"/>
        <v>0</v>
      </c>
      <c r="K1180" s="31">
        <f t="shared" si="91"/>
        <v>0</v>
      </c>
      <c r="L1180" s="34">
        <f t="shared" si="92"/>
        <v>0</v>
      </c>
      <c r="M1180" s="34">
        <f t="shared" si="90"/>
        <v>0</v>
      </c>
    </row>
    <row r="1181" spans="5:13" x14ac:dyDescent="0.25">
      <c r="E1181" s="32">
        <f t="shared" si="93"/>
        <v>0</v>
      </c>
      <c r="I1181" s="32">
        <f t="shared" si="94"/>
        <v>0</v>
      </c>
      <c r="K1181" s="31">
        <f t="shared" si="91"/>
        <v>0</v>
      </c>
      <c r="L1181" s="34">
        <f t="shared" si="92"/>
        <v>0</v>
      </c>
      <c r="M1181" s="34">
        <f t="shared" si="90"/>
        <v>0</v>
      </c>
    </row>
    <row r="1182" spans="5:13" x14ac:dyDescent="0.25">
      <c r="E1182" s="32">
        <f t="shared" si="93"/>
        <v>0</v>
      </c>
      <c r="I1182" s="32">
        <f t="shared" si="94"/>
        <v>0</v>
      </c>
      <c r="K1182" s="31">
        <f t="shared" si="91"/>
        <v>0</v>
      </c>
      <c r="L1182" s="34">
        <f t="shared" si="92"/>
        <v>0</v>
      </c>
      <c r="M1182" s="34">
        <f t="shared" si="90"/>
        <v>0</v>
      </c>
    </row>
    <row r="1183" spans="5:13" x14ac:dyDescent="0.25">
      <c r="E1183" s="32">
        <f t="shared" si="93"/>
        <v>0</v>
      </c>
      <c r="I1183" s="32">
        <f t="shared" si="94"/>
        <v>0</v>
      </c>
      <c r="K1183" s="31">
        <f t="shared" si="91"/>
        <v>0</v>
      </c>
      <c r="L1183" s="34">
        <f t="shared" si="92"/>
        <v>0</v>
      </c>
      <c r="M1183" s="34">
        <f t="shared" si="90"/>
        <v>0</v>
      </c>
    </row>
    <row r="1184" spans="5:13" x14ac:dyDescent="0.25">
      <c r="E1184" s="32">
        <f t="shared" si="93"/>
        <v>0</v>
      </c>
      <c r="I1184" s="32">
        <f t="shared" si="94"/>
        <v>0</v>
      </c>
      <c r="K1184" s="31">
        <f t="shared" si="91"/>
        <v>0</v>
      </c>
      <c r="L1184" s="34">
        <f t="shared" si="92"/>
        <v>0</v>
      </c>
      <c r="M1184" s="34">
        <f t="shared" si="90"/>
        <v>0</v>
      </c>
    </row>
    <row r="1185" spans="5:13" x14ac:dyDescent="0.25">
      <c r="E1185" s="32">
        <f t="shared" si="93"/>
        <v>0</v>
      </c>
      <c r="I1185" s="32">
        <f t="shared" si="94"/>
        <v>0</v>
      </c>
      <c r="K1185" s="31">
        <f t="shared" si="91"/>
        <v>0</v>
      </c>
      <c r="L1185" s="34">
        <f t="shared" si="92"/>
        <v>0</v>
      </c>
      <c r="M1185" s="34">
        <f t="shared" si="90"/>
        <v>0</v>
      </c>
    </row>
    <row r="1186" spans="5:13" x14ac:dyDescent="0.25">
      <c r="E1186" s="32">
        <f t="shared" si="93"/>
        <v>0</v>
      </c>
      <c r="I1186" s="32">
        <f t="shared" si="94"/>
        <v>0</v>
      </c>
      <c r="K1186" s="31">
        <f t="shared" si="91"/>
        <v>0</v>
      </c>
      <c r="L1186" s="34">
        <f t="shared" si="92"/>
        <v>0</v>
      </c>
      <c r="M1186" s="34">
        <f t="shared" si="90"/>
        <v>0</v>
      </c>
    </row>
    <row r="1187" spans="5:13" x14ac:dyDescent="0.25">
      <c r="E1187" s="32">
        <f t="shared" si="93"/>
        <v>0</v>
      </c>
      <c r="I1187" s="32">
        <f t="shared" si="94"/>
        <v>0</v>
      </c>
      <c r="K1187" s="31">
        <f t="shared" si="91"/>
        <v>0</v>
      </c>
      <c r="L1187" s="34">
        <f t="shared" si="92"/>
        <v>0</v>
      </c>
      <c r="M1187" s="34">
        <f t="shared" si="90"/>
        <v>0</v>
      </c>
    </row>
    <row r="1188" spans="5:13" x14ac:dyDescent="0.25">
      <c r="E1188" s="32">
        <f t="shared" si="93"/>
        <v>0</v>
      </c>
      <c r="I1188" s="32">
        <f t="shared" si="94"/>
        <v>0</v>
      </c>
      <c r="K1188" s="31">
        <f t="shared" si="91"/>
        <v>0</v>
      </c>
      <c r="L1188" s="34">
        <f t="shared" si="92"/>
        <v>0</v>
      </c>
      <c r="M1188" s="34">
        <f t="shared" si="90"/>
        <v>0</v>
      </c>
    </row>
    <row r="1189" spans="5:13" x14ac:dyDescent="0.25">
      <c r="E1189" s="32">
        <f t="shared" si="93"/>
        <v>0</v>
      </c>
      <c r="I1189" s="32">
        <f t="shared" si="94"/>
        <v>0</v>
      </c>
      <c r="K1189" s="31">
        <f t="shared" si="91"/>
        <v>0</v>
      </c>
      <c r="L1189" s="34">
        <f t="shared" si="92"/>
        <v>0</v>
      </c>
      <c r="M1189" s="34">
        <f t="shared" si="90"/>
        <v>0</v>
      </c>
    </row>
    <row r="1190" spans="5:13" x14ac:dyDescent="0.25">
      <c r="E1190" s="32">
        <f t="shared" si="93"/>
        <v>0</v>
      </c>
      <c r="I1190" s="32">
        <f t="shared" si="94"/>
        <v>0</v>
      </c>
      <c r="K1190" s="31">
        <f t="shared" si="91"/>
        <v>0</v>
      </c>
      <c r="L1190" s="34">
        <f t="shared" si="92"/>
        <v>0</v>
      </c>
      <c r="M1190" s="34">
        <f t="shared" si="90"/>
        <v>0</v>
      </c>
    </row>
    <row r="1191" spans="5:13" x14ac:dyDescent="0.25">
      <c r="E1191" s="32">
        <f t="shared" si="93"/>
        <v>0</v>
      </c>
      <c r="I1191" s="32">
        <f t="shared" si="94"/>
        <v>0</v>
      </c>
      <c r="K1191" s="31">
        <f t="shared" si="91"/>
        <v>0</v>
      </c>
      <c r="L1191" s="34">
        <f t="shared" si="92"/>
        <v>0</v>
      </c>
      <c r="M1191" s="34">
        <f t="shared" si="90"/>
        <v>0</v>
      </c>
    </row>
    <row r="1192" spans="5:13" x14ac:dyDescent="0.25">
      <c r="E1192" s="32">
        <f t="shared" si="93"/>
        <v>0</v>
      </c>
      <c r="I1192" s="32">
        <f t="shared" si="94"/>
        <v>0</v>
      </c>
      <c r="K1192" s="31">
        <f t="shared" si="91"/>
        <v>0</v>
      </c>
      <c r="L1192" s="34">
        <f t="shared" si="92"/>
        <v>0</v>
      </c>
      <c r="M1192" s="34">
        <f t="shared" si="90"/>
        <v>0</v>
      </c>
    </row>
    <row r="1193" spans="5:13" x14ac:dyDescent="0.25">
      <c r="E1193" s="32">
        <f t="shared" si="93"/>
        <v>0</v>
      </c>
      <c r="I1193" s="32">
        <f t="shared" si="94"/>
        <v>0</v>
      </c>
      <c r="K1193" s="31">
        <f t="shared" si="91"/>
        <v>0</v>
      </c>
      <c r="L1193" s="34">
        <f t="shared" si="92"/>
        <v>0</v>
      </c>
      <c r="M1193" s="34">
        <f t="shared" si="90"/>
        <v>0</v>
      </c>
    </row>
    <row r="1194" spans="5:13" x14ac:dyDescent="0.25">
      <c r="E1194" s="32">
        <f t="shared" si="93"/>
        <v>0</v>
      </c>
      <c r="I1194" s="32">
        <f t="shared" si="94"/>
        <v>0</v>
      </c>
      <c r="K1194" s="31">
        <f t="shared" si="91"/>
        <v>0</v>
      </c>
      <c r="L1194" s="34">
        <f t="shared" si="92"/>
        <v>0</v>
      </c>
      <c r="M1194" s="34">
        <f t="shared" si="90"/>
        <v>0</v>
      </c>
    </row>
    <row r="1195" spans="5:13" x14ac:dyDescent="0.25">
      <c r="E1195" s="32">
        <f t="shared" si="93"/>
        <v>0</v>
      </c>
      <c r="I1195" s="32">
        <f t="shared" si="94"/>
        <v>0</v>
      </c>
      <c r="K1195" s="31">
        <f t="shared" si="91"/>
        <v>0</v>
      </c>
      <c r="L1195" s="34">
        <f t="shared" si="92"/>
        <v>0</v>
      </c>
      <c r="M1195" s="34">
        <f t="shared" si="90"/>
        <v>0</v>
      </c>
    </row>
    <row r="1196" spans="5:13" x14ac:dyDescent="0.25">
      <c r="E1196" s="32">
        <f t="shared" si="93"/>
        <v>0</v>
      </c>
      <c r="I1196" s="32">
        <f t="shared" si="94"/>
        <v>0</v>
      </c>
      <c r="K1196" s="31">
        <f t="shared" si="91"/>
        <v>0</v>
      </c>
      <c r="L1196" s="34">
        <f t="shared" si="92"/>
        <v>0</v>
      </c>
      <c r="M1196" s="34">
        <f t="shared" si="90"/>
        <v>0</v>
      </c>
    </row>
    <row r="1197" spans="5:13" x14ac:dyDescent="0.25">
      <c r="E1197" s="32">
        <f t="shared" si="93"/>
        <v>0</v>
      </c>
      <c r="I1197" s="32">
        <f t="shared" si="94"/>
        <v>0</v>
      </c>
      <c r="K1197" s="31">
        <f t="shared" si="91"/>
        <v>0</v>
      </c>
      <c r="L1197" s="34">
        <f t="shared" si="92"/>
        <v>0</v>
      </c>
      <c r="M1197" s="34">
        <f t="shared" si="90"/>
        <v>0</v>
      </c>
    </row>
    <row r="1198" spans="5:13" x14ac:dyDescent="0.25">
      <c r="E1198" s="32">
        <f t="shared" si="93"/>
        <v>0</v>
      </c>
      <c r="I1198" s="32">
        <f t="shared" si="94"/>
        <v>0</v>
      </c>
      <c r="K1198" s="31">
        <f t="shared" si="91"/>
        <v>0</v>
      </c>
      <c r="L1198" s="34">
        <f t="shared" si="92"/>
        <v>0</v>
      </c>
      <c r="M1198" s="34">
        <f t="shared" si="90"/>
        <v>0</v>
      </c>
    </row>
    <row r="1199" spans="5:13" x14ac:dyDescent="0.25">
      <c r="E1199" s="32">
        <f t="shared" si="93"/>
        <v>0</v>
      </c>
      <c r="I1199" s="32">
        <f t="shared" si="94"/>
        <v>0</v>
      </c>
      <c r="K1199" s="31">
        <f t="shared" si="91"/>
        <v>0</v>
      </c>
      <c r="L1199" s="34">
        <f t="shared" si="92"/>
        <v>0</v>
      </c>
      <c r="M1199" s="34">
        <f t="shared" si="90"/>
        <v>0</v>
      </c>
    </row>
    <row r="1200" spans="5:13" x14ac:dyDescent="0.25">
      <c r="E1200" s="32">
        <f t="shared" si="93"/>
        <v>0</v>
      </c>
      <c r="I1200" s="32">
        <f t="shared" si="94"/>
        <v>0</v>
      </c>
      <c r="K1200" s="31">
        <f t="shared" si="91"/>
        <v>0</v>
      </c>
      <c r="L1200" s="34">
        <f t="shared" si="92"/>
        <v>0</v>
      </c>
      <c r="M1200" s="34">
        <f t="shared" si="90"/>
        <v>0</v>
      </c>
    </row>
    <row r="1201" spans="5:13" x14ac:dyDescent="0.25">
      <c r="E1201" s="32">
        <f t="shared" si="93"/>
        <v>0</v>
      </c>
      <c r="I1201" s="32">
        <f t="shared" si="94"/>
        <v>0</v>
      </c>
      <c r="K1201" s="31">
        <f t="shared" si="91"/>
        <v>0</v>
      </c>
      <c r="L1201" s="34">
        <f t="shared" si="92"/>
        <v>0</v>
      </c>
      <c r="M1201" s="34">
        <f t="shared" si="90"/>
        <v>0</v>
      </c>
    </row>
    <row r="1202" spans="5:13" x14ac:dyDescent="0.25">
      <c r="E1202" s="32">
        <f t="shared" si="93"/>
        <v>0</v>
      </c>
      <c r="I1202" s="32">
        <f t="shared" si="94"/>
        <v>0</v>
      </c>
      <c r="K1202" s="31">
        <f t="shared" si="91"/>
        <v>0</v>
      </c>
      <c r="L1202" s="34">
        <f t="shared" si="92"/>
        <v>0</v>
      </c>
      <c r="M1202" s="34">
        <f t="shared" si="90"/>
        <v>0</v>
      </c>
    </row>
    <row r="1203" spans="5:13" x14ac:dyDescent="0.25">
      <c r="E1203" s="32">
        <f t="shared" si="93"/>
        <v>0</v>
      </c>
      <c r="I1203" s="32">
        <f t="shared" si="94"/>
        <v>0</v>
      </c>
      <c r="K1203" s="31">
        <f t="shared" si="91"/>
        <v>0</v>
      </c>
      <c r="L1203" s="34">
        <f t="shared" si="92"/>
        <v>0</v>
      </c>
      <c r="M1203" s="34">
        <f t="shared" si="90"/>
        <v>0</v>
      </c>
    </row>
    <row r="1204" spans="5:13" x14ac:dyDescent="0.25">
      <c r="E1204" s="32">
        <f t="shared" si="93"/>
        <v>0</v>
      </c>
      <c r="I1204" s="32">
        <f t="shared" si="94"/>
        <v>0</v>
      </c>
      <c r="K1204" s="31">
        <f t="shared" si="91"/>
        <v>0</v>
      </c>
      <c r="L1204" s="34">
        <f t="shared" si="92"/>
        <v>0</v>
      </c>
      <c r="M1204" s="34">
        <f t="shared" si="90"/>
        <v>0</v>
      </c>
    </row>
    <row r="1205" spans="5:13" x14ac:dyDescent="0.25">
      <c r="E1205" s="32">
        <f t="shared" si="93"/>
        <v>0</v>
      </c>
      <c r="I1205" s="32">
        <f t="shared" si="94"/>
        <v>0</v>
      </c>
      <c r="K1205" s="31">
        <f t="shared" si="91"/>
        <v>0</v>
      </c>
      <c r="L1205" s="34">
        <f t="shared" si="92"/>
        <v>0</v>
      </c>
      <c r="M1205" s="34">
        <f t="shared" si="90"/>
        <v>0</v>
      </c>
    </row>
    <row r="1206" spans="5:13" x14ac:dyDescent="0.25">
      <c r="E1206" s="32">
        <f t="shared" si="93"/>
        <v>0</v>
      </c>
      <c r="I1206" s="32">
        <f t="shared" si="94"/>
        <v>0</v>
      </c>
      <c r="K1206" s="31">
        <f t="shared" si="91"/>
        <v>0</v>
      </c>
      <c r="L1206" s="34">
        <f t="shared" si="92"/>
        <v>0</v>
      </c>
      <c r="M1206" s="34">
        <f t="shared" si="90"/>
        <v>0</v>
      </c>
    </row>
    <row r="1207" spans="5:13" x14ac:dyDescent="0.25">
      <c r="E1207" s="32">
        <f t="shared" si="93"/>
        <v>0</v>
      </c>
      <c r="I1207" s="32">
        <f t="shared" si="94"/>
        <v>0</v>
      </c>
      <c r="K1207" s="31">
        <f t="shared" si="91"/>
        <v>0</v>
      </c>
      <c r="L1207" s="34">
        <f t="shared" si="92"/>
        <v>0</v>
      </c>
      <c r="M1207" s="34">
        <f t="shared" si="90"/>
        <v>0</v>
      </c>
    </row>
    <row r="1208" spans="5:13" x14ac:dyDescent="0.25">
      <c r="E1208" s="32">
        <f t="shared" si="93"/>
        <v>0</v>
      </c>
      <c r="I1208" s="32">
        <f t="shared" si="94"/>
        <v>0</v>
      </c>
      <c r="K1208" s="31">
        <f t="shared" si="91"/>
        <v>0</v>
      </c>
      <c r="L1208" s="34">
        <f t="shared" si="92"/>
        <v>0</v>
      </c>
      <c r="M1208" s="34">
        <f t="shared" si="90"/>
        <v>0</v>
      </c>
    </row>
    <row r="1209" spans="5:13" x14ac:dyDescent="0.25">
      <c r="E1209" s="32">
        <f t="shared" si="93"/>
        <v>0</v>
      </c>
      <c r="I1209" s="32">
        <f t="shared" si="94"/>
        <v>0</v>
      </c>
      <c r="K1209" s="31">
        <f t="shared" si="91"/>
        <v>0</v>
      </c>
      <c r="L1209" s="34">
        <f t="shared" si="92"/>
        <v>0</v>
      </c>
      <c r="M1209" s="34">
        <f t="shared" si="90"/>
        <v>0</v>
      </c>
    </row>
    <row r="1210" spans="5:13" x14ac:dyDescent="0.25">
      <c r="E1210" s="32">
        <f t="shared" si="93"/>
        <v>0</v>
      </c>
      <c r="I1210" s="32">
        <f t="shared" si="94"/>
        <v>0</v>
      </c>
      <c r="K1210" s="31">
        <f t="shared" si="91"/>
        <v>0</v>
      </c>
      <c r="L1210" s="34">
        <f t="shared" si="92"/>
        <v>0</v>
      </c>
      <c r="M1210" s="34">
        <f t="shared" si="90"/>
        <v>0</v>
      </c>
    </row>
    <row r="1211" spans="5:13" x14ac:dyDescent="0.25">
      <c r="E1211" s="32">
        <f t="shared" si="93"/>
        <v>0</v>
      </c>
      <c r="I1211" s="32">
        <f t="shared" si="94"/>
        <v>0</v>
      </c>
      <c r="K1211" s="31">
        <f t="shared" si="91"/>
        <v>0</v>
      </c>
      <c r="L1211" s="34">
        <f t="shared" si="92"/>
        <v>0</v>
      </c>
      <c r="M1211" s="34">
        <f t="shared" si="90"/>
        <v>0</v>
      </c>
    </row>
    <row r="1212" spans="5:13" x14ac:dyDescent="0.25">
      <c r="E1212" s="32">
        <f t="shared" si="93"/>
        <v>0</v>
      </c>
      <c r="I1212" s="32">
        <f t="shared" si="94"/>
        <v>0</v>
      </c>
      <c r="K1212" s="31">
        <f t="shared" si="91"/>
        <v>0</v>
      </c>
      <c r="L1212" s="34">
        <f t="shared" si="92"/>
        <v>0</v>
      </c>
      <c r="M1212" s="34">
        <f t="shared" si="90"/>
        <v>0</v>
      </c>
    </row>
    <row r="1213" spans="5:13" x14ac:dyDescent="0.25">
      <c r="E1213" s="32">
        <f t="shared" si="93"/>
        <v>0</v>
      </c>
      <c r="I1213" s="32">
        <f t="shared" si="94"/>
        <v>0</v>
      </c>
      <c r="K1213" s="31">
        <f t="shared" si="91"/>
        <v>0</v>
      </c>
      <c r="L1213" s="34">
        <f t="shared" si="92"/>
        <v>0</v>
      </c>
      <c r="M1213" s="34">
        <f t="shared" si="90"/>
        <v>0</v>
      </c>
    </row>
    <row r="1214" spans="5:13" x14ac:dyDescent="0.25">
      <c r="E1214" s="32">
        <f t="shared" si="93"/>
        <v>0</v>
      </c>
      <c r="I1214" s="32">
        <f t="shared" si="94"/>
        <v>0</v>
      </c>
      <c r="K1214" s="31">
        <f t="shared" si="91"/>
        <v>0</v>
      </c>
      <c r="L1214" s="34">
        <f t="shared" si="92"/>
        <v>0</v>
      </c>
      <c r="M1214" s="34">
        <f t="shared" si="90"/>
        <v>0</v>
      </c>
    </row>
    <row r="1215" spans="5:13" x14ac:dyDescent="0.25">
      <c r="E1215" s="32">
        <f t="shared" si="93"/>
        <v>0</v>
      </c>
      <c r="I1215" s="32">
        <f t="shared" si="94"/>
        <v>0</v>
      </c>
      <c r="K1215" s="31">
        <f t="shared" si="91"/>
        <v>0</v>
      </c>
      <c r="L1215" s="34">
        <f t="shared" si="92"/>
        <v>0</v>
      </c>
      <c r="M1215" s="34">
        <f t="shared" si="90"/>
        <v>0</v>
      </c>
    </row>
    <row r="1216" spans="5:13" x14ac:dyDescent="0.25">
      <c r="E1216" s="32">
        <f t="shared" si="93"/>
        <v>0</v>
      </c>
      <c r="I1216" s="32">
        <f t="shared" si="94"/>
        <v>0</v>
      </c>
      <c r="K1216" s="31">
        <f t="shared" si="91"/>
        <v>0</v>
      </c>
      <c r="L1216" s="34">
        <f t="shared" si="92"/>
        <v>0</v>
      </c>
      <c r="M1216" s="34">
        <f t="shared" si="90"/>
        <v>0</v>
      </c>
    </row>
    <row r="1217" spans="5:13" x14ac:dyDescent="0.25">
      <c r="E1217" s="32">
        <f t="shared" si="93"/>
        <v>0</v>
      </c>
      <c r="I1217" s="32">
        <f t="shared" si="94"/>
        <v>0</v>
      </c>
      <c r="K1217" s="31">
        <f t="shared" si="91"/>
        <v>0</v>
      </c>
      <c r="L1217" s="34">
        <f t="shared" si="92"/>
        <v>0</v>
      </c>
      <c r="M1217" s="34">
        <f t="shared" si="90"/>
        <v>0</v>
      </c>
    </row>
    <row r="1218" spans="5:13" x14ac:dyDescent="0.25">
      <c r="E1218" s="32">
        <f t="shared" si="93"/>
        <v>0</v>
      </c>
      <c r="I1218" s="32">
        <f t="shared" si="94"/>
        <v>0</v>
      </c>
      <c r="K1218" s="31">
        <f t="shared" si="91"/>
        <v>0</v>
      </c>
      <c r="L1218" s="34">
        <f t="shared" si="92"/>
        <v>0</v>
      </c>
      <c r="M1218" s="34">
        <f t="shared" si="90"/>
        <v>0</v>
      </c>
    </row>
    <row r="1219" spans="5:13" x14ac:dyDescent="0.25">
      <c r="E1219" s="32">
        <f t="shared" si="93"/>
        <v>0</v>
      </c>
      <c r="I1219" s="32">
        <f t="shared" si="94"/>
        <v>0</v>
      </c>
      <c r="K1219" s="31">
        <f t="shared" si="91"/>
        <v>0</v>
      </c>
      <c r="L1219" s="34">
        <f t="shared" si="92"/>
        <v>0</v>
      </c>
      <c r="M1219" s="34">
        <f t="shared" si="90"/>
        <v>0</v>
      </c>
    </row>
    <row r="1220" spans="5:13" x14ac:dyDescent="0.25">
      <c r="E1220" s="32">
        <f t="shared" si="93"/>
        <v>0</v>
      </c>
      <c r="I1220" s="32">
        <f t="shared" si="94"/>
        <v>0</v>
      </c>
      <c r="K1220" s="31">
        <f t="shared" si="91"/>
        <v>0</v>
      </c>
      <c r="L1220" s="34">
        <f t="shared" si="92"/>
        <v>0</v>
      </c>
      <c r="M1220" s="34">
        <f t="shared" ref="M1220:M1283" si="95">(L1220/27)*4</f>
        <v>0</v>
      </c>
    </row>
    <row r="1221" spans="5:13" x14ac:dyDescent="0.25">
      <c r="E1221" s="32">
        <f t="shared" si="93"/>
        <v>0</v>
      </c>
      <c r="I1221" s="32">
        <f t="shared" si="94"/>
        <v>0</v>
      </c>
      <c r="K1221" s="31">
        <f t="shared" ref="K1221:K1284" si="96">B1221/30</f>
        <v>0</v>
      </c>
      <c r="L1221" s="34">
        <f t="shared" ref="L1221:L1284" si="97">IF(J1221="S",((I1221*24)*K1221)*2,((I1221*24)*K1221)*1.5)</f>
        <v>0</v>
      </c>
      <c r="M1221" s="34">
        <f t="shared" si="95"/>
        <v>0</v>
      </c>
    </row>
    <row r="1222" spans="5:13" x14ac:dyDescent="0.25">
      <c r="E1222" s="32">
        <f t="shared" ref="E1222:E1285" si="98">D1222-C1222</f>
        <v>0</v>
      </c>
      <c r="I1222" s="32">
        <f t="shared" ref="I1222:I1285" si="99">H1222-G1222</f>
        <v>0</v>
      </c>
      <c r="K1222" s="31">
        <f t="shared" si="96"/>
        <v>0</v>
      </c>
      <c r="L1222" s="34">
        <f t="shared" si="97"/>
        <v>0</v>
      </c>
      <c r="M1222" s="34">
        <f t="shared" si="95"/>
        <v>0</v>
      </c>
    </row>
    <row r="1223" spans="5:13" x14ac:dyDescent="0.25">
      <c r="E1223" s="32">
        <f t="shared" si="98"/>
        <v>0</v>
      </c>
      <c r="I1223" s="32">
        <f t="shared" si="99"/>
        <v>0</v>
      </c>
      <c r="K1223" s="31">
        <f t="shared" si="96"/>
        <v>0</v>
      </c>
      <c r="L1223" s="34">
        <f t="shared" si="97"/>
        <v>0</v>
      </c>
      <c r="M1223" s="34">
        <f t="shared" si="95"/>
        <v>0</v>
      </c>
    </row>
    <row r="1224" spans="5:13" x14ac:dyDescent="0.25">
      <c r="E1224" s="32">
        <f t="shared" si="98"/>
        <v>0</v>
      </c>
      <c r="I1224" s="32">
        <f t="shared" si="99"/>
        <v>0</v>
      </c>
      <c r="K1224" s="31">
        <f t="shared" si="96"/>
        <v>0</v>
      </c>
      <c r="L1224" s="34">
        <f t="shared" si="97"/>
        <v>0</v>
      </c>
      <c r="M1224" s="34">
        <f t="shared" si="95"/>
        <v>0</v>
      </c>
    </row>
    <row r="1225" spans="5:13" x14ac:dyDescent="0.25">
      <c r="E1225" s="32">
        <f t="shared" si="98"/>
        <v>0</v>
      </c>
      <c r="I1225" s="32">
        <f t="shared" si="99"/>
        <v>0</v>
      </c>
      <c r="K1225" s="31">
        <f t="shared" si="96"/>
        <v>0</v>
      </c>
      <c r="L1225" s="34">
        <f t="shared" si="97"/>
        <v>0</v>
      </c>
      <c r="M1225" s="34">
        <f t="shared" si="95"/>
        <v>0</v>
      </c>
    </row>
    <row r="1226" spans="5:13" x14ac:dyDescent="0.25">
      <c r="E1226" s="32">
        <f t="shared" si="98"/>
        <v>0</v>
      </c>
      <c r="I1226" s="32">
        <f t="shared" si="99"/>
        <v>0</v>
      </c>
      <c r="K1226" s="31">
        <f t="shared" si="96"/>
        <v>0</v>
      </c>
      <c r="L1226" s="34">
        <f t="shared" si="97"/>
        <v>0</v>
      </c>
      <c r="M1226" s="34">
        <f t="shared" si="95"/>
        <v>0</v>
      </c>
    </row>
    <row r="1227" spans="5:13" x14ac:dyDescent="0.25">
      <c r="E1227" s="32">
        <f t="shared" si="98"/>
        <v>0</v>
      </c>
      <c r="I1227" s="32">
        <f t="shared" si="99"/>
        <v>0</v>
      </c>
      <c r="K1227" s="31">
        <f t="shared" si="96"/>
        <v>0</v>
      </c>
      <c r="L1227" s="34">
        <f t="shared" si="97"/>
        <v>0</v>
      </c>
      <c r="M1227" s="34">
        <f t="shared" si="95"/>
        <v>0</v>
      </c>
    </row>
    <row r="1228" spans="5:13" x14ac:dyDescent="0.25">
      <c r="E1228" s="32">
        <f t="shared" si="98"/>
        <v>0</v>
      </c>
      <c r="I1228" s="32">
        <f t="shared" si="99"/>
        <v>0</v>
      </c>
      <c r="K1228" s="31">
        <f t="shared" si="96"/>
        <v>0</v>
      </c>
      <c r="L1228" s="34">
        <f t="shared" si="97"/>
        <v>0</v>
      </c>
      <c r="M1228" s="34">
        <f t="shared" si="95"/>
        <v>0</v>
      </c>
    </row>
    <row r="1229" spans="5:13" x14ac:dyDescent="0.25">
      <c r="E1229" s="32">
        <f t="shared" si="98"/>
        <v>0</v>
      </c>
      <c r="I1229" s="32">
        <f t="shared" si="99"/>
        <v>0</v>
      </c>
      <c r="K1229" s="31">
        <f t="shared" si="96"/>
        <v>0</v>
      </c>
      <c r="L1229" s="34">
        <f t="shared" si="97"/>
        <v>0</v>
      </c>
      <c r="M1229" s="34">
        <f t="shared" si="95"/>
        <v>0</v>
      </c>
    </row>
    <row r="1230" spans="5:13" x14ac:dyDescent="0.25">
      <c r="E1230" s="32">
        <f t="shared" si="98"/>
        <v>0</v>
      </c>
      <c r="I1230" s="32">
        <f t="shared" si="99"/>
        <v>0</v>
      </c>
      <c r="K1230" s="31">
        <f t="shared" si="96"/>
        <v>0</v>
      </c>
      <c r="L1230" s="34">
        <f t="shared" si="97"/>
        <v>0</v>
      </c>
      <c r="M1230" s="34">
        <f t="shared" si="95"/>
        <v>0</v>
      </c>
    </row>
    <row r="1231" spans="5:13" x14ac:dyDescent="0.25">
      <c r="E1231" s="32">
        <f t="shared" si="98"/>
        <v>0</v>
      </c>
      <c r="I1231" s="32">
        <f t="shared" si="99"/>
        <v>0</v>
      </c>
      <c r="K1231" s="31">
        <f t="shared" si="96"/>
        <v>0</v>
      </c>
      <c r="L1231" s="34">
        <f t="shared" si="97"/>
        <v>0</v>
      </c>
      <c r="M1231" s="34">
        <f t="shared" si="95"/>
        <v>0</v>
      </c>
    </row>
    <row r="1232" spans="5:13" x14ac:dyDescent="0.25">
      <c r="E1232" s="32">
        <f t="shared" si="98"/>
        <v>0</v>
      </c>
      <c r="I1232" s="32">
        <f t="shared" si="99"/>
        <v>0</v>
      </c>
      <c r="K1232" s="31">
        <f t="shared" si="96"/>
        <v>0</v>
      </c>
      <c r="L1232" s="34">
        <f t="shared" si="97"/>
        <v>0</v>
      </c>
      <c r="M1232" s="34">
        <f t="shared" si="95"/>
        <v>0</v>
      </c>
    </row>
    <row r="1233" spans="5:13" x14ac:dyDescent="0.25">
      <c r="E1233" s="32">
        <f t="shared" si="98"/>
        <v>0</v>
      </c>
      <c r="I1233" s="32">
        <f t="shared" si="99"/>
        <v>0</v>
      </c>
      <c r="K1233" s="31">
        <f t="shared" si="96"/>
        <v>0</v>
      </c>
      <c r="L1233" s="34">
        <f t="shared" si="97"/>
        <v>0</v>
      </c>
      <c r="M1233" s="34">
        <f t="shared" si="95"/>
        <v>0</v>
      </c>
    </row>
    <row r="1234" spans="5:13" x14ac:dyDescent="0.25">
      <c r="E1234" s="32">
        <f t="shared" si="98"/>
        <v>0</v>
      </c>
      <c r="I1234" s="32">
        <f t="shared" si="99"/>
        <v>0</v>
      </c>
      <c r="K1234" s="31">
        <f t="shared" si="96"/>
        <v>0</v>
      </c>
      <c r="L1234" s="34">
        <f t="shared" si="97"/>
        <v>0</v>
      </c>
      <c r="M1234" s="34">
        <f t="shared" si="95"/>
        <v>0</v>
      </c>
    </row>
    <row r="1235" spans="5:13" x14ac:dyDescent="0.25">
      <c r="E1235" s="32">
        <f t="shared" si="98"/>
        <v>0</v>
      </c>
      <c r="I1235" s="32">
        <f t="shared" si="99"/>
        <v>0</v>
      </c>
      <c r="K1235" s="31">
        <f t="shared" si="96"/>
        <v>0</v>
      </c>
      <c r="L1235" s="34">
        <f t="shared" si="97"/>
        <v>0</v>
      </c>
      <c r="M1235" s="34">
        <f t="shared" si="95"/>
        <v>0</v>
      </c>
    </row>
    <row r="1236" spans="5:13" x14ac:dyDescent="0.25">
      <c r="E1236" s="32">
        <f t="shared" si="98"/>
        <v>0</v>
      </c>
      <c r="I1236" s="32">
        <f t="shared" si="99"/>
        <v>0</v>
      </c>
      <c r="K1236" s="31">
        <f t="shared" si="96"/>
        <v>0</v>
      </c>
      <c r="L1236" s="34">
        <f t="shared" si="97"/>
        <v>0</v>
      </c>
      <c r="M1236" s="34">
        <f t="shared" si="95"/>
        <v>0</v>
      </c>
    </row>
    <row r="1237" spans="5:13" x14ac:dyDescent="0.25">
      <c r="E1237" s="32">
        <f t="shared" si="98"/>
        <v>0</v>
      </c>
      <c r="I1237" s="32">
        <f t="shared" si="99"/>
        <v>0</v>
      </c>
      <c r="K1237" s="31">
        <f t="shared" si="96"/>
        <v>0</v>
      </c>
      <c r="L1237" s="34">
        <f t="shared" si="97"/>
        <v>0</v>
      </c>
      <c r="M1237" s="34">
        <f t="shared" si="95"/>
        <v>0</v>
      </c>
    </row>
    <row r="1238" spans="5:13" x14ac:dyDescent="0.25">
      <c r="E1238" s="32">
        <f t="shared" si="98"/>
        <v>0</v>
      </c>
      <c r="I1238" s="32">
        <f t="shared" si="99"/>
        <v>0</v>
      </c>
      <c r="K1238" s="31">
        <f t="shared" si="96"/>
        <v>0</v>
      </c>
      <c r="L1238" s="34">
        <f t="shared" si="97"/>
        <v>0</v>
      </c>
      <c r="M1238" s="34">
        <f t="shared" si="95"/>
        <v>0</v>
      </c>
    </row>
    <row r="1239" spans="5:13" x14ac:dyDescent="0.25">
      <c r="E1239" s="32">
        <f t="shared" si="98"/>
        <v>0</v>
      </c>
      <c r="I1239" s="32">
        <f t="shared" si="99"/>
        <v>0</v>
      </c>
      <c r="K1239" s="31">
        <f t="shared" si="96"/>
        <v>0</v>
      </c>
      <c r="L1239" s="34">
        <f t="shared" si="97"/>
        <v>0</v>
      </c>
      <c r="M1239" s="34">
        <f t="shared" si="95"/>
        <v>0</v>
      </c>
    </row>
    <row r="1240" spans="5:13" x14ac:dyDescent="0.25">
      <c r="E1240" s="32">
        <f t="shared" si="98"/>
        <v>0</v>
      </c>
      <c r="I1240" s="32">
        <f t="shared" si="99"/>
        <v>0</v>
      </c>
      <c r="K1240" s="31">
        <f t="shared" si="96"/>
        <v>0</v>
      </c>
      <c r="L1240" s="34">
        <f t="shared" si="97"/>
        <v>0</v>
      </c>
      <c r="M1240" s="34">
        <f t="shared" si="95"/>
        <v>0</v>
      </c>
    </row>
    <row r="1241" spans="5:13" x14ac:dyDescent="0.25">
      <c r="E1241" s="32">
        <f t="shared" si="98"/>
        <v>0</v>
      </c>
      <c r="I1241" s="32">
        <f t="shared" si="99"/>
        <v>0</v>
      </c>
      <c r="K1241" s="31">
        <f t="shared" si="96"/>
        <v>0</v>
      </c>
      <c r="L1241" s="34">
        <f t="shared" si="97"/>
        <v>0</v>
      </c>
      <c r="M1241" s="34">
        <f t="shared" si="95"/>
        <v>0</v>
      </c>
    </row>
    <row r="1242" spans="5:13" x14ac:dyDescent="0.25">
      <c r="E1242" s="32">
        <f t="shared" si="98"/>
        <v>0</v>
      </c>
      <c r="I1242" s="32">
        <f t="shared" si="99"/>
        <v>0</v>
      </c>
      <c r="K1242" s="31">
        <f t="shared" si="96"/>
        <v>0</v>
      </c>
      <c r="L1242" s="34">
        <f t="shared" si="97"/>
        <v>0</v>
      </c>
      <c r="M1242" s="34">
        <f t="shared" si="95"/>
        <v>0</v>
      </c>
    </row>
    <row r="1243" spans="5:13" x14ac:dyDescent="0.25">
      <c r="E1243" s="32">
        <f t="shared" si="98"/>
        <v>0</v>
      </c>
      <c r="I1243" s="32">
        <f t="shared" si="99"/>
        <v>0</v>
      </c>
      <c r="K1243" s="31">
        <f t="shared" si="96"/>
        <v>0</v>
      </c>
      <c r="L1243" s="34">
        <f t="shared" si="97"/>
        <v>0</v>
      </c>
      <c r="M1243" s="34">
        <f t="shared" si="95"/>
        <v>0</v>
      </c>
    </row>
    <row r="1244" spans="5:13" x14ac:dyDescent="0.25">
      <c r="E1244" s="32">
        <f t="shared" si="98"/>
        <v>0</v>
      </c>
      <c r="I1244" s="32">
        <f t="shared" si="99"/>
        <v>0</v>
      </c>
      <c r="K1244" s="31">
        <f t="shared" si="96"/>
        <v>0</v>
      </c>
      <c r="L1244" s="34">
        <f t="shared" si="97"/>
        <v>0</v>
      </c>
      <c r="M1244" s="34">
        <f t="shared" si="95"/>
        <v>0</v>
      </c>
    </row>
    <row r="1245" spans="5:13" x14ac:dyDescent="0.25">
      <c r="E1245" s="32">
        <f t="shared" si="98"/>
        <v>0</v>
      </c>
      <c r="I1245" s="32">
        <f t="shared" si="99"/>
        <v>0</v>
      </c>
      <c r="K1245" s="31">
        <f t="shared" si="96"/>
        <v>0</v>
      </c>
      <c r="L1245" s="34">
        <f t="shared" si="97"/>
        <v>0</v>
      </c>
      <c r="M1245" s="34">
        <f t="shared" si="95"/>
        <v>0</v>
      </c>
    </row>
    <row r="1246" spans="5:13" x14ac:dyDescent="0.25">
      <c r="E1246" s="32">
        <f t="shared" si="98"/>
        <v>0</v>
      </c>
      <c r="I1246" s="32">
        <f t="shared" si="99"/>
        <v>0</v>
      </c>
      <c r="K1246" s="31">
        <f t="shared" si="96"/>
        <v>0</v>
      </c>
      <c r="L1246" s="34">
        <f t="shared" si="97"/>
        <v>0</v>
      </c>
      <c r="M1246" s="34">
        <f t="shared" si="95"/>
        <v>0</v>
      </c>
    </row>
    <row r="1247" spans="5:13" x14ac:dyDescent="0.25">
      <c r="E1247" s="32">
        <f t="shared" si="98"/>
        <v>0</v>
      </c>
      <c r="I1247" s="32">
        <f t="shared" si="99"/>
        <v>0</v>
      </c>
      <c r="K1247" s="31">
        <f t="shared" si="96"/>
        <v>0</v>
      </c>
      <c r="L1247" s="34">
        <f t="shared" si="97"/>
        <v>0</v>
      </c>
      <c r="M1247" s="34">
        <f t="shared" si="95"/>
        <v>0</v>
      </c>
    </row>
    <row r="1248" spans="5:13" x14ac:dyDescent="0.25">
      <c r="E1248" s="32">
        <f t="shared" si="98"/>
        <v>0</v>
      </c>
      <c r="I1248" s="32">
        <f t="shared" si="99"/>
        <v>0</v>
      </c>
      <c r="K1248" s="31">
        <f t="shared" si="96"/>
        <v>0</v>
      </c>
      <c r="L1248" s="34">
        <f t="shared" si="97"/>
        <v>0</v>
      </c>
      <c r="M1248" s="34">
        <f t="shared" si="95"/>
        <v>0</v>
      </c>
    </row>
    <row r="1249" spans="5:13" x14ac:dyDescent="0.25">
      <c r="E1249" s="32">
        <f t="shared" si="98"/>
        <v>0</v>
      </c>
      <c r="I1249" s="32">
        <f t="shared" si="99"/>
        <v>0</v>
      </c>
      <c r="K1249" s="31">
        <f t="shared" si="96"/>
        <v>0</v>
      </c>
      <c r="L1249" s="34">
        <f t="shared" si="97"/>
        <v>0</v>
      </c>
      <c r="M1249" s="34">
        <f t="shared" si="95"/>
        <v>0</v>
      </c>
    </row>
    <row r="1250" spans="5:13" x14ac:dyDescent="0.25">
      <c r="E1250" s="32">
        <f t="shared" si="98"/>
        <v>0</v>
      </c>
      <c r="I1250" s="32">
        <f t="shared" si="99"/>
        <v>0</v>
      </c>
      <c r="K1250" s="31">
        <f t="shared" si="96"/>
        <v>0</v>
      </c>
      <c r="L1250" s="34">
        <f t="shared" si="97"/>
        <v>0</v>
      </c>
      <c r="M1250" s="34">
        <f t="shared" si="95"/>
        <v>0</v>
      </c>
    </row>
    <row r="1251" spans="5:13" x14ac:dyDescent="0.25">
      <c r="E1251" s="32">
        <f t="shared" si="98"/>
        <v>0</v>
      </c>
      <c r="I1251" s="32">
        <f t="shared" si="99"/>
        <v>0</v>
      </c>
      <c r="K1251" s="31">
        <f t="shared" si="96"/>
        <v>0</v>
      </c>
      <c r="L1251" s="34">
        <f t="shared" si="97"/>
        <v>0</v>
      </c>
      <c r="M1251" s="34">
        <f t="shared" si="95"/>
        <v>0</v>
      </c>
    </row>
    <row r="1252" spans="5:13" x14ac:dyDescent="0.25">
      <c r="E1252" s="32">
        <f t="shared" si="98"/>
        <v>0</v>
      </c>
      <c r="I1252" s="32">
        <f t="shared" si="99"/>
        <v>0</v>
      </c>
      <c r="K1252" s="31">
        <f t="shared" si="96"/>
        <v>0</v>
      </c>
      <c r="L1252" s="34">
        <f t="shared" si="97"/>
        <v>0</v>
      </c>
      <c r="M1252" s="34">
        <f t="shared" si="95"/>
        <v>0</v>
      </c>
    </row>
    <row r="1253" spans="5:13" x14ac:dyDescent="0.25">
      <c r="E1253" s="32">
        <f t="shared" si="98"/>
        <v>0</v>
      </c>
      <c r="I1253" s="32">
        <f t="shared" si="99"/>
        <v>0</v>
      </c>
      <c r="K1253" s="31">
        <f t="shared" si="96"/>
        <v>0</v>
      </c>
      <c r="L1253" s="34">
        <f t="shared" si="97"/>
        <v>0</v>
      </c>
      <c r="M1253" s="34">
        <f t="shared" si="95"/>
        <v>0</v>
      </c>
    </row>
    <row r="1254" spans="5:13" x14ac:dyDescent="0.25">
      <c r="E1254" s="32">
        <f t="shared" si="98"/>
        <v>0</v>
      </c>
      <c r="I1254" s="32">
        <f t="shared" si="99"/>
        <v>0</v>
      </c>
      <c r="K1254" s="31">
        <f t="shared" si="96"/>
        <v>0</v>
      </c>
      <c r="L1254" s="34">
        <f t="shared" si="97"/>
        <v>0</v>
      </c>
      <c r="M1254" s="34">
        <f t="shared" si="95"/>
        <v>0</v>
      </c>
    </row>
    <row r="1255" spans="5:13" x14ac:dyDescent="0.25">
      <c r="E1255" s="32">
        <f t="shared" si="98"/>
        <v>0</v>
      </c>
      <c r="I1255" s="32">
        <f t="shared" si="99"/>
        <v>0</v>
      </c>
      <c r="K1255" s="31">
        <f t="shared" si="96"/>
        <v>0</v>
      </c>
      <c r="L1255" s="34">
        <f t="shared" si="97"/>
        <v>0</v>
      </c>
      <c r="M1255" s="34">
        <f t="shared" si="95"/>
        <v>0</v>
      </c>
    </row>
    <row r="1256" spans="5:13" x14ac:dyDescent="0.25">
      <c r="E1256" s="32">
        <f t="shared" si="98"/>
        <v>0</v>
      </c>
      <c r="I1256" s="32">
        <f t="shared" si="99"/>
        <v>0</v>
      </c>
      <c r="K1256" s="31">
        <f t="shared" si="96"/>
        <v>0</v>
      </c>
      <c r="L1256" s="34">
        <f t="shared" si="97"/>
        <v>0</v>
      </c>
      <c r="M1256" s="34">
        <f t="shared" si="95"/>
        <v>0</v>
      </c>
    </row>
    <row r="1257" spans="5:13" x14ac:dyDescent="0.25">
      <c r="E1257" s="32">
        <f t="shared" si="98"/>
        <v>0</v>
      </c>
      <c r="I1257" s="32">
        <f t="shared" si="99"/>
        <v>0</v>
      </c>
      <c r="K1257" s="31">
        <f t="shared" si="96"/>
        <v>0</v>
      </c>
      <c r="L1257" s="34">
        <f t="shared" si="97"/>
        <v>0</v>
      </c>
      <c r="M1257" s="34">
        <f t="shared" si="95"/>
        <v>0</v>
      </c>
    </row>
    <row r="1258" spans="5:13" x14ac:dyDescent="0.25">
      <c r="E1258" s="32">
        <f t="shared" si="98"/>
        <v>0</v>
      </c>
      <c r="I1258" s="32">
        <f t="shared" si="99"/>
        <v>0</v>
      </c>
      <c r="K1258" s="31">
        <f t="shared" si="96"/>
        <v>0</v>
      </c>
      <c r="L1258" s="34">
        <f t="shared" si="97"/>
        <v>0</v>
      </c>
      <c r="M1258" s="34">
        <f t="shared" si="95"/>
        <v>0</v>
      </c>
    </row>
    <row r="1259" spans="5:13" x14ac:dyDescent="0.25">
      <c r="E1259" s="32">
        <f t="shared" si="98"/>
        <v>0</v>
      </c>
      <c r="I1259" s="32">
        <f t="shared" si="99"/>
        <v>0</v>
      </c>
      <c r="K1259" s="31">
        <f t="shared" si="96"/>
        <v>0</v>
      </c>
      <c r="L1259" s="34">
        <f t="shared" si="97"/>
        <v>0</v>
      </c>
      <c r="M1259" s="34">
        <f t="shared" si="95"/>
        <v>0</v>
      </c>
    </row>
    <row r="1260" spans="5:13" x14ac:dyDescent="0.25">
      <c r="E1260" s="32">
        <f t="shared" si="98"/>
        <v>0</v>
      </c>
      <c r="I1260" s="32">
        <f t="shared" si="99"/>
        <v>0</v>
      </c>
      <c r="K1260" s="31">
        <f t="shared" si="96"/>
        <v>0</v>
      </c>
      <c r="L1260" s="34">
        <f t="shared" si="97"/>
        <v>0</v>
      </c>
      <c r="M1260" s="34">
        <f t="shared" si="95"/>
        <v>0</v>
      </c>
    </row>
    <row r="1261" spans="5:13" x14ac:dyDescent="0.25">
      <c r="E1261" s="32">
        <f t="shared" si="98"/>
        <v>0</v>
      </c>
      <c r="I1261" s="32">
        <f t="shared" si="99"/>
        <v>0</v>
      </c>
      <c r="K1261" s="31">
        <f t="shared" si="96"/>
        <v>0</v>
      </c>
      <c r="L1261" s="34">
        <f t="shared" si="97"/>
        <v>0</v>
      </c>
      <c r="M1261" s="34">
        <f t="shared" si="95"/>
        <v>0</v>
      </c>
    </row>
    <row r="1262" spans="5:13" x14ac:dyDescent="0.25">
      <c r="E1262" s="32">
        <f t="shared" si="98"/>
        <v>0</v>
      </c>
      <c r="I1262" s="32">
        <f t="shared" si="99"/>
        <v>0</v>
      </c>
      <c r="K1262" s="31">
        <f t="shared" si="96"/>
        <v>0</v>
      </c>
      <c r="L1262" s="34">
        <f t="shared" si="97"/>
        <v>0</v>
      </c>
      <c r="M1262" s="34">
        <f t="shared" si="95"/>
        <v>0</v>
      </c>
    </row>
    <row r="1263" spans="5:13" x14ac:dyDescent="0.25">
      <c r="E1263" s="32">
        <f t="shared" si="98"/>
        <v>0</v>
      </c>
      <c r="I1263" s="32">
        <f t="shared" si="99"/>
        <v>0</v>
      </c>
      <c r="K1263" s="31">
        <f t="shared" si="96"/>
        <v>0</v>
      </c>
      <c r="L1263" s="34">
        <f t="shared" si="97"/>
        <v>0</v>
      </c>
      <c r="M1263" s="34">
        <f t="shared" si="95"/>
        <v>0</v>
      </c>
    </row>
    <row r="1264" spans="5:13" x14ac:dyDescent="0.25">
      <c r="E1264" s="32">
        <f t="shared" si="98"/>
        <v>0</v>
      </c>
      <c r="I1264" s="32">
        <f t="shared" si="99"/>
        <v>0</v>
      </c>
      <c r="K1264" s="31">
        <f t="shared" si="96"/>
        <v>0</v>
      </c>
      <c r="L1264" s="34">
        <f t="shared" si="97"/>
        <v>0</v>
      </c>
      <c r="M1264" s="34">
        <f t="shared" si="95"/>
        <v>0</v>
      </c>
    </row>
    <row r="1265" spans="5:13" x14ac:dyDescent="0.25">
      <c r="E1265" s="32">
        <f t="shared" si="98"/>
        <v>0</v>
      </c>
      <c r="I1265" s="32">
        <f t="shared" si="99"/>
        <v>0</v>
      </c>
      <c r="K1265" s="31">
        <f t="shared" si="96"/>
        <v>0</v>
      </c>
      <c r="L1265" s="34">
        <f t="shared" si="97"/>
        <v>0</v>
      </c>
      <c r="M1265" s="34">
        <f t="shared" si="95"/>
        <v>0</v>
      </c>
    </row>
    <row r="1266" spans="5:13" x14ac:dyDescent="0.25">
      <c r="E1266" s="32">
        <f t="shared" si="98"/>
        <v>0</v>
      </c>
      <c r="I1266" s="32">
        <f t="shared" si="99"/>
        <v>0</v>
      </c>
      <c r="K1266" s="31">
        <f t="shared" si="96"/>
        <v>0</v>
      </c>
      <c r="L1266" s="34">
        <f t="shared" si="97"/>
        <v>0</v>
      </c>
      <c r="M1266" s="34">
        <f t="shared" si="95"/>
        <v>0</v>
      </c>
    </row>
    <row r="1267" spans="5:13" x14ac:dyDescent="0.25">
      <c r="E1267" s="32">
        <f t="shared" si="98"/>
        <v>0</v>
      </c>
      <c r="I1267" s="32">
        <f t="shared" si="99"/>
        <v>0</v>
      </c>
      <c r="K1267" s="31">
        <f t="shared" si="96"/>
        <v>0</v>
      </c>
      <c r="L1267" s="34">
        <f t="shared" si="97"/>
        <v>0</v>
      </c>
      <c r="M1267" s="34">
        <f t="shared" si="95"/>
        <v>0</v>
      </c>
    </row>
    <row r="1268" spans="5:13" x14ac:dyDescent="0.25">
      <c r="E1268" s="32">
        <f t="shared" si="98"/>
        <v>0</v>
      </c>
      <c r="I1268" s="32">
        <f t="shared" si="99"/>
        <v>0</v>
      </c>
      <c r="K1268" s="31">
        <f t="shared" si="96"/>
        <v>0</v>
      </c>
      <c r="L1268" s="34">
        <f t="shared" si="97"/>
        <v>0</v>
      </c>
      <c r="M1268" s="34">
        <f t="shared" si="95"/>
        <v>0</v>
      </c>
    </row>
    <row r="1269" spans="5:13" x14ac:dyDescent="0.25">
      <c r="E1269" s="32">
        <f t="shared" si="98"/>
        <v>0</v>
      </c>
      <c r="I1269" s="32">
        <f t="shared" si="99"/>
        <v>0</v>
      </c>
      <c r="K1269" s="31">
        <f t="shared" si="96"/>
        <v>0</v>
      </c>
      <c r="L1269" s="34">
        <f t="shared" si="97"/>
        <v>0</v>
      </c>
      <c r="M1269" s="34">
        <f t="shared" si="95"/>
        <v>0</v>
      </c>
    </row>
    <row r="1270" spans="5:13" x14ac:dyDescent="0.25">
      <c r="E1270" s="32">
        <f t="shared" si="98"/>
        <v>0</v>
      </c>
      <c r="I1270" s="32">
        <f t="shared" si="99"/>
        <v>0</v>
      </c>
      <c r="K1270" s="31">
        <f t="shared" si="96"/>
        <v>0</v>
      </c>
      <c r="L1270" s="34">
        <f t="shared" si="97"/>
        <v>0</v>
      </c>
      <c r="M1270" s="34">
        <f t="shared" si="95"/>
        <v>0</v>
      </c>
    </row>
    <row r="1271" spans="5:13" x14ac:dyDescent="0.25">
      <c r="E1271" s="32">
        <f t="shared" si="98"/>
        <v>0</v>
      </c>
      <c r="I1271" s="32">
        <f t="shared" si="99"/>
        <v>0</v>
      </c>
      <c r="K1271" s="31">
        <f t="shared" si="96"/>
        <v>0</v>
      </c>
      <c r="L1271" s="34">
        <f t="shared" si="97"/>
        <v>0</v>
      </c>
      <c r="M1271" s="34">
        <f t="shared" si="95"/>
        <v>0</v>
      </c>
    </row>
    <row r="1272" spans="5:13" x14ac:dyDescent="0.25">
      <c r="E1272" s="32">
        <f t="shared" si="98"/>
        <v>0</v>
      </c>
      <c r="I1272" s="32">
        <f t="shared" si="99"/>
        <v>0</v>
      </c>
      <c r="K1272" s="31">
        <f t="shared" si="96"/>
        <v>0</v>
      </c>
      <c r="L1272" s="34">
        <f t="shared" si="97"/>
        <v>0</v>
      </c>
      <c r="M1272" s="34">
        <f t="shared" si="95"/>
        <v>0</v>
      </c>
    </row>
    <row r="1273" spans="5:13" x14ac:dyDescent="0.25">
      <c r="E1273" s="32">
        <f t="shared" si="98"/>
        <v>0</v>
      </c>
      <c r="I1273" s="32">
        <f t="shared" si="99"/>
        <v>0</v>
      </c>
      <c r="K1273" s="31">
        <f t="shared" si="96"/>
        <v>0</v>
      </c>
      <c r="L1273" s="34">
        <f t="shared" si="97"/>
        <v>0</v>
      </c>
      <c r="M1273" s="34">
        <f t="shared" si="95"/>
        <v>0</v>
      </c>
    </row>
    <row r="1274" spans="5:13" x14ac:dyDescent="0.25">
      <c r="E1274" s="32">
        <f t="shared" si="98"/>
        <v>0</v>
      </c>
      <c r="I1274" s="32">
        <f t="shared" si="99"/>
        <v>0</v>
      </c>
      <c r="K1274" s="31">
        <f t="shared" si="96"/>
        <v>0</v>
      </c>
      <c r="L1274" s="34">
        <f t="shared" si="97"/>
        <v>0</v>
      </c>
      <c r="M1274" s="34">
        <f t="shared" si="95"/>
        <v>0</v>
      </c>
    </row>
    <row r="1275" spans="5:13" x14ac:dyDescent="0.25">
      <c r="E1275" s="32">
        <f t="shared" si="98"/>
        <v>0</v>
      </c>
      <c r="I1275" s="32">
        <f t="shared" si="99"/>
        <v>0</v>
      </c>
      <c r="K1275" s="31">
        <f t="shared" si="96"/>
        <v>0</v>
      </c>
      <c r="L1275" s="34">
        <f t="shared" si="97"/>
        <v>0</v>
      </c>
      <c r="M1275" s="34">
        <f t="shared" si="95"/>
        <v>0</v>
      </c>
    </row>
    <row r="1276" spans="5:13" x14ac:dyDescent="0.25">
      <c r="E1276" s="32">
        <f t="shared" si="98"/>
        <v>0</v>
      </c>
      <c r="I1276" s="32">
        <f t="shared" si="99"/>
        <v>0</v>
      </c>
      <c r="K1276" s="31">
        <f t="shared" si="96"/>
        <v>0</v>
      </c>
      <c r="L1276" s="34">
        <f t="shared" si="97"/>
        <v>0</v>
      </c>
      <c r="M1276" s="34">
        <f t="shared" si="95"/>
        <v>0</v>
      </c>
    </row>
    <row r="1277" spans="5:13" x14ac:dyDescent="0.25">
      <c r="E1277" s="32">
        <f t="shared" si="98"/>
        <v>0</v>
      </c>
      <c r="I1277" s="32">
        <f t="shared" si="99"/>
        <v>0</v>
      </c>
      <c r="K1277" s="31">
        <f t="shared" si="96"/>
        <v>0</v>
      </c>
      <c r="L1277" s="34">
        <f t="shared" si="97"/>
        <v>0</v>
      </c>
      <c r="M1277" s="34">
        <f t="shared" si="95"/>
        <v>0</v>
      </c>
    </row>
    <row r="1278" spans="5:13" x14ac:dyDescent="0.25">
      <c r="E1278" s="32">
        <f t="shared" si="98"/>
        <v>0</v>
      </c>
      <c r="I1278" s="32">
        <f t="shared" si="99"/>
        <v>0</v>
      </c>
      <c r="K1278" s="31">
        <f t="shared" si="96"/>
        <v>0</v>
      </c>
      <c r="L1278" s="34">
        <f t="shared" si="97"/>
        <v>0</v>
      </c>
      <c r="M1278" s="34">
        <f t="shared" si="95"/>
        <v>0</v>
      </c>
    </row>
    <row r="1279" spans="5:13" x14ac:dyDescent="0.25">
      <c r="E1279" s="32">
        <f t="shared" si="98"/>
        <v>0</v>
      </c>
      <c r="I1279" s="32">
        <f t="shared" si="99"/>
        <v>0</v>
      </c>
      <c r="K1279" s="31">
        <f t="shared" si="96"/>
        <v>0</v>
      </c>
      <c r="L1279" s="34">
        <f t="shared" si="97"/>
        <v>0</v>
      </c>
      <c r="M1279" s="34">
        <f t="shared" si="95"/>
        <v>0</v>
      </c>
    </row>
    <row r="1280" spans="5:13" x14ac:dyDescent="0.25">
      <c r="E1280" s="32">
        <f t="shared" si="98"/>
        <v>0</v>
      </c>
      <c r="I1280" s="32">
        <f t="shared" si="99"/>
        <v>0</v>
      </c>
      <c r="K1280" s="31">
        <f t="shared" si="96"/>
        <v>0</v>
      </c>
      <c r="L1280" s="34">
        <f t="shared" si="97"/>
        <v>0</v>
      </c>
      <c r="M1280" s="34">
        <f t="shared" si="95"/>
        <v>0</v>
      </c>
    </row>
    <row r="1281" spans="5:13" x14ac:dyDescent="0.25">
      <c r="E1281" s="32">
        <f t="shared" si="98"/>
        <v>0</v>
      </c>
      <c r="I1281" s="32">
        <f t="shared" si="99"/>
        <v>0</v>
      </c>
      <c r="K1281" s="31">
        <f t="shared" si="96"/>
        <v>0</v>
      </c>
      <c r="L1281" s="34">
        <f t="shared" si="97"/>
        <v>0</v>
      </c>
      <c r="M1281" s="34">
        <f t="shared" si="95"/>
        <v>0</v>
      </c>
    </row>
    <row r="1282" spans="5:13" x14ac:dyDescent="0.25">
      <c r="E1282" s="32">
        <f t="shared" si="98"/>
        <v>0</v>
      </c>
      <c r="I1282" s="32">
        <f t="shared" si="99"/>
        <v>0</v>
      </c>
      <c r="K1282" s="31">
        <f t="shared" si="96"/>
        <v>0</v>
      </c>
      <c r="L1282" s="34">
        <f t="shared" si="97"/>
        <v>0</v>
      </c>
      <c r="M1282" s="34">
        <f t="shared" si="95"/>
        <v>0</v>
      </c>
    </row>
    <row r="1283" spans="5:13" x14ac:dyDescent="0.25">
      <c r="E1283" s="32">
        <f t="shared" si="98"/>
        <v>0</v>
      </c>
      <c r="I1283" s="32">
        <f t="shared" si="99"/>
        <v>0</v>
      </c>
      <c r="K1283" s="31">
        <f t="shared" si="96"/>
        <v>0</v>
      </c>
      <c r="L1283" s="34">
        <f t="shared" si="97"/>
        <v>0</v>
      </c>
      <c r="M1283" s="34">
        <f t="shared" si="95"/>
        <v>0</v>
      </c>
    </row>
    <row r="1284" spans="5:13" x14ac:dyDescent="0.25">
      <c r="E1284" s="32">
        <f t="shared" si="98"/>
        <v>0</v>
      </c>
      <c r="I1284" s="32">
        <f t="shared" si="99"/>
        <v>0</v>
      </c>
      <c r="K1284" s="31">
        <f t="shared" si="96"/>
        <v>0</v>
      </c>
      <c r="L1284" s="34">
        <f t="shared" si="97"/>
        <v>0</v>
      </c>
      <c r="M1284" s="34">
        <f t="shared" ref="M1284:M1347" si="100">(L1284/27)*4</f>
        <v>0</v>
      </c>
    </row>
    <row r="1285" spans="5:13" x14ac:dyDescent="0.25">
      <c r="E1285" s="32">
        <f t="shared" si="98"/>
        <v>0</v>
      </c>
      <c r="I1285" s="32">
        <f t="shared" si="99"/>
        <v>0</v>
      </c>
      <c r="K1285" s="31">
        <f t="shared" ref="K1285:K1348" si="101">B1285/30</f>
        <v>0</v>
      </c>
      <c r="L1285" s="34">
        <f t="shared" ref="L1285:L1348" si="102">IF(J1285="S",((I1285*24)*K1285)*2,((I1285*24)*K1285)*1.5)</f>
        <v>0</v>
      </c>
      <c r="M1285" s="34">
        <f t="shared" si="100"/>
        <v>0</v>
      </c>
    </row>
    <row r="1286" spans="5:13" x14ac:dyDescent="0.25">
      <c r="E1286" s="32">
        <f t="shared" ref="E1286:E1349" si="103">D1286-C1286</f>
        <v>0</v>
      </c>
      <c r="I1286" s="32">
        <f t="shared" ref="I1286:I1349" si="104">H1286-G1286</f>
        <v>0</v>
      </c>
      <c r="K1286" s="31">
        <f t="shared" si="101"/>
        <v>0</v>
      </c>
      <c r="L1286" s="34">
        <f t="shared" si="102"/>
        <v>0</v>
      </c>
      <c r="M1286" s="34">
        <f t="shared" si="100"/>
        <v>0</v>
      </c>
    </row>
    <row r="1287" spans="5:13" x14ac:dyDescent="0.25">
      <c r="E1287" s="32">
        <f t="shared" si="103"/>
        <v>0</v>
      </c>
      <c r="I1287" s="32">
        <f t="shared" si="104"/>
        <v>0</v>
      </c>
      <c r="K1287" s="31">
        <f t="shared" si="101"/>
        <v>0</v>
      </c>
      <c r="L1287" s="34">
        <f t="shared" si="102"/>
        <v>0</v>
      </c>
      <c r="M1287" s="34">
        <f t="shared" si="100"/>
        <v>0</v>
      </c>
    </row>
    <row r="1288" spans="5:13" x14ac:dyDescent="0.25">
      <c r="E1288" s="32">
        <f t="shared" si="103"/>
        <v>0</v>
      </c>
      <c r="I1288" s="32">
        <f t="shared" si="104"/>
        <v>0</v>
      </c>
      <c r="K1288" s="31">
        <f t="shared" si="101"/>
        <v>0</v>
      </c>
      <c r="L1288" s="34">
        <f t="shared" si="102"/>
        <v>0</v>
      </c>
      <c r="M1288" s="34">
        <f t="shared" si="100"/>
        <v>0</v>
      </c>
    </row>
    <row r="1289" spans="5:13" x14ac:dyDescent="0.25">
      <c r="E1289" s="32">
        <f t="shared" si="103"/>
        <v>0</v>
      </c>
      <c r="I1289" s="32">
        <f t="shared" si="104"/>
        <v>0</v>
      </c>
      <c r="K1289" s="31">
        <f t="shared" si="101"/>
        <v>0</v>
      </c>
      <c r="L1289" s="34">
        <f t="shared" si="102"/>
        <v>0</v>
      </c>
      <c r="M1289" s="34">
        <f t="shared" si="100"/>
        <v>0</v>
      </c>
    </row>
    <row r="1290" spans="5:13" x14ac:dyDescent="0.25">
      <c r="E1290" s="32">
        <f t="shared" si="103"/>
        <v>0</v>
      </c>
      <c r="I1290" s="32">
        <f t="shared" si="104"/>
        <v>0</v>
      </c>
      <c r="K1290" s="31">
        <f t="shared" si="101"/>
        <v>0</v>
      </c>
      <c r="L1290" s="34">
        <f t="shared" si="102"/>
        <v>0</v>
      </c>
      <c r="M1290" s="34">
        <f t="shared" si="100"/>
        <v>0</v>
      </c>
    </row>
    <row r="1291" spans="5:13" x14ac:dyDescent="0.25">
      <c r="E1291" s="32">
        <f t="shared" si="103"/>
        <v>0</v>
      </c>
      <c r="I1291" s="32">
        <f t="shared" si="104"/>
        <v>0</v>
      </c>
      <c r="K1291" s="31">
        <f t="shared" si="101"/>
        <v>0</v>
      </c>
      <c r="L1291" s="34">
        <f t="shared" si="102"/>
        <v>0</v>
      </c>
      <c r="M1291" s="34">
        <f t="shared" si="100"/>
        <v>0</v>
      </c>
    </row>
    <row r="1292" spans="5:13" x14ac:dyDescent="0.25">
      <c r="E1292" s="32">
        <f t="shared" si="103"/>
        <v>0</v>
      </c>
      <c r="I1292" s="32">
        <f t="shared" si="104"/>
        <v>0</v>
      </c>
      <c r="K1292" s="31">
        <f t="shared" si="101"/>
        <v>0</v>
      </c>
      <c r="L1292" s="34">
        <f t="shared" si="102"/>
        <v>0</v>
      </c>
      <c r="M1292" s="34">
        <f t="shared" si="100"/>
        <v>0</v>
      </c>
    </row>
    <row r="1293" spans="5:13" x14ac:dyDescent="0.25">
      <c r="E1293" s="32">
        <f t="shared" si="103"/>
        <v>0</v>
      </c>
      <c r="I1293" s="32">
        <f t="shared" si="104"/>
        <v>0</v>
      </c>
      <c r="K1293" s="31">
        <f t="shared" si="101"/>
        <v>0</v>
      </c>
      <c r="L1293" s="34">
        <f t="shared" si="102"/>
        <v>0</v>
      </c>
      <c r="M1293" s="34">
        <f t="shared" si="100"/>
        <v>0</v>
      </c>
    </row>
    <row r="1294" spans="5:13" x14ac:dyDescent="0.25">
      <c r="E1294" s="32">
        <f t="shared" si="103"/>
        <v>0</v>
      </c>
      <c r="I1294" s="32">
        <f t="shared" si="104"/>
        <v>0</v>
      </c>
      <c r="K1294" s="31">
        <f t="shared" si="101"/>
        <v>0</v>
      </c>
      <c r="L1294" s="34">
        <f t="shared" si="102"/>
        <v>0</v>
      </c>
      <c r="M1294" s="34">
        <f t="shared" si="100"/>
        <v>0</v>
      </c>
    </row>
    <row r="1295" spans="5:13" x14ac:dyDescent="0.25">
      <c r="E1295" s="32">
        <f t="shared" si="103"/>
        <v>0</v>
      </c>
      <c r="I1295" s="32">
        <f t="shared" si="104"/>
        <v>0</v>
      </c>
      <c r="K1295" s="31">
        <f t="shared" si="101"/>
        <v>0</v>
      </c>
      <c r="L1295" s="34">
        <f t="shared" si="102"/>
        <v>0</v>
      </c>
      <c r="M1295" s="34">
        <f t="shared" si="100"/>
        <v>0</v>
      </c>
    </row>
    <row r="1296" spans="5:13" x14ac:dyDescent="0.25">
      <c r="E1296" s="32">
        <f t="shared" si="103"/>
        <v>0</v>
      </c>
      <c r="I1296" s="32">
        <f t="shared" si="104"/>
        <v>0</v>
      </c>
      <c r="K1296" s="31">
        <f t="shared" si="101"/>
        <v>0</v>
      </c>
      <c r="L1296" s="34">
        <f t="shared" si="102"/>
        <v>0</v>
      </c>
      <c r="M1296" s="34">
        <f t="shared" si="100"/>
        <v>0</v>
      </c>
    </row>
    <row r="1297" spans="5:13" x14ac:dyDescent="0.25">
      <c r="E1297" s="32">
        <f t="shared" si="103"/>
        <v>0</v>
      </c>
      <c r="I1297" s="32">
        <f t="shared" si="104"/>
        <v>0</v>
      </c>
      <c r="K1297" s="31">
        <f t="shared" si="101"/>
        <v>0</v>
      </c>
      <c r="L1297" s="34">
        <f t="shared" si="102"/>
        <v>0</v>
      </c>
      <c r="M1297" s="34">
        <f t="shared" si="100"/>
        <v>0</v>
      </c>
    </row>
    <row r="1298" spans="5:13" x14ac:dyDescent="0.25">
      <c r="E1298" s="32">
        <f t="shared" si="103"/>
        <v>0</v>
      </c>
      <c r="I1298" s="32">
        <f t="shared" si="104"/>
        <v>0</v>
      </c>
      <c r="K1298" s="31">
        <f t="shared" si="101"/>
        <v>0</v>
      </c>
      <c r="L1298" s="34">
        <f t="shared" si="102"/>
        <v>0</v>
      </c>
      <c r="M1298" s="34">
        <f t="shared" si="100"/>
        <v>0</v>
      </c>
    </row>
    <row r="1299" spans="5:13" x14ac:dyDescent="0.25">
      <c r="E1299" s="32">
        <f t="shared" si="103"/>
        <v>0</v>
      </c>
      <c r="I1299" s="32">
        <f t="shared" si="104"/>
        <v>0</v>
      </c>
      <c r="K1299" s="31">
        <f t="shared" si="101"/>
        <v>0</v>
      </c>
      <c r="L1299" s="34">
        <f t="shared" si="102"/>
        <v>0</v>
      </c>
      <c r="M1299" s="34">
        <f t="shared" si="100"/>
        <v>0</v>
      </c>
    </row>
    <row r="1300" spans="5:13" x14ac:dyDescent="0.25">
      <c r="E1300" s="32">
        <f t="shared" si="103"/>
        <v>0</v>
      </c>
      <c r="I1300" s="32">
        <f t="shared" si="104"/>
        <v>0</v>
      </c>
      <c r="K1300" s="31">
        <f t="shared" si="101"/>
        <v>0</v>
      </c>
      <c r="L1300" s="34">
        <f t="shared" si="102"/>
        <v>0</v>
      </c>
      <c r="M1300" s="34">
        <f t="shared" si="100"/>
        <v>0</v>
      </c>
    </row>
    <row r="1301" spans="5:13" x14ac:dyDescent="0.25">
      <c r="E1301" s="32">
        <f t="shared" si="103"/>
        <v>0</v>
      </c>
      <c r="I1301" s="32">
        <f t="shared" si="104"/>
        <v>0</v>
      </c>
      <c r="K1301" s="31">
        <f t="shared" si="101"/>
        <v>0</v>
      </c>
      <c r="L1301" s="34">
        <f t="shared" si="102"/>
        <v>0</v>
      </c>
      <c r="M1301" s="34">
        <f t="shared" si="100"/>
        <v>0</v>
      </c>
    </row>
    <row r="1302" spans="5:13" x14ac:dyDescent="0.25">
      <c r="E1302" s="32">
        <f t="shared" si="103"/>
        <v>0</v>
      </c>
      <c r="I1302" s="32">
        <f t="shared" si="104"/>
        <v>0</v>
      </c>
      <c r="K1302" s="31">
        <f t="shared" si="101"/>
        <v>0</v>
      </c>
      <c r="L1302" s="34">
        <f t="shared" si="102"/>
        <v>0</v>
      </c>
      <c r="M1302" s="34">
        <f t="shared" si="100"/>
        <v>0</v>
      </c>
    </row>
    <row r="1303" spans="5:13" x14ac:dyDescent="0.25">
      <c r="E1303" s="32">
        <f t="shared" si="103"/>
        <v>0</v>
      </c>
      <c r="I1303" s="32">
        <f t="shared" si="104"/>
        <v>0</v>
      </c>
      <c r="K1303" s="31">
        <f t="shared" si="101"/>
        <v>0</v>
      </c>
      <c r="L1303" s="34">
        <f t="shared" si="102"/>
        <v>0</v>
      </c>
      <c r="M1303" s="34">
        <f t="shared" si="100"/>
        <v>0</v>
      </c>
    </row>
    <row r="1304" spans="5:13" x14ac:dyDescent="0.25">
      <c r="E1304" s="32">
        <f t="shared" si="103"/>
        <v>0</v>
      </c>
      <c r="I1304" s="32">
        <f t="shared" si="104"/>
        <v>0</v>
      </c>
      <c r="K1304" s="31">
        <f t="shared" si="101"/>
        <v>0</v>
      </c>
      <c r="L1304" s="34">
        <f t="shared" si="102"/>
        <v>0</v>
      </c>
      <c r="M1304" s="34">
        <f t="shared" si="100"/>
        <v>0</v>
      </c>
    </row>
    <row r="1305" spans="5:13" x14ac:dyDescent="0.25">
      <c r="E1305" s="32">
        <f t="shared" si="103"/>
        <v>0</v>
      </c>
      <c r="I1305" s="32">
        <f t="shared" si="104"/>
        <v>0</v>
      </c>
      <c r="K1305" s="31">
        <f t="shared" si="101"/>
        <v>0</v>
      </c>
      <c r="L1305" s="34">
        <f t="shared" si="102"/>
        <v>0</v>
      </c>
      <c r="M1305" s="34">
        <f t="shared" si="100"/>
        <v>0</v>
      </c>
    </row>
    <row r="1306" spans="5:13" x14ac:dyDescent="0.25">
      <c r="E1306" s="32">
        <f t="shared" si="103"/>
        <v>0</v>
      </c>
      <c r="I1306" s="32">
        <f t="shared" si="104"/>
        <v>0</v>
      </c>
      <c r="K1306" s="31">
        <f t="shared" si="101"/>
        <v>0</v>
      </c>
      <c r="L1306" s="34">
        <f t="shared" si="102"/>
        <v>0</v>
      </c>
      <c r="M1306" s="34">
        <f t="shared" si="100"/>
        <v>0</v>
      </c>
    </row>
    <row r="1307" spans="5:13" x14ac:dyDescent="0.25">
      <c r="E1307" s="32">
        <f t="shared" si="103"/>
        <v>0</v>
      </c>
      <c r="I1307" s="32">
        <f t="shared" si="104"/>
        <v>0</v>
      </c>
      <c r="K1307" s="31">
        <f t="shared" si="101"/>
        <v>0</v>
      </c>
      <c r="L1307" s="34">
        <f t="shared" si="102"/>
        <v>0</v>
      </c>
      <c r="M1307" s="34">
        <f t="shared" si="100"/>
        <v>0</v>
      </c>
    </row>
    <row r="1308" spans="5:13" x14ac:dyDescent="0.25">
      <c r="E1308" s="32">
        <f t="shared" si="103"/>
        <v>0</v>
      </c>
      <c r="I1308" s="32">
        <f t="shared" si="104"/>
        <v>0</v>
      </c>
      <c r="K1308" s="31">
        <f t="shared" si="101"/>
        <v>0</v>
      </c>
      <c r="L1308" s="34">
        <f t="shared" si="102"/>
        <v>0</v>
      </c>
      <c r="M1308" s="34">
        <f t="shared" si="100"/>
        <v>0</v>
      </c>
    </row>
    <row r="1309" spans="5:13" x14ac:dyDescent="0.25">
      <c r="E1309" s="32">
        <f t="shared" si="103"/>
        <v>0</v>
      </c>
      <c r="I1309" s="32">
        <f t="shared" si="104"/>
        <v>0</v>
      </c>
      <c r="K1309" s="31">
        <f t="shared" si="101"/>
        <v>0</v>
      </c>
      <c r="L1309" s="34">
        <f t="shared" si="102"/>
        <v>0</v>
      </c>
      <c r="M1309" s="34">
        <f t="shared" si="100"/>
        <v>0</v>
      </c>
    </row>
    <row r="1310" spans="5:13" x14ac:dyDescent="0.25">
      <c r="E1310" s="32">
        <f t="shared" si="103"/>
        <v>0</v>
      </c>
      <c r="I1310" s="32">
        <f t="shared" si="104"/>
        <v>0</v>
      </c>
      <c r="K1310" s="31">
        <f t="shared" si="101"/>
        <v>0</v>
      </c>
      <c r="L1310" s="34">
        <f t="shared" si="102"/>
        <v>0</v>
      </c>
      <c r="M1310" s="34">
        <f t="shared" si="100"/>
        <v>0</v>
      </c>
    </row>
    <row r="1311" spans="5:13" x14ac:dyDescent="0.25">
      <c r="E1311" s="32">
        <f t="shared" si="103"/>
        <v>0</v>
      </c>
      <c r="I1311" s="32">
        <f t="shared" si="104"/>
        <v>0</v>
      </c>
      <c r="K1311" s="31">
        <f t="shared" si="101"/>
        <v>0</v>
      </c>
      <c r="L1311" s="34">
        <f t="shared" si="102"/>
        <v>0</v>
      </c>
      <c r="M1311" s="34">
        <f t="shared" si="100"/>
        <v>0</v>
      </c>
    </row>
    <row r="1312" spans="5:13" x14ac:dyDescent="0.25">
      <c r="E1312" s="32">
        <f t="shared" si="103"/>
        <v>0</v>
      </c>
      <c r="I1312" s="32">
        <f t="shared" si="104"/>
        <v>0</v>
      </c>
      <c r="K1312" s="31">
        <f t="shared" si="101"/>
        <v>0</v>
      </c>
      <c r="L1312" s="34">
        <f t="shared" si="102"/>
        <v>0</v>
      </c>
      <c r="M1312" s="34">
        <f t="shared" si="100"/>
        <v>0</v>
      </c>
    </row>
    <row r="1313" spans="5:13" x14ac:dyDescent="0.25">
      <c r="E1313" s="32">
        <f t="shared" si="103"/>
        <v>0</v>
      </c>
      <c r="I1313" s="32">
        <f t="shared" si="104"/>
        <v>0</v>
      </c>
      <c r="K1313" s="31">
        <f t="shared" si="101"/>
        <v>0</v>
      </c>
      <c r="L1313" s="34">
        <f t="shared" si="102"/>
        <v>0</v>
      </c>
      <c r="M1313" s="34">
        <f t="shared" si="100"/>
        <v>0</v>
      </c>
    </row>
    <row r="1314" spans="5:13" x14ac:dyDescent="0.25">
      <c r="E1314" s="32">
        <f t="shared" si="103"/>
        <v>0</v>
      </c>
      <c r="I1314" s="32">
        <f t="shared" si="104"/>
        <v>0</v>
      </c>
      <c r="K1314" s="31">
        <f t="shared" si="101"/>
        <v>0</v>
      </c>
      <c r="L1314" s="34">
        <f t="shared" si="102"/>
        <v>0</v>
      </c>
      <c r="M1314" s="34">
        <f t="shared" si="100"/>
        <v>0</v>
      </c>
    </row>
    <row r="1315" spans="5:13" x14ac:dyDescent="0.25">
      <c r="E1315" s="32">
        <f t="shared" si="103"/>
        <v>0</v>
      </c>
      <c r="I1315" s="32">
        <f t="shared" si="104"/>
        <v>0</v>
      </c>
      <c r="K1315" s="31">
        <f t="shared" si="101"/>
        <v>0</v>
      </c>
      <c r="L1315" s="34">
        <f t="shared" si="102"/>
        <v>0</v>
      </c>
      <c r="M1315" s="34">
        <f t="shared" si="100"/>
        <v>0</v>
      </c>
    </row>
    <row r="1316" spans="5:13" x14ac:dyDescent="0.25">
      <c r="E1316" s="32">
        <f t="shared" si="103"/>
        <v>0</v>
      </c>
      <c r="I1316" s="32">
        <f t="shared" si="104"/>
        <v>0</v>
      </c>
      <c r="K1316" s="31">
        <f t="shared" si="101"/>
        <v>0</v>
      </c>
      <c r="L1316" s="34">
        <f t="shared" si="102"/>
        <v>0</v>
      </c>
      <c r="M1316" s="34">
        <f t="shared" si="100"/>
        <v>0</v>
      </c>
    </row>
    <row r="1317" spans="5:13" x14ac:dyDescent="0.25">
      <c r="E1317" s="32">
        <f t="shared" si="103"/>
        <v>0</v>
      </c>
      <c r="I1317" s="32">
        <f t="shared" si="104"/>
        <v>0</v>
      </c>
      <c r="K1317" s="31">
        <f t="shared" si="101"/>
        <v>0</v>
      </c>
      <c r="L1317" s="34">
        <f t="shared" si="102"/>
        <v>0</v>
      </c>
      <c r="M1317" s="34">
        <f t="shared" si="100"/>
        <v>0</v>
      </c>
    </row>
    <row r="1318" spans="5:13" x14ac:dyDescent="0.25">
      <c r="E1318" s="32">
        <f t="shared" si="103"/>
        <v>0</v>
      </c>
      <c r="I1318" s="32">
        <f t="shared" si="104"/>
        <v>0</v>
      </c>
      <c r="K1318" s="31">
        <f t="shared" si="101"/>
        <v>0</v>
      </c>
      <c r="L1318" s="34">
        <f t="shared" si="102"/>
        <v>0</v>
      </c>
      <c r="M1318" s="34">
        <f t="shared" si="100"/>
        <v>0</v>
      </c>
    </row>
    <row r="1319" spans="5:13" x14ac:dyDescent="0.25">
      <c r="E1319" s="32">
        <f t="shared" si="103"/>
        <v>0</v>
      </c>
      <c r="I1319" s="32">
        <f t="shared" si="104"/>
        <v>0</v>
      </c>
      <c r="K1319" s="31">
        <f t="shared" si="101"/>
        <v>0</v>
      </c>
      <c r="L1319" s="34">
        <f t="shared" si="102"/>
        <v>0</v>
      </c>
      <c r="M1319" s="34">
        <f t="shared" si="100"/>
        <v>0</v>
      </c>
    </row>
    <row r="1320" spans="5:13" x14ac:dyDescent="0.25">
      <c r="E1320" s="32">
        <f t="shared" si="103"/>
        <v>0</v>
      </c>
      <c r="I1320" s="32">
        <f t="shared" si="104"/>
        <v>0</v>
      </c>
      <c r="K1320" s="31">
        <f t="shared" si="101"/>
        <v>0</v>
      </c>
      <c r="L1320" s="34">
        <f t="shared" si="102"/>
        <v>0</v>
      </c>
      <c r="M1320" s="34">
        <f t="shared" si="100"/>
        <v>0</v>
      </c>
    </row>
    <row r="1321" spans="5:13" x14ac:dyDescent="0.25">
      <c r="E1321" s="32">
        <f t="shared" si="103"/>
        <v>0</v>
      </c>
      <c r="I1321" s="32">
        <f t="shared" si="104"/>
        <v>0</v>
      </c>
      <c r="K1321" s="31">
        <f t="shared" si="101"/>
        <v>0</v>
      </c>
      <c r="L1321" s="34">
        <f t="shared" si="102"/>
        <v>0</v>
      </c>
      <c r="M1321" s="34">
        <f t="shared" si="100"/>
        <v>0</v>
      </c>
    </row>
    <row r="1322" spans="5:13" x14ac:dyDescent="0.25">
      <c r="E1322" s="32">
        <f t="shared" si="103"/>
        <v>0</v>
      </c>
      <c r="I1322" s="32">
        <f t="shared" si="104"/>
        <v>0</v>
      </c>
      <c r="K1322" s="31">
        <f t="shared" si="101"/>
        <v>0</v>
      </c>
      <c r="L1322" s="34">
        <f t="shared" si="102"/>
        <v>0</v>
      </c>
      <c r="M1322" s="34">
        <f t="shared" si="100"/>
        <v>0</v>
      </c>
    </row>
    <row r="1323" spans="5:13" x14ac:dyDescent="0.25">
      <c r="E1323" s="32">
        <f t="shared" si="103"/>
        <v>0</v>
      </c>
      <c r="I1323" s="32">
        <f t="shared" si="104"/>
        <v>0</v>
      </c>
      <c r="K1323" s="31">
        <f t="shared" si="101"/>
        <v>0</v>
      </c>
      <c r="L1323" s="34">
        <f t="shared" si="102"/>
        <v>0</v>
      </c>
      <c r="M1323" s="34">
        <f t="shared" si="100"/>
        <v>0</v>
      </c>
    </row>
    <row r="1324" spans="5:13" x14ac:dyDescent="0.25">
      <c r="E1324" s="32">
        <f t="shared" si="103"/>
        <v>0</v>
      </c>
      <c r="I1324" s="32">
        <f t="shared" si="104"/>
        <v>0</v>
      </c>
      <c r="K1324" s="31">
        <f t="shared" si="101"/>
        <v>0</v>
      </c>
      <c r="L1324" s="34">
        <f t="shared" si="102"/>
        <v>0</v>
      </c>
      <c r="M1324" s="34">
        <f t="shared" si="100"/>
        <v>0</v>
      </c>
    </row>
    <row r="1325" spans="5:13" x14ac:dyDescent="0.25">
      <c r="E1325" s="32">
        <f t="shared" si="103"/>
        <v>0</v>
      </c>
      <c r="I1325" s="32">
        <f t="shared" si="104"/>
        <v>0</v>
      </c>
      <c r="K1325" s="31">
        <f t="shared" si="101"/>
        <v>0</v>
      </c>
      <c r="L1325" s="34">
        <f t="shared" si="102"/>
        <v>0</v>
      </c>
      <c r="M1325" s="34">
        <f t="shared" si="100"/>
        <v>0</v>
      </c>
    </row>
    <row r="1326" spans="5:13" x14ac:dyDescent="0.25">
      <c r="E1326" s="32">
        <f t="shared" si="103"/>
        <v>0</v>
      </c>
      <c r="I1326" s="32">
        <f t="shared" si="104"/>
        <v>0</v>
      </c>
      <c r="K1326" s="31">
        <f t="shared" si="101"/>
        <v>0</v>
      </c>
      <c r="L1326" s="34">
        <f t="shared" si="102"/>
        <v>0</v>
      </c>
      <c r="M1326" s="34">
        <f t="shared" si="100"/>
        <v>0</v>
      </c>
    </row>
    <row r="1327" spans="5:13" x14ac:dyDescent="0.25">
      <c r="E1327" s="32">
        <f t="shared" si="103"/>
        <v>0</v>
      </c>
      <c r="I1327" s="32">
        <f t="shared" si="104"/>
        <v>0</v>
      </c>
      <c r="K1327" s="31">
        <f t="shared" si="101"/>
        <v>0</v>
      </c>
      <c r="L1327" s="34">
        <f t="shared" si="102"/>
        <v>0</v>
      </c>
      <c r="M1327" s="34">
        <f t="shared" si="100"/>
        <v>0</v>
      </c>
    </row>
    <row r="1328" spans="5:13" x14ac:dyDescent="0.25">
      <c r="E1328" s="32">
        <f t="shared" si="103"/>
        <v>0</v>
      </c>
      <c r="I1328" s="32">
        <f t="shared" si="104"/>
        <v>0</v>
      </c>
      <c r="K1328" s="31">
        <f t="shared" si="101"/>
        <v>0</v>
      </c>
      <c r="L1328" s="34">
        <f t="shared" si="102"/>
        <v>0</v>
      </c>
      <c r="M1328" s="34">
        <f t="shared" si="100"/>
        <v>0</v>
      </c>
    </row>
    <row r="1329" spans="5:13" x14ac:dyDescent="0.25">
      <c r="E1329" s="32">
        <f t="shared" si="103"/>
        <v>0</v>
      </c>
      <c r="I1329" s="32">
        <f t="shared" si="104"/>
        <v>0</v>
      </c>
      <c r="K1329" s="31">
        <f t="shared" si="101"/>
        <v>0</v>
      </c>
      <c r="L1329" s="34">
        <f t="shared" si="102"/>
        <v>0</v>
      </c>
      <c r="M1329" s="34">
        <f t="shared" si="100"/>
        <v>0</v>
      </c>
    </row>
    <row r="1330" spans="5:13" x14ac:dyDescent="0.25">
      <c r="E1330" s="32">
        <f t="shared" si="103"/>
        <v>0</v>
      </c>
      <c r="I1330" s="32">
        <f t="shared" si="104"/>
        <v>0</v>
      </c>
      <c r="K1330" s="31">
        <f t="shared" si="101"/>
        <v>0</v>
      </c>
      <c r="L1330" s="34">
        <f t="shared" si="102"/>
        <v>0</v>
      </c>
      <c r="M1330" s="34">
        <f t="shared" si="100"/>
        <v>0</v>
      </c>
    </row>
    <row r="1331" spans="5:13" x14ac:dyDescent="0.25">
      <c r="E1331" s="32">
        <f t="shared" si="103"/>
        <v>0</v>
      </c>
      <c r="I1331" s="32">
        <f t="shared" si="104"/>
        <v>0</v>
      </c>
      <c r="K1331" s="31">
        <f t="shared" si="101"/>
        <v>0</v>
      </c>
      <c r="L1331" s="34">
        <f t="shared" si="102"/>
        <v>0</v>
      </c>
      <c r="M1331" s="34">
        <f t="shared" si="100"/>
        <v>0</v>
      </c>
    </row>
    <row r="1332" spans="5:13" x14ac:dyDescent="0.25">
      <c r="E1332" s="32">
        <f t="shared" si="103"/>
        <v>0</v>
      </c>
      <c r="I1332" s="32">
        <f t="shared" si="104"/>
        <v>0</v>
      </c>
      <c r="K1332" s="31">
        <f t="shared" si="101"/>
        <v>0</v>
      </c>
      <c r="L1332" s="34">
        <f t="shared" si="102"/>
        <v>0</v>
      </c>
      <c r="M1332" s="34">
        <f t="shared" si="100"/>
        <v>0</v>
      </c>
    </row>
    <row r="1333" spans="5:13" x14ac:dyDescent="0.25">
      <c r="E1333" s="32">
        <f t="shared" si="103"/>
        <v>0</v>
      </c>
      <c r="I1333" s="32">
        <f t="shared" si="104"/>
        <v>0</v>
      </c>
      <c r="K1333" s="31">
        <f t="shared" si="101"/>
        <v>0</v>
      </c>
      <c r="L1333" s="34">
        <f t="shared" si="102"/>
        <v>0</v>
      </c>
      <c r="M1333" s="34">
        <f t="shared" si="100"/>
        <v>0</v>
      </c>
    </row>
    <row r="1334" spans="5:13" x14ac:dyDescent="0.25">
      <c r="E1334" s="32">
        <f t="shared" si="103"/>
        <v>0</v>
      </c>
      <c r="I1334" s="32">
        <f t="shared" si="104"/>
        <v>0</v>
      </c>
      <c r="K1334" s="31">
        <f t="shared" si="101"/>
        <v>0</v>
      </c>
      <c r="L1334" s="34">
        <f t="shared" si="102"/>
        <v>0</v>
      </c>
      <c r="M1334" s="34">
        <f t="shared" si="100"/>
        <v>0</v>
      </c>
    </row>
    <row r="1335" spans="5:13" x14ac:dyDescent="0.25">
      <c r="E1335" s="32">
        <f t="shared" si="103"/>
        <v>0</v>
      </c>
      <c r="I1335" s="32">
        <f t="shared" si="104"/>
        <v>0</v>
      </c>
      <c r="K1335" s="31">
        <f t="shared" si="101"/>
        <v>0</v>
      </c>
      <c r="L1335" s="34">
        <f t="shared" si="102"/>
        <v>0</v>
      </c>
      <c r="M1335" s="34">
        <f t="shared" si="100"/>
        <v>0</v>
      </c>
    </row>
    <row r="1336" spans="5:13" x14ac:dyDescent="0.25">
      <c r="E1336" s="32">
        <f t="shared" si="103"/>
        <v>0</v>
      </c>
      <c r="I1336" s="32">
        <f t="shared" si="104"/>
        <v>0</v>
      </c>
      <c r="K1336" s="31">
        <f t="shared" si="101"/>
        <v>0</v>
      </c>
      <c r="L1336" s="34">
        <f t="shared" si="102"/>
        <v>0</v>
      </c>
      <c r="M1336" s="34">
        <f t="shared" si="100"/>
        <v>0</v>
      </c>
    </row>
    <row r="1337" spans="5:13" x14ac:dyDescent="0.25">
      <c r="E1337" s="32">
        <f t="shared" si="103"/>
        <v>0</v>
      </c>
      <c r="I1337" s="32">
        <f t="shared" si="104"/>
        <v>0</v>
      </c>
      <c r="K1337" s="31">
        <f t="shared" si="101"/>
        <v>0</v>
      </c>
      <c r="L1337" s="34">
        <f t="shared" si="102"/>
        <v>0</v>
      </c>
      <c r="M1337" s="34">
        <f t="shared" si="100"/>
        <v>0</v>
      </c>
    </row>
    <row r="1338" spans="5:13" x14ac:dyDescent="0.25">
      <c r="E1338" s="32">
        <f t="shared" si="103"/>
        <v>0</v>
      </c>
      <c r="I1338" s="32">
        <f t="shared" si="104"/>
        <v>0</v>
      </c>
      <c r="K1338" s="31">
        <f t="shared" si="101"/>
        <v>0</v>
      </c>
      <c r="L1338" s="34">
        <f t="shared" si="102"/>
        <v>0</v>
      </c>
      <c r="M1338" s="34">
        <f t="shared" si="100"/>
        <v>0</v>
      </c>
    </row>
    <row r="1339" spans="5:13" x14ac:dyDescent="0.25">
      <c r="E1339" s="32">
        <f t="shared" si="103"/>
        <v>0</v>
      </c>
      <c r="I1339" s="32">
        <f t="shared" si="104"/>
        <v>0</v>
      </c>
      <c r="K1339" s="31">
        <f t="shared" si="101"/>
        <v>0</v>
      </c>
      <c r="L1339" s="34">
        <f t="shared" si="102"/>
        <v>0</v>
      </c>
      <c r="M1339" s="34">
        <f t="shared" si="100"/>
        <v>0</v>
      </c>
    </row>
    <row r="1340" spans="5:13" x14ac:dyDescent="0.25">
      <c r="E1340" s="32">
        <f t="shared" si="103"/>
        <v>0</v>
      </c>
      <c r="I1340" s="32">
        <f t="shared" si="104"/>
        <v>0</v>
      </c>
      <c r="K1340" s="31">
        <f t="shared" si="101"/>
        <v>0</v>
      </c>
      <c r="L1340" s="34">
        <f t="shared" si="102"/>
        <v>0</v>
      </c>
      <c r="M1340" s="34">
        <f t="shared" si="100"/>
        <v>0</v>
      </c>
    </row>
    <row r="1341" spans="5:13" x14ac:dyDescent="0.25">
      <c r="E1341" s="32">
        <f t="shared" si="103"/>
        <v>0</v>
      </c>
      <c r="I1341" s="32">
        <f t="shared" si="104"/>
        <v>0</v>
      </c>
      <c r="K1341" s="31">
        <f t="shared" si="101"/>
        <v>0</v>
      </c>
      <c r="L1341" s="34">
        <f t="shared" si="102"/>
        <v>0</v>
      </c>
      <c r="M1341" s="34">
        <f t="shared" si="100"/>
        <v>0</v>
      </c>
    </row>
    <row r="1342" spans="5:13" x14ac:dyDescent="0.25">
      <c r="E1342" s="32">
        <f t="shared" si="103"/>
        <v>0</v>
      </c>
      <c r="I1342" s="32">
        <f t="shared" si="104"/>
        <v>0</v>
      </c>
      <c r="K1342" s="31">
        <f t="shared" si="101"/>
        <v>0</v>
      </c>
      <c r="L1342" s="34">
        <f t="shared" si="102"/>
        <v>0</v>
      </c>
      <c r="M1342" s="34">
        <f t="shared" si="100"/>
        <v>0</v>
      </c>
    </row>
    <row r="1343" spans="5:13" x14ac:dyDescent="0.25">
      <c r="E1343" s="32">
        <f t="shared" si="103"/>
        <v>0</v>
      </c>
      <c r="I1343" s="32">
        <f t="shared" si="104"/>
        <v>0</v>
      </c>
      <c r="K1343" s="31">
        <f t="shared" si="101"/>
        <v>0</v>
      </c>
      <c r="L1343" s="34">
        <f t="shared" si="102"/>
        <v>0</v>
      </c>
      <c r="M1343" s="34">
        <f t="shared" si="100"/>
        <v>0</v>
      </c>
    </row>
    <row r="1344" spans="5:13" x14ac:dyDescent="0.25">
      <c r="E1344" s="32">
        <f t="shared" si="103"/>
        <v>0</v>
      </c>
      <c r="I1344" s="32">
        <f t="shared" si="104"/>
        <v>0</v>
      </c>
      <c r="K1344" s="31">
        <f t="shared" si="101"/>
        <v>0</v>
      </c>
      <c r="L1344" s="34">
        <f t="shared" si="102"/>
        <v>0</v>
      </c>
      <c r="M1344" s="34">
        <f t="shared" si="100"/>
        <v>0</v>
      </c>
    </row>
    <row r="1345" spans="5:13" x14ac:dyDescent="0.25">
      <c r="E1345" s="32">
        <f t="shared" si="103"/>
        <v>0</v>
      </c>
      <c r="I1345" s="32">
        <f t="shared" si="104"/>
        <v>0</v>
      </c>
      <c r="K1345" s="31">
        <f t="shared" si="101"/>
        <v>0</v>
      </c>
      <c r="L1345" s="34">
        <f t="shared" si="102"/>
        <v>0</v>
      </c>
      <c r="M1345" s="34">
        <f t="shared" si="100"/>
        <v>0</v>
      </c>
    </row>
    <row r="1346" spans="5:13" x14ac:dyDescent="0.25">
      <c r="E1346" s="32">
        <f t="shared" si="103"/>
        <v>0</v>
      </c>
      <c r="I1346" s="32">
        <f t="shared" si="104"/>
        <v>0</v>
      </c>
      <c r="K1346" s="31">
        <f t="shared" si="101"/>
        <v>0</v>
      </c>
      <c r="L1346" s="34">
        <f t="shared" si="102"/>
        <v>0</v>
      </c>
      <c r="M1346" s="34">
        <f t="shared" si="100"/>
        <v>0</v>
      </c>
    </row>
    <row r="1347" spans="5:13" x14ac:dyDescent="0.25">
      <c r="E1347" s="32">
        <f t="shared" si="103"/>
        <v>0</v>
      </c>
      <c r="I1347" s="32">
        <f t="shared" si="104"/>
        <v>0</v>
      </c>
      <c r="K1347" s="31">
        <f t="shared" si="101"/>
        <v>0</v>
      </c>
      <c r="L1347" s="34">
        <f t="shared" si="102"/>
        <v>0</v>
      </c>
      <c r="M1347" s="34">
        <f t="shared" si="100"/>
        <v>0</v>
      </c>
    </row>
    <row r="1348" spans="5:13" x14ac:dyDescent="0.25">
      <c r="E1348" s="32">
        <f t="shared" si="103"/>
        <v>0</v>
      </c>
      <c r="I1348" s="32">
        <f t="shared" si="104"/>
        <v>0</v>
      </c>
      <c r="K1348" s="31">
        <f t="shared" si="101"/>
        <v>0</v>
      </c>
      <c r="L1348" s="34">
        <f t="shared" si="102"/>
        <v>0</v>
      </c>
      <c r="M1348" s="34">
        <f t="shared" ref="M1348:M1411" si="105">(L1348/27)*4</f>
        <v>0</v>
      </c>
    </row>
    <row r="1349" spans="5:13" x14ac:dyDescent="0.25">
      <c r="E1349" s="32">
        <f t="shared" si="103"/>
        <v>0</v>
      </c>
      <c r="I1349" s="32">
        <f t="shared" si="104"/>
        <v>0</v>
      </c>
      <c r="K1349" s="31">
        <f t="shared" ref="K1349:K1412" si="106">B1349/30</f>
        <v>0</v>
      </c>
      <c r="L1349" s="34">
        <f t="shared" ref="L1349:L1412" si="107">IF(J1349="S",((I1349*24)*K1349)*2,((I1349*24)*K1349)*1.5)</f>
        <v>0</v>
      </c>
      <c r="M1349" s="34">
        <f t="shared" si="105"/>
        <v>0</v>
      </c>
    </row>
    <row r="1350" spans="5:13" x14ac:dyDescent="0.25">
      <c r="E1350" s="32">
        <f t="shared" ref="E1350:E1413" si="108">D1350-C1350</f>
        <v>0</v>
      </c>
      <c r="I1350" s="32">
        <f t="shared" ref="I1350:I1413" si="109">H1350-G1350</f>
        <v>0</v>
      </c>
      <c r="K1350" s="31">
        <f t="shared" si="106"/>
        <v>0</v>
      </c>
      <c r="L1350" s="34">
        <f t="shared" si="107"/>
        <v>0</v>
      </c>
      <c r="M1350" s="34">
        <f t="shared" si="105"/>
        <v>0</v>
      </c>
    </row>
    <row r="1351" spans="5:13" x14ac:dyDescent="0.25">
      <c r="E1351" s="32">
        <f t="shared" si="108"/>
        <v>0</v>
      </c>
      <c r="I1351" s="32">
        <f t="shared" si="109"/>
        <v>0</v>
      </c>
      <c r="K1351" s="31">
        <f t="shared" si="106"/>
        <v>0</v>
      </c>
      <c r="L1351" s="34">
        <f t="shared" si="107"/>
        <v>0</v>
      </c>
      <c r="M1351" s="34">
        <f t="shared" si="105"/>
        <v>0</v>
      </c>
    </row>
    <row r="1352" spans="5:13" x14ac:dyDescent="0.25">
      <c r="E1352" s="32">
        <f t="shared" si="108"/>
        <v>0</v>
      </c>
      <c r="I1352" s="32">
        <f t="shared" si="109"/>
        <v>0</v>
      </c>
      <c r="K1352" s="31">
        <f t="shared" si="106"/>
        <v>0</v>
      </c>
      <c r="L1352" s="34">
        <f t="shared" si="107"/>
        <v>0</v>
      </c>
      <c r="M1352" s="34">
        <f t="shared" si="105"/>
        <v>0</v>
      </c>
    </row>
    <row r="1353" spans="5:13" x14ac:dyDescent="0.25">
      <c r="E1353" s="32">
        <f t="shared" si="108"/>
        <v>0</v>
      </c>
      <c r="I1353" s="32">
        <f t="shared" si="109"/>
        <v>0</v>
      </c>
      <c r="K1353" s="31">
        <f t="shared" si="106"/>
        <v>0</v>
      </c>
      <c r="L1353" s="34">
        <f t="shared" si="107"/>
        <v>0</v>
      </c>
      <c r="M1353" s="34">
        <f t="shared" si="105"/>
        <v>0</v>
      </c>
    </row>
    <row r="1354" spans="5:13" x14ac:dyDescent="0.25">
      <c r="E1354" s="32">
        <f t="shared" si="108"/>
        <v>0</v>
      </c>
      <c r="I1354" s="32">
        <f t="shared" si="109"/>
        <v>0</v>
      </c>
      <c r="K1354" s="31">
        <f t="shared" si="106"/>
        <v>0</v>
      </c>
      <c r="L1354" s="34">
        <f t="shared" si="107"/>
        <v>0</v>
      </c>
      <c r="M1354" s="34">
        <f t="shared" si="105"/>
        <v>0</v>
      </c>
    </row>
    <row r="1355" spans="5:13" x14ac:dyDescent="0.25">
      <c r="E1355" s="32">
        <f t="shared" si="108"/>
        <v>0</v>
      </c>
      <c r="I1355" s="32">
        <f t="shared" si="109"/>
        <v>0</v>
      </c>
      <c r="K1355" s="31">
        <f t="shared" si="106"/>
        <v>0</v>
      </c>
      <c r="L1355" s="34">
        <f t="shared" si="107"/>
        <v>0</v>
      </c>
      <c r="M1355" s="34">
        <f t="shared" si="105"/>
        <v>0</v>
      </c>
    </row>
    <row r="1356" spans="5:13" x14ac:dyDescent="0.25">
      <c r="E1356" s="32">
        <f t="shared" si="108"/>
        <v>0</v>
      </c>
      <c r="I1356" s="32">
        <f t="shared" si="109"/>
        <v>0</v>
      </c>
      <c r="K1356" s="31">
        <f t="shared" si="106"/>
        <v>0</v>
      </c>
      <c r="L1356" s="34">
        <f t="shared" si="107"/>
        <v>0</v>
      </c>
      <c r="M1356" s="34">
        <f t="shared" si="105"/>
        <v>0</v>
      </c>
    </row>
    <row r="1357" spans="5:13" x14ac:dyDescent="0.25">
      <c r="E1357" s="32">
        <f t="shared" si="108"/>
        <v>0</v>
      </c>
      <c r="I1357" s="32">
        <f t="shared" si="109"/>
        <v>0</v>
      </c>
      <c r="K1357" s="31">
        <f t="shared" si="106"/>
        <v>0</v>
      </c>
      <c r="L1357" s="34">
        <f t="shared" si="107"/>
        <v>0</v>
      </c>
      <c r="M1357" s="34">
        <f t="shared" si="105"/>
        <v>0</v>
      </c>
    </row>
    <row r="1358" spans="5:13" x14ac:dyDescent="0.25">
      <c r="E1358" s="32">
        <f t="shared" si="108"/>
        <v>0</v>
      </c>
      <c r="I1358" s="32">
        <f t="shared" si="109"/>
        <v>0</v>
      </c>
      <c r="K1358" s="31">
        <f t="shared" si="106"/>
        <v>0</v>
      </c>
      <c r="L1358" s="34">
        <f t="shared" si="107"/>
        <v>0</v>
      </c>
      <c r="M1358" s="34">
        <f t="shared" si="105"/>
        <v>0</v>
      </c>
    </row>
    <row r="1359" spans="5:13" x14ac:dyDescent="0.25">
      <c r="E1359" s="32">
        <f t="shared" si="108"/>
        <v>0</v>
      </c>
      <c r="I1359" s="32">
        <f t="shared" si="109"/>
        <v>0</v>
      </c>
      <c r="K1359" s="31">
        <f t="shared" si="106"/>
        <v>0</v>
      </c>
      <c r="L1359" s="34">
        <f t="shared" si="107"/>
        <v>0</v>
      </c>
      <c r="M1359" s="34">
        <f t="shared" si="105"/>
        <v>0</v>
      </c>
    </row>
    <row r="1360" spans="5:13" x14ac:dyDescent="0.25">
      <c r="E1360" s="32">
        <f t="shared" si="108"/>
        <v>0</v>
      </c>
      <c r="I1360" s="32">
        <f t="shared" si="109"/>
        <v>0</v>
      </c>
      <c r="K1360" s="31">
        <f t="shared" si="106"/>
        <v>0</v>
      </c>
      <c r="L1360" s="34">
        <f t="shared" si="107"/>
        <v>0</v>
      </c>
      <c r="M1360" s="34">
        <f t="shared" si="105"/>
        <v>0</v>
      </c>
    </row>
    <row r="1361" spans="5:13" x14ac:dyDescent="0.25">
      <c r="E1361" s="32">
        <f t="shared" si="108"/>
        <v>0</v>
      </c>
      <c r="I1361" s="32">
        <f t="shared" si="109"/>
        <v>0</v>
      </c>
      <c r="K1361" s="31">
        <f t="shared" si="106"/>
        <v>0</v>
      </c>
      <c r="L1361" s="34">
        <f t="shared" si="107"/>
        <v>0</v>
      </c>
      <c r="M1361" s="34">
        <f t="shared" si="105"/>
        <v>0</v>
      </c>
    </row>
    <row r="1362" spans="5:13" x14ac:dyDescent="0.25">
      <c r="E1362" s="32">
        <f t="shared" si="108"/>
        <v>0</v>
      </c>
      <c r="I1362" s="32">
        <f t="shared" si="109"/>
        <v>0</v>
      </c>
      <c r="K1362" s="31">
        <f t="shared" si="106"/>
        <v>0</v>
      </c>
      <c r="L1362" s="34">
        <f t="shared" si="107"/>
        <v>0</v>
      </c>
      <c r="M1362" s="34">
        <f t="shared" si="105"/>
        <v>0</v>
      </c>
    </row>
    <row r="1363" spans="5:13" x14ac:dyDescent="0.25">
      <c r="E1363" s="32">
        <f t="shared" si="108"/>
        <v>0</v>
      </c>
      <c r="I1363" s="32">
        <f t="shared" si="109"/>
        <v>0</v>
      </c>
      <c r="K1363" s="31">
        <f t="shared" si="106"/>
        <v>0</v>
      </c>
      <c r="L1363" s="34">
        <f t="shared" si="107"/>
        <v>0</v>
      </c>
      <c r="M1363" s="34">
        <f t="shared" si="105"/>
        <v>0</v>
      </c>
    </row>
    <row r="1364" spans="5:13" x14ac:dyDescent="0.25">
      <c r="E1364" s="32">
        <f t="shared" si="108"/>
        <v>0</v>
      </c>
      <c r="I1364" s="32">
        <f t="shared" si="109"/>
        <v>0</v>
      </c>
      <c r="K1364" s="31">
        <f t="shared" si="106"/>
        <v>0</v>
      </c>
      <c r="L1364" s="34">
        <f t="shared" si="107"/>
        <v>0</v>
      </c>
      <c r="M1364" s="34">
        <f t="shared" si="105"/>
        <v>0</v>
      </c>
    </row>
    <row r="1365" spans="5:13" x14ac:dyDescent="0.25">
      <c r="E1365" s="32">
        <f t="shared" si="108"/>
        <v>0</v>
      </c>
      <c r="I1365" s="32">
        <f t="shared" si="109"/>
        <v>0</v>
      </c>
      <c r="K1365" s="31">
        <f t="shared" si="106"/>
        <v>0</v>
      </c>
      <c r="L1365" s="34">
        <f t="shared" si="107"/>
        <v>0</v>
      </c>
      <c r="M1365" s="34">
        <f t="shared" si="105"/>
        <v>0</v>
      </c>
    </row>
    <row r="1366" spans="5:13" x14ac:dyDescent="0.25">
      <c r="E1366" s="32">
        <f t="shared" si="108"/>
        <v>0</v>
      </c>
      <c r="I1366" s="32">
        <f t="shared" si="109"/>
        <v>0</v>
      </c>
      <c r="K1366" s="31">
        <f t="shared" si="106"/>
        <v>0</v>
      </c>
      <c r="L1366" s="34">
        <f t="shared" si="107"/>
        <v>0</v>
      </c>
      <c r="M1366" s="34">
        <f t="shared" si="105"/>
        <v>0</v>
      </c>
    </row>
    <row r="1367" spans="5:13" x14ac:dyDescent="0.25">
      <c r="E1367" s="32">
        <f t="shared" si="108"/>
        <v>0</v>
      </c>
      <c r="I1367" s="32">
        <f t="shared" si="109"/>
        <v>0</v>
      </c>
      <c r="K1367" s="31">
        <f t="shared" si="106"/>
        <v>0</v>
      </c>
      <c r="L1367" s="34">
        <f t="shared" si="107"/>
        <v>0</v>
      </c>
      <c r="M1367" s="34">
        <f t="shared" si="105"/>
        <v>0</v>
      </c>
    </row>
    <row r="1368" spans="5:13" x14ac:dyDescent="0.25">
      <c r="E1368" s="32">
        <f t="shared" si="108"/>
        <v>0</v>
      </c>
      <c r="I1368" s="32">
        <f t="shared" si="109"/>
        <v>0</v>
      </c>
      <c r="K1368" s="31">
        <f t="shared" si="106"/>
        <v>0</v>
      </c>
      <c r="L1368" s="34">
        <f t="shared" si="107"/>
        <v>0</v>
      </c>
      <c r="M1368" s="34">
        <f t="shared" si="105"/>
        <v>0</v>
      </c>
    </row>
    <row r="1369" spans="5:13" x14ac:dyDescent="0.25">
      <c r="E1369" s="32">
        <f t="shared" si="108"/>
        <v>0</v>
      </c>
      <c r="I1369" s="32">
        <f t="shared" si="109"/>
        <v>0</v>
      </c>
      <c r="K1369" s="31">
        <f t="shared" si="106"/>
        <v>0</v>
      </c>
      <c r="L1369" s="34">
        <f t="shared" si="107"/>
        <v>0</v>
      </c>
      <c r="M1369" s="34">
        <f t="shared" si="105"/>
        <v>0</v>
      </c>
    </row>
    <row r="1370" spans="5:13" x14ac:dyDescent="0.25">
      <c r="E1370" s="32">
        <f t="shared" si="108"/>
        <v>0</v>
      </c>
      <c r="I1370" s="32">
        <f t="shared" si="109"/>
        <v>0</v>
      </c>
      <c r="K1370" s="31">
        <f t="shared" si="106"/>
        <v>0</v>
      </c>
      <c r="L1370" s="34">
        <f t="shared" si="107"/>
        <v>0</v>
      </c>
      <c r="M1370" s="34">
        <f t="shared" si="105"/>
        <v>0</v>
      </c>
    </row>
    <row r="1371" spans="5:13" x14ac:dyDescent="0.25">
      <c r="E1371" s="32">
        <f t="shared" si="108"/>
        <v>0</v>
      </c>
      <c r="I1371" s="32">
        <f t="shared" si="109"/>
        <v>0</v>
      </c>
      <c r="K1371" s="31">
        <f t="shared" si="106"/>
        <v>0</v>
      </c>
      <c r="L1371" s="34">
        <f t="shared" si="107"/>
        <v>0</v>
      </c>
      <c r="M1371" s="34">
        <f t="shared" si="105"/>
        <v>0</v>
      </c>
    </row>
    <row r="1372" spans="5:13" x14ac:dyDescent="0.25">
      <c r="E1372" s="32">
        <f t="shared" si="108"/>
        <v>0</v>
      </c>
      <c r="I1372" s="32">
        <f t="shared" si="109"/>
        <v>0</v>
      </c>
      <c r="K1372" s="31">
        <f t="shared" si="106"/>
        <v>0</v>
      </c>
      <c r="L1372" s="34">
        <f t="shared" si="107"/>
        <v>0</v>
      </c>
      <c r="M1372" s="34">
        <f t="shared" si="105"/>
        <v>0</v>
      </c>
    </row>
    <row r="1373" spans="5:13" x14ac:dyDescent="0.25">
      <c r="E1373" s="32">
        <f t="shared" si="108"/>
        <v>0</v>
      </c>
      <c r="I1373" s="32">
        <f t="shared" si="109"/>
        <v>0</v>
      </c>
      <c r="K1373" s="31">
        <f t="shared" si="106"/>
        <v>0</v>
      </c>
      <c r="L1373" s="34">
        <f t="shared" si="107"/>
        <v>0</v>
      </c>
      <c r="M1373" s="34">
        <f t="shared" si="105"/>
        <v>0</v>
      </c>
    </row>
    <row r="1374" spans="5:13" x14ac:dyDescent="0.25">
      <c r="E1374" s="32">
        <f t="shared" si="108"/>
        <v>0</v>
      </c>
      <c r="I1374" s="32">
        <f t="shared" si="109"/>
        <v>0</v>
      </c>
      <c r="K1374" s="31">
        <f t="shared" si="106"/>
        <v>0</v>
      </c>
      <c r="L1374" s="34">
        <f t="shared" si="107"/>
        <v>0</v>
      </c>
      <c r="M1374" s="34">
        <f t="shared" si="105"/>
        <v>0</v>
      </c>
    </row>
    <row r="1375" spans="5:13" x14ac:dyDescent="0.25">
      <c r="E1375" s="32">
        <f t="shared" si="108"/>
        <v>0</v>
      </c>
      <c r="I1375" s="32">
        <f t="shared" si="109"/>
        <v>0</v>
      </c>
      <c r="K1375" s="31">
        <f t="shared" si="106"/>
        <v>0</v>
      </c>
      <c r="L1375" s="34">
        <f t="shared" si="107"/>
        <v>0</v>
      </c>
      <c r="M1375" s="34">
        <f t="shared" si="105"/>
        <v>0</v>
      </c>
    </row>
    <row r="1376" spans="5:13" x14ac:dyDescent="0.25">
      <c r="E1376" s="32">
        <f t="shared" si="108"/>
        <v>0</v>
      </c>
      <c r="I1376" s="32">
        <f t="shared" si="109"/>
        <v>0</v>
      </c>
      <c r="K1376" s="31">
        <f t="shared" si="106"/>
        <v>0</v>
      </c>
      <c r="L1376" s="34">
        <f t="shared" si="107"/>
        <v>0</v>
      </c>
      <c r="M1376" s="34">
        <f t="shared" si="105"/>
        <v>0</v>
      </c>
    </row>
    <row r="1377" spans="5:13" x14ac:dyDescent="0.25">
      <c r="E1377" s="32">
        <f t="shared" si="108"/>
        <v>0</v>
      </c>
      <c r="I1377" s="32">
        <f t="shared" si="109"/>
        <v>0</v>
      </c>
      <c r="K1377" s="31">
        <f t="shared" si="106"/>
        <v>0</v>
      </c>
      <c r="L1377" s="34">
        <f t="shared" si="107"/>
        <v>0</v>
      </c>
      <c r="M1377" s="34">
        <f t="shared" si="105"/>
        <v>0</v>
      </c>
    </row>
    <row r="1378" spans="5:13" x14ac:dyDescent="0.25">
      <c r="E1378" s="32">
        <f t="shared" si="108"/>
        <v>0</v>
      </c>
      <c r="I1378" s="32">
        <f t="shared" si="109"/>
        <v>0</v>
      </c>
      <c r="K1378" s="31">
        <f t="shared" si="106"/>
        <v>0</v>
      </c>
      <c r="L1378" s="34">
        <f t="shared" si="107"/>
        <v>0</v>
      </c>
      <c r="M1378" s="34">
        <f t="shared" si="105"/>
        <v>0</v>
      </c>
    </row>
    <row r="1379" spans="5:13" x14ac:dyDescent="0.25">
      <c r="E1379" s="32">
        <f t="shared" si="108"/>
        <v>0</v>
      </c>
      <c r="I1379" s="32">
        <f t="shared" si="109"/>
        <v>0</v>
      </c>
      <c r="K1379" s="31">
        <f t="shared" si="106"/>
        <v>0</v>
      </c>
      <c r="L1379" s="34">
        <f t="shared" si="107"/>
        <v>0</v>
      </c>
      <c r="M1379" s="34">
        <f t="shared" si="105"/>
        <v>0</v>
      </c>
    </row>
    <row r="1380" spans="5:13" x14ac:dyDescent="0.25">
      <c r="E1380" s="32">
        <f t="shared" si="108"/>
        <v>0</v>
      </c>
      <c r="I1380" s="32">
        <f t="shared" si="109"/>
        <v>0</v>
      </c>
      <c r="K1380" s="31">
        <f t="shared" si="106"/>
        <v>0</v>
      </c>
      <c r="L1380" s="34">
        <f t="shared" si="107"/>
        <v>0</v>
      </c>
      <c r="M1380" s="34">
        <f t="shared" si="105"/>
        <v>0</v>
      </c>
    </row>
    <row r="1381" spans="5:13" x14ac:dyDescent="0.25">
      <c r="E1381" s="32">
        <f t="shared" si="108"/>
        <v>0</v>
      </c>
      <c r="I1381" s="32">
        <f t="shared" si="109"/>
        <v>0</v>
      </c>
      <c r="K1381" s="31">
        <f t="shared" si="106"/>
        <v>0</v>
      </c>
      <c r="L1381" s="34">
        <f t="shared" si="107"/>
        <v>0</v>
      </c>
      <c r="M1381" s="34">
        <f t="shared" si="105"/>
        <v>0</v>
      </c>
    </row>
    <row r="1382" spans="5:13" x14ac:dyDescent="0.25">
      <c r="E1382" s="32">
        <f t="shared" si="108"/>
        <v>0</v>
      </c>
      <c r="I1382" s="32">
        <f t="shared" si="109"/>
        <v>0</v>
      </c>
      <c r="K1382" s="31">
        <f t="shared" si="106"/>
        <v>0</v>
      </c>
      <c r="L1382" s="34">
        <f t="shared" si="107"/>
        <v>0</v>
      </c>
      <c r="M1382" s="34">
        <f t="shared" si="105"/>
        <v>0</v>
      </c>
    </row>
    <row r="1383" spans="5:13" x14ac:dyDescent="0.25">
      <c r="E1383" s="32">
        <f t="shared" si="108"/>
        <v>0</v>
      </c>
      <c r="I1383" s="32">
        <f t="shared" si="109"/>
        <v>0</v>
      </c>
      <c r="K1383" s="31">
        <f t="shared" si="106"/>
        <v>0</v>
      </c>
      <c r="L1383" s="34">
        <f t="shared" si="107"/>
        <v>0</v>
      </c>
      <c r="M1383" s="34">
        <f t="shared" si="105"/>
        <v>0</v>
      </c>
    </row>
    <row r="1384" spans="5:13" x14ac:dyDescent="0.25">
      <c r="E1384" s="32">
        <f t="shared" si="108"/>
        <v>0</v>
      </c>
      <c r="I1384" s="32">
        <f t="shared" si="109"/>
        <v>0</v>
      </c>
      <c r="K1384" s="31">
        <f t="shared" si="106"/>
        <v>0</v>
      </c>
      <c r="L1384" s="34">
        <f t="shared" si="107"/>
        <v>0</v>
      </c>
      <c r="M1384" s="34">
        <f t="shared" si="105"/>
        <v>0</v>
      </c>
    </row>
    <row r="1385" spans="5:13" x14ac:dyDescent="0.25">
      <c r="E1385" s="32">
        <f t="shared" si="108"/>
        <v>0</v>
      </c>
      <c r="I1385" s="32">
        <f t="shared" si="109"/>
        <v>0</v>
      </c>
      <c r="K1385" s="31">
        <f t="shared" si="106"/>
        <v>0</v>
      </c>
      <c r="L1385" s="34">
        <f t="shared" si="107"/>
        <v>0</v>
      </c>
      <c r="M1385" s="34">
        <f t="shared" si="105"/>
        <v>0</v>
      </c>
    </row>
    <row r="1386" spans="5:13" x14ac:dyDescent="0.25">
      <c r="E1386" s="32">
        <f t="shared" si="108"/>
        <v>0</v>
      </c>
      <c r="I1386" s="32">
        <f t="shared" si="109"/>
        <v>0</v>
      </c>
      <c r="K1386" s="31">
        <f t="shared" si="106"/>
        <v>0</v>
      </c>
      <c r="L1386" s="34">
        <f t="shared" si="107"/>
        <v>0</v>
      </c>
      <c r="M1386" s="34">
        <f t="shared" si="105"/>
        <v>0</v>
      </c>
    </row>
    <row r="1387" spans="5:13" x14ac:dyDescent="0.25">
      <c r="E1387" s="32">
        <f t="shared" si="108"/>
        <v>0</v>
      </c>
      <c r="I1387" s="32">
        <f t="shared" si="109"/>
        <v>0</v>
      </c>
      <c r="K1387" s="31">
        <f t="shared" si="106"/>
        <v>0</v>
      </c>
      <c r="L1387" s="34">
        <f t="shared" si="107"/>
        <v>0</v>
      </c>
      <c r="M1387" s="34">
        <f t="shared" si="105"/>
        <v>0</v>
      </c>
    </row>
    <row r="1388" spans="5:13" x14ac:dyDescent="0.25">
      <c r="E1388" s="32">
        <f t="shared" si="108"/>
        <v>0</v>
      </c>
      <c r="I1388" s="32">
        <f t="shared" si="109"/>
        <v>0</v>
      </c>
      <c r="K1388" s="31">
        <f t="shared" si="106"/>
        <v>0</v>
      </c>
      <c r="L1388" s="34">
        <f t="shared" si="107"/>
        <v>0</v>
      </c>
      <c r="M1388" s="34">
        <f t="shared" si="105"/>
        <v>0</v>
      </c>
    </row>
    <row r="1389" spans="5:13" x14ac:dyDescent="0.25">
      <c r="E1389" s="32">
        <f t="shared" si="108"/>
        <v>0</v>
      </c>
      <c r="I1389" s="32">
        <f t="shared" si="109"/>
        <v>0</v>
      </c>
      <c r="K1389" s="31">
        <f t="shared" si="106"/>
        <v>0</v>
      </c>
      <c r="L1389" s="34">
        <f t="shared" si="107"/>
        <v>0</v>
      </c>
      <c r="M1389" s="34">
        <f t="shared" si="105"/>
        <v>0</v>
      </c>
    </row>
    <row r="1390" spans="5:13" x14ac:dyDescent="0.25">
      <c r="E1390" s="32">
        <f t="shared" si="108"/>
        <v>0</v>
      </c>
      <c r="I1390" s="32">
        <f t="shared" si="109"/>
        <v>0</v>
      </c>
      <c r="K1390" s="31">
        <f t="shared" si="106"/>
        <v>0</v>
      </c>
      <c r="L1390" s="34">
        <f t="shared" si="107"/>
        <v>0</v>
      </c>
      <c r="M1390" s="34">
        <f t="shared" si="105"/>
        <v>0</v>
      </c>
    </row>
    <row r="1391" spans="5:13" x14ac:dyDescent="0.25">
      <c r="E1391" s="32">
        <f t="shared" si="108"/>
        <v>0</v>
      </c>
      <c r="I1391" s="32">
        <f t="shared" si="109"/>
        <v>0</v>
      </c>
      <c r="K1391" s="31">
        <f t="shared" si="106"/>
        <v>0</v>
      </c>
      <c r="L1391" s="34">
        <f t="shared" si="107"/>
        <v>0</v>
      </c>
      <c r="M1391" s="34">
        <f t="shared" si="105"/>
        <v>0</v>
      </c>
    </row>
    <row r="1392" spans="5:13" x14ac:dyDescent="0.25">
      <c r="E1392" s="32">
        <f t="shared" si="108"/>
        <v>0</v>
      </c>
      <c r="I1392" s="32">
        <f t="shared" si="109"/>
        <v>0</v>
      </c>
      <c r="K1392" s="31">
        <f t="shared" si="106"/>
        <v>0</v>
      </c>
      <c r="L1392" s="34">
        <f t="shared" si="107"/>
        <v>0</v>
      </c>
      <c r="M1392" s="34">
        <f t="shared" si="105"/>
        <v>0</v>
      </c>
    </row>
    <row r="1393" spans="5:13" x14ac:dyDescent="0.25">
      <c r="E1393" s="32">
        <f t="shared" si="108"/>
        <v>0</v>
      </c>
      <c r="I1393" s="32">
        <f t="shared" si="109"/>
        <v>0</v>
      </c>
      <c r="K1393" s="31">
        <f t="shared" si="106"/>
        <v>0</v>
      </c>
      <c r="L1393" s="34">
        <f t="shared" si="107"/>
        <v>0</v>
      </c>
      <c r="M1393" s="34">
        <f t="shared" si="105"/>
        <v>0</v>
      </c>
    </row>
    <row r="1394" spans="5:13" x14ac:dyDescent="0.25">
      <c r="E1394" s="32">
        <f t="shared" si="108"/>
        <v>0</v>
      </c>
      <c r="I1394" s="32">
        <f t="shared" si="109"/>
        <v>0</v>
      </c>
      <c r="K1394" s="31">
        <f t="shared" si="106"/>
        <v>0</v>
      </c>
      <c r="L1394" s="34">
        <f t="shared" si="107"/>
        <v>0</v>
      </c>
      <c r="M1394" s="34">
        <f t="shared" si="105"/>
        <v>0</v>
      </c>
    </row>
    <row r="1395" spans="5:13" x14ac:dyDescent="0.25">
      <c r="E1395" s="32">
        <f t="shared" si="108"/>
        <v>0</v>
      </c>
      <c r="I1395" s="32">
        <f t="shared" si="109"/>
        <v>0</v>
      </c>
      <c r="K1395" s="31">
        <f t="shared" si="106"/>
        <v>0</v>
      </c>
      <c r="L1395" s="34">
        <f t="shared" si="107"/>
        <v>0</v>
      </c>
      <c r="M1395" s="34">
        <f t="shared" si="105"/>
        <v>0</v>
      </c>
    </row>
    <row r="1396" spans="5:13" x14ac:dyDescent="0.25">
      <c r="E1396" s="32">
        <f t="shared" si="108"/>
        <v>0</v>
      </c>
      <c r="I1396" s="32">
        <f t="shared" si="109"/>
        <v>0</v>
      </c>
      <c r="K1396" s="31">
        <f t="shared" si="106"/>
        <v>0</v>
      </c>
      <c r="L1396" s="34">
        <f t="shared" si="107"/>
        <v>0</v>
      </c>
      <c r="M1396" s="34">
        <f t="shared" si="105"/>
        <v>0</v>
      </c>
    </row>
    <row r="1397" spans="5:13" x14ac:dyDescent="0.25">
      <c r="E1397" s="32">
        <f t="shared" si="108"/>
        <v>0</v>
      </c>
      <c r="I1397" s="32">
        <f t="shared" si="109"/>
        <v>0</v>
      </c>
      <c r="K1397" s="31">
        <f t="shared" si="106"/>
        <v>0</v>
      </c>
      <c r="L1397" s="34">
        <f t="shared" si="107"/>
        <v>0</v>
      </c>
      <c r="M1397" s="34">
        <f t="shared" si="105"/>
        <v>0</v>
      </c>
    </row>
    <row r="1398" spans="5:13" x14ac:dyDescent="0.25">
      <c r="E1398" s="32">
        <f t="shared" si="108"/>
        <v>0</v>
      </c>
      <c r="I1398" s="32">
        <f t="shared" si="109"/>
        <v>0</v>
      </c>
      <c r="K1398" s="31">
        <f t="shared" si="106"/>
        <v>0</v>
      </c>
      <c r="L1398" s="34">
        <f t="shared" si="107"/>
        <v>0</v>
      </c>
      <c r="M1398" s="34">
        <f t="shared" si="105"/>
        <v>0</v>
      </c>
    </row>
    <row r="1399" spans="5:13" x14ac:dyDescent="0.25">
      <c r="E1399" s="32">
        <f t="shared" si="108"/>
        <v>0</v>
      </c>
      <c r="I1399" s="32">
        <f t="shared" si="109"/>
        <v>0</v>
      </c>
      <c r="K1399" s="31">
        <f t="shared" si="106"/>
        <v>0</v>
      </c>
      <c r="L1399" s="34">
        <f t="shared" si="107"/>
        <v>0</v>
      </c>
      <c r="M1399" s="34">
        <f t="shared" si="105"/>
        <v>0</v>
      </c>
    </row>
    <row r="1400" spans="5:13" x14ac:dyDescent="0.25">
      <c r="E1400" s="32">
        <f t="shared" si="108"/>
        <v>0</v>
      </c>
      <c r="I1400" s="32">
        <f t="shared" si="109"/>
        <v>0</v>
      </c>
      <c r="K1400" s="31">
        <f t="shared" si="106"/>
        <v>0</v>
      </c>
      <c r="L1400" s="34">
        <f t="shared" si="107"/>
        <v>0</v>
      </c>
      <c r="M1400" s="34">
        <f t="shared" si="105"/>
        <v>0</v>
      </c>
    </row>
    <row r="1401" spans="5:13" x14ac:dyDescent="0.25">
      <c r="E1401" s="32">
        <f t="shared" si="108"/>
        <v>0</v>
      </c>
      <c r="I1401" s="32">
        <f t="shared" si="109"/>
        <v>0</v>
      </c>
      <c r="K1401" s="31">
        <f t="shared" si="106"/>
        <v>0</v>
      </c>
      <c r="L1401" s="34">
        <f t="shared" si="107"/>
        <v>0</v>
      </c>
      <c r="M1401" s="34">
        <f t="shared" si="105"/>
        <v>0</v>
      </c>
    </row>
    <row r="1402" spans="5:13" x14ac:dyDescent="0.25">
      <c r="E1402" s="32">
        <f t="shared" si="108"/>
        <v>0</v>
      </c>
      <c r="I1402" s="32">
        <f t="shared" si="109"/>
        <v>0</v>
      </c>
      <c r="K1402" s="31">
        <f t="shared" si="106"/>
        <v>0</v>
      </c>
      <c r="L1402" s="34">
        <f t="shared" si="107"/>
        <v>0</v>
      </c>
      <c r="M1402" s="34">
        <f t="shared" si="105"/>
        <v>0</v>
      </c>
    </row>
    <row r="1403" spans="5:13" x14ac:dyDescent="0.25">
      <c r="E1403" s="32">
        <f t="shared" si="108"/>
        <v>0</v>
      </c>
      <c r="I1403" s="32">
        <f t="shared" si="109"/>
        <v>0</v>
      </c>
      <c r="K1403" s="31">
        <f t="shared" si="106"/>
        <v>0</v>
      </c>
      <c r="L1403" s="34">
        <f t="shared" si="107"/>
        <v>0</v>
      </c>
      <c r="M1403" s="34">
        <f t="shared" si="105"/>
        <v>0</v>
      </c>
    </row>
    <row r="1404" spans="5:13" x14ac:dyDescent="0.25">
      <c r="E1404" s="32">
        <f t="shared" si="108"/>
        <v>0</v>
      </c>
      <c r="I1404" s="32">
        <f t="shared" si="109"/>
        <v>0</v>
      </c>
      <c r="K1404" s="31">
        <f t="shared" si="106"/>
        <v>0</v>
      </c>
      <c r="L1404" s="34">
        <f t="shared" si="107"/>
        <v>0</v>
      </c>
      <c r="M1404" s="34">
        <f t="shared" si="105"/>
        <v>0</v>
      </c>
    </row>
    <row r="1405" spans="5:13" x14ac:dyDescent="0.25">
      <c r="E1405" s="32">
        <f t="shared" si="108"/>
        <v>0</v>
      </c>
      <c r="I1405" s="32">
        <f t="shared" si="109"/>
        <v>0</v>
      </c>
      <c r="K1405" s="31">
        <f t="shared" si="106"/>
        <v>0</v>
      </c>
      <c r="L1405" s="34">
        <f t="shared" si="107"/>
        <v>0</v>
      </c>
      <c r="M1405" s="34">
        <f t="shared" si="105"/>
        <v>0</v>
      </c>
    </row>
    <row r="1406" spans="5:13" x14ac:dyDescent="0.25">
      <c r="E1406" s="32">
        <f t="shared" si="108"/>
        <v>0</v>
      </c>
      <c r="I1406" s="32">
        <f t="shared" si="109"/>
        <v>0</v>
      </c>
      <c r="K1406" s="31">
        <f t="shared" si="106"/>
        <v>0</v>
      </c>
      <c r="L1406" s="34">
        <f t="shared" si="107"/>
        <v>0</v>
      </c>
      <c r="M1406" s="34">
        <f t="shared" si="105"/>
        <v>0</v>
      </c>
    </row>
    <row r="1407" spans="5:13" x14ac:dyDescent="0.25">
      <c r="E1407" s="32">
        <f t="shared" si="108"/>
        <v>0</v>
      </c>
      <c r="I1407" s="32">
        <f t="shared" si="109"/>
        <v>0</v>
      </c>
      <c r="K1407" s="31">
        <f t="shared" si="106"/>
        <v>0</v>
      </c>
      <c r="L1407" s="34">
        <f t="shared" si="107"/>
        <v>0</v>
      </c>
      <c r="M1407" s="34">
        <f t="shared" si="105"/>
        <v>0</v>
      </c>
    </row>
    <row r="1408" spans="5:13" x14ac:dyDescent="0.25">
      <c r="E1408" s="32">
        <f t="shared" si="108"/>
        <v>0</v>
      </c>
      <c r="I1408" s="32">
        <f t="shared" si="109"/>
        <v>0</v>
      </c>
      <c r="K1408" s="31">
        <f t="shared" si="106"/>
        <v>0</v>
      </c>
      <c r="L1408" s="34">
        <f t="shared" si="107"/>
        <v>0</v>
      </c>
      <c r="M1408" s="34">
        <f t="shared" si="105"/>
        <v>0</v>
      </c>
    </row>
    <row r="1409" spans="5:13" x14ac:dyDescent="0.25">
      <c r="E1409" s="32">
        <f t="shared" si="108"/>
        <v>0</v>
      </c>
      <c r="I1409" s="32">
        <f t="shared" si="109"/>
        <v>0</v>
      </c>
      <c r="K1409" s="31">
        <f t="shared" si="106"/>
        <v>0</v>
      </c>
      <c r="L1409" s="34">
        <f t="shared" si="107"/>
        <v>0</v>
      </c>
      <c r="M1409" s="34">
        <f t="shared" si="105"/>
        <v>0</v>
      </c>
    </row>
    <row r="1410" spans="5:13" x14ac:dyDescent="0.25">
      <c r="E1410" s="32">
        <f t="shared" si="108"/>
        <v>0</v>
      </c>
      <c r="I1410" s="32">
        <f t="shared" si="109"/>
        <v>0</v>
      </c>
      <c r="K1410" s="31">
        <f t="shared" si="106"/>
        <v>0</v>
      </c>
      <c r="L1410" s="34">
        <f t="shared" si="107"/>
        <v>0</v>
      </c>
      <c r="M1410" s="34">
        <f t="shared" si="105"/>
        <v>0</v>
      </c>
    </row>
    <row r="1411" spans="5:13" x14ac:dyDescent="0.25">
      <c r="E1411" s="32">
        <f t="shared" si="108"/>
        <v>0</v>
      </c>
      <c r="I1411" s="32">
        <f t="shared" si="109"/>
        <v>0</v>
      </c>
      <c r="K1411" s="31">
        <f t="shared" si="106"/>
        <v>0</v>
      </c>
      <c r="L1411" s="34">
        <f t="shared" si="107"/>
        <v>0</v>
      </c>
      <c r="M1411" s="34">
        <f t="shared" si="105"/>
        <v>0</v>
      </c>
    </row>
    <row r="1412" spans="5:13" x14ac:dyDescent="0.25">
      <c r="E1412" s="32">
        <f t="shared" si="108"/>
        <v>0</v>
      </c>
      <c r="I1412" s="32">
        <f t="shared" si="109"/>
        <v>0</v>
      </c>
      <c r="K1412" s="31">
        <f t="shared" si="106"/>
        <v>0</v>
      </c>
      <c r="L1412" s="34">
        <f t="shared" si="107"/>
        <v>0</v>
      </c>
      <c r="M1412" s="34">
        <f t="shared" ref="M1412:M1475" si="110">(L1412/27)*4</f>
        <v>0</v>
      </c>
    </row>
    <row r="1413" spans="5:13" x14ac:dyDescent="0.25">
      <c r="E1413" s="32">
        <f t="shared" si="108"/>
        <v>0</v>
      </c>
      <c r="I1413" s="32">
        <f t="shared" si="109"/>
        <v>0</v>
      </c>
      <c r="K1413" s="31">
        <f t="shared" ref="K1413:K1476" si="111">B1413/30</f>
        <v>0</v>
      </c>
      <c r="L1413" s="34">
        <f t="shared" ref="L1413:L1476" si="112">IF(J1413="S",((I1413*24)*K1413)*2,((I1413*24)*K1413)*1.5)</f>
        <v>0</v>
      </c>
      <c r="M1413" s="34">
        <f t="shared" si="110"/>
        <v>0</v>
      </c>
    </row>
    <row r="1414" spans="5:13" x14ac:dyDescent="0.25">
      <c r="E1414" s="32">
        <f t="shared" ref="E1414:E1477" si="113">D1414-C1414</f>
        <v>0</v>
      </c>
      <c r="I1414" s="32">
        <f t="shared" ref="I1414:I1477" si="114">H1414-G1414</f>
        <v>0</v>
      </c>
      <c r="K1414" s="31">
        <f t="shared" si="111"/>
        <v>0</v>
      </c>
      <c r="L1414" s="34">
        <f t="shared" si="112"/>
        <v>0</v>
      </c>
      <c r="M1414" s="34">
        <f t="shared" si="110"/>
        <v>0</v>
      </c>
    </row>
    <row r="1415" spans="5:13" x14ac:dyDescent="0.25">
      <c r="E1415" s="32">
        <f t="shared" si="113"/>
        <v>0</v>
      </c>
      <c r="I1415" s="32">
        <f t="shared" si="114"/>
        <v>0</v>
      </c>
      <c r="K1415" s="31">
        <f t="shared" si="111"/>
        <v>0</v>
      </c>
      <c r="L1415" s="34">
        <f t="shared" si="112"/>
        <v>0</v>
      </c>
      <c r="M1415" s="34">
        <f t="shared" si="110"/>
        <v>0</v>
      </c>
    </row>
    <row r="1416" spans="5:13" x14ac:dyDescent="0.25">
      <c r="E1416" s="32">
        <f t="shared" si="113"/>
        <v>0</v>
      </c>
      <c r="I1416" s="32">
        <f t="shared" si="114"/>
        <v>0</v>
      </c>
      <c r="K1416" s="31">
        <f t="shared" si="111"/>
        <v>0</v>
      </c>
      <c r="L1416" s="34">
        <f t="shared" si="112"/>
        <v>0</v>
      </c>
      <c r="M1416" s="34">
        <f t="shared" si="110"/>
        <v>0</v>
      </c>
    </row>
    <row r="1417" spans="5:13" x14ac:dyDescent="0.25">
      <c r="E1417" s="32">
        <f t="shared" si="113"/>
        <v>0</v>
      </c>
      <c r="I1417" s="32">
        <f t="shared" si="114"/>
        <v>0</v>
      </c>
      <c r="K1417" s="31">
        <f t="shared" si="111"/>
        <v>0</v>
      </c>
      <c r="L1417" s="34">
        <f t="shared" si="112"/>
        <v>0</v>
      </c>
      <c r="M1417" s="34">
        <f t="shared" si="110"/>
        <v>0</v>
      </c>
    </row>
    <row r="1418" spans="5:13" x14ac:dyDescent="0.25">
      <c r="E1418" s="32">
        <f t="shared" si="113"/>
        <v>0</v>
      </c>
      <c r="I1418" s="32">
        <f t="shared" si="114"/>
        <v>0</v>
      </c>
      <c r="K1418" s="31">
        <f t="shared" si="111"/>
        <v>0</v>
      </c>
      <c r="L1418" s="34">
        <f t="shared" si="112"/>
        <v>0</v>
      </c>
      <c r="M1418" s="34">
        <f t="shared" si="110"/>
        <v>0</v>
      </c>
    </row>
    <row r="1419" spans="5:13" x14ac:dyDescent="0.25">
      <c r="E1419" s="32">
        <f t="shared" si="113"/>
        <v>0</v>
      </c>
      <c r="I1419" s="32">
        <f t="shared" si="114"/>
        <v>0</v>
      </c>
      <c r="K1419" s="31">
        <f t="shared" si="111"/>
        <v>0</v>
      </c>
      <c r="L1419" s="34">
        <f t="shared" si="112"/>
        <v>0</v>
      </c>
      <c r="M1419" s="34">
        <f t="shared" si="110"/>
        <v>0</v>
      </c>
    </row>
    <row r="1420" spans="5:13" x14ac:dyDescent="0.25">
      <c r="E1420" s="32">
        <f t="shared" si="113"/>
        <v>0</v>
      </c>
      <c r="I1420" s="32">
        <f t="shared" si="114"/>
        <v>0</v>
      </c>
      <c r="K1420" s="31">
        <f t="shared" si="111"/>
        <v>0</v>
      </c>
      <c r="L1420" s="34">
        <f t="shared" si="112"/>
        <v>0</v>
      </c>
      <c r="M1420" s="34">
        <f t="shared" si="110"/>
        <v>0</v>
      </c>
    </row>
    <row r="1421" spans="5:13" x14ac:dyDescent="0.25">
      <c r="E1421" s="32">
        <f t="shared" si="113"/>
        <v>0</v>
      </c>
      <c r="I1421" s="32">
        <f t="shared" si="114"/>
        <v>0</v>
      </c>
      <c r="K1421" s="31">
        <f t="shared" si="111"/>
        <v>0</v>
      </c>
      <c r="L1421" s="34">
        <f t="shared" si="112"/>
        <v>0</v>
      </c>
      <c r="M1421" s="34">
        <f t="shared" si="110"/>
        <v>0</v>
      </c>
    </row>
    <row r="1422" spans="5:13" x14ac:dyDescent="0.25">
      <c r="E1422" s="32">
        <f t="shared" si="113"/>
        <v>0</v>
      </c>
      <c r="I1422" s="32">
        <f t="shared" si="114"/>
        <v>0</v>
      </c>
      <c r="K1422" s="31">
        <f t="shared" si="111"/>
        <v>0</v>
      </c>
      <c r="L1422" s="34">
        <f t="shared" si="112"/>
        <v>0</v>
      </c>
      <c r="M1422" s="34">
        <f t="shared" si="110"/>
        <v>0</v>
      </c>
    </row>
    <row r="1423" spans="5:13" x14ac:dyDescent="0.25">
      <c r="E1423" s="32">
        <f t="shared" si="113"/>
        <v>0</v>
      </c>
      <c r="I1423" s="32">
        <f t="shared" si="114"/>
        <v>0</v>
      </c>
      <c r="K1423" s="31">
        <f t="shared" si="111"/>
        <v>0</v>
      </c>
      <c r="L1423" s="34">
        <f t="shared" si="112"/>
        <v>0</v>
      </c>
      <c r="M1423" s="34">
        <f t="shared" si="110"/>
        <v>0</v>
      </c>
    </row>
    <row r="1424" spans="5:13" x14ac:dyDescent="0.25">
      <c r="E1424" s="32">
        <f t="shared" si="113"/>
        <v>0</v>
      </c>
      <c r="I1424" s="32">
        <f t="shared" si="114"/>
        <v>0</v>
      </c>
      <c r="K1424" s="31">
        <f t="shared" si="111"/>
        <v>0</v>
      </c>
      <c r="L1424" s="34">
        <f t="shared" si="112"/>
        <v>0</v>
      </c>
      <c r="M1424" s="34">
        <f t="shared" si="110"/>
        <v>0</v>
      </c>
    </row>
    <row r="1425" spans="5:13" x14ac:dyDescent="0.25">
      <c r="E1425" s="32">
        <f t="shared" si="113"/>
        <v>0</v>
      </c>
      <c r="I1425" s="32">
        <f t="shared" si="114"/>
        <v>0</v>
      </c>
      <c r="K1425" s="31">
        <f t="shared" si="111"/>
        <v>0</v>
      </c>
      <c r="L1425" s="34">
        <f t="shared" si="112"/>
        <v>0</v>
      </c>
      <c r="M1425" s="34">
        <f t="shared" si="110"/>
        <v>0</v>
      </c>
    </row>
    <row r="1426" spans="5:13" x14ac:dyDescent="0.25">
      <c r="E1426" s="32">
        <f t="shared" si="113"/>
        <v>0</v>
      </c>
      <c r="I1426" s="32">
        <f t="shared" si="114"/>
        <v>0</v>
      </c>
      <c r="K1426" s="31">
        <f t="shared" si="111"/>
        <v>0</v>
      </c>
      <c r="L1426" s="34">
        <f t="shared" si="112"/>
        <v>0</v>
      </c>
      <c r="M1426" s="34">
        <f t="shared" si="110"/>
        <v>0</v>
      </c>
    </row>
    <row r="1427" spans="5:13" x14ac:dyDescent="0.25">
      <c r="E1427" s="32">
        <f t="shared" si="113"/>
        <v>0</v>
      </c>
      <c r="I1427" s="32">
        <f t="shared" si="114"/>
        <v>0</v>
      </c>
      <c r="K1427" s="31">
        <f t="shared" si="111"/>
        <v>0</v>
      </c>
      <c r="L1427" s="34">
        <f t="shared" si="112"/>
        <v>0</v>
      </c>
      <c r="M1427" s="34">
        <f t="shared" si="110"/>
        <v>0</v>
      </c>
    </row>
    <row r="1428" spans="5:13" x14ac:dyDescent="0.25">
      <c r="E1428" s="32">
        <f t="shared" si="113"/>
        <v>0</v>
      </c>
      <c r="I1428" s="32">
        <f t="shared" si="114"/>
        <v>0</v>
      </c>
      <c r="K1428" s="31">
        <f t="shared" si="111"/>
        <v>0</v>
      </c>
      <c r="L1428" s="34">
        <f t="shared" si="112"/>
        <v>0</v>
      </c>
      <c r="M1428" s="34">
        <f t="shared" si="110"/>
        <v>0</v>
      </c>
    </row>
    <row r="1429" spans="5:13" x14ac:dyDescent="0.25">
      <c r="E1429" s="32">
        <f t="shared" si="113"/>
        <v>0</v>
      </c>
      <c r="I1429" s="32">
        <f t="shared" si="114"/>
        <v>0</v>
      </c>
      <c r="K1429" s="31">
        <f t="shared" si="111"/>
        <v>0</v>
      </c>
      <c r="L1429" s="34">
        <f t="shared" si="112"/>
        <v>0</v>
      </c>
      <c r="M1429" s="34">
        <f t="shared" si="110"/>
        <v>0</v>
      </c>
    </row>
    <row r="1430" spans="5:13" x14ac:dyDescent="0.25">
      <c r="E1430" s="32">
        <f t="shared" si="113"/>
        <v>0</v>
      </c>
      <c r="I1430" s="32">
        <f t="shared" si="114"/>
        <v>0</v>
      </c>
      <c r="K1430" s="31">
        <f t="shared" si="111"/>
        <v>0</v>
      </c>
      <c r="L1430" s="34">
        <f t="shared" si="112"/>
        <v>0</v>
      </c>
      <c r="M1430" s="34">
        <f t="shared" si="110"/>
        <v>0</v>
      </c>
    </row>
    <row r="1431" spans="5:13" x14ac:dyDescent="0.25">
      <c r="E1431" s="32">
        <f t="shared" si="113"/>
        <v>0</v>
      </c>
      <c r="I1431" s="32">
        <f t="shared" si="114"/>
        <v>0</v>
      </c>
      <c r="K1431" s="31">
        <f t="shared" si="111"/>
        <v>0</v>
      </c>
      <c r="L1431" s="34">
        <f t="shared" si="112"/>
        <v>0</v>
      </c>
      <c r="M1431" s="34">
        <f t="shared" si="110"/>
        <v>0</v>
      </c>
    </row>
    <row r="1432" spans="5:13" x14ac:dyDescent="0.25">
      <c r="E1432" s="32">
        <f t="shared" si="113"/>
        <v>0</v>
      </c>
      <c r="I1432" s="32">
        <f t="shared" si="114"/>
        <v>0</v>
      </c>
      <c r="K1432" s="31">
        <f t="shared" si="111"/>
        <v>0</v>
      </c>
      <c r="L1432" s="34">
        <f t="shared" si="112"/>
        <v>0</v>
      </c>
      <c r="M1432" s="34">
        <f t="shared" si="110"/>
        <v>0</v>
      </c>
    </row>
    <row r="1433" spans="5:13" x14ac:dyDescent="0.25">
      <c r="E1433" s="32">
        <f t="shared" si="113"/>
        <v>0</v>
      </c>
      <c r="I1433" s="32">
        <f t="shared" si="114"/>
        <v>0</v>
      </c>
      <c r="K1433" s="31">
        <f t="shared" si="111"/>
        <v>0</v>
      </c>
      <c r="L1433" s="34">
        <f t="shared" si="112"/>
        <v>0</v>
      </c>
      <c r="M1433" s="34">
        <f t="shared" si="110"/>
        <v>0</v>
      </c>
    </row>
    <row r="1434" spans="5:13" x14ac:dyDescent="0.25">
      <c r="E1434" s="32">
        <f t="shared" si="113"/>
        <v>0</v>
      </c>
      <c r="I1434" s="32">
        <f t="shared" si="114"/>
        <v>0</v>
      </c>
      <c r="K1434" s="31">
        <f t="shared" si="111"/>
        <v>0</v>
      </c>
      <c r="L1434" s="34">
        <f t="shared" si="112"/>
        <v>0</v>
      </c>
      <c r="M1434" s="34">
        <f t="shared" si="110"/>
        <v>0</v>
      </c>
    </row>
    <row r="1435" spans="5:13" x14ac:dyDescent="0.25">
      <c r="E1435" s="32">
        <f t="shared" si="113"/>
        <v>0</v>
      </c>
      <c r="I1435" s="32">
        <f t="shared" si="114"/>
        <v>0</v>
      </c>
      <c r="K1435" s="31">
        <f t="shared" si="111"/>
        <v>0</v>
      </c>
      <c r="L1435" s="34">
        <f t="shared" si="112"/>
        <v>0</v>
      </c>
      <c r="M1435" s="34">
        <f t="shared" si="110"/>
        <v>0</v>
      </c>
    </row>
    <row r="1436" spans="5:13" x14ac:dyDescent="0.25">
      <c r="E1436" s="32">
        <f t="shared" si="113"/>
        <v>0</v>
      </c>
      <c r="I1436" s="32">
        <f t="shared" si="114"/>
        <v>0</v>
      </c>
      <c r="K1436" s="31">
        <f t="shared" si="111"/>
        <v>0</v>
      </c>
      <c r="L1436" s="34">
        <f t="shared" si="112"/>
        <v>0</v>
      </c>
      <c r="M1436" s="34">
        <f t="shared" si="110"/>
        <v>0</v>
      </c>
    </row>
    <row r="1437" spans="5:13" x14ac:dyDescent="0.25">
      <c r="E1437" s="32">
        <f t="shared" si="113"/>
        <v>0</v>
      </c>
      <c r="I1437" s="32">
        <f t="shared" si="114"/>
        <v>0</v>
      </c>
      <c r="K1437" s="31">
        <f t="shared" si="111"/>
        <v>0</v>
      </c>
      <c r="L1437" s="34">
        <f t="shared" si="112"/>
        <v>0</v>
      </c>
      <c r="M1437" s="34">
        <f t="shared" si="110"/>
        <v>0</v>
      </c>
    </row>
    <row r="1438" spans="5:13" x14ac:dyDescent="0.25">
      <c r="E1438" s="32">
        <f t="shared" si="113"/>
        <v>0</v>
      </c>
      <c r="I1438" s="32">
        <f t="shared" si="114"/>
        <v>0</v>
      </c>
      <c r="K1438" s="31">
        <f t="shared" si="111"/>
        <v>0</v>
      </c>
      <c r="L1438" s="34">
        <f t="shared" si="112"/>
        <v>0</v>
      </c>
      <c r="M1438" s="34">
        <f t="shared" si="110"/>
        <v>0</v>
      </c>
    </row>
    <row r="1439" spans="5:13" x14ac:dyDescent="0.25">
      <c r="E1439" s="32">
        <f t="shared" si="113"/>
        <v>0</v>
      </c>
      <c r="I1439" s="32">
        <f t="shared" si="114"/>
        <v>0</v>
      </c>
      <c r="K1439" s="31">
        <f t="shared" si="111"/>
        <v>0</v>
      </c>
      <c r="L1439" s="34">
        <f t="shared" si="112"/>
        <v>0</v>
      </c>
      <c r="M1439" s="34">
        <f t="shared" si="110"/>
        <v>0</v>
      </c>
    </row>
    <row r="1440" spans="5:13" x14ac:dyDescent="0.25">
      <c r="E1440" s="32">
        <f t="shared" si="113"/>
        <v>0</v>
      </c>
      <c r="I1440" s="32">
        <f t="shared" si="114"/>
        <v>0</v>
      </c>
      <c r="K1440" s="31">
        <f t="shared" si="111"/>
        <v>0</v>
      </c>
      <c r="L1440" s="34">
        <f t="shared" si="112"/>
        <v>0</v>
      </c>
      <c r="M1440" s="34">
        <f t="shared" si="110"/>
        <v>0</v>
      </c>
    </row>
    <row r="1441" spans="5:13" x14ac:dyDescent="0.25">
      <c r="E1441" s="32">
        <f t="shared" si="113"/>
        <v>0</v>
      </c>
      <c r="I1441" s="32">
        <f t="shared" si="114"/>
        <v>0</v>
      </c>
      <c r="K1441" s="31">
        <f t="shared" si="111"/>
        <v>0</v>
      </c>
      <c r="L1441" s="34">
        <f t="shared" si="112"/>
        <v>0</v>
      </c>
      <c r="M1441" s="34">
        <f t="shared" si="110"/>
        <v>0</v>
      </c>
    </row>
    <row r="1442" spans="5:13" x14ac:dyDescent="0.25">
      <c r="E1442" s="32">
        <f t="shared" si="113"/>
        <v>0</v>
      </c>
      <c r="I1442" s="32">
        <f t="shared" si="114"/>
        <v>0</v>
      </c>
      <c r="K1442" s="31">
        <f t="shared" si="111"/>
        <v>0</v>
      </c>
      <c r="L1442" s="34">
        <f t="shared" si="112"/>
        <v>0</v>
      </c>
      <c r="M1442" s="34">
        <f t="shared" si="110"/>
        <v>0</v>
      </c>
    </row>
    <row r="1443" spans="5:13" x14ac:dyDescent="0.25">
      <c r="E1443" s="32">
        <f t="shared" si="113"/>
        <v>0</v>
      </c>
      <c r="I1443" s="32">
        <f t="shared" si="114"/>
        <v>0</v>
      </c>
      <c r="K1443" s="31">
        <f t="shared" si="111"/>
        <v>0</v>
      </c>
      <c r="L1443" s="34">
        <f t="shared" si="112"/>
        <v>0</v>
      </c>
      <c r="M1443" s="34">
        <f t="shared" si="110"/>
        <v>0</v>
      </c>
    </row>
    <row r="1444" spans="5:13" x14ac:dyDescent="0.25">
      <c r="E1444" s="32">
        <f t="shared" si="113"/>
        <v>0</v>
      </c>
      <c r="I1444" s="32">
        <f t="shared" si="114"/>
        <v>0</v>
      </c>
      <c r="K1444" s="31">
        <f t="shared" si="111"/>
        <v>0</v>
      </c>
      <c r="L1444" s="34">
        <f t="shared" si="112"/>
        <v>0</v>
      </c>
      <c r="M1444" s="34">
        <f t="shared" si="110"/>
        <v>0</v>
      </c>
    </row>
    <row r="1445" spans="5:13" x14ac:dyDescent="0.25">
      <c r="E1445" s="32">
        <f t="shared" si="113"/>
        <v>0</v>
      </c>
      <c r="I1445" s="32">
        <f t="shared" si="114"/>
        <v>0</v>
      </c>
      <c r="K1445" s="31">
        <f t="shared" si="111"/>
        <v>0</v>
      </c>
      <c r="L1445" s="34">
        <f t="shared" si="112"/>
        <v>0</v>
      </c>
      <c r="M1445" s="34">
        <f t="shared" si="110"/>
        <v>0</v>
      </c>
    </row>
    <row r="1446" spans="5:13" x14ac:dyDescent="0.25">
      <c r="E1446" s="32">
        <f t="shared" si="113"/>
        <v>0</v>
      </c>
      <c r="I1446" s="32">
        <f t="shared" si="114"/>
        <v>0</v>
      </c>
      <c r="K1446" s="31">
        <f t="shared" si="111"/>
        <v>0</v>
      </c>
      <c r="L1446" s="34">
        <f t="shared" si="112"/>
        <v>0</v>
      </c>
      <c r="M1446" s="34">
        <f t="shared" si="110"/>
        <v>0</v>
      </c>
    </row>
    <row r="1447" spans="5:13" x14ac:dyDescent="0.25">
      <c r="E1447" s="32">
        <f t="shared" si="113"/>
        <v>0</v>
      </c>
      <c r="I1447" s="32">
        <f t="shared" si="114"/>
        <v>0</v>
      </c>
      <c r="K1447" s="31">
        <f t="shared" si="111"/>
        <v>0</v>
      </c>
      <c r="L1447" s="34">
        <f t="shared" si="112"/>
        <v>0</v>
      </c>
      <c r="M1447" s="34">
        <f t="shared" si="110"/>
        <v>0</v>
      </c>
    </row>
    <row r="1448" spans="5:13" x14ac:dyDescent="0.25">
      <c r="E1448" s="32">
        <f t="shared" si="113"/>
        <v>0</v>
      </c>
      <c r="I1448" s="32">
        <f t="shared" si="114"/>
        <v>0</v>
      </c>
      <c r="K1448" s="31">
        <f t="shared" si="111"/>
        <v>0</v>
      </c>
      <c r="L1448" s="34">
        <f t="shared" si="112"/>
        <v>0</v>
      </c>
      <c r="M1448" s="34">
        <f t="shared" si="110"/>
        <v>0</v>
      </c>
    </row>
    <row r="1449" spans="5:13" x14ac:dyDescent="0.25">
      <c r="E1449" s="32">
        <f t="shared" si="113"/>
        <v>0</v>
      </c>
      <c r="I1449" s="32">
        <f t="shared" si="114"/>
        <v>0</v>
      </c>
      <c r="K1449" s="31">
        <f t="shared" si="111"/>
        <v>0</v>
      </c>
      <c r="L1449" s="34">
        <f t="shared" si="112"/>
        <v>0</v>
      </c>
      <c r="M1449" s="34">
        <f t="shared" si="110"/>
        <v>0</v>
      </c>
    </row>
    <row r="1450" spans="5:13" x14ac:dyDescent="0.25">
      <c r="E1450" s="32">
        <f t="shared" si="113"/>
        <v>0</v>
      </c>
      <c r="I1450" s="32">
        <f t="shared" si="114"/>
        <v>0</v>
      </c>
      <c r="K1450" s="31">
        <f t="shared" si="111"/>
        <v>0</v>
      </c>
      <c r="L1450" s="34">
        <f t="shared" si="112"/>
        <v>0</v>
      </c>
      <c r="M1450" s="34">
        <f t="shared" si="110"/>
        <v>0</v>
      </c>
    </row>
    <row r="1451" spans="5:13" x14ac:dyDescent="0.25">
      <c r="E1451" s="32">
        <f t="shared" si="113"/>
        <v>0</v>
      </c>
      <c r="I1451" s="32">
        <f t="shared" si="114"/>
        <v>0</v>
      </c>
      <c r="K1451" s="31">
        <f t="shared" si="111"/>
        <v>0</v>
      </c>
      <c r="L1451" s="34">
        <f t="shared" si="112"/>
        <v>0</v>
      </c>
      <c r="M1451" s="34">
        <f t="shared" si="110"/>
        <v>0</v>
      </c>
    </row>
    <row r="1452" spans="5:13" x14ac:dyDescent="0.25">
      <c r="E1452" s="32">
        <f t="shared" si="113"/>
        <v>0</v>
      </c>
      <c r="I1452" s="32">
        <f t="shared" si="114"/>
        <v>0</v>
      </c>
      <c r="K1452" s="31">
        <f t="shared" si="111"/>
        <v>0</v>
      </c>
      <c r="L1452" s="34">
        <f t="shared" si="112"/>
        <v>0</v>
      </c>
      <c r="M1452" s="34">
        <f t="shared" si="110"/>
        <v>0</v>
      </c>
    </row>
    <row r="1453" spans="5:13" x14ac:dyDescent="0.25">
      <c r="E1453" s="32">
        <f t="shared" si="113"/>
        <v>0</v>
      </c>
      <c r="I1453" s="32">
        <f t="shared" si="114"/>
        <v>0</v>
      </c>
      <c r="K1453" s="31">
        <f t="shared" si="111"/>
        <v>0</v>
      </c>
      <c r="L1453" s="34">
        <f t="shared" si="112"/>
        <v>0</v>
      </c>
      <c r="M1453" s="34">
        <f t="shared" si="110"/>
        <v>0</v>
      </c>
    </row>
    <row r="1454" spans="5:13" x14ac:dyDescent="0.25">
      <c r="E1454" s="32">
        <f t="shared" si="113"/>
        <v>0</v>
      </c>
      <c r="I1454" s="32">
        <f t="shared" si="114"/>
        <v>0</v>
      </c>
      <c r="K1454" s="31">
        <f t="shared" si="111"/>
        <v>0</v>
      </c>
      <c r="L1454" s="34">
        <f t="shared" si="112"/>
        <v>0</v>
      </c>
      <c r="M1454" s="34">
        <f t="shared" si="110"/>
        <v>0</v>
      </c>
    </row>
    <row r="1455" spans="5:13" x14ac:dyDescent="0.25">
      <c r="E1455" s="32">
        <f t="shared" si="113"/>
        <v>0</v>
      </c>
      <c r="I1455" s="32">
        <f t="shared" si="114"/>
        <v>0</v>
      </c>
      <c r="K1455" s="31">
        <f t="shared" si="111"/>
        <v>0</v>
      </c>
      <c r="L1455" s="34">
        <f t="shared" si="112"/>
        <v>0</v>
      </c>
      <c r="M1455" s="34">
        <f t="shared" si="110"/>
        <v>0</v>
      </c>
    </row>
    <row r="1456" spans="5:13" x14ac:dyDescent="0.25">
      <c r="E1456" s="32">
        <f t="shared" si="113"/>
        <v>0</v>
      </c>
      <c r="I1456" s="32">
        <f t="shared" si="114"/>
        <v>0</v>
      </c>
      <c r="K1456" s="31">
        <f t="shared" si="111"/>
        <v>0</v>
      </c>
      <c r="L1456" s="34">
        <f t="shared" si="112"/>
        <v>0</v>
      </c>
      <c r="M1456" s="34">
        <f t="shared" si="110"/>
        <v>0</v>
      </c>
    </row>
    <row r="1457" spans="5:13" x14ac:dyDescent="0.25">
      <c r="E1457" s="32">
        <f t="shared" si="113"/>
        <v>0</v>
      </c>
      <c r="I1457" s="32">
        <f t="shared" si="114"/>
        <v>0</v>
      </c>
      <c r="K1457" s="31">
        <f t="shared" si="111"/>
        <v>0</v>
      </c>
      <c r="L1457" s="34">
        <f t="shared" si="112"/>
        <v>0</v>
      </c>
      <c r="M1457" s="34">
        <f t="shared" si="110"/>
        <v>0</v>
      </c>
    </row>
    <row r="1458" spans="5:13" x14ac:dyDescent="0.25">
      <c r="E1458" s="32">
        <f t="shared" si="113"/>
        <v>0</v>
      </c>
      <c r="I1458" s="32">
        <f t="shared" si="114"/>
        <v>0</v>
      </c>
      <c r="K1458" s="31">
        <f t="shared" si="111"/>
        <v>0</v>
      </c>
      <c r="L1458" s="34">
        <f t="shared" si="112"/>
        <v>0</v>
      </c>
      <c r="M1458" s="34">
        <f t="shared" si="110"/>
        <v>0</v>
      </c>
    </row>
    <row r="1459" spans="5:13" x14ac:dyDescent="0.25">
      <c r="E1459" s="32">
        <f t="shared" si="113"/>
        <v>0</v>
      </c>
      <c r="I1459" s="32">
        <f t="shared" si="114"/>
        <v>0</v>
      </c>
      <c r="K1459" s="31">
        <f t="shared" si="111"/>
        <v>0</v>
      </c>
      <c r="L1459" s="34">
        <f t="shared" si="112"/>
        <v>0</v>
      </c>
      <c r="M1459" s="34">
        <f t="shared" si="110"/>
        <v>0</v>
      </c>
    </row>
    <row r="1460" spans="5:13" x14ac:dyDescent="0.25">
      <c r="E1460" s="32">
        <f t="shared" si="113"/>
        <v>0</v>
      </c>
      <c r="I1460" s="32">
        <f t="shared" si="114"/>
        <v>0</v>
      </c>
      <c r="K1460" s="31">
        <f t="shared" si="111"/>
        <v>0</v>
      </c>
      <c r="L1460" s="34">
        <f t="shared" si="112"/>
        <v>0</v>
      </c>
      <c r="M1460" s="34">
        <f t="shared" si="110"/>
        <v>0</v>
      </c>
    </row>
    <row r="1461" spans="5:13" x14ac:dyDescent="0.25">
      <c r="E1461" s="32">
        <f t="shared" si="113"/>
        <v>0</v>
      </c>
      <c r="I1461" s="32">
        <f t="shared" si="114"/>
        <v>0</v>
      </c>
      <c r="K1461" s="31">
        <f t="shared" si="111"/>
        <v>0</v>
      </c>
      <c r="L1461" s="34">
        <f t="shared" si="112"/>
        <v>0</v>
      </c>
      <c r="M1461" s="34">
        <f t="shared" si="110"/>
        <v>0</v>
      </c>
    </row>
    <row r="1462" spans="5:13" x14ac:dyDescent="0.25">
      <c r="E1462" s="32">
        <f t="shared" si="113"/>
        <v>0</v>
      </c>
      <c r="I1462" s="32">
        <f t="shared" si="114"/>
        <v>0</v>
      </c>
      <c r="K1462" s="31">
        <f t="shared" si="111"/>
        <v>0</v>
      </c>
      <c r="L1462" s="34">
        <f t="shared" si="112"/>
        <v>0</v>
      </c>
      <c r="M1462" s="34">
        <f t="shared" si="110"/>
        <v>0</v>
      </c>
    </row>
    <row r="1463" spans="5:13" x14ac:dyDescent="0.25">
      <c r="E1463" s="32">
        <f t="shared" si="113"/>
        <v>0</v>
      </c>
      <c r="I1463" s="32">
        <f t="shared" si="114"/>
        <v>0</v>
      </c>
      <c r="K1463" s="31">
        <f t="shared" si="111"/>
        <v>0</v>
      </c>
      <c r="L1463" s="34">
        <f t="shared" si="112"/>
        <v>0</v>
      </c>
      <c r="M1463" s="34">
        <f t="shared" si="110"/>
        <v>0</v>
      </c>
    </row>
    <row r="1464" spans="5:13" x14ac:dyDescent="0.25">
      <c r="E1464" s="32">
        <f t="shared" si="113"/>
        <v>0</v>
      </c>
      <c r="I1464" s="32">
        <f t="shared" si="114"/>
        <v>0</v>
      </c>
      <c r="K1464" s="31">
        <f t="shared" si="111"/>
        <v>0</v>
      </c>
      <c r="L1464" s="34">
        <f t="shared" si="112"/>
        <v>0</v>
      </c>
      <c r="M1464" s="34">
        <f t="shared" si="110"/>
        <v>0</v>
      </c>
    </row>
    <row r="1465" spans="5:13" x14ac:dyDescent="0.25">
      <c r="E1465" s="32">
        <f t="shared" si="113"/>
        <v>0</v>
      </c>
      <c r="I1465" s="32">
        <f t="shared" si="114"/>
        <v>0</v>
      </c>
      <c r="K1465" s="31">
        <f t="shared" si="111"/>
        <v>0</v>
      </c>
      <c r="L1465" s="34">
        <f t="shared" si="112"/>
        <v>0</v>
      </c>
      <c r="M1465" s="34">
        <f t="shared" si="110"/>
        <v>0</v>
      </c>
    </row>
    <row r="1466" spans="5:13" x14ac:dyDescent="0.25">
      <c r="E1466" s="32">
        <f t="shared" si="113"/>
        <v>0</v>
      </c>
      <c r="I1466" s="32">
        <f t="shared" si="114"/>
        <v>0</v>
      </c>
      <c r="K1466" s="31">
        <f t="shared" si="111"/>
        <v>0</v>
      </c>
      <c r="L1466" s="34">
        <f t="shared" si="112"/>
        <v>0</v>
      </c>
      <c r="M1466" s="34">
        <f t="shared" si="110"/>
        <v>0</v>
      </c>
    </row>
    <row r="1467" spans="5:13" x14ac:dyDescent="0.25">
      <c r="E1467" s="32">
        <f t="shared" si="113"/>
        <v>0</v>
      </c>
      <c r="I1467" s="32">
        <f t="shared" si="114"/>
        <v>0</v>
      </c>
      <c r="K1467" s="31">
        <f t="shared" si="111"/>
        <v>0</v>
      </c>
      <c r="L1467" s="34">
        <f t="shared" si="112"/>
        <v>0</v>
      </c>
      <c r="M1467" s="34">
        <f t="shared" si="110"/>
        <v>0</v>
      </c>
    </row>
    <row r="1468" spans="5:13" x14ac:dyDescent="0.25">
      <c r="E1468" s="32">
        <f t="shared" si="113"/>
        <v>0</v>
      </c>
      <c r="I1468" s="32">
        <f t="shared" si="114"/>
        <v>0</v>
      </c>
      <c r="K1468" s="31">
        <f t="shared" si="111"/>
        <v>0</v>
      </c>
      <c r="L1468" s="34">
        <f t="shared" si="112"/>
        <v>0</v>
      </c>
      <c r="M1468" s="34">
        <f t="shared" si="110"/>
        <v>0</v>
      </c>
    </row>
    <row r="1469" spans="5:13" x14ac:dyDescent="0.25">
      <c r="E1469" s="32">
        <f t="shared" si="113"/>
        <v>0</v>
      </c>
      <c r="I1469" s="32">
        <f t="shared" si="114"/>
        <v>0</v>
      </c>
      <c r="K1469" s="31">
        <f t="shared" si="111"/>
        <v>0</v>
      </c>
      <c r="L1469" s="34">
        <f t="shared" si="112"/>
        <v>0</v>
      </c>
      <c r="M1469" s="34">
        <f t="shared" si="110"/>
        <v>0</v>
      </c>
    </row>
    <row r="1470" spans="5:13" x14ac:dyDescent="0.25">
      <c r="E1470" s="32">
        <f t="shared" si="113"/>
        <v>0</v>
      </c>
      <c r="I1470" s="32">
        <f t="shared" si="114"/>
        <v>0</v>
      </c>
      <c r="K1470" s="31">
        <f t="shared" si="111"/>
        <v>0</v>
      </c>
      <c r="L1470" s="34">
        <f t="shared" si="112"/>
        <v>0</v>
      </c>
      <c r="M1470" s="34">
        <f t="shared" si="110"/>
        <v>0</v>
      </c>
    </row>
    <row r="1471" spans="5:13" x14ac:dyDescent="0.25">
      <c r="E1471" s="32">
        <f t="shared" si="113"/>
        <v>0</v>
      </c>
      <c r="I1471" s="32">
        <f t="shared" si="114"/>
        <v>0</v>
      </c>
      <c r="K1471" s="31">
        <f t="shared" si="111"/>
        <v>0</v>
      </c>
      <c r="L1471" s="34">
        <f t="shared" si="112"/>
        <v>0</v>
      </c>
      <c r="M1471" s="34">
        <f t="shared" si="110"/>
        <v>0</v>
      </c>
    </row>
    <row r="1472" spans="5:13" x14ac:dyDescent="0.25">
      <c r="E1472" s="32">
        <f t="shared" si="113"/>
        <v>0</v>
      </c>
      <c r="I1472" s="32">
        <f t="shared" si="114"/>
        <v>0</v>
      </c>
      <c r="K1472" s="31">
        <f t="shared" si="111"/>
        <v>0</v>
      </c>
      <c r="L1472" s="34">
        <f t="shared" si="112"/>
        <v>0</v>
      </c>
      <c r="M1472" s="34">
        <f t="shared" si="110"/>
        <v>0</v>
      </c>
    </row>
    <row r="1473" spans="5:13" x14ac:dyDescent="0.25">
      <c r="E1473" s="32">
        <f t="shared" si="113"/>
        <v>0</v>
      </c>
      <c r="I1473" s="32">
        <f t="shared" si="114"/>
        <v>0</v>
      </c>
      <c r="K1473" s="31">
        <f t="shared" si="111"/>
        <v>0</v>
      </c>
      <c r="L1473" s="34">
        <f t="shared" si="112"/>
        <v>0</v>
      </c>
      <c r="M1473" s="34">
        <f t="shared" si="110"/>
        <v>0</v>
      </c>
    </row>
    <row r="1474" spans="5:13" x14ac:dyDescent="0.25">
      <c r="E1474" s="32">
        <f t="shared" si="113"/>
        <v>0</v>
      </c>
      <c r="I1474" s="32">
        <f t="shared" si="114"/>
        <v>0</v>
      </c>
      <c r="K1474" s="31">
        <f t="shared" si="111"/>
        <v>0</v>
      </c>
      <c r="L1474" s="34">
        <f t="shared" si="112"/>
        <v>0</v>
      </c>
      <c r="M1474" s="34">
        <f t="shared" si="110"/>
        <v>0</v>
      </c>
    </row>
    <row r="1475" spans="5:13" x14ac:dyDescent="0.25">
      <c r="E1475" s="32">
        <f t="shared" si="113"/>
        <v>0</v>
      </c>
      <c r="I1475" s="32">
        <f t="shared" si="114"/>
        <v>0</v>
      </c>
      <c r="K1475" s="31">
        <f t="shared" si="111"/>
        <v>0</v>
      </c>
      <c r="L1475" s="34">
        <f t="shared" si="112"/>
        <v>0</v>
      </c>
      <c r="M1475" s="34">
        <f t="shared" si="110"/>
        <v>0</v>
      </c>
    </row>
    <row r="1476" spans="5:13" x14ac:dyDescent="0.25">
      <c r="E1476" s="32">
        <f t="shared" si="113"/>
        <v>0</v>
      </c>
      <c r="I1476" s="32">
        <f t="shared" si="114"/>
        <v>0</v>
      </c>
      <c r="K1476" s="31">
        <f t="shared" si="111"/>
        <v>0</v>
      </c>
      <c r="L1476" s="34">
        <f t="shared" si="112"/>
        <v>0</v>
      </c>
      <c r="M1476" s="34">
        <f t="shared" ref="M1476:M1539" si="115">(L1476/27)*4</f>
        <v>0</v>
      </c>
    </row>
    <row r="1477" spans="5:13" x14ac:dyDescent="0.25">
      <c r="E1477" s="32">
        <f t="shared" si="113"/>
        <v>0</v>
      </c>
      <c r="I1477" s="32">
        <f t="shared" si="114"/>
        <v>0</v>
      </c>
      <c r="K1477" s="31">
        <f t="shared" ref="K1477:K1540" si="116">B1477/30</f>
        <v>0</v>
      </c>
      <c r="L1477" s="34">
        <f t="shared" ref="L1477:L1540" si="117">IF(J1477="S",((I1477*24)*K1477)*2,((I1477*24)*K1477)*1.5)</f>
        <v>0</v>
      </c>
      <c r="M1477" s="34">
        <f t="shared" si="115"/>
        <v>0</v>
      </c>
    </row>
    <row r="1478" spans="5:13" x14ac:dyDescent="0.25">
      <c r="E1478" s="32">
        <f t="shared" ref="E1478:E1541" si="118">D1478-C1478</f>
        <v>0</v>
      </c>
      <c r="I1478" s="32">
        <f t="shared" ref="I1478:I1541" si="119">H1478-G1478</f>
        <v>0</v>
      </c>
      <c r="K1478" s="31">
        <f t="shared" si="116"/>
        <v>0</v>
      </c>
      <c r="L1478" s="34">
        <f t="shared" si="117"/>
        <v>0</v>
      </c>
      <c r="M1478" s="34">
        <f t="shared" si="115"/>
        <v>0</v>
      </c>
    </row>
    <row r="1479" spans="5:13" x14ac:dyDescent="0.25">
      <c r="E1479" s="32">
        <f t="shared" si="118"/>
        <v>0</v>
      </c>
      <c r="I1479" s="32">
        <f t="shared" si="119"/>
        <v>0</v>
      </c>
      <c r="K1479" s="31">
        <f t="shared" si="116"/>
        <v>0</v>
      </c>
      <c r="L1479" s="34">
        <f t="shared" si="117"/>
        <v>0</v>
      </c>
      <c r="M1479" s="34">
        <f t="shared" si="115"/>
        <v>0</v>
      </c>
    </row>
    <row r="1480" spans="5:13" x14ac:dyDescent="0.25">
      <c r="E1480" s="32">
        <f t="shared" si="118"/>
        <v>0</v>
      </c>
      <c r="I1480" s="32">
        <f t="shared" si="119"/>
        <v>0</v>
      </c>
      <c r="K1480" s="31">
        <f t="shared" si="116"/>
        <v>0</v>
      </c>
      <c r="L1480" s="34">
        <f t="shared" si="117"/>
        <v>0</v>
      </c>
      <c r="M1480" s="34">
        <f t="shared" si="115"/>
        <v>0</v>
      </c>
    </row>
    <row r="1481" spans="5:13" x14ac:dyDescent="0.25">
      <c r="E1481" s="32">
        <f t="shared" si="118"/>
        <v>0</v>
      </c>
      <c r="I1481" s="32">
        <f t="shared" si="119"/>
        <v>0</v>
      </c>
      <c r="K1481" s="31">
        <f t="shared" si="116"/>
        <v>0</v>
      </c>
      <c r="L1481" s="34">
        <f t="shared" si="117"/>
        <v>0</v>
      </c>
      <c r="M1481" s="34">
        <f t="shared" si="115"/>
        <v>0</v>
      </c>
    </row>
    <row r="1482" spans="5:13" x14ac:dyDescent="0.25">
      <c r="E1482" s="32">
        <f t="shared" si="118"/>
        <v>0</v>
      </c>
      <c r="I1482" s="32">
        <f t="shared" si="119"/>
        <v>0</v>
      </c>
      <c r="K1482" s="31">
        <f t="shared" si="116"/>
        <v>0</v>
      </c>
      <c r="L1482" s="34">
        <f t="shared" si="117"/>
        <v>0</v>
      </c>
      <c r="M1482" s="34">
        <f t="shared" si="115"/>
        <v>0</v>
      </c>
    </row>
    <row r="1483" spans="5:13" x14ac:dyDescent="0.25">
      <c r="E1483" s="32">
        <f t="shared" si="118"/>
        <v>0</v>
      </c>
      <c r="I1483" s="32">
        <f t="shared" si="119"/>
        <v>0</v>
      </c>
      <c r="K1483" s="31">
        <f t="shared" si="116"/>
        <v>0</v>
      </c>
      <c r="L1483" s="34">
        <f t="shared" si="117"/>
        <v>0</v>
      </c>
      <c r="M1483" s="34">
        <f t="shared" si="115"/>
        <v>0</v>
      </c>
    </row>
    <row r="1484" spans="5:13" x14ac:dyDescent="0.25">
      <c r="E1484" s="32">
        <f t="shared" si="118"/>
        <v>0</v>
      </c>
      <c r="I1484" s="32">
        <f t="shared" si="119"/>
        <v>0</v>
      </c>
      <c r="K1484" s="31">
        <f t="shared" si="116"/>
        <v>0</v>
      </c>
      <c r="L1484" s="34">
        <f t="shared" si="117"/>
        <v>0</v>
      </c>
      <c r="M1484" s="34">
        <f t="shared" si="115"/>
        <v>0</v>
      </c>
    </row>
    <row r="1485" spans="5:13" x14ac:dyDescent="0.25">
      <c r="E1485" s="32">
        <f t="shared" si="118"/>
        <v>0</v>
      </c>
      <c r="I1485" s="32">
        <f t="shared" si="119"/>
        <v>0</v>
      </c>
      <c r="K1485" s="31">
        <f t="shared" si="116"/>
        <v>0</v>
      </c>
      <c r="L1485" s="34">
        <f t="shared" si="117"/>
        <v>0</v>
      </c>
      <c r="M1485" s="34">
        <f t="shared" si="115"/>
        <v>0</v>
      </c>
    </row>
    <row r="1486" spans="5:13" x14ac:dyDescent="0.25">
      <c r="E1486" s="32">
        <f t="shared" si="118"/>
        <v>0</v>
      </c>
      <c r="I1486" s="32">
        <f t="shared" si="119"/>
        <v>0</v>
      </c>
      <c r="K1486" s="31">
        <f t="shared" si="116"/>
        <v>0</v>
      </c>
      <c r="L1486" s="34">
        <f t="shared" si="117"/>
        <v>0</v>
      </c>
      <c r="M1486" s="34">
        <f t="shared" si="115"/>
        <v>0</v>
      </c>
    </row>
    <row r="1487" spans="5:13" x14ac:dyDescent="0.25">
      <c r="E1487" s="32">
        <f t="shared" si="118"/>
        <v>0</v>
      </c>
      <c r="I1487" s="32">
        <f t="shared" si="119"/>
        <v>0</v>
      </c>
      <c r="K1487" s="31">
        <f t="shared" si="116"/>
        <v>0</v>
      </c>
      <c r="L1487" s="34">
        <f t="shared" si="117"/>
        <v>0</v>
      </c>
      <c r="M1487" s="34">
        <f t="shared" si="115"/>
        <v>0</v>
      </c>
    </row>
    <row r="1488" spans="5:13" x14ac:dyDescent="0.25">
      <c r="E1488" s="32">
        <f t="shared" si="118"/>
        <v>0</v>
      </c>
      <c r="I1488" s="32">
        <f t="shared" si="119"/>
        <v>0</v>
      </c>
      <c r="K1488" s="31">
        <f t="shared" si="116"/>
        <v>0</v>
      </c>
      <c r="L1488" s="34">
        <f t="shared" si="117"/>
        <v>0</v>
      </c>
      <c r="M1488" s="34">
        <f t="shared" si="115"/>
        <v>0</v>
      </c>
    </row>
    <row r="1489" spans="5:13" x14ac:dyDescent="0.25">
      <c r="E1489" s="32">
        <f t="shared" si="118"/>
        <v>0</v>
      </c>
      <c r="I1489" s="32">
        <f t="shared" si="119"/>
        <v>0</v>
      </c>
      <c r="K1489" s="31">
        <f t="shared" si="116"/>
        <v>0</v>
      </c>
      <c r="L1489" s="34">
        <f t="shared" si="117"/>
        <v>0</v>
      </c>
      <c r="M1489" s="34">
        <f t="shared" si="115"/>
        <v>0</v>
      </c>
    </row>
    <row r="1490" spans="5:13" x14ac:dyDescent="0.25">
      <c r="E1490" s="32">
        <f t="shared" si="118"/>
        <v>0</v>
      </c>
      <c r="I1490" s="32">
        <f t="shared" si="119"/>
        <v>0</v>
      </c>
      <c r="K1490" s="31">
        <f t="shared" si="116"/>
        <v>0</v>
      </c>
      <c r="L1490" s="34">
        <f t="shared" si="117"/>
        <v>0</v>
      </c>
      <c r="M1490" s="34">
        <f t="shared" si="115"/>
        <v>0</v>
      </c>
    </row>
    <row r="1491" spans="5:13" x14ac:dyDescent="0.25">
      <c r="E1491" s="32">
        <f t="shared" si="118"/>
        <v>0</v>
      </c>
      <c r="I1491" s="32">
        <f t="shared" si="119"/>
        <v>0</v>
      </c>
      <c r="K1491" s="31">
        <f t="shared" si="116"/>
        <v>0</v>
      </c>
      <c r="L1491" s="34">
        <f t="shared" si="117"/>
        <v>0</v>
      </c>
      <c r="M1491" s="34">
        <f t="shared" si="115"/>
        <v>0</v>
      </c>
    </row>
    <row r="1492" spans="5:13" x14ac:dyDescent="0.25">
      <c r="E1492" s="32">
        <f t="shared" si="118"/>
        <v>0</v>
      </c>
      <c r="I1492" s="32">
        <f t="shared" si="119"/>
        <v>0</v>
      </c>
      <c r="K1492" s="31">
        <f t="shared" si="116"/>
        <v>0</v>
      </c>
      <c r="L1492" s="34">
        <f t="shared" si="117"/>
        <v>0</v>
      </c>
      <c r="M1492" s="34">
        <f t="shared" si="115"/>
        <v>0</v>
      </c>
    </row>
    <row r="1493" spans="5:13" x14ac:dyDescent="0.25">
      <c r="E1493" s="32">
        <f t="shared" si="118"/>
        <v>0</v>
      </c>
      <c r="I1493" s="32">
        <f t="shared" si="119"/>
        <v>0</v>
      </c>
      <c r="K1493" s="31">
        <f t="shared" si="116"/>
        <v>0</v>
      </c>
      <c r="L1493" s="34">
        <f t="shared" si="117"/>
        <v>0</v>
      </c>
      <c r="M1493" s="34">
        <f t="shared" si="115"/>
        <v>0</v>
      </c>
    </row>
    <row r="1494" spans="5:13" x14ac:dyDescent="0.25">
      <c r="E1494" s="32">
        <f t="shared" si="118"/>
        <v>0</v>
      </c>
      <c r="I1494" s="32">
        <f t="shared" si="119"/>
        <v>0</v>
      </c>
      <c r="K1494" s="31">
        <f t="shared" si="116"/>
        <v>0</v>
      </c>
      <c r="L1494" s="34">
        <f t="shared" si="117"/>
        <v>0</v>
      </c>
      <c r="M1494" s="34">
        <f t="shared" si="115"/>
        <v>0</v>
      </c>
    </row>
    <row r="1495" spans="5:13" x14ac:dyDescent="0.25">
      <c r="E1495" s="32">
        <f t="shared" si="118"/>
        <v>0</v>
      </c>
      <c r="I1495" s="32">
        <f t="shared" si="119"/>
        <v>0</v>
      </c>
      <c r="K1495" s="31">
        <f t="shared" si="116"/>
        <v>0</v>
      </c>
      <c r="L1495" s="34">
        <f t="shared" si="117"/>
        <v>0</v>
      </c>
      <c r="M1495" s="34">
        <f t="shared" si="115"/>
        <v>0</v>
      </c>
    </row>
    <row r="1496" spans="5:13" x14ac:dyDescent="0.25">
      <c r="E1496" s="32">
        <f t="shared" si="118"/>
        <v>0</v>
      </c>
      <c r="I1496" s="32">
        <f t="shared" si="119"/>
        <v>0</v>
      </c>
      <c r="K1496" s="31">
        <f t="shared" si="116"/>
        <v>0</v>
      </c>
      <c r="L1496" s="34">
        <f t="shared" si="117"/>
        <v>0</v>
      </c>
      <c r="M1496" s="34">
        <f t="shared" si="115"/>
        <v>0</v>
      </c>
    </row>
    <row r="1497" spans="5:13" x14ac:dyDescent="0.25">
      <c r="E1497" s="32">
        <f t="shared" si="118"/>
        <v>0</v>
      </c>
      <c r="I1497" s="32">
        <f t="shared" si="119"/>
        <v>0</v>
      </c>
      <c r="K1497" s="31">
        <f t="shared" si="116"/>
        <v>0</v>
      </c>
      <c r="L1497" s="34">
        <f t="shared" si="117"/>
        <v>0</v>
      </c>
      <c r="M1497" s="34">
        <f t="shared" si="115"/>
        <v>0</v>
      </c>
    </row>
    <row r="1498" spans="5:13" x14ac:dyDescent="0.25">
      <c r="E1498" s="32">
        <f t="shared" si="118"/>
        <v>0</v>
      </c>
      <c r="I1498" s="32">
        <f t="shared" si="119"/>
        <v>0</v>
      </c>
      <c r="K1498" s="31">
        <f t="shared" si="116"/>
        <v>0</v>
      </c>
      <c r="L1498" s="34">
        <f t="shared" si="117"/>
        <v>0</v>
      </c>
      <c r="M1498" s="34">
        <f t="shared" si="115"/>
        <v>0</v>
      </c>
    </row>
    <row r="1499" spans="5:13" x14ac:dyDescent="0.25">
      <c r="E1499" s="32">
        <f t="shared" si="118"/>
        <v>0</v>
      </c>
      <c r="I1499" s="32">
        <f t="shared" si="119"/>
        <v>0</v>
      </c>
      <c r="K1499" s="31">
        <f t="shared" si="116"/>
        <v>0</v>
      </c>
      <c r="L1499" s="34">
        <f t="shared" si="117"/>
        <v>0</v>
      </c>
      <c r="M1499" s="34">
        <f t="shared" si="115"/>
        <v>0</v>
      </c>
    </row>
    <row r="1500" spans="5:13" x14ac:dyDescent="0.25">
      <c r="E1500" s="32">
        <f t="shared" si="118"/>
        <v>0</v>
      </c>
      <c r="I1500" s="32">
        <f t="shared" si="119"/>
        <v>0</v>
      </c>
      <c r="K1500" s="31">
        <f t="shared" si="116"/>
        <v>0</v>
      </c>
      <c r="L1500" s="34">
        <f t="shared" si="117"/>
        <v>0</v>
      </c>
      <c r="M1500" s="34">
        <f t="shared" si="115"/>
        <v>0</v>
      </c>
    </row>
    <row r="1501" spans="5:13" x14ac:dyDescent="0.25">
      <c r="E1501" s="32">
        <f t="shared" si="118"/>
        <v>0</v>
      </c>
      <c r="I1501" s="32">
        <f t="shared" si="119"/>
        <v>0</v>
      </c>
      <c r="K1501" s="31">
        <f t="shared" si="116"/>
        <v>0</v>
      </c>
      <c r="L1501" s="34">
        <f t="shared" si="117"/>
        <v>0</v>
      </c>
      <c r="M1501" s="34">
        <f t="shared" si="115"/>
        <v>0</v>
      </c>
    </row>
    <row r="1502" spans="5:13" x14ac:dyDescent="0.25">
      <c r="E1502" s="32">
        <f t="shared" si="118"/>
        <v>0</v>
      </c>
      <c r="I1502" s="32">
        <f t="shared" si="119"/>
        <v>0</v>
      </c>
      <c r="K1502" s="31">
        <f t="shared" si="116"/>
        <v>0</v>
      </c>
      <c r="L1502" s="34">
        <f t="shared" si="117"/>
        <v>0</v>
      </c>
      <c r="M1502" s="34">
        <f t="shared" si="115"/>
        <v>0</v>
      </c>
    </row>
    <row r="1503" spans="5:13" x14ac:dyDescent="0.25">
      <c r="E1503" s="32">
        <f t="shared" si="118"/>
        <v>0</v>
      </c>
      <c r="I1503" s="32">
        <f t="shared" si="119"/>
        <v>0</v>
      </c>
      <c r="K1503" s="31">
        <f t="shared" si="116"/>
        <v>0</v>
      </c>
      <c r="L1503" s="34">
        <f t="shared" si="117"/>
        <v>0</v>
      </c>
      <c r="M1503" s="34">
        <f t="shared" si="115"/>
        <v>0</v>
      </c>
    </row>
    <row r="1504" spans="5:13" x14ac:dyDescent="0.25">
      <c r="E1504" s="32">
        <f t="shared" si="118"/>
        <v>0</v>
      </c>
      <c r="I1504" s="32">
        <f t="shared" si="119"/>
        <v>0</v>
      </c>
      <c r="K1504" s="31">
        <f t="shared" si="116"/>
        <v>0</v>
      </c>
      <c r="L1504" s="34">
        <f t="shared" si="117"/>
        <v>0</v>
      </c>
      <c r="M1504" s="34">
        <f t="shared" si="115"/>
        <v>0</v>
      </c>
    </row>
    <row r="1505" spans="5:13" x14ac:dyDescent="0.25">
      <c r="E1505" s="32">
        <f t="shared" si="118"/>
        <v>0</v>
      </c>
      <c r="I1505" s="32">
        <f t="shared" si="119"/>
        <v>0</v>
      </c>
      <c r="K1505" s="31">
        <f t="shared" si="116"/>
        <v>0</v>
      </c>
      <c r="L1505" s="34">
        <f t="shared" si="117"/>
        <v>0</v>
      </c>
      <c r="M1505" s="34">
        <f t="shared" si="115"/>
        <v>0</v>
      </c>
    </row>
    <row r="1506" spans="5:13" x14ac:dyDescent="0.25">
      <c r="E1506" s="32">
        <f t="shared" si="118"/>
        <v>0</v>
      </c>
      <c r="I1506" s="32">
        <f t="shared" si="119"/>
        <v>0</v>
      </c>
      <c r="K1506" s="31">
        <f t="shared" si="116"/>
        <v>0</v>
      </c>
      <c r="L1506" s="34">
        <f t="shared" si="117"/>
        <v>0</v>
      </c>
      <c r="M1506" s="34">
        <f t="shared" si="115"/>
        <v>0</v>
      </c>
    </row>
    <row r="1507" spans="5:13" x14ac:dyDescent="0.25">
      <c r="E1507" s="32">
        <f t="shared" si="118"/>
        <v>0</v>
      </c>
      <c r="I1507" s="32">
        <f t="shared" si="119"/>
        <v>0</v>
      </c>
      <c r="K1507" s="31">
        <f t="shared" si="116"/>
        <v>0</v>
      </c>
      <c r="L1507" s="34">
        <f t="shared" si="117"/>
        <v>0</v>
      </c>
      <c r="M1507" s="34">
        <f t="shared" si="115"/>
        <v>0</v>
      </c>
    </row>
    <row r="1508" spans="5:13" x14ac:dyDescent="0.25">
      <c r="E1508" s="32">
        <f t="shared" si="118"/>
        <v>0</v>
      </c>
      <c r="I1508" s="32">
        <f t="shared" si="119"/>
        <v>0</v>
      </c>
      <c r="K1508" s="31">
        <f t="shared" si="116"/>
        <v>0</v>
      </c>
      <c r="L1508" s="34">
        <f t="shared" si="117"/>
        <v>0</v>
      </c>
      <c r="M1508" s="34">
        <f t="shared" si="115"/>
        <v>0</v>
      </c>
    </row>
    <row r="1509" spans="5:13" x14ac:dyDescent="0.25">
      <c r="E1509" s="32">
        <f t="shared" si="118"/>
        <v>0</v>
      </c>
      <c r="I1509" s="32">
        <f t="shared" si="119"/>
        <v>0</v>
      </c>
      <c r="K1509" s="31">
        <f t="shared" si="116"/>
        <v>0</v>
      </c>
      <c r="L1509" s="34">
        <f t="shared" si="117"/>
        <v>0</v>
      </c>
      <c r="M1509" s="34">
        <f t="shared" si="115"/>
        <v>0</v>
      </c>
    </row>
    <row r="1510" spans="5:13" x14ac:dyDescent="0.25">
      <c r="E1510" s="32">
        <f t="shared" si="118"/>
        <v>0</v>
      </c>
      <c r="I1510" s="32">
        <f t="shared" si="119"/>
        <v>0</v>
      </c>
      <c r="K1510" s="31">
        <f t="shared" si="116"/>
        <v>0</v>
      </c>
      <c r="L1510" s="34">
        <f t="shared" si="117"/>
        <v>0</v>
      </c>
      <c r="M1510" s="34">
        <f t="shared" si="115"/>
        <v>0</v>
      </c>
    </row>
    <row r="1511" spans="5:13" x14ac:dyDescent="0.25">
      <c r="E1511" s="32">
        <f t="shared" si="118"/>
        <v>0</v>
      </c>
      <c r="I1511" s="32">
        <f t="shared" si="119"/>
        <v>0</v>
      </c>
      <c r="K1511" s="31">
        <f t="shared" si="116"/>
        <v>0</v>
      </c>
      <c r="L1511" s="34">
        <f t="shared" si="117"/>
        <v>0</v>
      </c>
      <c r="M1511" s="34">
        <f t="shared" si="115"/>
        <v>0</v>
      </c>
    </row>
    <row r="1512" spans="5:13" x14ac:dyDescent="0.25">
      <c r="E1512" s="32">
        <f t="shared" si="118"/>
        <v>0</v>
      </c>
      <c r="I1512" s="32">
        <f t="shared" si="119"/>
        <v>0</v>
      </c>
      <c r="K1512" s="31">
        <f t="shared" si="116"/>
        <v>0</v>
      </c>
      <c r="L1512" s="34">
        <f t="shared" si="117"/>
        <v>0</v>
      </c>
      <c r="M1512" s="34">
        <f t="shared" si="115"/>
        <v>0</v>
      </c>
    </row>
    <row r="1513" spans="5:13" x14ac:dyDescent="0.25">
      <c r="E1513" s="32">
        <f t="shared" si="118"/>
        <v>0</v>
      </c>
      <c r="I1513" s="32">
        <f t="shared" si="119"/>
        <v>0</v>
      </c>
      <c r="K1513" s="31">
        <f t="shared" si="116"/>
        <v>0</v>
      </c>
      <c r="L1513" s="34">
        <f t="shared" si="117"/>
        <v>0</v>
      </c>
      <c r="M1513" s="34">
        <f t="shared" si="115"/>
        <v>0</v>
      </c>
    </row>
    <row r="1514" spans="5:13" x14ac:dyDescent="0.25">
      <c r="E1514" s="32">
        <f t="shared" si="118"/>
        <v>0</v>
      </c>
      <c r="I1514" s="32">
        <f t="shared" si="119"/>
        <v>0</v>
      </c>
      <c r="K1514" s="31">
        <f t="shared" si="116"/>
        <v>0</v>
      </c>
      <c r="L1514" s="34">
        <f t="shared" si="117"/>
        <v>0</v>
      </c>
      <c r="M1514" s="34">
        <f t="shared" si="115"/>
        <v>0</v>
      </c>
    </row>
    <row r="1515" spans="5:13" x14ac:dyDescent="0.25">
      <c r="E1515" s="32">
        <f t="shared" si="118"/>
        <v>0</v>
      </c>
      <c r="I1515" s="32">
        <f t="shared" si="119"/>
        <v>0</v>
      </c>
      <c r="K1515" s="31">
        <f t="shared" si="116"/>
        <v>0</v>
      </c>
      <c r="L1515" s="34">
        <f t="shared" si="117"/>
        <v>0</v>
      </c>
      <c r="M1515" s="34">
        <f t="shared" si="115"/>
        <v>0</v>
      </c>
    </row>
    <row r="1516" spans="5:13" x14ac:dyDescent="0.25">
      <c r="E1516" s="32">
        <f t="shared" si="118"/>
        <v>0</v>
      </c>
      <c r="I1516" s="32">
        <f t="shared" si="119"/>
        <v>0</v>
      </c>
      <c r="K1516" s="31">
        <f t="shared" si="116"/>
        <v>0</v>
      </c>
      <c r="L1516" s="34">
        <f t="shared" si="117"/>
        <v>0</v>
      </c>
      <c r="M1516" s="34">
        <f t="shared" si="115"/>
        <v>0</v>
      </c>
    </row>
    <row r="1517" spans="5:13" x14ac:dyDescent="0.25">
      <c r="E1517" s="32">
        <f t="shared" si="118"/>
        <v>0</v>
      </c>
      <c r="I1517" s="32">
        <f t="shared" si="119"/>
        <v>0</v>
      </c>
      <c r="K1517" s="31">
        <f t="shared" si="116"/>
        <v>0</v>
      </c>
      <c r="L1517" s="34">
        <f t="shared" si="117"/>
        <v>0</v>
      </c>
      <c r="M1517" s="34">
        <f t="shared" si="115"/>
        <v>0</v>
      </c>
    </row>
    <row r="1518" spans="5:13" x14ac:dyDescent="0.25">
      <c r="E1518" s="32">
        <f t="shared" si="118"/>
        <v>0</v>
      </c>
      <c r="I1518" s="32">
        <f t="shared" si="119"/>
        <v>0</v>
      </c>
      <c r="K1518" s="31">
        <f t="shared" si="116"/>
        <v>0</v>
      </c>
      <c r="L1518" s="34">
        <f t="shared" si="117"/>
        <v>0</v>
      </c>
      <c r="M1518" s="34">
        <f t="shared" si="115"/>
        <v>0</v>
      </c>
    </row>
    <row r="1519" spans="5:13" x14ac:dyDescent="0.25">
      <c r="E1519" s="32">
        <f t="shared" si="118"/>
        <v>0</v>
      </c>
      <c r="I1519" s="32">
        <f t="shared" si="119"/>
        <v>0</v>
      </c>
      <c r="K1519" s="31">
        <f t="shared" si="116"/>
        <v>0</v>
      </c>
      <c r="L1519" s="34">
        <f t="shared" si="117"/>
        <v>0</v>
      </c>
      <c r="M1519" s="34">
        <f t="shared" si="115"/>
        <v>0</v>
      </c>
    </row>
    <row r="1520" spans="5:13" x14ac:dyDescent="0.25">
      <c r="E1520" s="32">
        <f t="shared" si="118"/>
        <v>0</v>
      </c>
      <c r="I1520" s="32">
        <f t="shared" si="119"/>
        <v>0</v>
      </c>
      <c r="K1520" s="31">
        <f t="shared" si="116"/>
        <v>0</v>
      </c>
      <c r="L1520" s="34">
        <f t="shared" si="117"/>
        <v>0</v>
      </c>
      <c r="M1520" s="34">
        <f t="shared" si="115"/>
        <v>0</v>
      </c>
    </row>
    <row r="1521" spans="5:13" x14ac:dyDescent="0.25">
      <c r="E1521" s="32">
        <f t="shared" si="118"/>
        <v>0</v>
      </c>
      <c r="I1521" s="32">
        <f t="shared" si="119"/>
        <v>0</v>
      </c>
      <c r="K1521" s="31">
        <f t="shared" si="116"/>
        <v>0</v>
      </c>
      <c r="L1521" s="34">
        <f t="shared" si="117"/>
        <v>0</v>
      </c>
      <c r="M1521" s="34">
        <f t="shared" si="115"/>
        <v>0</v>
      </c>
    </row>
    <row r="1522" spans="5:13" x14ac:dyDescent="0.25">
      <c r="E1522" s="32">
        <f t="shared" si="118"/>
        <v>0</v>
      </c>
      <c r="I1522" s="32">
        <f t="shared" si="119"/>
        <v>0</v>
      </c>
      <c r="K1522" s="31">
        <f t="shared" si="116"/>
        <v>0</v>
      </c>
      <c r="L1522" s="34">
        <f t="shared" si="117"/>
        <v>0</v>
      </c>
      <c r="M1522" s="34">
        <f t="shared" si="115"/>
        <v>0</v>
      </c>
    </row>
    <row r="1523" spans="5:13" x14ac:dyDescent="0.25">
      <c r="E1523" s="32">
        <f t="shared" si="118"/>
        <v>0</v>
      </c>
      <c r="I1523" s="32">
        <f t="shared" si="119"/>
        <v>0</v>
      </c>
      <c r="K1523" s="31">
        <f t="shared" si="116"/>
        <v>0</v>
      </c>
      <c r="L1523" s="34">
        <f t="shared" si="117"/>
        <v>0</v>
      </c>
      <c r="M1523" s="34">
        <f t="shared" si="115"/>
        <v>0</v>
      </c>
    </row>
    <row r="1524" spans="5:13" x14ac:dyDescent="0.25">
      <c r="E1524" s="32">
        <f t="shared" si="118"/>
        <v>0</v>
      </c>
      <c r="I1524" s="32">
        <f t="shared" si="119"/>
        <v>0</v>
      </c>
      <c r="K1524" s="31">
        <f t="shared" si="116"/>
        <v>0</v>
      </c>
      <c r="L1524" s="34">
        <f t="shared" si="117"/>
        <v>0</v>
      </c>
      <c r="M1524" s="34">
        <f t="shared" si="115"/>
        <v>0</v>
      </c>
    </row>
    <row r="1525" spans="5:13" x14ac:dyDescent="0.25">
      <c r="E1525" s="32">
        <f t="shared" si="118"/>
        <v>0</v>
      </c>
      <c r="I1525" s="32">
        <f t="shared" si="119"/>
        <v>0</v>
      </c>
      <c r="K1525" s="31">
        <f t="shared" si="116"/>
        <v>0</v>
      </c>
      <c r="L1525" s="34">
        <f t="shared" si="117"/>
        <v>0</v>
      </c>
      <c r="M1525" s="34">
        <f t="shared" si="115"/>
        <v>0</v>
      </c>
    </row>
    <row r="1526" spans="5:13" x14ac:dyDescent="0.25">
      <c r="E1526" s="32">
        <f t="shared" si="118"/>
        <v>0</v>
      </c>
      <c r="I1526" s="32">
        <f t="shared" si="119"/>
        <v>0</v>
      </c>
      <c r="K1526" s="31">
        <f t="shared" si="116"/>
        <v>0</v>
      </c>
      <c r="L1526" s="34">
        <f t="shared" si="117"/>
        <v>0</v>
      </c>
      <c r="M1526" s="34">
        <f t="shared" si="115"/>
        <v>0</v>
      </c>
    </row>
    <row r="1527" spans="5:13" x14ac:dyDescent="0.25">
      <c r="E1527" s="32">
        <f t="shared" si="118"/>
        <v>0</v>
      </c>
      <c r="I1527" s="32">
        <f t="shared" si="119"/>
        <v>0</v>
      </c>
      <c r="K1527" s="31">
        <f t="shared" si="116"/>
        <v>0</v>
      </c>
      <c r="L1527" s="34">
        <f t="shared" si="117"/>
        <v>0</v>
      </c>
      <c r="M1527" s="34">
        <f t="shared" si="115"/>
        <v>0</v>
      </c>
    </row>
    <row r="1528" spans="5:13" x14ac:dyDescent="0.25">
      <c r="E1528" s="32">
        <f t="shared" si="118"/>
        <v>0</v>
      </c>
      <c r="I1528" s="32">
        <f t="shared" si="119"/>
        <v>0</v>
      </c>
      <c r="K1528" s="31">
        <f t="shared" si="116"/>
        <v>0</v>
      </c>
      <c r="L1528" s="34">
        <f t="shared" si="117"/>
        <v>0</v>
      </c>
      <c r="M1528" s="34">
        <f t="shared" si="115"/>
        <v>0</v>
      </c>
    </row>
    <row r="1529" spans="5:13" x14ac:dyDescent="0.25">
      <c r="E1529" s="32">
        <f t="shared" si="118"/>
        <v>0</v>
      </c>
      <c r="I1529" s="32">
        <f t="shared" si="119"/>
        <v>0</v>
      </c>
      <c r="K1529" s="31">
        <f t="shared" si="116"/>
        <v>0</v>
      </c>
      <c r="L1529" s="34">
        <f t="shared" si="117"/>
        <v>0</v>
      </c>
      <c r="M1529" s="34">
        <f t="shared" si="115"/>
        <v>0</v>
      </c>
    </row>
    <row r="1530" spans="5:13" x14ac:dyDescent="0.25">
      <c r="E1530" s="32">
        <f t="shared" si="118"/>
        <v>0</v>
      </c>
      <c r="I1530" s="32">
        <f t="shared" si="119"/>
        <v>0</v>
      </c>
      <c r="K1530" s="31">
        <f t="shared" si="116"/>
        <v>0</v>
      </c>
      <c r="L1530" s="34">
        <f t="shared" si="117"/>
        <v>0</v>
      </c>
      <c r="M1530" s="34">
        <f t="shared" si="115"/>
        <v>0</v>
      </c>
    </row>
    <row r="1531" spans="5:13" x14ac:dyDescent="0.25">
      <c r="E1531" s="32">
        <f t="shared" si="118"/>
        <v>0</v>
      </c>
      <c r="I1531" s="32">
        <f t="shared" si="119"/>
        <v>0</v>
      </c>
      <c r="K1531" s="31">
        <f t="shared" si="116"/>
        <v>0</v>
      </c>
      <c r="L1531" s="34">
        <f t="shared" si="117"/>
        <v>0</v>
      </c>
      <c r="M1531" s="34">
        <f t="shared" si="115"/>
        <v>0</v>
      </c>
    </row>
    <row r="1532" spans="5:13" x14ac:dyDescent="0.25">
      <c r="E1532" s="32">
        <f t="shared" si="118"/>
        <v>0</v>
      </c>
      <c r="I1532" s="32">
        <f t="shared" si="119"/>
        <v>0</v>
      </c>
      <c r="K1532" s="31">
        <f t="shared" si="116"/>
        <v>0</v>
      </c>
      <c r="L1532" s="34">
        <f t="shared" si="117"/>
        <v>0</v>
      </c>
      <c r="M1532" s="34">
        <f t="shared" si="115"/>
        <v>0</v>
      </c>
    </row>
    <row r="1533" spans="5:13" x14ac:dyDescent="0.25">
      <c r="E1533" s="32">
        <f t="shared" si="118"/>
        <v>0</v>
      </c>
      <c r="I1533" s="32">
        <f t="shared" si="119"/>
        <v>0</v>
      </c>
      <c r="K1533" s="31">
        <f t="shared" si="116"/>
        <v>0</v>
      </c>
      <c r="L1533" s="34">
        <f t="shared" si="117"/>
        <v>0</v>
      </c>
      <c r="M1533" s="34">
        <f t="shared" si="115"/>
        <v>0</v>
      </c>
    </row>
    <row r="1534" spans="5:13" x14ac:dyDescent="0.25">
      <c r="E1534" s="32">
        <f t="shared" si="118"/>
        <v>0</v>
      </c>
      <c r="I1534" s="32">
        <f t="shared" si="119"/>
        <v>0</v>
      </c>
      <c r="K1534" s="31">
        <f t="shared" si="116"/>
        <v>0</v>
      </c>
      <c r="L1534" s="34">
        <f t="shared" si="117"/>
        <v>0</v>
      </c>
      <c r="M1534" s="34">
        <f t="shared" si="115"/>
        <v>0</v>
      </c>
    </row>
    <row r="1535" spans="5:13" x14ac:dyDescent="0.25">
      <c r="E1535" s="32">
        <f t="shared" si="118"/>
        <v>0</v>
      </c>
      <c r="I1535" s="32">
        <f t="shared" si="119"/>
        <v>0</v>
      </c>
      <c r="K1535" s="31">
        <f t="shared" si="116"/>
        <v>0</v>
      </c>
      <c r="L1535" s="34">
        <f t="shared" si="117"/>
        <v>0</v>
      </c>
      <c r="M1535" s="34">
        <f t="shared" si="115"/>
        <v>0</v>
      </c>
    </row>
    <row r="1536" spans="5:13" x14ac:dyDescent="0.25">
      <c r="E1536" s="32">
        <f t="shared" si="118"/>
        <v>0</v>
      </c>
      <c r="I1536" s="32">
        <f t="shared" si="119"/>
        <v>0</v>
      </c>
      <c r="K1536" s="31">
        <f t="shared" si="116"/>
        <v>0</v>
      </c>
      <c r="L1536" s="34">
        <f t="shared" si="117"/>
        <v>0</v>
      </c>
      <c r="M1536" s="34">
        <f t="shared" si="115"/>
        <v>0</v>
      </c>
    </row>
    <row r="1537" spans="5:13" x14ac:dyDescent="0.25">
      <c r="E1537" s="32">
        <f t="shared" si="118"/>
        <v>0</v>
      </c>
      <c r="I1537" s="32">
        <f t="shared" si="119"/>
        <v>0</v>
      </c>
      <c r="K1537" s="31">
        <f t="shared" si="116"/>
        <v>0</v>
      </c>
      <c r="L1537" s="34">
        <f t="shared" si="117"/>
        <v>0</v>
      </c>
      <c r="M1537" s="34">
        <f t="shared" si="115"/>
        <v>0</v>
      </c>
    </row>
    <row r="1538" spans="5:13" x14ac:dyDescent="0.25">
      <c r="E1538" s="32">
        <f t="shared" si="118"/>
        <v>0</v>
      </c>
      <c r="I1538" s="32">
        <f t="shared" si="119"/>
        <v>0</v>
      </c>
      <c r="K1538" s="31">
        <f t="shared" si="116"/>
        <v>0</v>
      </c>
      <c r="L1538" s="34">
        <f t="shared" si="117"/>
        <v>0</v>
      </c>
      <c r="M1538" s="34">
        <f t="shared" si="115"/>
        <v>0</v>
      </c>
    </row>
    <row r="1539" spans="5:13" x14ac:dyDescent="0.25">
      <c r="E1539" s="32">
        <f t="shared" si="118"/>
        <v>0</v>
      </c>
      <c r="I1539" s="32">
        <f t="shared" si="119"/>
        <v>0</v>
      </c>
      <c r="K1539" s="31">
        <f t="shared" si="116"/>
        <v>0</v>
      </c>
      <c r="L1539" s="34">
        <f t="shared" si="117"/>
        <v>0</v>
      </c>
      <c r="M1539" s="34">
        <f t="shared" si="115"/>
        <v>0</v>
      </c>
    </row>
    <row r="1540" spans="5:13" x14ac:dyDescent="0.25">
      <c r="E1540" s="32">
        <f t="shared" si="118"/>
        <v>0</v>
      </c>
      <c r="I1540" s="32">
        <f t="shared" si="119"/>
        <v>0</v>
      </c>
      <c r="K1540" s="31">
        <f t="shared" si="116"/>
        <v>0</v>
      </c>
      <c r="L1540" s="34">
        <f t="shared" si="117"/>
        <v>0</v>
      </c>
      <c r="M1540" s="34">
        <f t="shared" ref="M1540:M1603" si="120">(L1540/27)*4</f>
        <v>0</v>
      </c>
    </row>
    <row r="1541" spans="5:13" x14ac:dyDescent="0.25">
      <c r="E1541" s="32">
        <f t="shared" si="118"/>
        <v>0</v>
      </c>
      <c r="I1541" s="32">
        <f t="shared" si="119"/>
        <v>0</v>
      </c>
      <c r="K1541" s="31">
        <f t="shared" ref="K1541:K1604" si="121">B1541/30</f>
        <v>0</v>
      </c>
      <c r="L1541" s="34">
        <f t="shared" ref="L1541:L1604" si="122">IF(J1541="S",((I1541*24)*K1541)*2,((I1541*24)*K1541)*1.5)</f>
        <v>0</v>
      </c>
      <c r="M1541" s="34">
        <f t="shared" si="120"/>
        <v>0</v>
      </c>
    </row>
    <row r="1542" spans="5:13" x14ac:dyDescent="0.25">
      <c r="E1542" s="32">
        <f t="shared" ref="E1542:E1605" si="123">D1542-C1542</f>
        <v>0</v>
      </c>
      <c r="I1542" s="32">
        <f t="shared" ref="I1542:I1605" si="124">H1542-G1542</f>
        <v>0</v>
      </c>
      <c r="K1542" s="31">
        <f t="shared" si="121"/>
        <v>0</v>
      </c>
      <c r="L1542" s="34">
        <f t="shared" si="122"/>
        <v>0</v>
      </c>
      <c r="M1542" s="34">
        <f t="shared" si="120"/>
        <v>0</v>
      </c>
    </row>
    <row r="1543" spans="5:13" x14ac:dyDescent="0.25">
      <c r="E1543" s="32">
        <f t="shared" si="123"/>
        <v>0</v>
      </c>
      <c r="I1543" s="32">
        <f t="shared" si="124"/>
        <v>0</v>
      </c>
      <c r="K1543" s="31">
        <f t="shared" si="121"/>
        <v>0</v>
      </c>
      <c r="L1543" s="34">
        <f t="shared" si="122"/>
        <v>0</v>
      </c>
      <c r="M1543" s="34">
        <f t="shared" si="120"/>
        <v>0</v>
      </c>
    </row>
    <row r="1544" spans="5:13" x14ac:dyDescent="0.25">
      <c r="E1544" s="32">
        <f t="shared" si="123"/>
        <v>0</v>
      </c>
      <c r="I1544" s="32">
        <f t="shared" si="124"/>
        <v>0</v>
      </c>
      <c r="K1544" s="31">
        <f t="shared" si="121"/>
        <v>0</v>
      </c>
      <c r="L1544" s="34">
        <f t="shared" si="122"/>
        <v>0</v>
      </c>
      <c r="M1544" s="34">
        <f t="shared" si="120"/>
        <v>0</v>
      </c>
    </row>
    <row r="1545" spans="5:13" x14ac:dyDescent="0.25">
      <c r="E1545" s="32">
        <f t="shared" si="123"/>
        <v>0</v>
      </c>
      <c r="I1545" s="32">
        <f t="shared" si="124"/>
        <v>0</v>
      </c>
      <c r="K1545" s="31">
        <f t="shared" si="121"/>
        <v>0</v>
      </c>
      <c r="L1545" s="34">
        <f t="shared" si="122"/>
        <v>0</v>
      </c>
      <c r="M1545" s="34">
        <f t="shared" si="120"/>
        <v>0</v>
      </c>
    </row>
    <row r="1546" spans="5:13" x14ac:dyDescent="0.25">
      <c r="E1546" s="32">
        <f t="shared" si="123"/>
        <v>0</v>
      </c>
      <c r="I1546" s="32">
        <f t="shared" si="124"/>
        <v>0</v>
      </c>
      <c r="K1546" s="31">
        <f t="shared" si="121"/>
        <v>0</v>
      </c>
      <c r="L1546" s="34">
        <f t="shared" si="122"/>
        <v>0</v>
      </c>
      <c r="M1546" s="34">
        <f t="shared" si="120"/>
        <v>0</v>
      </c>
    </row>
    <row r="1547" spans="5:13" x14ac:dyDescent="0.25">
      <c r="E1547" s="32">
        <f t="shared" si="123"/>
        <v>0</v>
      </c>
      <c r="I1547" s="32">
        <f t="shared" si="124"/>
        <v>0</v>
      </c>
      <c r="K1547" s="31">
        <f t="shared" si="121"/>
        <v>0</v>
      </c>
      <c r="L1547" s="34">
        <f t="shared" si="122"/>
        <v>0</v>
      </c>
      <c r="M1547" s="34">
        <f t="shared" si="120"/>
        <v>0</v>
      </c>
    </row>
    <row r="1548" spans="5:13" x14ac:dyDescent="0.25">
      <c r="E1548" s="32">
        <f t="shared" si="123"/>
        <v>0</v>
      </c>
      <c r="I1548" s="32">
        <f t="shared" si="124"/>
        <v>0</v>
      </c>
      <c r="K1548" s="31">
        <f t="shared" si="121"/>
        <v>0</v>
      </c>
      <c r="L1548" s="34">
        <f t="shared" si="122"/>
        <v>0</v>
      </c>
      <c r="M1548" s="34">
        <f t="shared" si="120"/>
        <v>0</v>
      </c>
    </row>
    <row r="1549" spans="5:13" x14ac:dyDescent="0.25">
      <c r="E1549" s="32">
        <f t="shared" si="123"/>
        <v>0</v>
      </c>
      <c r="I1549" s="32">
        <f t="shared" si="124"/>
        <v>0</v>
      </c>
      <c r="K1549" s="31">
        <f t="shared" si="121"/>
        <v>0</v>
      </c>
      <c r="L1549" s="34">
        <f t="shared" si="122"/>
        <v>0</v>
      </c>
      <c r="M1549" s="34">
        <f t="shared" si="120"/>
        <v>0</v>
      </c>
    </row>
    <row r="1550" spans="5:13" x14ac:dyDescent="0.25">
      <c r="E1550" s="32">
        <f t="shared" si="123"/>
        <v>0</v>
      </c>
      <c r="I1550" s="32">
        <f t="shared" si="124"/>
        <v>0</v>
      </c>
      <c r="K1550" s="31">
        <f t="shared" si="121"/>
        <v>0</v>
      </c>
      <c r="L1550" s="34">
        <f t="shared" si="122"/>
        <v>0</v>
      </c>
      <c r="M1550" s="34">
        <f t="shared" si="120"/>
        <v>0</v>
      </c>
    </row>
    <row r="1551" spans="5:13" x14ac:dyDescent="0.25">
      <c r="E1551" s="32">
        <f t="shared" si="123"/>
        <v>0</v>
      </c>
      <c r="I1551" s="32">
        <f t="shared" si="124"/>
        <v>0</v>
      </c>
      <c r="K1551" s="31">
        <f t="shared" si="121"/>
        <v>0</v>
      </c>
      <c r="L1551" s="34">
        <f t="shared" si="122"/>
        <v>0</v>
      </c>
      <c r="M1551" s="34">
        <f t="shared" si="120"/>
        <v>0</v>
      </c>
    </row>
    <row r="1552" spans="5:13" x14ac:dyDescent="0.25">
      <c r="E1552" s="32">
        <f t="shared" si="123"/>
        <v>0</v>
      </c>
      <c r="I1552" s="32">
        <f t="shared" si="124"/>
        <v>0</v>
      </c>
      <c r="K1552" s="31">
        <f t="shared" si="121"/>
        <v>0</v>
      </c>
      <c r="L1552" s="34">
        <f t="shared" si="122"/>
        <v>0</v>
      </c>
      <c r="M1552" s="34">
        <f t="shared" si="120"/>
        <v>0</v>
      </c>
    </row>
    <row r="1553" spans="5:13" x14ac:dyDescent="0.25">
      <c r="E1553" s="32">
        <f t="shared" si="123"/>
        <v>0</v>
      </c>
      <c r="I1553" s="32">
        <f t="shared" si="124"/>
        <v>0</v>
      </c>
      <c r="K1553" s="31">
        <f t="shared" si="121"/>
        <v>0</v>
      </c>
      <c r="L1553" s="34">
        <f t="shared" si="122"/>
        <v>0</v>
      </c>
      <c r="M1553" s="34">
        <f t="shared" si="120"/>
        <v>0</v>
      </c>
    </row>
    <row r="1554" spans="5:13" x14ac:dyDescent="0.25">
      <c r="E1554" s="32">
        <f t="shared" si="123"/>
        <v>0</v>
      </c>
      <c r="I1554" s="32">
        <f t="shared" si="124"/>
        <v>0</v>
      </c>
      <c r="K1554" s="31">
        <f t="shared" si="121"/>
        <v>0</v>
      </c>
      <c r="L1554" s="34">
        <f t="shared" si="122"/>
        <v>0</v>
      </c>
      <c r="M1554" s="34">
        <f t="shared" si="120"/>
        <v>0</v>
      </c>
    </row>
    <row r="1555" spans="5:13" x14ac:dyDescent="0.25">
      <c r="E1555" s="32">
        <f t="shared" si="123"/>
        <v>0</v>
      </c>
      <c r="I1555" s="32">
        <f t="shared" si="124"/>
        <v>0</v>
      </c>
      <c r="K1555" s="31">
        <f t="shared" si="121"/>
        <v>0</v>
      </c>
      <c r="L1555" s="34">
        <f t="shared" si="122"/>
        <v>0</v>
      </c>
      <c r="M1555" s="34">
        <f t="shared" si="120"/>
        <v>0</v>
      </c>
    </row>
    <row r="1556" spans="5:13" x14ac:dyDescent="0.25">
      <c r="E1556" s="32">
        <f t="shared" si="123"/>
        <v>0</v>
      </c>
      <c r="I1556" s="32">
        <f t="shared" si="124"/>
        <v>0</v>
      </c>
      <c r="K1556" s="31">
        <f t="shared" si="121"/>
        <v>0</v>
      </c>
      <c r="L1556" s="34">
        <f t="shared" si="122"/>
        <v>0</v>
      </c>
      <c r="M1556" s="34">
        <f t="shared" si="120"/>
        <v>0</v>
      </c>
    </row>
    <row r="1557" spans="5:13" x14ac:dyDescent="0.25">
      <c r="E1557" s="32">
        <f t="shared" si="123"/>
        <v>0</v>
      </c>
      <c r="I1557" s="32">
        <f t="shared" si="124"/>
        <v>0</v>
      </c>
      <c r="K1557" s="31">
        <f t="shared" si="121"/>
        <v>0</v>
      </c>
      <c r="L1557" s="34">
        <f t="shared" si="122"/>
        <v>0</v>
      </c>
      <c r="M1557" s="34">
        <f t="shared" si="120"/>
        <v>0</v>
      </c>
    </row>
    <row r="1558" spans="5:13" x14ac:dyDescent="0.25">
      <c r="E1558" s="32">
        <f t="shared" si="123"/>
        <v>0</v>
      </c>
      <c r="I1558" s="32">
        <f t="shared" si="124"/>
        <v>0</v>
      </c>
      <c r="K1558" s="31">
        <f t="shared" si="121"/>
        <v>0</v>
      </c>
      <c r="L1558" s="34">
        <f t="shared" si="122"/>
        <v>0</v>
      </c>
      <c r="M1558" s="34">
        <f t="shared" si="120"/>
        <v>0</v>
      </c>
    </row>
    <row r="1559" spans="5:13" x14ac:dyDescent="0.25">
      <c r="E1559" s="32">
        <f t="shared" si="123"/>
        <v>0</v>
      </c>
      <c r="I1559" s="32">
        <f t="shared" si="124"/>
        <v>0</v>
      </c>
      <c r="K1559" s="31">
        <f t="shared" si="121"/>
        <v>0</v>
      </c>
      <c r="L1559" s="34">
        <f t="shared" si="122"/>
        <v>0</v>
      </c>
      <c r="M1559" s="34">
        <f t="shared" si="120"/>
        <v>0</v>
      </c>
    </row>
    <row r="1560" spans="5:13" x14ac:dyDescent="0.25">
      <c r="E1560" s="32">
        <f t="shared" si="123"/>
        <v>0</v>
      </c>
      <c r="I1560" s="32">
        <f t="shared" si="124"/>
        <v>0</v>
      </c>
      <c r="K1560" s="31">
        <f t="shared" si="121"/>
        <v>0</v>
      </c>
      <c r="L1560" s="34">
        <f t="shared" si="122"/>
        <v>0</v>
      </c>
      <c r="M1560" s="34">
        <f t="shared" si="120"/>
        <v>0</v>
      </c>
    </row>
    <row r="1561" spans="5:13" x14ac:dyDescent="0.25">
      <c r="E1561" s="32">
        <f t="shared" si="123"/>
        <v>0</v>
      </c>
      <c r="I1561" s="32">
        <f t="shared" si="124"/>
        <v>0</v>
      </c>
      <c r="K1561" s="31">
        <f t="shared" si="121"/>
        <v>0</v>
      </c>
      <c r="L1561" s="34">
        <f t="shared" si="122"/>
        <v>0</v>
      </c>
      <c r="M1561" s="34">
        <f t="shared" si="120"/>
        <v>0</v>
      </c>
    </row>
    <row r="1562" spans="5:13" x14ac:dyDescent="0.25">
      <c r="E1562" s="32">
        <f t="shared" si="123"/>
        <v>0</v>
      </c>
      <c r="I1562" s="32">
        <f t="shared" si="124"/>
        <v>0</v>
      </c>
      <c r="K1562" s="31">
        <f t="shared" si="121"/>
        <v>0</v>
      </c>
      <c r="L1562" s="34">
        <f t="shared" si="122"/>
        <v>0</v>
      </c>
      <c r="M1562" s="34">
        <f t="shared" si="120"/>
        <v>0</v>
      </c>
    </row>
    <row r="1563" spans="5:13" x14ac:dyDescent="0.25">
      <c r="E1563" s="32">
        <f t="shared" si="123"/>
        <v>0</v>
      </c>
      <c r="I1563" s="32">
        <f t="shared" si="124"/>
        <v>0</v>
      </c>
      <c r="K1563" s="31">
        <f t="shared" si="121"/>
        <v>0</v>
      </c>
      <c r="L1563" s="34">
        <f t="shared" si="122"/>
        <v>0</v>
      </c>
      <c r="M1563" s="34">
        <f t="shared" si="120"/>
        <v>0</v>
      </c>
    </row>
    <row r="1564" spans="5:13" x14ac:dyDescent="0.25">
      <c r="E1564" s="32">
        <f t="shared" si="123"/>
        <v>0</v>
      </c>
      <c r="I1564" s="32">
        <f t="shared" si="124"/>
        <v>0</v>
      </c>
      <c r="K1564" s="31">
        <f t="shared" si="121"/>
        <v>0</v>
      </c>
      <c r="L1564" s="34">
        <f t="shared" si="122"/>
        <v>0</v>
      </c>
      <c r="M1564" s="34">
        <f t="shared" si="120"/>
        <v>0</v>
      </c>
    </row>
    <row r="1565" spans="5:13" x14ac:dyDescent="0.25">
      <c r="E1565" s="32">
        <f t="shared" si="123"/>
        <v>0</v>
      </c>
      <c r="I1565" s="32">
        <f t="shared" si="124"/>
        <v>0</v>
      </c>
      <c r="K1565" s="31">
        <f t="shared" si="121"/>
        <v>0</v>
      </c>
      <c r="L1565" s="34">
        <f t="shared" si="122"/>
        <v>0</v>
      </c>
      <c r="M1565" s="34">
        <f t="shared" si="120"/>
        <v>0</v>
      </c>
    </row>
    <row r="1566" spans="5:13" x14ac:dyDescent="0.25">
      <c r="E1566" s="32">
        <f t="shared" si="123"/>
        <v>0</v>
      </c>
      <c r="I1566" s="32">
        <f t="shared" si="124"/>
        <v>0</v>
      </c>
      <c r="K1566" s="31">
        <f t="shared" si="121"/>
        <v>0</v>
      </c>
      <c r="L1566" s="34">
        <f t="shared" si="122"/>
        <v>0</v>
      </c>
      <c r="M1566" s="34">
        <f t="shared" si="120"/>
        <v>0</v>
      </c>
    </row>
    <row r="1567" spans="5:13" x14ac:dyDescent="0.25">
      <c r="E1567" s="32">
        <f t="shared" si="123"/>
        <v>0</v>
      </c>
      <c r="I1567" s="32">
        <f t="shared" si="124"/>
        <v>0</v>
      </c>
      <c r="K1567" s="31">
        <f t="shared" si="121"/>
        <v>0</v>
      </c>
      <c r="L1567" s="34">
        <f t="shared" si="122"/>
        <v>0</v>
      </c>
      <c r="M1567" s="34">
        <f t="shared" si="120"/>
        <v>0</v>
      </c>
    </row>
    <row r="1568" spans="5:13" x14ac:dyDescent="0.25">
      <c r="E1568" s="32">
        <f t="shared" si="123"/>
        <v>0</v>
      </c>
      <c r="I1568" s="32">
        <f t="shared" si="124"/>
        <v>0</v>
      </c>
      <c r="K1568" s="31">
        <f t="shared" si="121"/>
        <v>0</v>
      </c>
      <c r="L1568" s="34">
        <f t="shared" si="122"/>
        <v>0</v>
      </c>
      <c r="M1568" s="34">
        <f t="shared" si="120"/>
        <v>0</v>
      </c>
    </row>
    <row r="1569" spans="5:13" x14ac:dyDescent="0.25">
      <c r="E1569" s="32">
        <f t="shared" si="123"/>
        <v>0</v>
      </c>
      <c r="I1569" s="32">
        <f t="shared" si="124"/>
        <v>0</v>
      </c>
      <c r="K1569" s="31">
        <f t="shared" si="121"/>
        <v>0</v>
      </c>
      <c r="L1569" s="34">
        <f t="shared" si="122"/>
        <v>0</v>
      </c>
      <c r="M1569" s="34">
        <f t="shared" si="120"/>
        <v>0</v>
      </c>
    </row>
    <row r="1570" spans="5:13" x14ac:dyDescent="0.25">
      <c r="E1570" s="32">
        <f t="shared" si="123"/>
        <v>0</v>
      </c>
      <c r="I1570" s="32">
        <f t="shared" si="124"/>
        <v>0</v>
      </c>
      <c r="K1570" s="31">
        <f t="shared" si="121"/>
        <v>0</v>
      </c>
      <c r="L1570" s="34">
        <f t="shared" si="122"/>
        <v>0</v>
      </c>
      <c r="M1570" s="34">
        <f t="shared" si="120"/>
        <v>0</v>
      </c>
    </row>
    <row r="1571" spans="5:13" x14ac:dyDescent="0.25">
      <c r="E1571" s="32">
        <f t="shared" si="123"/>
        <v>0</v>
      </c>
      <c r="I1571" s="32">
        <f t="shared" si="124"/>
        <v>0</v>
      </c>
      <c r="K1571" s="31">
        <f t="shared" si="121"/>
        <v>0</v>
      </c>
      <c r="L1571" s="34">
        <f t="shared" si="122"/>
        <v>0</v>
      </c>
      <c r="M1571" s="34">
        <f t="shared" si="120"/>
        <v>0</v>
      </c>
    </row>
    <row r="1572" spans="5:13" x14ac:dyDescent="0.25">
      <c r="E1572" s="32">
        <f t="shared" si="123"/>
        <v>0</v>
      </c>
      <c r="I1572" s="32">
        <f t="shared" si="124"/>
        <v>0</v>
      </c>
      <c r="K1572" s="31">
        <f t="shared" si="121"/>
        <v>0</v>
      </c>
      <c r="L1572" s="34">
        <f t="shared" si="122"/>
        <v>0</v>
      </c>
      <c r="M1572" s="34">
        <f t="shared" si="120"/>
        <v>0</v>
      </c>
    </row>
    <row r="1573" spans="5:13" x14ac:dyDescent="0.25">
      <c r="E1573" s="32">
        <f t="shared" si="123"/>
        <v>0</v>
      </c>
      <c r="I1573" s="32">
        <f t="shared" si="124"/>
        <v>0</v>
      </c>
      <c r="K1573" s="31">
        <f t="shared" si="121"/>
        <v>0</v>
      </c>
      <c r="L1573" s="34">
        <f t="shared" si="122"/>
        <v>0</v>
      </c>
      <c r="M1573" s="34">
        <f t="shared" si="120"/>
        <v>0</v>
      </c>
    </row>
    <row r="1574" spans="5:13" x14ac:dyDescent="0.25">
      <c r="E1574" s="32">
        <f t="shared" si="123"/>
        <v>0</v>
      </c>
      <c r="I1574" s="32">
        <f t="shared" si="124"/>
        <v>0</v>
      </c>
      <c r="K1574" s="31">
        <f t="shared" si="121"/>
        <v>0</v>
      </c>
      <c r="L1574" s="34">
        <f t="shared" si="122"/>
        <v>0</v>
      </c>
      <c r="M1574" s="34">
        <f t="shared" si="120"/>
        <v>0</v>
      </c>
    </row>
    <row r="1575" spans="5:13" x14ac:dyDescent="0.25">
      <c r="E1575" s="32">
        <f t="shared" si="123"/>
        <v>0</v>
      </c>
      <c r="I1575" s="32">
        <f t="shared" si="124"/>
        <v>0</v>
      </c>
      <c r="K1575" s="31">
        <f t="shared" si="121"/>
        <v>0</v>
      </c>
      <c r="L1575" s="34">
        <f t="shared" si="122"/>
        <v>0</v>
      </c>
      <c r="M1575" s="34">
        <f t="shared" si="120"/>
        <v>0</v>
      </c>
    </row>
    <row r="1576" spans="5:13" x14ac:dyDescent="0.25">
      <c r="E1576" s="32">
        <f t="shared" si="123"/>
        <v>0</v>
      </c>
      <c r="I1576" s="32">
        <f t="shared" si="124"/>
        <v>0</v>
      </c>
      <c r="K1576" s="31">
        <f t="shared" si="121"/>
        <v>0</v>
      </c>
      <c r="L1576" s="34">
        <f t="shared" si="122"/>
        <v>0</v>
      </c>
      <c r="M1576" s="34">
        <f t="shared" si="120"/>
        <v>0</v>
      </c>
    </row>
    <row r="1577" spans="5:13" x14ac:dyDescent="0.25">
      <c r="E1577" s="32">
        <f t="shared" si="123"/>
        <v>0</v>
      </c>
      <c r="I1577" s="32">
        <f t="shared" si="124"/>
        <v>0</v>
      </c>
      <c r="K1577" s="31">
        <f t="shared" si="121"/>
        <v>0</v>
      </c>
      <c r="L1577" s="34">
        <f t="shared" si="122"/>
        <v>0</v>
      </c>
      <c r="M1577" s="34">
        <f t="shared" si="120"/>
        <v>0</v>
      </c>
    </row>
    <row r="1578" spans="5:13" x14ac:dyDescent="0.25">
      <c r="E1578" s="32">
        <f t="shared" si="123"/>
        <v>0</v>
      </c>
      <c r="I1578" s="32">
        <f t="shared" si="124"/>
        <v>0</v>
      </c>
      <c r="K1578" s="31">
        <f t="shared" si="121"/>
        <v>0</v>
      </c>
      <c r="L1578" s="34">
        <f t="shared" si="122"/>
        <v>0</v>
      </c>
      <c r="M1578" s="34">
        <f t="shared" si="120"/>
        <v>0</v>
      </c>
    </row>
    <row r="1579" spans="5:13" x14ac:dyDescent="0.25">
      <c r="E1579" s="32">
        <f t="shared" si="123"/>
        <v>0</v>
      </c>
      <c r="I1579" s="32">
        <f t="shared" si="124"/>
        <v>0</v>
      </c>
      <c r="K1579" s="31">
        <f t="shared" si="121"/>
        <v>0</v>
      </c>
      <c r="L1579" s="34">
        <f t="shared" si="122"/>
        <v>0</v>
      </c>
      <c r="M1579" s="34">
        <f t="shared" si="120"/>
        <v>0</v>
      </c>
    </row>
    <row r="1580" spans="5:13" x14ac:dyDescent="0.25">
      <c r="E1580" s="32">
        <f t="shared" si="123"/>
        <v>0</v>
      </c>
      <c r="I1580" s="32">
        <f t="shared" si="124"/>
        <v>0</v>
      </c>
      <c r="K1580" s="31">
        <f t="shared" si="121"/>
        <v>0</v>
      </c>
      <c r="L1580" s="34">
        <f t="shared" si="122"/>
        <v>0</v>
      </c>
      <c r="M1580" s="34">
        <f t="shared" si="120"/>
        <v>0</v>
      </c>
    </row>
    <row r="1581" spans="5:13" x14ac:dyDescent="0.25">
      <c r="E1581" s="32">
        <f t="shared" si="123"/>
        <v>0</v>
      </c>
      <c r="I1581" s="32">
        <f t="shared" si="124"/>
        <v>0</v>
      </c>
      <c r="K1581" s="31">
        <f t="shared" si="121"/>
        <v>0</v>
      </c>
      <c r="L1581" s="34">
        <f t="shared" si="122"/>
        <v>0</v>
      </c>
      <c r="M1581" s="34">
        <f t="shared" si="120"/>
        <v>0</v>
      </c>
    </row>
    <row r="1582" spans="5:13" x14ac:dyDescent="0.25">
      <c r="E1582" s="32">
        <f t="shared" si="123"/>
        <v>0</v>
      </c>
      <c r="I1582" s="32">
        <f t="shared" si="124"/>
        <v>0</v>
      </c>
      <c r="K1582" s="31">
        <f t="shared" si="121"/>
        <v>0</v>
      </c>
      <c r="L1582" s="34">
        <f t="shared" si="122"/>
        <v>0</v>
      </c>
      <c r="M1582" s="34">
        <f t="shared" si="120"/>
        <v>0</v>
      </c>
    </row>
    <row r="1583" spans="5:13" x14ac:dyDescent="0.25">
      <c r="E1583" s="32">
        <f t="shared" si="123"/>
        <v>0</v>
      </c>
      <c r="I1583" s="32">
        <f t="shared" si="124"/>
        <v>0</v>
      </c>
      <c r="K1583" s="31">
        <f t="shared" si="121"/>
        <v>0</v>
      </c>
      <c r="L1583" s="34">
        <f t="shared" si="122"/>
        <v>0</v>
      </c>
      <c r="M1583" s="34">
        <f t="shared" si="120"/>
        <v>0</v>
      </c>
    </row>
    <row r="1584" spans="5:13" x14ac:dyDescent="0.25">
      <c r="E1584" s="32">
        <f t="shared" si="123"/>
        <v>0</v>
      </c>
      <c r="I1584" s="32">
        <f t="shared" si="124"/>
        <v>0</v>
      </c>
      <c r="K1584" s="31">
        <f t="shared" si="121"/>
        <v>0</v>
      </c>
      <c r="L1584" s="34">
        <f t="shared" si="122"/>
        <v>0</v>
      </c>
      <c r="M1584" s="34">
        <f t="shared" si="120"/>
        <v>0</v>
      </c>
    </row>
    <row r="1585" spans="5:13" x14ac:dyDescent="0.25">
      <c r="E1585" s="32">
        <f t="shared" si="123"/>
        <v>0</v>
      </c>
      <c r="I1585" s="32">
        <f t="shared" si="124"/>
        <v>0</v>
      </c>
      <c r="K1585" s="31">
        <f t="shared" si="121"/>
        <v>0</v>
      </c>
      <c r="L1585" s="34">
        <f t="shared" si="122"/>
        <v>0</v>
      </c>
      <c r="M1585" s="34">
        <f t="shared" si="120"/>
        <v>0</v>
      </c>
    </row>
    <row r="1586" spans="5:13" x14ac:dyDescent="0.25">
      <c r="E1586" s="32">
        <f t="shared" si="123"/>
        <v>0</v>
      </c>
      <c r="I1586" s="32">
        <f t="shared" si="124"/>
        <v>0</v>
      </c>
      <c r="K1586" s="31">
        <f t="shared" si="121"/>
        <v>0</v>
      </c>
      <c r="L1586" s="34">
        <f t="shared" si="122"/>
        <v>0</v>
      </c>
      <c r="M1586" s="34">
        <f t="shared" si="120"/>
        <v>0</v>
      </c>
    </row>
    <row r="1587" spans="5:13" x14ac:dyDescent="0.25">
      <c r="E1587" s="32">
        <f t="shared" si="123"/>
        <v>0</v>
      </c>
      <c r="I1587" s="32">
        <f t="shared" si="124"/>
        <v>0</v>
      </c>
      <c r="K1587" s="31">
        <f t="shared" si="121"/>
        <v>0</v>
      </c>
      <c r="L1587" s="34">
        <f t="shared" si="122"/>
        <v>0</v>
      </c>
      <c r="M1587" s="34">
        <f t="shared" si="120"/>
        <v>0</v>
      </c>
    </row>
    <row r="1588" spans="5:13" x14ac:dyDescent="0.25">
      <c r="E1588" s="32">
        <f t="shared" si="123"/>
        <v>0</v>
      </c>
      <c r="I1588" s="32">
        <f t="shared" si="124"/>
        <v>0</v>
      </c>
      <c r="K1588" s="31">
        <f t="shared" si="121"/>
        <v>0</v>
      </c>
      <c r="L1588" s="34">
        <f t="shared" si="122"/>
        <v>0</v>
      </c>
      <c r="M1588" s="34">
        <f t="shared" si="120"/>
        <v>0</v>
      </c>
    </row>
    <row r="1589" spans="5:13" x14ac:dyDescent="0.25">
      <c r="E1589" s="32">
        <f t="shared" si="123"/>
        <v>0</v>
      </c>
      <c r="I1589" s="32">
        <f t="shared" si="124"/>
        <v>0</v>
      </c>
      <c r="K1589" s="31">
        <f t="shared" si="121"/>
        <v>0</v>
      </c>
      <c r="L1589" s="34">
        <f t="shared" si="122"/>
        <v>0</v>
      </c>
      <c r="M1589" s="34">
        <f t="shared" si="120"/>
        <v>0</v>
      </c>
    </row>
    <row r="1590" spans="5:13" x14ac:dyDescent="0.25">
      <c r="E1590" s="32">
        <f t="shared" si="123"/>
        <v>0</v>
      </c>
      <c r="I1590" s="32">
        <f t="shared" si="124"/>
        <v>0</v>
      </c>
      <c r="K1590" s="31">
        <f t="shared" si="121"/>
        <v>0</v>
      </c>
      <c r="L1590" s="34">
        <f t="shared" si="122"/>
        <v>0</v>
      </c>
      <c r="M1590" s="34">
        <f t="shared" si="120"/>
        <v>0</v>
      </c>
    </row>
    <row r="1591" spans="5:13" x14ac:dyDescent="0.25">
      <c r="E1591" s="32">
        <f t="shared" si="123"/>
        <v>0</v>
      </c>
      <c r="I1591" s="32">
        <f t="shared" si="124"/>
        <v>0</v>
      </c>
      <c r="K1591" s="31">
        <f t="shared" si="121"/>
        <v>0</v>
      </c>
      <c r="L1591" s="34">
        <f t="shared" si="122"/>
        <v>0</v>
      </c>
      <c r="M1591" s="34">
        <f t="shared" si="120"/>
        <v>0</v>
      </c>
    </row>
    <row r="1592" spans="5:13" x14ac:dyDescent="0.25">
      <c r="E1592" s="32">
        <f t="shared" si="123"/>
        <v>0</v>
      </c>
      <c r="I1592" s="32">
        <f t="shared" si="124"/>
        <v>0</v>
      </c>
      <c r="K1592" s="31">
        <f t="shared" si="121"/>
        <v>0</v>
      </c>
      <c r="L1592" s="34">
        <f t="shared" si="122"/>
        <v>0</v>
      </c>
      <c r="M1592" s="34">
        <f t="shared" si="120"/>
        <v>0</v>
      </c>
    </row>
    <row r="1593" spans="5:13" x14ac:dyDescent="0.25">
      <c r="E1593" s="32">
        <f t="shared" si="123"/>
        <v>0</v>
      </c>
      <c r="I1593" s="32">
        <f t="shared" si="124"/>
        <v>0</v>
      </c>
      <c r="K1593" s="31">
        <f t="shared" si="121"/>
        <v>0</v>
      </c>
      <c r="L1593" s="34">
        <f t="shared" si="122"/>
        <v>0</v>
      </c>
      <c r="M1593" s="34">
        <f t="shared" si="120"/>
        <v>0</v>
      </c>
    </row>
    <row r="1594" spans="5:13" x14ac:dyDescent="0.25">
      <c r="E1594" s="32">
        <f t="shared" si="123"/>
        <v>0</v>
      </c>
      <c r="I1594" s="32">
        <f t="shared" si="124"/>
        <v>0</v>
      </c>
      <c r="K1594" s="31">
        <f t="shared" si="121"/>
        <v>0</v>
      </c>
      <c r="L1594" s="34">
        <f t="shared" si="122"/>
        <v>0</v>
      </c>
      <c r="M1594" s="34">
        <f t="shared" si="120"/>
        <v>0</v>
      </c>
    </row>
    <row r="1595" spans="5:13" x14ac:dyDescent="0.25">
      <c r="E1595" s="32">
        <f t="shared" si="123"/>
        <v>0</v>
      </c>
      <c r="I1595" s="32">
        <f t="shared" si="124"/>
        <v>0</v>
      </c>
      <c r="K1595" s="31">
        <f t="shared" si="121"/>
        <v>0</v>
      </c>
      <c r="L1595" s="34">
        <f t="shared" si="122"/>
        <v>0</v>
      </c>
      <c r="M1595" s="34">
        <f t="shared" si="120"/>
        <v>0</v>
      </c>
    </row>
    <row r="1596" spans="5:13" x14ac:dyDescent="0.25">
      <c r="E1596" s="32">
        <f t="shared" si="123"/>
        <v>0</v>
      </c>
      <c r="I1596" s="32">
        <f t="shared" si="124"/>
        <v>0</v>
      </c>
      <c r="K1596" s="31">
        <f t="shared" si="121"/>
        <v>0</v>
      </c>
      <c r="L1596" s="34">
        <f t="shared" si="122"/>
        <v>0</v>
      </c>
      <c r="M1596" s="34">
        <f t="shared" si="120"/>
        <v>0</v>
      </c>
    </row>
    <row r="1597" spans="5:13" x14ac:dyDescent="0.25">
      <c r="E1597" s="32">
        <f t="shared" si="123"/>
        <v>0</v>
      </c>
      <c r="I1597" s="32">
        <f t="shared" si="124"/>
        <v>0</v>
      </c>
      <c r="K1597" s="31">
        <f t="shared" si="121"/>
        <v>0</v>
      </c>
      <c r="L1597" s="34">
        <f t="shared" si="122"/>
        <v>0</v>
      </c>
      <c r="M1597" s="34">
        <f t="shared" si="120"/>
        <v>0</v>
      </c>
    </row>
    <row r="1598" spans="5:13" x14ac:dyDescent="0.25">
      <c r="E1598" s="32">
        <f t="shared" si="123"/>
        <v>0</v>
      </c>
      <c r="I1598" s="32">
        <f t="shared" si="124"/>
        <v>0</v>
      </c>
      <c r="K1598" s="31">
        <f t="shared" si="121"/>
        <v>0</v>
      </c>
      <c r="L1598" s="34">
        <f t="shared" si="122"/>
        <v>0</v>
      </c>
      <c r="M1598" s="34">
        <f t="shared" si="120"/>
        <v>0</v>
      </c>
    </row>
    <row r="1599" spans="5:13" x14ac:dyDescent="0.25">
      <c r="E1599" s="32">
        <f t="shared" si="123"/>
        <v>0</v>
      </c>
      <c r="I1599" s="32">
        <f t="shared" si="124"/>
        <v>0</v>
      </c>
      <c r="K1599" s="31">
        <f t="shared" si="121"/>
        <v>0</v>
      </c>
      <c r="L1599" s="34">
        <f t="shared" si="122"/>
        <v>0</v>
      </c>
      <c r="M1599" s="34">
        <f t="shared" si="120"/>
        <v>0</v>
      </c>
    </row>
    <row r="1600" spans="5:13" x14ac:dyDescent="0.25">
      <c r="E1600" s="32">
        <f t="shared" si="123"/>
        <v>0</v>
      </c>
      <c r="I1600" s="32">
        <f t="shared" si="124"/>
        <v>0</v>
      </c>
      <c r="K1600" s="31">
        <f t="shared" si="121"/>
        <v>0</v>
      </c>
      <c r="L1600" s="34">
        <f t="shared" si="122"/>
        <v>0</v>
      </c>
      <c r="M1600" s="34">
        <f t="shared" si="120"/>
        <v>0</v>
      </c>
    </row>
    <row r="1601" spans="5:13" x14ac:dyDescent="0.25">
      <c r="E1601" s="32">
        <f t="shared" si="123"/>
        <v>0</v>
      </c>
      <c r="I1601" s="32">
        <f t="shared" si="124"/>
        <v>0</v>
      </c>
      <c r="K1601" s="31">
        <f t="shared" si="121"/>
        <v>0</v>
      </c>
      <c r="L1601" s="34">
        <f t="shared" si="122"/>
        <v>0</v>
      </c>
      <c r="M1601" s="34">
        <f t="shared" si="120"/>
        <v>0</v>
      </c>
    </row>
    <row r="1602" spans="5:13" x14ac:dyDescent="0.25">
      <c r="E1602" s="32">
        <f t="shared" si="123"/>
        <v>0</v>
      </c>
      <c r="I1602" s="32">
        <f t="shared" si="124"/>
        <v>0</v>
      </c>
      <c r="K1602" s="31">
        <f t="shared" si="121"/>
        <v>0</v>
      </c>
      <c r="L1602" s="34">
        <f t="shared" si="122"/>
        <v>0</v>
      </c>
      <c r="M1602" s="34">
        <f t="shared" si="120"/>
        <v>0</v>
      </c>
    </row>
    <row r="1603" spans="5:13" x14ac:dyDescent="0.25">
      <c r="E1603" s="32">
        <f t="shared" si="123"/>
        <v>0</v>
      </c>
      <c r="I1603" s="32">
        <f t="shared" si="124"/>
        <v>0</v>
      </c>
      <c r="K1603" s="31">
        <f t="shared" si="121"/>
        <v>0</v>
      </c>
      <c r="L1603" s="34">
        <f t="shared" si="122"/>
        <v>0</v>
      </c>
      <c r="M1603" s="34">
        <f t="shared" si="120"/>
        <v>0</v>
      </c>
    </row>
    <row r="1604" spans="5:13" x14ac:dyDescent="0.25">
      <c r="E1604" s="32">
        <f t="shared" si="123"/>
        <v>0</v>
      </c>
      <c r="I1604" s="32">
        <f t="shared" si="124"/>
        <v>0</v>
      </c>
      <c r="K1604" s="31">
        <f t="shared" si="121"/>
        <v>0</v>
      </c>
      <c r="L1604" s="34">
        <f t="shared" si="122"/>
        <v>0</v>
      </c>
      <c r="M1604" s="34">
        <f t="shared" ref="M1604:M1667" si="125">(L1604/27)*4</f>
        <v>0</v>
      </c>
    </row>
    <row r="1605" spans="5:13" x14ac:dyDescent="0.25">
      <c r="E1605" s="32">
        <f t="shared" si="123"/>
        <v>0</v>
      </c>
      <c r="I1605" s="32">
        <f t="shared" si="124"/>
        <v>0</v>
      </c>
      <c r="K1605" s="31">
        <f t="shared" ref="K1605:K1668" si="126">B1605/30</f>
        <v>0</v>
      </c>
      <c r="L1605" s="34">
        <f t="shared" ref="L1605:L1668" si="127">IF(J1605="S",((I1605*24)*K1605)*2,((I1605*24)*K1605)*1.5)</f>
        <v>0</v>
      </c>
      <c r="M1605" s="34">
        <f t="shared" si="125"/>
        <v>0</v>
      </c>
    </row>
    <row r="1606" spans="5:13" x14ac:dyDescent="0.25">
      <c r="E1606" s="32">
        <f t="shared" ref="E1606:E1669" si="128">D1606-C1606</f>
        <v>0</v>
      </c>
      <c r="I1606" s="32">
        <f t="shared" ref="I1606:I1669" si="129">H1606-G1606</f>
        <v>0</v>
      </c>
      <c r="K1606" s="31">
        <f t="shared" si="126"/>
        <v>0</v>
      </c>
      <c r="L1606" s="34">
        <f t="shared" si="127"/>
        <v>0</v>
      </c>
      <c r="M1606" s="34">
        <f t="shared" si="125"/>
        <v>0</v>
      </c>
    </row>
    <row r="1607" spans="5:13" x14ac:dyDescent="0.25">
      <c r="E1607" s="32">
        <f t="shared" si="128"/>
        <v>0</v>
      </c>
      <c r="I1607" s="32">
        <f t="shared" si="129"/>
        <v>0</v>
      </c>
      <c r="K1607" s="31">
        <f t="shared" si="126"/>
        <v>0</v>
      </c>
      <c r="L1607" s="34">
        <f t="shared" si="127"/>
        <v>0</v>
      </c>
      <c r="M1607" s="34">
        <f t="shared" si="125"/>
        <v>0</v>
      </c>
    </row>
    <row r="1608" spans="5:13" x14ac:dyDescent="0.25">
      <c r="E1608" s="32">
        <f t="shared" si="128"/>
        <v>0</v>
      </c>
      <c r="I1608" s="32">
        <f t="shared" si="129"/>
        <v>0</v>
      </c>
      <c r="K1608" s="31">
        <f t="shared" si="126"/>
        <v>0</v>
      </c>
      <c r="L1608" s="34">
        <f t="shared" si="127"/>
        <v>0</v>
      </c>
      <c r="M1608" s="34">
        <f t="shared" si="125"/>
        <v>0</v>
      </c>
    </row>
    <row r="1609" spans="5:13" x14ac:dyDescent="0.25">
      <c r="E1609" s="32">
        <f t="shared" si="128"/>
        <v>0</v>
      </c>
      <c r="I1609" s="32">
        <f t="shared" si="129"/>
        <v>0</v>
      </c>
      <c r="K1609" s="31">
        <f t="shared" si="126"/>
        <v>0</v>
      </c>
      <c r="L1609" s="34">
        <f t="shared" si="127"/>
        <v>0</v>
      </c>
      <c r="M1609" s="34">
        <f t="shared" si="125"/>
        <v>0</v>
      </c>
    </row>
    <row r="1610" spans="5:13" x14ac:dyDescent="0.25">
      <c r="E1610" s="32">
        <f t="shared" si="128"/>
        <v>0</v>
      </c>
      <c r="I1610" s="32">
        <f t="shared" si="129"/>
        <v>0</v>
      </c>
      <c r="K1610" s="31">
        <f t="shared" si="126"/>
        <v>0</v>
      </c>
      <c r="L1610" s="34">
        <f t="shared" si="127"/>
        <v>0</v>
      </c>
      <c r="M1610" s="34">
        <f t="shared" si="125"/>
        <v>0</v>
      </c>
    </row>
    <row r="1611" spans="5:13" x14ac:dyDescent="0.25">
      <c r="E1611" s="32">
        <f t="shared" si="128"/>
        <v>0</v>
      </c>
      <c r="I1611" s="32">
        <f t="shared" si="129"/>
        <v>0</v>
      </c>
      <c r="K1611" s="31">
        <f t="shared" si="126"/>
        <v>0</v>
      </c>
      <c r="L1611" s="34">
        <f t="shared" si="127"/>
        <v>0</v>
      </c>
      <c r="M1611" s="34">
        <f t="shared" si="125"/>
        <v>0</v>
      </c>
    </row>
    <row r="1612" spans="5:13" x14ac:dyDescent="0.25">
      <c r="E1612" s="32">
        <f t="shared" si="128"/>
        <v>0</v>
      </c>
      <c r="I1612" s="32">
        <f t="shared" si="129"/>
        <v>0</v>
      </c>
      <c r="K1612" s="31">
        <f t="shared" si="126"/>
        <v>0</v>
      </c>
      <c r="L1612" s="34">
        <f t="shared" si="127"/>
        <v>0</v>
      </c>
      <c r="M1612" s="34">
        <f t="shared" si="125"/>
        <v>0</v>
      </c>
    </row>
    <row r="1613" spans="5:13" x14ac:dyDescent="0.25">
      <c r="E1613" s="32">
        <f t="shared" si="128"/>
        <v>0</v>
      </c>
      <c r="I1613" s="32">
        <f t="shared" si="129"/>
        <v>0</v>
      </c>
      <c r="K1613" s="31">
        <f t="shared" si="126"/>
        <v>0</v>
      </c>
      <c r="L1613" s="34">
        <f t="shared" si="127"/>
        <v>0</v>
      </c>
      <c r="M1613" s="34">
        <f t="shared" si="125"/>
        <v>0</v>
      </c>
    </row>
    <row r="1614" spans="5:13" x14ac:dyDescent="0.25">
      <c r="E1614" s="32">
        <f t="shared" si="128"/>
        <v>0</v>
      </c>
      <c r="I1614" s="32">
        <f t="shared" si="129"/>
        <v>0</v>
      </c>
      <c r="K1614" s="31">
        <f t="shared" si="126"/>
        <v>0</v>
      </c>
      <c r="L1614" s="34">
        <f t="shared" si="127"/>
        <v>0</v>
      </c>
      <c r="M1614" s="34">
        <f t="shared" si="125"/>
        <v>0</v>
      </c>
    </row>
    <row r="1615" spans="5:13" x14ac:dyDescent="0.25">
      <c r="E1615" s="32">
        <f t="shared" si="128"/>
        <v>0</v>
      </c>
      <c r="I1615" s="32">
        <f t="shared" si="129"/>
        <v>0</v>
      </c>
      <c r="K1615" s="31">
        <f t="shared" si="126"/>
        <v>0</v>
      </c>
      <c r="L1615" s="34">
        <f t="shared" si="127"/>
        <v>0</v>
      </c>
      <c r="M1615" s="34">
        <f t="shared" si="125"/>
        <v>0</v>
      </c>
    </row>
    <row r="1616" spans="5:13" x14ac:dyDescent="0.25">
      <c r="E1616" s="32">
        <f t="shared" si="128"/>
        <v>0</v>
      </c>
      <c r="I1616" s="32">
        <f t="shared" si="129"/>
        <v>0</v>
      </c>
      <c r="K1616" s="31">
        <f t="shared" si="126"/>
        <v>0</v>
      </c>
      <c r="L1616" s="34">
        <f t="shared" si="127"/>
        <v>0</v>
      </c>
      <c r="M1616" s="34">
        <f t="shared" si="125"/>
        <v>0</v>
      </c>
    </row>
    <row r="1617" spans="5:13" x14ac:dyDescent="0.25">
      <c r="E1617" s="32">
        <f t="shared" si="128"/>
        <v>0</v>
      </c>
      <c r="I1617" s="32">
        <f t="shared" si="129"/>
        <v>0</v>
      </c>
      <c r="K1617" s="31">
        <f t="shared" si="126"/>
        <v>0</v>
      </c>
      <c r="L1617" s="34">
        <f t="shared" si="127"/>
        <v>0</v>
      </c>
      <c r="M1617" s="34">
        <f t="shared" si="125"/>
        <v>0</v>
      </c>
    </row>
    <row r="1618" spans="5:13" x14ac:dyDescent="0.25">
      <c r="E1618" s="32">
        <f t="shared" si="128"/>
        <v>0</v>
      </c>
      <c r="I1618" s="32">
        <f t="shared" si="129"/>
        <v>0</v>
      </c>
      <c r="K1618" s="31">
        <f t="shared" si="126"/>
        <v>0</v>
      </c>
      <c r="L1618" s="34">
        <f t="shared" si="127"/>
        <v>0</v>
      </c>
      <c r="M1618" s="34">
        <f t="shared" si="125"/>
        <v>0</v>
      </c>
    </row>
    <row r="1619" spans="5:13" x14ac:dyDescent="0.25">
      <c r="E1619" s="32">
        <f t="shared" si="128"/>
        <v>0</v>
      </c>
      <c r="I1619" s="32">
        <f t="shared" si="129"/>
        <v>0</v>
      </c>
      <c r="K1619" s="31">
        <f t="shared" si="126"/>
        <v>0</v>
      </c>
      <c r="L1619" s="34">
        <f t="shared" si="127"/>
        <v>0</v>
      </c>
      <c r="M1619" s="34">
        <f t="shared" si="125"/>
        <v>0</v>
      </c>
    </row>
    <row r="1620" spans="5:13" x14ac:dyDescent="0.25">
      <c r="E1620" s="32">
        <f t="shared" si="128"/>
        <v>0</v>
      </c>
      <c r="I1620" s="32">
        <f t="shared" si="129"/>
        <v>0</v>
      </c>
      <c r="K1620" s="31">
        <f t="shared" si="126"/>
        <v>0</v>
      </c>
      <c r="L1620" s="34">
        <f t="shared" si="127"/>
        <v>0</v>
      </c>
      <c r="M1620" s="34">
        <f t="shared" si="125"/>
        <v>0</v>
      </c>
    </row>
    <row r="1621" spans="5:13" x14ac:dyDescent="0.25">
      <c r="E1621" s="32">
        <f t="shared" si="128"/>
        <v>0</v>
      </c>
      <c r="I1621" s="32">
        <f t="shared" si="129"/>
        <v>0</v>
      </c>
      <c r="K1621" s="31">
        <f t="shared" si="126"/>
        <v>0</v>
      </c>
      <c r="L1621" s="34">
        <f t="shared" si="127"/>
        <v>0</v>
      </c>
      <c r="M1621" s="34">
        <f t="shared" si="125"/>
        <v>0</v>
      </c>
    </row>
    <row r="1622" spans="5:13" x14ac:dyDescent="0.25">
      <c r="E1622" s="32">
        <f t="shared" si="128"/>
        <v>0</v>
      </c>
      <c r="I1622" s="32">
        <f t="shared" si="129"/>
        <v>0</v>
      </c>
      <c r="K1622" s="31">
        <f t="shared" si="126"/>
        <v>0</v>
      </c>
      <c r="L1622" s="34">
        <f t="shared" si="127"/>
        <v>0</v>
      </c>
      <c r="M1622" s="34">
        <f t="shared" si="125"/>
        <v>0</v>
      </c>
    </row>
    <row r="1623" spans="5:13" x14ac:dyDescent="0.25">
      <c r="E1623" s="32">
        <f t="shared" si="128"/>
        <v>0</v>
      </c>
      <c r="I1623" s="32">
        <f t="shared" si="129"/>
        <v>0</v>
      </c>
      <c r="K1623" s="31">
        <f t="shared" si="126"/>
        <v>0</v>
      </c>
      <c r="L1623" s="34">
        <f t="shared" si="127"/>
        <v>0</v>
      </c>
      <c r="M1623" s="34">
        <f t="shared" si="125"/>
        <v>0</v>
      </c>
    </row>
    <row r="1624" spans="5:13" x14ac:dyDescent="0.25">
      <c r="E1624" s="32">
        <f t="shared" si="128"/>
        <v>0</v>
      </c>
      <c r="I1624" s="32">
        <f t="shared" si="129"/>
        <v>0</v>
      </c>
      <c r="K1624" s="31">
        <f t="shared" si="126"/>
        <v>0</v>
      </c>
      <c r="L1624" s="34">
        <f t="shared" si="127"/>
        <v>0</v>
      </c>
      <c r="M1624" s="34">
        <f t="shared" si="125"/>
        <v>0</v>
      </c>
    </row>
    <row r="1625" spans="5:13" x14ac:dyDescent="0.25">
      <c r="E1625" s="32">
        <f t="shared" si="128"/>
        <v>0</v>
      </c>
      <c r="I1625" s="32">
        <f t="shared" si="129"/>
        <v>0</v>
      </c>
      <c r="K1625" s="31">
        <f t="shared" si="126"/>
        <v>0</v>
      </c>
      <c r="L1625" s="34">
        <f t="shared" si="127"/>
        <v>0</v>
      </c>
      <c r="M1625" s="34">
        <f t="shared" si="125"/>
        <v>0</v>
      </c>
    </row>
    <row r="1626" spans="5:13" x14ac:dyDescent="0.25">
      <c r="E1626" s="32">
        <f t="shared" si="128"/>
        <v>0</v>
      </c>
      <c r="I1626" s="32">
        <f t="shared" si="129"/>
        <v>0</v>
      </c>
      <c r="K1626" s="31">
        <f t="shared" si="126"/>
        <v>0</v>
      </c>
      <c r="L1626" s="34">
        <f t="shared" si="127"/>
        <v>0</v>
      </c>
      <c r="M1626" s="34">
        <f t="shared" si="125"/>
        <v>0</v>
      </c>
    </row>
    <row r="1627" spans="5:13" x14ac:dyDescent="0.25">
      <c r="E1627" s="32">
        <f t="shared" si="128"/>
        <v>0</v>
      </c>
      <c r="I1627" s="32">
        <f t="shared" si="129"/>
        <v>0</v>
      </c>
      <c r="K1627" s="31">
        <f t="shared" si="126"/>
        <v>0</v>
      </c>
      <c r="L1627" s="34">
        <f t="shared" si="127"/>
        <v>0</v>
      </c>
      <c r="M1627" s="34">
        <f t="shared" si="125"/>
        <v>0</v>
      </c>
    </row>
    <row r="1628" spans="5:13" x14ac:dyDescent="0.25">
      <c r="E1628" s="32">
        <f t="shared" si="128"/>
        <v>0</v>
      </c>
      <c r="I1628" s="32">
        <f t="shared" si="129"/>
        <v>0</v>
      </c>
      <c r="K1628" s="31">
        <f t="shared" si="126"/>
        <v>0</v>
      </c>
      <c r="L1628" s="34">
        <f t="shared" si="127"/>
        <v>0</v>
      </c>
      <c r="M1628" s="34">
        <f t="shared" si="125"/>
        <v>0</v>
      </c>
    </row>
    <row r="1629" spans="5:13" x14ac:dyDescent="0.25">
      <c r="E1629" s="32">
        <f t="shared" si="128"/>
        <v>0</v>
      </c>
      <c r="I1629" s="32">
        <f t="shared" si="129"/>
        <v>0</v>
      </c>
      <c r="K1629" s="31">
        <f t="shared" si="126"/>
        <v>0</v>
      </c>
      <c r="L1629" s="34">
        <f t="shared" si="127"/>
        <v>0</v>
      </c>
      <c r="M1629" s="34">
        <f t="shared" si="125"/>
        <v>0</v>
      </c>
    </row>
    <row r="1630" spans="5:13" x14ac:dyDescent="0.25">
      <c r="E1630" s="32">
        <f t="shared" si="128"/>
        <v>0</v>
      </c>
      <c r="I1630" s="32">
        <f t="shared" si="129"/>
        <v>0</v>
      </c>
      <c r="K1630" s="31">
        <f t="shared" si="126"/>
        <v>0</v>
      </c>
      <c r="L1630" s="34">
        <f t="shared" si="127"/>
        <v>0</v>
      </c>
      <c r="M1630" s="34">
        <f t="shared" si="125"/>
        <v>0</v>
      </c>
    </row>
    <row r="1631" spans="5:13" x14ac:dyDescent="0.25">
      <c r="E1631" s="32">
        <f t="shared" si="128"/>
        <v>0</v>
      </c>
      <c r="I1631" s="32">
        <f t="shared" si="129"/>
        <v>0</v>
      </c>
      <c r="K1631" s="31">
        <f t="shared" si="126"/>
        <v>0</v>
      </c>
      <c r="L1631" s="34">
        <f t="shared" si="127"/>
        <v>0</v>
      </c>
      <c r="M1631" s="34">
        <f t="shared" si="125"/>
        <v>0</v>
      </c>
    </row>
    <row r="1632" spans="5:13" x14ac:dyDescent="0.25">
      <c r="E1632" s="32">
        <f t="shared" si="128"/>
        <v>0</v>
      </c>
      <c r="I1632" s="32">
        <f t="shared" si="129"/>
        <v>0</v>
      </c>
      <c r="K1632" s="31">
        <f t="shared" si="126"/>
        <v>0</v>
      </c>
      <c r="L1632" s="34">
        <f t="shared" si="127"/>
        <v>0</v>
      </c>
      <c r="M1632" s="34">
        <f t="shared" si="125"/>
        <v>0</v>
      </c>
    </row>
    <row r="1633" spans="5:13" x14ac:dyDescent="0.25">
      <c r="E1633" s="32">
        <f t="shared" si="128"/>
        <v>0</v>
      </c>
      <c r="I1633" s="32">
        <f t="shared" si="129"/>
        <v>0</v>
      </c>
      <c r="K1633" s="31">
        <f t="shared" si="126"/>
        <v>0</v>
      </c>
      <c r="L1633" s="34">
        <f t="shared" si="127"/>
        <v>0</v>
      </c>
      <c r="M1633" s="34">
        <f t="shared" si="125"/>
        <v>0</v>
      </c>
    </row>
    <row r="1634" spans="5:13" x14ac:dyDescent="0.25">
      <c r="E1634" s="32">
        <f t="shared" si="128"/>
        <v>0</v>
      </c>
      <c r="I1634" s="32">
        <f t="shared" si="129"/>
        <v>0</v>
      </c>
      <c r="K1634" s="31">
        <f t="shared" si="126"/>
        <v>0</v>
      </c>
      <c r="L1634" s="34">
        <f t="shared" si="127"/>
        <v>0</v>
      </c>
      <c r="M1634" s="34">
        <f t="shared" si="125"/>
        <v>0</v>
      </c>
    </row>
    <row r="1635" spans="5:13" x14ac:dyDescent="0.25">
      <c r="E1635" s="32">
        <f t="shared" si="128"/>
        <v>0</v>
      </c>
      <c r="I1635" s="32">
        <f t="shared" si="129"/>
        <v>0</v>
      </c>
      <c r="K1635" s="31">
        <f t="shared" si="126"/>
        <v>0</v>
      </c>
      <c r="L1635" s="34">
        <f t="shared" si="127"/>
        <v>0</v>
      </c>
      <c r="M1635" s="34">
        <f t="shared" si="125"/>
        <v>0</v>
      </c>
    </row>
    <row r="1636" spans="5:13" x14ac:dyDescent="0.25">
      <c r="E1636" s="32">
        <f t="shared" si="128"/>
        <v>0</v>
      </c>
      <c r="I1636" s="32">
        <f t="shared" si="129"/>
        <v>0</v>
      </c>
      <c r="K1636" s="31">
        <f t="shared" si="126"/>
        <v>0</v>
      </c>
      <c r="L1636" s="34">
        <f t="shared" si="127"/>
        <v>0</v>
      </c>
      <c r="M1636" s="34">
        <f t="shared" si="125"/>
        <v>0</v>
      </c>
    </row>
    <row r="1637" spans="5:13" x14ac:dyDescent="0.25">
      <c r="E1637" s="32">
        <f t="shared" si="128"/>
        <v>0</v>
      </c>
      <c r="I1637" s="32">
        <f t="shared" si="129"/>
        <v>0</v>
      </c>
      <c r="K1637" s="31">
        <f t="shared" si="126"/>
        <v>0</v>
      </c>
      <c r="L1637" s="34">
        <f t="shared" si="127"/>
        <v>0</v>
      </c>
      <c r="M1637" s="34">
        <f t="shared" si="125"/>
        <v>0</v>
      </c>
    </row>
    <row r="1638" spans="5:13" x14ac:dyDescent="0.25">
      <c r="E1638" s="32">
        <f t="shared" si="128"/>
        <v>0</v>
      </c>
      <c r="I1638" s="32">
        <f t="shared" si="129"/>
        <v>0</v>
      </c>
      <c r="K1638" s="31">
        <f t="shared" si="126"/>
        <v>0</v>
      </c>
      <c r="L1638" s="34">
        <f t="shared" si="127"/>
        <v>0</v>
      </c>
      <c r="M1638" s="34">
        <f t="shared" si="125"/>
        <v>0</v>
      </c>
    </row>
    <row r="1639" spans="5:13" x14ac:dyDescent="0.25">
      <c r="E1639" s="32">
        <f t="shared" si="128"/>
        <v>0</v>
      </c>
      <c r="I1639" s="32">
        <f t="shared" si="129"/>
        <v>0</v>
      </c>
      <c r="K1639" s="31">
        <f t="shared" si="126"/>
        <v>0</v>
      </c>
      <c r="L1639" s="34">
        <f t="shared" si="127"/>
        <v>0</v>
      </c>
      <c r="M1639" s="34">
        <f t="shared" si="125"/>
        <v>0</v>
      </c>
    </row>
    <row r="1640" spans="5:13" x14ac:dyDescent="0.25">
      <c r="E1640" s="32">
        <f t="shared" si="128"/>
        <v>0</v>
      </c>
      <c r="I1640" s="32">
        <f t="shared" si="129"/>
        <v>0</v>
      </c>
      <c r="K1640" s="31">
        <f t="shared" si="126"/>
        <v>0</v>
      </c>
      <c r="L1640" s="34">
        <f t="shared" si="127"/>
        <v>0</v>
      </c>
      <c r="M1640" s="34">
        <f t="shared" si="125"/>
        <v>0</v>
      </c>
    </row>
    <row r="1641" spans="5:13" x14ac:dyDescent="0.25">
      <c r="E1641" s="32">
        <f t="shared" si="128"/>
        <v>0</v>
      </c>
      <c r="I1641" s="32">
        <f t="shared" si="129"/>
        <v>0</v>
      </c>
      <c r="K1641" s="31">
        <f t="shared" si="126"/>
        <v>0</v>
      </c>
      <c r="L1641" s="34">
        <f t="shared" si="127"/>
        <v>0</v>
      </c>
      <c r="M1641" s="34">
        <f t="shared" si="125"/>
        <v>0</v>
      </c>
    </row>
    <row r="1642" spans="5:13" x14ac:dyDescent="0.25">
      <c r="E1642" s="32">
        <f t="shared" si="128"/>
        <v>0</v>
      </c>
      <c r="I1642" s="32">
        <f t="shared" si="129"/>
        <v>0</v>
      </c>
      <c r="K1642" s="31">
        <f t="shared" si="126"/>
        <v>0</v>
      </c>
      <c r="L1642" s="34">
        <f t="shared" si="127"/>
        <v>0</v>
      </c>
      <c r="M1642" s="34">
        <f t="shared" si="125"/>
        <v>0</v>
      </c>
    </row>
    <row r="1643" spans="5:13" x14ac:dyDescent="0.25">
      <c r="E1643" s="32">
        <f t="shared" si="128"/>
        <v>0</v>
      </c>
      <c r="I1643" s="32">
        <f t="shared" si="129"/>
        <v>0</v>
      </c>
      <c r="K1643" s="31">
        <f t="shared" si="126"/>
        <v>0</v>
      </c>
      <c r="L1643" s="34">
        <f t="shared" si="127"/>
        <v>0</v>
      </c>
      <c r="M1643" s="34">
        <f t="shared" si="125"/>
        <v>0</v>
      </c>
    </row>
    <row r="1644" spans="5:13" x14ac:dyDescent="0.25">
      <c r="E1644" s="32">
        <f t="shared" si="128"/>
        <v>0</v>
      </c>
      <c r="I1644" s="32">
        <f t="shared" si="129"/>
        <v>0</v>
      </c>
      <c r="K1644" s="31">
        <f t="shared" si="126"/>
        <v>0</v>
      </c>
      <c r="L1644" s="34">
        <f t="shared" si="127"/>
        <v>0</v>
      </c>
      <c r="M1644" s="34">
        <f t="shared" si="125"/>
        <v>0</v>
      </c>
    </row>
    <row r="1645" spans="5:13" x14ac:dyDescent="0.25">
      <c r="E1645" s="32">
        <f t="shared" si="128"/>
        <v>0</v>
      </c>
      <c r="I1645" s="32">
        <f t="shared" si="129"/>
        <v>0</v>
      </c>
      <c r="K1645" s="31">
        <f t="shared" si="126"/>
        <v>0</v>
      </c>
      <c r="L1645" s="34">
        <f t="shared" si="127"/>
        <v>0</v>
      </c>
      <c r="M1645" s="34">
        <f t="shared" si="125"/>
        <v>0</v>
      </c>
    </row>
    <row r="1646" spans="5:13" x14ac:dyDescent="0.25">
      <c r="E1646" s="32">
        <f t="shared" si="128"/>
        <v>0</v>
      </c>
      <c r="I1646" s="32">
        <f t="shared" si="129"/>
        <v>0</v>
      </c>
      <c r="K1646" s="31">
        <f t="shared" si="126"/>
        <v>0</v>
      </c>
      <c r="L1646" s="34">
        <f t="shared" si="127"/>
        <v>0</v>
      </c>
      <c r="M1646" s="34">
        <f t="shared" si="125"/>
        <v>0</v>
      </c>
    </row>
    <row r="1647" spans="5:13" x14ac:dyDescent="0.25">
      <c r="E1647" s="32">
        <f t="shared" si="128"/>
        <v>0</v>
      </c>
      <c r="I1647" s="32">
        <f t="shared" si="129"/>
        <v>0</v>
      </c>
      <c r="K1647" s="31">
        <f t="shared" si="126"/>
        <v>0</v>
      </c>
      <c r="L1647" s="34">
        <f t="shared" si="127"/>
        <v>0</v>
      </c>
      <c r="M1647" s="34">
        <f t="shared" si="125"/>
        <v>0</v>
      </c>
    </row>
    <row r="1648" spans="5:13" x14ac:dyDescent="0.25">
      <c r="E1648" s="32">
        <f t="shared" si="128"/>
        <v>0</v>
      </c>
      <c r="I1648" s="32">
        <f t="shared" si="129"/>
        <v>0</v>
      </c>
      <c r="K1648" s="31">
        <f t="shared" si="126"/>
        <v>0</v>
      </c>
      <c r="L1648" s="34">
        <f t="shared" si="127"/>
        <v>0</v>
      </c>
      <c r="M1648" s="34">
        <f t="shared" si="125"/>
        <v>0</v>
      </c>
    </row>
    <row r="1649" spans="5:13" x14ac:dyDescent="0.25">
      <c r="E1649" s="32">
        <f t="shared" si="128"/>
        <v>0</v>
      </c>
      <c r="I1649" s="32">
        <f t="shared" si="129"/>
        <v>0</v>
      </c>
      <c r="K1649" s="31">
        <f t="shared" si="126"/>
        <v>0</v>
      </c>
      <c r="L1649" s="34">
        <f t="shared" si="127"/>
        <v>0</v>
      </c>
      <c r="M1649" s="34">
        <f t="shared" si="125"/>
        <v>0</v>
      </c>
    </row>
    <row r="1650" spans="5:13" x14ac:dyDescent="0.25">
      <c r="E1650" s="32">
        <f t="shared" si="128"/>
        <v>0</v>
      </c>
      <c r="I1650" s="32">
        <f t="shared" si="129"/>
        <v>0</v>
      </c>
      <c r="K1650" s="31">
        <f t="shared" si="126"/>
        <v>0</v>
      </c>
      <c r="L1650" s="34">
        <f t="shared" si="127"/>
        <v>0</v>
      </c>
      <c r="M1650" s="34">
        <f t="shared" si="125"/>
        <v>0</v>
      </c>
    </row>
    <row r="1651" spans="5:13" x14ac:dyDescent="0.25">
      <c r="E1651" s="32">
        <f t="shared" si="128"/>
        <v>0</v>
      </c>
      <c r="I1651" s="32">
        <f t="shared" si="129"/>
        <v>0</v>
      </c>
      <c r="K1651" s="31">
        <f t="shared" si="126"/>
        <v>0</v>
      </c>
      <c r="L1651" s="34">
        <f t="shared" si="127"/>
        <v>0</v>
      </c>
      <c r="M1651" s="34">
        <f t="shared" si="125"/>
        <v>0</v>
      </c>
    </row>
    <row r="1652" spans="5:13" x14ac:dyDescent="0.25">
      <c r="E1652" s="32">
        <f t="shared" si="128"/>
        <v>0</v>
      </c>
      <c r="I1652" s="32">
        <f t="shared" si="129"/>
        <v>0</v>
      </c>
      <c r="K1652" s="31">
        <f t="shared" si="126"/>
        <v>0</v>
      </c>
      <c r="L1652" s="34">
        <f t="shared" si="127"/>
        <v>0</v>
      </c>
      <c r="M1652" s="34">
        <f t="shared" si="125"/>
        <v>0</v>
      </c>
    </row>
    <row r="1653" spans="5:13" x14ac:dyDescent="0.25">
      <c r="E1653" s="32">
        <f t="shared" si="128"/>
        <v>0</v>
      </c>
      <c r="I1653" s="32">
        <f t="shared" si="129"/>
        <v>0</v>
      </c>
      <c r="K1653" s="31">
        <f t="shared" si="126"/>
        <v>0</v>
      </c>
      <c r="L1653" s="34">
        <f t="shared" si="127"/>
        <v>0</v>
      </c>
      <c r="M1653" s="34">
        <f t="shared" si="125"/>
        <v>0</v>
      </c>
    </row>
    <row r="1654" spans="5:13" x14ac:dyDescent="0.25">
      <c r="E1654" s="32">
        <f t="shared" si="128"/>
        <v>0</v>
      </c>
      <c r="I1654" s="32">
        <f t="shared" si="129"/>
        <v>0</v>
      </c>
      <c r="K1654" s="31">
        <f t="shared" si="126"/>
        <v>0</v>
      </c>
      <c r="L1654" s="34">
        <f t="shared" si="127"/>
        <v>0</v>
      </c>
      <c r="M1654" s="34">
        <f t="shared" si="125"/>
        <v>0</v>
      </c>
    </row>
    <row r="1655" spans="5:13" x14ac:dyDescent="0.25">
      <c r="E1655" s="32">
        <f t="shared" si="128"/>
        <v>0</v>
      </c>
      <c r="I1655" s="32">
        <f t="shared" si="129"/>
        <v>0</v>
      </c>
      <c r="K1655" s="31">
        <f t="shared" si="126"/>
        <v>0</v>
      </c>
      <c r="L1655" s="34">
        <f t="shared" si="127"/>
        <v>0</v>
      </c>
      <c r="M1655" s="34">
        <f t="shared" si="125"/>
        <v>0</v>
      </c>
    </row>
    <row r="1656" spans="5:13" x14ac:dyDescent="0.25">
      <c r="E1656" s="32">
        <f t="shared" si="128"/>
        <v>0</v>
      </c>
      <c r="I1656" s="32">
        <f t="shared" si="129"/>
        <v>0</v>
      </c>
      <c r="K1656" s="31">
        <f t="shared" si="126"/>
        <v>0</v>
      </c>
      <c r="L1656" s="34">
        <f t="shared" si="127"/>
        <v>0</v>
      </c>
      <c r="M1656" s="34">
        <f t="shared" si="125"/>
        <v>0</v>
      </c>
    </row>
    <row r="1657" spans="5:13" x14ac:dyDescent="0.25">
      <c r="E1657" s="32">
        <f t="shared" si="128"/>
        <v>0</v>
      </c>
      <c r="I1657" s="32">
        <f t="shared" si="129"/>
        <v>0</v>
      </c>
      <c r="K1657" s="31">
        <f t="shared" si="126"/>
        <v>0</v>
      </c>
      <c r="L1657" s="34">
        <f t="shared" si="127"/>
        <v>0</v>
      </c>
      <c r="M1657" s="34">
        <f t="shared" si="125"/>
        <v>0</v>
      </c>
    </row>
    <row r="1658" spans="5:13" x14ac:dyDescent="0.25">
      <c r="E1658" s="32">
        <f t="shared" si="128"/>
        <v>0</v>
      </c>
      <c r="I1658" s="32">
        <f t="shared" si="129"/>
        <v>0</v>
      </c>
      <c r="K1658" s="31">
        <f t="shared" si="126"/>
        <v>0</v>
      </c>
      <c r="L1658" s="34">
        <f t="shared" si="127"/>
        <v>0</v>
      </c>
      <c r="M1658" s="34">
        <f t="shared" si="125"/>
        <v>0</v>
      </c>
    </row>
    <row r="1659" spans="5:13" x14ac:dyDescent="0.25">
      <c r="E1659" s="32">
        <f t="shared" si="128"/>
        <v>0</v>
      </c>
      <c r="I1659" s="32">
        <f t="shared" si="129"/>
        <v>0</v>
      </c>
      <c r="K1659" s="31">
        <f t="shared" si="126"/>
        <v>0</v>
      </c>
      <c r="L1659" s="34">
        <f t="shared" si="127"/>
        <v>0</v>
      </c>
      <c r="M1659" s="34">
        <f t="shared" si="125"/>
        <v>0</v>
      </c>
    </row>
    <row r="1660" spans="5:13" x14ac:dyDescent="0.25">
      <c r="E1660" s="32">
        <f t="shared" si="128"/>
        <v>0</v>
      </c>
      <c r="I1660" s="32">
        <f t="shared" si="129"/>
        <v>0</v>
      </c>
      <c r="K1660" s="31">
        <f t="shared" si="126"/>
        <v>0</v>
      </c>
      <c r="L1660" s="34">
        <f t="shared" si="127"/>
        <v>0</v>
      </c>
      <c r="M1660" s="34">
        <f t="shared" si="125"/>
        <v>0</v>
      </c>
    </row>
    <row r="1661" spans="5:13" x14ac:dyDescent="0.25">
      <c r="E1661" s="32">
        <f t="shared" si="128"/>
        <v>0</v>
      </c>
      <c r="I1661" s="32">
        <f t="shared" si="129"/>
        <v>0</v>
      </c>
      <c r="K1661" s="31">
        <f t="shared" si="126"/>
        <v>0</v>
      </c>
      <c r="L1661" s="34">
        <f t="shared" si="127"/>
        <v>0</v>
      </c>
      <c r="M1661" s="34">
        <f t="shared" si="125"/>
        <v>0</v>
      </c>
    </row>
    <row r="1662" spans="5:13" x14ac:dyDescent="0.25">
      <c r="E1662" s="32">
        <f t="shared" si="128"/>
        <v>0</v>
      </c>
      <c r="I1662" s="32">
        <f t="shared" si="129"/>
        <v>0</v>
      </c>
      <c r="K1662" s="31">
        <f t="shared" si="126"/>
        <v>0</v>
      </c>
      <c r="L1662" s="34">
        <f t="shared" si="127"/>
        <v>0</v>
      </c>
      <c r="M1662" s="34">
        <f t="shared" si="125"/>
        <v>0</v>
      </c>
    </row>
    <row r="1663" spans="5:13" x14ac:dyDescent="0.25">
      <c r="E1663" s="32">
        <f t="shared" si="128"/>
        <v>0</v>
      </c>
      <c r="I1663" s="32">
        <f t="shared" si="129"/>
        <v>0</v>
      </c>
      <c r="K1663" s="31">
        <f t="shared" si="126"/>
        <v>0</v>
      </c>
      <c r="L1663" s="34">
        <f t="shared" si="127"/>
        <v>0</v>
      </c>
      <c r="M1663" s="34">
        <f t="shared" si="125"/>
        <v>0</v>
      </c>
    </row>
    <row r="1664" spans="5:13" x14ac:dyDescent="0.25">
      <c r="E1664" s="32">
        <f t="shared" si="128"/>
        <v>0</v>
      </c>
      <c r="I1664" s="32">
        <f t="shared" si="129"/>
        <v>0</v>
      </c>
      <c r="K1664" s="31">
        <f t="shared" si="126"/>
        <v>0</v>
      </c>
      <c r="L1664" s="34">
        <f t="shared" si="127"/>
        <v>0</v>
      </c>
      <c r="M1664" s="34">
        <f t="shared" si="125"/>
        <v>0</v>
      </c>
    </row>
    <row r="1665" spans="5:13" x14ac:dyDescent="0.25">
      <c r="E1665" s="32">
        <f t="shared" si="128"/>
        <v>0</v>
      </c>
      <c r="I1665" s="32">
        <f t="shared" si="129"/>
        <v>0</v>
      </c>
      <c r="K1665" s="31">
        <f t="shared" si="126"/>
        <v>0</v>
      </c>
      <c r="L1665" s="34">
        <f t="shared" si="127"/>
        <v>0</v>
      </c>
      <c r="M1665" s="34">
        <f t="shared" si="125"/>
        <v>0</v>
      </c>
    </row>
    <row r="1666" spans="5:13" x14ac:dyDescent="0.25">
      <c r="E1666" s="32">
        <f t="shared" si="128"/>
        <v>0</v>
      </c>
      <c r="I1666" s="32">
        <f t="shared" si="129"/>
        <v>0</v>
      </c>
      <c r="K1666" s="31">
        <f t="shared" si="126"/>
        <v>0</v>
      </c>
      <c r="L1666" s="34">
        <f t="shared" si="127"/>
        <v>0</v>
      </c>
      <c r="M1666" s="34">
        <f t="shared" si="125"/>
        <v>0</v>
      </c>
    </row>
    <row r="1667" spans="5:13" x14ac:dyDescent="0.25">
      <c r="E1667" s="32">
        <f t="shared" si="128"/>
        <v>0</v>
      </c>
      <c r="I1667" s="32">
        <f t="shared" si="129"/>
        <v>0</v>
      </c>
      <c r="K1667" s="31">
        <f t="shared" si="126"/>
        <v>0</v>
      </c>
      <c r="L1667" s="34">
        <f t="shared" si="127"/>
        <v>0</v>
      </c>
      <c r="M1667" s="34">
        <f t="shared" si="125"/>
        <v>0</v>
      </c>
    </row>
    <row r="1668" spans="5:13" x14ac:dyDescent="0.25">
      <c r="E1668" s="32">
        <f t="shared" si="128"/>
        <v>0</v>
      </c>
      <c r="I1668" s="32">
        <f t="shared" si="129"/>
        <v>0</v>
      </c>
      <c r="K1668" s="31">
        <f t="shared" si="126"/>
        <v>0</v>
      </c>
      <c r="L1668" s="34">
        <f t="shared" si="127"/>
        <v>0</v>
      </c>
      <c r="M1668" s="34">
        <f t="shared" ref="M1668:M1731" si="130">(L1668/27)*4</f>
        <v>0</v>
      </c>
    </row>
    <row r="1669" spans="5:13" x14ac:dyDescent="0.25">
      <c r="E1669" s="32">
        <f t="shared" si="128"/>
        <v>0</v>
      </c>
      <c r="I1669" s="32">
        <f t="shared" si="129"/>
        <v>0</v>
      </c>
      <c r="K1669" s="31">
        <f t="shared" ref="K1669:K1732" si="131">B1669/30</f>
        <v>0</v>
      </c>
      <c r="L1669" s="34">
        <f t="shared" ref="L1669:L1732" si="132">IF(J1669="S",((I1669*24)*K1669)*2,((I1669*24)*K1669)*1.5)</f>
        <v>0</v>
      </c>
      <c r="M1669" s="34">
        <f t="shared" si="130"/>
        <v>0</v>
      </c>
    </row>
    <row r="1670" spans="5:13" x14ac:dyDescent="0.25">
      <c r="E1670" s="32">
        <f t="shared" ref="E1670:E1733" si="133">D1670-C1670</f>
        <v>0</v>
      </c>
      <c r="I1670" s="32">
        <f t="shared" ref="I1670:I1733" si="134">H1670-G1670</f>
        <v>0</v>
      </c>
      <c r="K1670" s="31">
        <f t="shared" si="131"/>
        <v>0</v>
      </c>
      <c r="L1670" s="34">
        <f t="shared" si="132"/>
        <v>0</v>
      </c>
      <c r="M1670" s="34">
        <f t="shared" si="130"/>
        <v>0</v>
      </c>
    </row>
    <row r="1671" spans="5:13" x14ac:dyDescent="0.25">
      <c r="E1671" s="32">
        <f t="shared" si="133"/>
        <v>0</v>
      </c>
      <c r="I1671" s="32">
        <f t="shared" si="134"/>
        <v>0</v>
      </c>
      <c r="K1671" s="31">
        <f t="shared" si="131"/>
        <v>0</v>
      </c>
      <c r="L1671" s="34">
        <f t="shared" si="132"/>
        <v>0</v>
      </c>
      <c r="M1671" s="34">
        <f t="shared" si="130"/>
        <v>0</v>
      </c>
    </row>
    <row r="1672" spans="5:13" x14ac:dyDescent="0.25">
      <c r="E1672" s="32">
        <f t="shared" si="133"/>
        <v>0</v>
      </c>
      <c r="I1672" s="32">
        <f t="shared" si="134"/>
        <v>0</v>
      </c>
      <c r="K1672" s="31">
        <f t="shared" si="131"/>
        <v>0</v>
      </c>
      <c r="L1672" s="34">
        <f t="shared" si="132"/>
        <v>0</v>
      </c>
      <c r="M1672" s="34">
        <f t="shared" si="130"/>
        <v>0</v>
      </c>
    </row>
    <row r="1673" spans="5:13" x14ac:dyDescent="0.25">
      <c r="E1673" s="32">
        <f t="shared" si="133"/>
        <v>0</v>
      </c>
      <c r="I1673" s="32">
        <f t="shared" si="134"/>
        <v>0</v>
      </c>
      <c r="K1673" s="31">
        <f t="shared" si="131"/>
        <v>0</v>
      </c>
      <c r="L1673" s="34">
        <f t="shared" si="132"/>
        <v>0</v>
      </c>
      <c r="M1673" s="34">
        <f t="shared" si="130"/>
        <v>0</v>
      </c>
    </row>
    <row r="1674" spans="5:13" x14ac:dyDescent="0.25">
      <c r="E1674" s="32">
        <f t="shared" si="133"/>
        <v>0</v>
      </c>
      <c r="I1674" s="32">
        <f t="shared" si="134"/>
        <v>0</v>
      </c>
      <c r="K1674" s="31">
        <f t="shared" si="131"/>
        <v>0</v>
      </c>
      <c r="L1674" s="34">
        <f t="shared" si="132"/>
        <v>0</v>
      </c>
      <c r="M1674" s="34">
        <f t="shared" si="130"/>
        <v>0</v>
      </c>
    </row>
    <row r="1675" spans="5:13" x14ac:dyDescent="0.25">
      <c r="E1675" s="32">
        <f t="shared" si="133"/>
        <v>0</v>
      </c>
      <c r="I1675" s="32">
        <f t="shared" si="134"/>
        <v>0</v>
      </c>
      <c r="K1675" s="31">
        <f t="shared" si="131"/>
        <v>0</v>
      </c>
      <c r="L1675" s="34">
        <f t="shared" si="132"/>
        <v>0</v>
      </c>
      <c r="M1675" s="34">
        <f t="shared" si="130"/>
        <v>0</v>
      </c>
    </row>
    <row r="1676" spans="5:13" x14ac:dyDescent="0.25">
      <c r="E1676" s="32">
        <f t="shared" si="133"/>
        <v>0</v>
      </c>
      <c r="I1676" s="32">
        <f t="shared" si="134"/>
        <v>0</v>
      </c>
      <c r="K1676" s="31">
        <f t="shared" si="131"/>
        <v>0</v>
      </c>
      <c r="L1676" s="34">
        <f t="shared" si="132"/>
        <v>0</v>
      </c>
      <c r="M1676" s="34">
        <f t="shared" si="130"/>
        <v>0</v>
      </c>
    </row>
    <row r="1677" spans="5:13" x14ac:dyDescent="0.25">
      <c r="E1677" s="32">
        <f t="shared" si="133"/>
        <v>0</v>
      </c>
      <c r="I1677" s="32">
        <f t="shared" si="134"/>
        <v>0</v>
      </c>
      <c r="K1677" s="31">
        <f t="shared" si="131"/>
        <v>0</v>
      </c>
      <c r="L1677" s="34">
        <f t="shared" si="132"/>
        <v>0</v>
      </c>
      <c r="M1677" s="34">
        <f t="shared" si="130"/>
        <v>0</v>
      </c>
    </row>
    <row r="1678" spans="5:13" x14ac:dyDescent="0.25">
      <c r="E1678" s="32">
        <f t="shared" si="133"/>
        <v>0</v>
      </c>
      <c r="I1678" s="32">
        <f t="shared" si="134"/>
        <v>0</v>
      </c>
      <c r="K1678" s="31">
        <f t="shared" si="131"/>
        <v>0</v>
      </c>
      <c r="L1678" s="34">
        <f t="shared" si="132"/>
        <v>0</v>
      </c>
      <c r="M1678" s="34">
        <f t="shared" si="130"/>
        <v>0</v>
      </c>
    </row>
    <row r="1679" spans="5:13" x14ac:dyDescent="0.25">
      <c r="E1679" s="32">
        <f t="shared" si="133"/>
        <v>0</v>
      </c>
      <c r="I1679" s="32">
        <f t="shared" si="134"/>
        <v>0</v>
      </c>
      <c r="K1679" s="31">
        <f t="shared" si="131"/>
        <v>0</v>
      </c>
      <c r="L1679" s="34">
        <f t="shared" si="132"/>
        <v>0</v>
      </c>
      <c r="M1679" s="34">
        <f t="shared" si="130"/>
        <v>0</v>
      </c>
    </row>
    <row r="1680" spans="5:13" x14ac:dyDescent="0.25">
      <c r="E1680" s="32">
        <f t="shared" si="133"/>
        <v>0</v>
      </c>
      <c r="I1680" s="32">
        <f t="shared" si="134"/>
        <v>0</v>
      </c>
      <c r="K1680" s="31">
        <f t="shared" si="131"/>
        <v>0</v>
      </c>
      <c r="L1680" s="34">
        <f t="shared" si="132"/>
        <v>0</v>
      </c>
      <c r="M1680" s="34">
        <f t="shared" si="130"/>
        <v>0</v>
      </c>
    </row>
    <row r="1681" spans="5:13" x14ac:dyDescent="0.25">
      <c r="E1681" s="32">
        <f t="shared" si="133"/>
        <v>0</v>
      </c>
      <c r="I1681" s="32">
        <f t="shared" si="134"/>
        <v>0</v>
      </c>
      <c r="K1681" s="31">
        <f t="shared" si="131"/>
        <v>0</v>
      </c>
      <c r="L1681" s="34">
        <f t="shared" si="132"/>
        <v>0</v>
      </c>
      <c r="M1681" s="34">
        <f t="shared" si="130"/>
        <v>0</v>
      </c>
    </row>
    <row r="1682" spans="5:13" x14ac:dyDescent="0.25">
      <c r="E1682" s="32">
        <f t="shared" si="133"/>
        <v>0</v>
      </c>
      <c r="I1682" s="32">
        <f t="shared" si="134"/>
        <v>0</v>
      </c>
      <c r="K1682" s="31">
        <f t="shared" si="131"/>
        <v>0</v>
      </c>
      <c r="L1682" s="34">
        <f t="shared" si="132"/>
        <v>0</v>
      </c>
      <c r="M1682" s="34">
        <f t="shared" si="130"/>
        <v>0</v>
      </c>
    </row>
    <row r="1683" spans="5:13" x14ac:dyDescent="0.25">
      <c r="E1683" s="32">
        <f t="shared" si="133"/>
        <v>0</v>
      </c>
      <c r="I1683" s="32">
        <f t="shared" si="134"/>
        <v>0</v>
      </c>
      <c r="K1683" s="31">
        <f t="shared" si="131"/>
        <v>0</v>
      </c>
      <c r="L1683" s="34">
        <f t="shared" si="132"/>
        <v>0</v>
      </c>
      <c r="M1683" s="34">
        <f t="shared" si="130"/>
        <v>0</v>
      </c>
    </row>
    <row r="1684" spans="5:13" x14ac:dyDescent="0.25">
      <c r="E1684" s="32">
        <f t="shared" si="133"/>
        <v>0</v>
      </c>
      <c r="I1684" s="32">
        <f t="shared" si="134"/>
        <v>0</v>
      </c>
      <c r="K1684" s="31">
        <f t="shared" si="131"/>
        <v>0</v>
      </c>
      <c r="L1684" s="34">
        <f t="shared" si="132"/>
        <v>0</v>
      </c>
      <c r="M1684" s="34">
        <f t="shared" si="130"/>
        <v>0</v>
      </c>
    </row>
    <row r="1685" spans="5:13" x14ac:dyDescent="0.25">
      <c r="E1685" s="32">
        <f t="shared" si="133"/>
        <v>0</v>
      </c>
      <c r="I1685" s="32">
        <f t="shared" si="134"/>
        <v>0</v>
      </c>
      <c r="K1685" s="31">
        <f t="shared" si="131"/>
        <v>0</v>
      </c>
      <c r="L1685" s="34">
        <f t="shared" si="132"/>
        <v>0</v>
      </c>
      <c r="M1685" s="34">
        <f t="shared" si="130"/>
        <v>0</v>
      </c>
    </row>
    <row r="1686" spans="5:13" x14ac:dyDescent="0.25">
      <c r="E1686" s="32">
        <f t="shared" si="133"/>
        <v>0</v>
      </c>
      <c r="I1686" s="32">
        <f t="shared" si="134"/>
        <v>0</v>
      </c>
      <c r="K1686" s="31">
        <f t="shared" si="131"/>
        <v>0</v>
      </c>
      <c r="L1686" s="34">
        <f t="shared" si="132"/>
        <v>0</v>
      </c>
      <c r="M1686" s="34">
        <f t="shared" si="130"/>
        <v>0</v>
      </c>
    </row>
    <row r="1687" spans="5:13" x14ac:dyDescent="0.25">
      <c r="E1687" s="32">
        <f t="shared" si="133"/>
        <v>0</v>
      </c>
      <c r="I1687" s="32">
        <f t="shared" si="134"/>
        <v>0</v>
      </c>
      <c r="K1687" s="31">
        <f t="shared" si="131"/>
        <v>0</v>
      </c>
      <c r="L1687" s="34">
        <f t="shared" si="132"/>
        <v>0</v>
      </c>
      <c r="M1687" s="34">
        <f t="shared" si="130"/>
        <v>0</v>
      </c>
    </row>
    <row r="1688" spans="5:13" x14ac:dyDescent="0.25">
      <c r="E1688" s="32">
        <f t="shared" si="133"/>
        <v>0</v>
      </c>
      <c r="I1688" s="32">
        <f t="shared" si="134"/>
        <v>0</v>
      </c>
      <c r="K1688" s="31">
        <f t="shared" si="131"/>
        <v>0</v>
      </c>
      <c r="L1688" s="34">
        <f t="shared" si="132"/>
        <v>0</v>
      </c>
      <c r="M1688" s="34">
        <f t="shared" si="130"/>
        <v>0</v>
      </c>
    </row>
    <row r="1689" spans="5:13" x14ac:dyDescent="0.25">
      <c r="E1689" s="32">
        <f t="shared" si="133"/>
        <v>0</v>
      </c>
      <c r="I1689" s="32">
        <f t="shared" si="134"/>
        <v>0</v>
      </c>
      <c r="K1689" s="31">
        <f t="shared" si="131"/>
        <v>0</v>
      </c>
      <c r="L1689" s="34">
        <f t="shared" si="132"/>
        <v>0</v>
      </c>
      <c r="M1689" s="34">
        <f t="shared" si="130"/>
        <v>0</v>
      </c>
    </row>
    <row r="1690" spans="5:13" x14ac:dyDescent="0.25">
      <c r="E1690" s="32">
        <f t="shared" si="133"/>
        <v>0</v>
      </c>
      <c r="I1690" s="32">
        <f t="shared" si="134"/>
        <v>0</v>
      </c>
      <c r="K1690" s="31">
        <f t="shared" si="131"/>
        <v>0</v>
      </c>
      <c r="L1690" s="34">
        <f t="shared" si="132"/>
        <v>0</v>
      </c>
      <c r="M1690" s="34">
        <f t="shared" si="130"/>
        <v>0</v>
      </c>
    </row>
    <row r="1691" spans="5:13" x14ac:dyDescent="0.25">
      <c r="E1691" s="32">
        <f t="shared" si="133"/>
        <v>0</v>
      </c>
      <c r="I1691" s="32">
        <f t="shared" si="134"/>
        <v>0</v>
      </c>
      <c r="K1691" s="31">
        <f t="shared" si="131"/>
        <v>0</v>
      </c>
      <c r="L1691" s="34">
        <f t="shared" si="132"/>
        <v>0</v>
      </c>
      <c r="M1691" s="34">
        <f t="shared" si="130"/>
        <v>0</v>
      </c>
    </row>
    <row r="1692" spans="5:13" x14ac:dyDescent="0.25">
      <c r="E1692" s="32">
        <f t="shared" si="133"/>
        <v>0</v>
      </c>
      <c r="I1692" s="32">
        <f t="shared" si="134"/>
        <v>0</v>
      </c>
      <c r="K1692" s="31">
        <f t="shared" si="131"/>
        <v>0</v>
      </c>
      <c r="L1692" s="34">
        <f t="shared" si="132"/>
        <v>0</v>
      </c>
      <c r="M1692" s="34">
        <f t="shared" si="130"/>
        <v>0</v>
      </c>
    </row>
    <row r="1693" spans="5:13" x14ac:dyDescent="0.25">
      <c r="E1693" s="32">
        <f t="shared" si="133"/>
        <v>0</v>
      </c>
      <c r="I1693" s="32">
        <f t="shared" si="134"/>
        <v>0</v>
      </c>
      <c r="K1693" s="31">
        <f t="shared" si="131"/>
        <v>0</v>
      </c>
      <c r="L1693" s="34">
        <f t="shared" si="132"/>
        <v>0</v>
      </c>
      <c r="M1693" s="34">
        <f t="shared" si="130"/>
        <v>0</v>
      </c>
    </row>
    <row r="1694" spans="5:13" x14ac:dyDescent="0.25">
      <c r="E1694" s="32">
        <f t="shared" si="133"/>
        <v>0</v>
      </c>
      <c r="I1694" s="32">
        <f t="shared" si="134"/>
        <v>0</v>
      </c>
      <c r="K1694" s="31">
        <f t="shared" si="131"/>
        <v>0</v>
      </c>
      <c r="L1694" s="34">
        <f t="shared" si="132"/>
        <v>0</v>
      </c>
      <c r="M1694" s="34">
        <f t="shared" si="130"/>
        <v>0</v>
      </c>
    </row>
    <row r="1695" spans="5:13" x14ac:dyDescent="0.25">
      <c r="E1695" s="32">
        <f t="shared" si="133"/>
        <v>0</v>
      </c>
      <c r="I1695" s="32">
        <f t="shared" si="134"/>
        <v>0</v>
      </c>
      <c r="K1695" s="31">
        <f t="shared" si="131"/>
        <v>0</v>
      </c>
      <c r="L1695" s="34">
        <f t="shared" si="132"/>
        <v>0</v>
      </c>
      <c r="M1695" s="34">
        <f t="shared" si="130"/>
        <v>0</v>
      </c>
    </row>
    <row r="1696" spans="5:13" x14ac:dyDescent="0.25">
      <c r="E1696" s="32">
        <f t="shared" si="133"/>
        <v>0</v>
      </c>
      <c r="I1696" s="32">
        <f t="shared" si="134"/>
        <v>0</v>
      </c>
      <c r="K1696" s="31">
        <f t="shared" si="131"/>
        <v>0</v>
      </c>
      <c r="L1696" s="34">
        <f t="shared" si="132"/>
        <v>0</v>
      </c>
      <c r="M1696" s="34">
        <f t="shared" si="130"/>
        <v>0</v>
      </c>
    </row>
    <row r="1697" spans="5:13" x14ac:dyDescent="0.25">
      <c r="E1697" s="32">
        <f t="shared" si="133"/>
        <v>0</v>
      </c>
      <c r="I1697" s="32">
        <f t="shared" si="134"/>
        <v>0</v>
      </c>
      <c r="K1697" s="31">
        <f t="shared" si="131"/>
        <v>0</v>
      </c>
      <c r="L1697" s="34">
        <f t="shared" si="132"/>
        <v>0</v>
      </c>
      <c r="M1697" s="34">
        <f t="shared" si="130"/>
        <v>0</v>
      </c>
    </row>
    <row r="1698" spans="5:13" x14ac:dyDescent="0.25">
      <c r="E1698" s="32">
        <f t="shared" si="133"/>
        <v>0</v>
      </c>
      <c r="I1698" s="32">
        <f t="shared" si="134"/>
        <v>0</v>
      </c>
      <c r="K1698" s="31">
        <f t="shared" si="131"/>
        <v>0</v>
      </c>
      <c r="L1698" s="34">
        <f t="shared" si="132"/>
        <v>0</v>
      </c>
      <c r="M1698" s="34">
        <f t="shared" si="130"/>
        <v>0</v>
      </c>
    </row>
    <row r="1699" spans="5:13" x14ac:dyDescent="0.25">
      <c r="E1699" s="32">
        <f t="shared" si="133"/>
        <v>0</v>
      </c>
      <c r="I1699" s="32">
        <f t="shared" si="134"/>
        <v>0</v>
      </c>
      <c r="K1699" s="31">
        <f t="shared" si="131"/>
        <v>0</v>
      </c>
      <c r="L1699" s="34">
        <f t="shared" si="132"/>
        <v>0</v>
      </c>
      <c r="M1699" s="34">
        <f t="shared" si="130"/>
        <v>0</v>
      </c>
    </row>
    <row r="1700" spans="5:13" x14ac:dyDescent="0.25">
      <c r="E1700" s="32">
        <f t="shared" si="133"/>
        <v>0</v>
      </c>
      <c r="I1700" s="32">
        <f t="shared" si="134"/>
        <v>0</v>
      </c>
      <c r="K1700" s="31">
        <f t="shared" si="131"/>
        <v>0</v>
      </c>
      <c r="L1700" s="34">
        <f t="shared" si="132"/>
        <v>0</v>
      </c>
      <c r="M1700" s="34">
        <f t="shared" si="130"/>
        <v>0</v>
      </c>
    </row>
    <row r="1701" spans="5:13" x14ac:dyDescent="0.25">
      <c r="E1701" s="32">
        <f t="shared" si="133"/>
        <v>0</v>
      </c>
      <c r="I1701" s="32">
        <f t="shared" si="134"/>
        <v>0</v>
      </c>
      <c r="K1701" s="31">
        <f t="shared" si="131"/>
        <v>0</v>
      </c>
      <c r="L1701" s="34">
        <f t="shared" si="132"/>
        <v>0</v>
      </c>
      <c r="M1701" s="34">
        <f t="shared" si="130"/>
        <v>0</v>
      </c>
    </row>
    <row r="1702" spans="5:13" x14ac:dyDescent="0.25">
      <c r="E1702" s="32">
        <f t="shared" si="133"/>
        <v>0</v>
      </c>
      <c r="I1702" s="32">
        <f t="shared" si="134"/>
        <v>0</v>
      </c>
      <c r="K1702" s="31">
        <f t="shared" si="131"/>
        <v>0</v>
      </c>
      <c r="L1702" s="34">
        <f t="shared" si="132"/>
        <v>0</v>
      </c>
      <c r="M1702" s="34">
        <f t="shared" si="130"/>
        <v>0</v>
      </c>
    </row>
    <row r="1703" spans="5:13" x14ac:dyDescent="0.25">
      <c r="E1703" s="32">
        <f t="shared" si="133"/>
        <v>0</v>
      </c>
      <c r="I1703" s="32">
        <f t="shared" si="134"/>
        <v>0</v>
      </c>
      <c r="K1703" s="31">
        <f t="shared" si="131"/>
        <v>0</v>
      </c>
      <c r="L1703" s="34">
        <f t="shared" si="132"/>
        <v>0</v>
      </c>
      <c r="M1703" s="34">
        <f t="shared" si="130"/>
        <v>0</v>
      </c>
    </row>
    <row r="1704" spans="5:13" x14ac:dyDescent="0.25">
      <c r="E1704" s="32">
        <f t="shared" si="133"/>
        <v>0</v>
      </c>
      <c r="I1704" s="32">
        <f t="shared" si="134"/>
        <v>0</v>
      </c>
      <c r="K1704" s="31">
        <f t="shared" si="131"/>
        <v>0</v>
      </c>
      <c r="L1704" s="34">
        <f t="shared" si="132"/>
        <v>0</v>
      </c>
      <c r="M1704" s="34">
        <f t="shared" si="130"/>
        <v>0</v>
      </c>
    </row>
    <row r="1705" spans="5:13" x14ac:dyDescent="0.25">
      <c r="E1705" s="32">
        <f t="shared" si="133"/>
        <v>0</v>
      </c>
      <c r="I1705" s="32">
        <f t="shared" si="134"/>
        <v>0</v>
      </c>
      <c r="K1705" s="31">
        <f t="shared" si="131"/>
        <v>0</v>
      </c>
      <c r="L1705" s="34">
        <f t="shared" si="132"/>
        <v>0</v>
      </c>
      <c r="M1705" s="34">
        <f t="shared" si="130"/>
        <v>0</v>
      </c>
    </row>
    <row r="1706" spans="5:13" x14ac:dyDescent="0.25">
      <c r="E1706" s="32">
        <f t="shared" si="133"/>
        <v>0</v>
      </c>
      <c r="I1706" s="32">
        <f t="shared" si="134"/>
        <v>0</v>
      </c>
      <c r="K1706" s="31">
        <f t="shared" si="131"/>
        <v>0</v>
      </c>
      <c r="L1706" s="34">
        <f t="shared" si="132"/>
        <v>0</v>
      </c>
      <c r="M1706" s="34">
        <f t="shared" si="130"/>
        <v>0</v>
      </c>
    </row>
    <row r="1707" spans="5:13" x14ac:dyDescent="0.25">
      <c r="E1707" s="32">
        <f t="shared" si="133"/>
        <v>0</v>
      </c>
      <c r="I1707" s="32">
        <f t="shared" si="134"/>
        <v>0</v>
      </c>
      <c r="K1707" s="31">
        <f t="shared" si="131"/>
        <v>0</v>
      </c>
      <c r="L1707" s="34">
        <f t="shared" si="132"/>
        <v>0</v>
      </c>
      <c r="M1707" s="34">
        <f t="shared" si="130"/>
        <v>0</v>
      </c>
    </row>
    <row r="1708" spans="5:13" x14ac:dyDescent="0.25">
      <c r="E1708" s="32">
        <f t="shared" si="133"/>
        <v>0</v>
      </c>
      <c r="I1708" s="32">
        <f t="shared" si="134"/>
        <v>0</v>
      </c>
      <c r="K1708" s="31">
        <f t="shared" si="131"/>
        <v>0</v>
      </c>
      <c r="L1708" s="34">
        <f t="shared" si="132"/>
        <v>0</v>
      </c>
      <c r="M1708" s="34">
        <f t="shared" si="130"/>
        <v>0</v>
      </c>
    </row>
    <row r="1709" spans="5:13" x14ac:dyDescent="0.25">
      <c r="E1709" s="32">
        <f t="shared" si="133"/>
        <v>0</v>
      </c>
      <c r="I1709" s="32">
        <f t="shared" si="134"/>
        <v>0</v>
      </c>
      <c r="K1709" s="31">
        <f t="shared" si="131"/>
        <v>0</v>
      </c>
      <c r="L1709" s="34">
        <f t="shared" si="132"/>
        <v>0</v>
      </c>
      <c r="M1709" s="34">
        <f t="shared" si="130"/>
        <v>0</v>
      </c>
    </row>
    <row r="1710" spans="5:13" x14ac:dyDescent="0.25">
      <c r="E1710" s="32">
        <f t="shared" si="133"/>
        <v>0</v>
      </c>
      <c r="I1710" s="32">
        <f t="shared" si="134"/>
        <v>0</v>
      </c>
      <c r="K1710" s="31">
        <f t="shared" si="131"/>
        <v>0</v>
      </c>
      <c r="L1710" s="34">
        <f t="shared" si="132"/>
        <v>0</v>
      </c>
      <c r="M1710" s="34">
        <f t="shared" si="130"/>
        <v>0</v>
      </c>
    </row>
    <row r="1711" spans="5:13" x14ac:dyDescent="0.25">
      <c r="E1711" s="32">
        <f t="shared" si="133"/>
        <v>0</v>
      </c>
      <c r="I1711" s="32">
        <f t="shared" si="134"/>
        <v>0</v>
      </c>
      <c r="K1711" s="31">
        <f t="shared" si="131"/>
        <v>0</v>
      </c>
      <c r="L1711" s="34">
        <f t="shared" si="132"/>
        <v>0</v>
      </c>
      <c r="M1711" s="34">
        <f t="shared" si="130"/>
        <v>0</v>
      </c>
    </row>
    <row r="1712" spans="5:13" x14ac:dyDescent="0.25">
      <c r="E1712" s="32">
        <f t="shared" si="133"/>
        <v>0</v>
      </c>
      <c r="I1712" s="32">
        <f t="shared" si="134"/>
        <v>0</v>
      </c>
      <c r="K1712" s="31">
        <f t="shared" si="131"/>
        <v>0</v>
      </c>
      <c r="L1712" s="34">
        <f t="shared" si="132"/>
        <v>0</v>
      </c>
      <c r="M1712" s="34">
        <f t="shared" si="130"/>
        <v>0</v>
      </c>
    </row>
    <row r="1713" spans="5:13" x14ac:dyDescent="0.25">
      <c r="E1713" s="32">
        <f t="shared" si="133"/>
        <v>0</v>
      </c>
      <c r="I1713" s="32">
        <f t="shared" si="134"/>
        <v>0</v>
      </c>
      <c r="K1713" s="31">
        <f t="shared" si="131"/>
        <v>0</v>
      </c>
      <c r="L1713" s="34">
        <f t="shared" si="132"/>
        <v>0</v>
      </c>
      <c r="M1713" s="34">
        <f t="shared" si="130"/>
        <v>0</v>
      </c>
    </row>
    <row r="1714" spans="5:13" x14ac:dyDescent="0.25">
      <c r="E1714" s="32">
        <f t="shared" si="133"/>
        <v>0</v>
      </c>
      <c r="I1714" s="32">
        <f t="shared" si="134"/>
        <v>0</v>
      </c>
      <c r="K1714" s="31">
        <f t="shared" si="131"/>
        <v>0</v>
      </c>
      <c r="L1714" s="34">
        <f t="shared" si="132"/>
        <v>0</v>
      </c>
      <c r="M1714" s="34">
        <f t="shared" si="130"/>
        <v>0</v>
      </c>
    </row>
    <row r="1715" spans="5:13" x14ac:dyDescent="0.25">
      <c r="E1715" s="32">
        <f t="shared" si="133"/>
        <v>0</v>
      </c>
      <c r="I1715" s="32">
        <f t="shared" si="134"/>
        <v>0</v>
      </c>
      <c r="K1715" s="31">
        <f t="shared" si="131"/>
        <v>0</v>
      </c>
      <c r="L1715" s="34">
        <f t="shared" si="132"/>
        <v>0</v>
      </c>
      <c r="M1715" s="34">
        <f t="shared" si="130"/>
        <v>0</v>
      </c>
    </row>
    <row r="1716" spans="5:13" x14ac:dyDescent="0.25">
      <c r="E1716" s="32">
        <f t="shared" si="133"/>
        <v>0</v>
      </c>
      <c r="I1716" s="32">
        <f t="shared" si="134"/>
        <v>0</v>
      </c>
      <c r="K1716" s="31">
        <f t="shared" si="131"/>
        <v>0</v>
      </c>
      <c r="L1716" s="34">
        <f t="shared" si="132"/>
        <v>0</v>
      </c>
      <c r="M1716" s="34">
        <f t="shared" si="130"/>
        <v>0</v>
      </c>
    </row>
    <row r="1717" spans="5:13" x14ac:dyDescent="0.25">
      <c r="E1717" s="32">
        <f t="shared" si="133"/>
        <v>0</v>
      </c>
      <c r="I1717" s="32">
        <f t="shared" si="134"/>
        <v>0</v>
      </c>
      <c r="K1717" s="31">
        <f t="shared" si="131"/>
        <v>0</v>
      </c>
      <c r="L1717" s="34">
        <f t="shared" si="132"/>
        <v>0</v>
      </c>
      <c r="M1717" s="34">
        <f t="shared" si="130"/>
        <v>0</v>
      </c>
    </row>
    <row r="1718" spans="5:13" x14ac:dyDescent="0.25">
      <c r="E1718" s="32">
        <f t="shared" si="133"/>
        <v>0</v>
      </c>
      <c r="I1718" s="32">
        <f t="shared" si="134"/>
        <v>0</v>
      </c>
      <c r="K1718" s="31">
        <f t="shared" si="131"/>
        <v>0</v>
      </c>
      <c r="L1718" s="34">
        <f t="shared" si="132"/>
        <v>0</v>
      </c>
      <c r="M1718" s="34">
        <f t="shared" si="130"/>
        <v>0</v>
      </c>
    </row>
    <row r="1719" spans="5:13" x14ac:dyDescent="0.25">
      <c r="E1719" s="32">
        <f t="shared" si="133"/>
        <v>0</v>
      </c>
      <c r="I1719" s="32">
        <f t="shared" si="134"/>
        <v>0</v>
      </c>
      <c r="K1719" s="31">
        <f t="shared" si="131"/>
        <v>0</v>
      </c>
      <c r="L1719" s="34">
        <f t="shared" si="132"/>
        <v>0</v>
      </c>
      <c r="M1719" s="34">
        <f t="shared" si="130"/>
        <v>0</v>
      </c>
    </row>
    <row r="1720" spans="5:13" x14ac:dyDescent="0.25">
      <c r="E1720" s="32">
        <f t="shared" si="133"/>
        <v>0</v>
      </c>
      <c r="I1720" s="32">
        <f t="shared" si="134"/>
        <v>0</v>
      </c>
      <c r="K1720" s="31">
        <f t="shared" si="131"/>
        <v>0</v>
      </c>
      <c r="L1720" s="34">
        <f t="shared" si="132"/>
        <v>0</v>
      </c>
      <c r="M1720" s="34">
        <f t="shared" si="130"/>
        <v>0</v>
      </c>
    </row>
    <row r="1721" spans="5:13" x14ac:dyDescent="0.25">
      <c r="E1721" s="32">
        <f t="shared" si="133"/>
        <v>0</v>
      </c>
      <c r="I1721" s="32">
        <f t="shared" si="134"/>
        <v>0</v>
      </c>
      <c r="K1721" s="31">
        <f t="shared" si="131"/>
        <v>0</v>
      </c>
      <c r="L1721" s="34">
        <f t="shared" si="132"/>
        <v>0</v>
      </c>
      <c r="M1721" s="34">
        <f t="shared" si="130"/>
        <v>0</v>
      </c>
    </row>
    <row r="1722" spans="5:13" x14ac:dyDescent="0.25">
      <c r="E1722" s="32">
        <f t="shared" si="133"/>
        <v>0</v>
      </c>
      <c r="I1722" s="32">
        <f t="shared" si="134"/>
        <v>0</v>
      </c>
      <c r="K1722" s="31">
        <f t="shared" si="131"/>
        <v>0</v>
      </c>
      <c r="L1722" s="34">
        <f t="shared" si="132"/>
        <v>0</v>
      </c>
      <c r="M1722" s="34">
        <f t="shared" si="130"/>
        <v>0</v>
      </c>
    </row>
    <row r="1723" spans="5:13" x14ac:dyDescent="0.25">
      <c r="E1723" s="32">
        <f t="shared" si="133"/>
        <v>0</v>
      </c>
      <c r="I1723" s="32">
        <f t="shared" si="134"/>
        <v>0</v>
      </c>
      <c r="K1723" s="31">
        <f t="shared" si="131"/>
        <v>0</v>
      </c>
      <c r="L1723" s="34">
        <f t="shared" si="132"/>
        <v>0</v>
      </c>
      <c r="M1723" s="34">
        <f t="shared" si="130"/>
        <v>0</v>
      </c>
    </row>
    <row r="1724" spans="5:13" x14ac:dyDescent="0.25">
      <c r="E1724" s="32">
        <f t="shared" si="133"/>
        <v>0</v>
      </c>
      <c r="I1724" s="32">
        <f t="shared" si="134"/>
        <v>0</v>
      </c>
      <c r="K1724" s="31">
        <f t="shared" si="131"/>
        <v>0</v>
      </c>
      <c r="L1724" s="34">
        <f t="shared" si="132"/>
        <v>0</v>
      </c>
      <c r="M1724" s="34">
        <f t="shared" si="130"/>
        <v>0</v>
      </c>
    </row>
    <row r="1725" spans="5:13" x14ac:dyDescent="0.25">
      <c r="E1725" s="32">
        <f t="shared" si="133"/>
        <v>0</v>
      </c>
      <c r="I1725" s="32">
        <f t="shared" si="134"/>
        <v>0</v>
      </c>
      <c r="K1725" s="31">
        <f t="shared" si="131"/>
        <v>0</v>
      </c>
      <c r="L1725" s="34">
        <f t="shared" si="132"/>
        <v>0</v>
      </c>
      <c r="M1725" s="34">
        <f t="shared" si="130"/>
        <v>0</v>
      </c>
    </row>
    <row r="1726" spans="5:13" x14ac:dyDescent="0.25">
      <c r="E1726" s="32">
        <f t="shared" si="133"/>
        <v>0</v>
      </c>
      <c r="I1726" s="32">
        <f t="shared" si="134"/>
        <v>0</v>
      </c>
      <c r="K1726" s="31">
        <f t="shared" si="131"/>
        <v>0</v>
      </c>
      <c r="L1726" s="34">
        <f t="shared" si="132"/>
        <v>0</v>
      </c>
      <c r="M1726" s="34">
        <f t="shared" si="130"/>
        <v>0</v>
      </c>
    </row>
    <row r="1727" spans="5:13" x14ac:dyDescent="0.25">
      <c r="E1727" s="32">
        <f t="shared" si="133"/>
        <v>0</v>
      </c>
      <c r="I1727" s="32">
        <f t="shared" si="134"/>
        <v>0</v>
      </c>
      <c r="K1727" s="31">
        <f t="shared" si="131"/>
        <v>0</v>
      </c>
      <c r="L1727" s="34">
        <f t="shared" si="132"/>
        <v>0</v>
      </c>
      <c r="M1727" s="34">
        <f t="shared" si="130"/>
        <v>0</v>
      </c>
    </row>
    <row r="1728" spans="5:13" x14ac:dyDescent="0.25">
      <c r="E1728" s="32">
        <f t="shared" si="133"/>
        <v>0</v>
      </c>
      <c r="I1728" s="32">
        <f t="shared" si="134"/>
        <v>0</v>
      </c>
      <c r="K1728" s="31">
        <f t="shared" si="131"/>
        <v>0</v>
      </c>
      <c r="L1728" s="34">
        <f t="shared" si="132"/>
        <v>0</v>
      </c>
      <c r="M1728" s="34">
        <f t="shared" si="130"/>
        <v>0</v>
      </c>
    </row>
    <row r="1729" spans="5:13" x14ac:dyDescent="0.25">
      <c r="E1729" s="32">
        <f t="shared" si="133"/>
        <v>0</v>
      </c>
      <c r="I1729" s="32">
        <f t="shared" si="134"/>
        <v>0</v>
      </c>
      <c r="K1729" s="31">
        <f t="shared" si="131"/>
        <v>0</v>
      </c>
      <c r="L1729" s="34">
        <f t="shared" si="132"/>
        <v>0</v>
      </c>
      <c r="M1729" s="34">
        <f t="shared" si="130"/>
        <v>0</v>
      </c>
    </row>
    <row r="1730" spans="5:13" x14ac:dyDescent="0.25">
      <c r="E1730" s="32">
        <f t="shared" si="133"/>
        <v>0</v>
      </c>
      <c r="I1730" s="32">
        <f t="shared" si="134"/>
        <v>0</v>
      </c>
      <c r="K1730" s="31">
        <f t="shared" si="131"/>
        <v>0</v>
      </c>
      <c r="L1730" s="34">
        <f t="shared" si="132"/>
        <v>0</v>
      </c>
      <c r="M1730" s="34">
        <f t="shared" si="130"/>
        <v>0</v>
      </c>
    </row>
    <row r="1731" spans="5:13" x14ac:dyDescent="0.25">
      <c r="E1731" s="32">
        <f t="shared" si="133"/>
        <v>0</v>
      </c>
      <c r="I1731" s="32">
        <f t="shared" si="134"/>
        <v>0</v>
      </c>
      <c r="K1731" s="31">
        <f t="shared" si="131"/>
        <v>0</v>
      </c>
      <c r="L1731" s="34">
        <f t="shared" si="132"/>
        <v>0</v>
      </c>
      <c r="M1731" s="34">
        <f t="shared" si="130"/>
        <v>0</v>
      </c>
    </row>
    <row r="1732" spans="5:13" x14ac:dyDescent="0.25">
      <c r="E1732" s="32">
        <f t="shared" si="133"/>
        <v>0</v>
      </c>
      <c r="I1732" s="32">
        <f t="shared" si="134"/>
        <v>0</v>
      </c>
      <c r="K1732" s="31">
        <f t="shared" si="131"/>
        <v>0</v>
      </c>
      <c r="L1732" s="34">
        <f t="shared" si="132"/>
        <v>0</v>
      </c>
      <c r="M1732" s="34">
        <f t="shared" ref="M1732:M1795" si="135">(L1732/27)*4</f>
        <v>0</v>
      </c>
    </row>
    <row r="1733" spans="5:13" x14ac:dyDescent="0.25">
      <c r="E1733" s="32">
        <f t="shared" si="133"/>
        <v>0</v>
      </c>
      <c r="I1733" s="32">
        <f t="shared" si="134"/>
        <v>0</v>
      </c>
      <c r="K1733" s="31">
        <f t="shared" ref="K1733:K1796" si="136">B1733/30</f>
        <v>0</v>
      </c>
      <c r="L1733" s="34">
        <f t="shared" ref="L1733:L1796" si="137">IF(J1733="S",((I1733*24)*K1733)*2,((I1733*24)*K1733)*1.5)</f>
        <v>0</v>
      </c>
      <c r="M1733" s="34">
        <f t="shared" si="135"/>
        <v>0</v>
      </c>
    </row>
    <row r="1734" spans="5:13" x14ac:dyDescent="0.25">
      <c r="E1734" s="32">
        <f t="shared" ref="E1734:E1797" si="138">D1734-C1734</f>
        <v>0</v>
      </c>
      <c r="I1734" s="32">
        <f t="shared" ref="I1734:I1797" si="139">H1734-G1734</f>
        <v>0</v>
      </c>
      <c r="K1734" s="31">
        <f t="shared" si="136"/>
        <v>0</v>
      </c>
      <c r="L1734" s="34">
        <f t="shared" si="137"/>
        <v>0</v>
      </c>
      <c r="M1734" s="34">
        <f t="shared" si="135"/>
        <v>0</v>
      </c>
    </row>
    <row r="1735" spans="5:13" x14ac:dyDescent="0.25">
      <c r="E1735" s="32">
        <f t="shared" si="138"/>
        <v>0</v>
      </c>
      <c r="I1735" s="32">
        <f t="shared" si="139"/>
        <v>0</v>
      </c>
      <c r="K1735" s="31">
        <f t="shared" si="136"/>
        <v>0</v>
      </c>
      <c r="L1735" s="34">
        <f t="shared" si="137"/>
        <v>0</v>
      </c>
      <c r="M1735" s="34">
        <f t="shared" si="135"/>
        <v>0</v>
      </c>
    </row>
    <row r="1736" spans="5:13" x14ac:dyDescent="0.25">
      <c r="E1736" s="32">
        <f t="shared" si="138"/>
        <v>0</v>
      </c>
      <c r="I1736" s="32">
        <f t="shared" si="139"/>
        <v>0</v>
      </c>
      <c r="K1736" s="31">
        <f t="shared" si="136"/>
        <v>0</v>
      </c>
      <c r="L1736" s="34">
        <f t="shared" si="137"/>
        <v>0</v>
      </c>
      <c r="M1736" s="34">
        <f t="shared" si="135"/>
        <v>0</v>
      </c>
    </row>
    <row r="1737" spans="5:13" x14ac:dyDescent="0.25">
      <c r="E1737" s="32">
        <f t="shared" si="138"/>
        <v>0</v>
      </c>
      <c r="I1737" s="32">
        <f t="shared" si="139"/>
        <v>0</v>
      </c>
      <c r="K1737" s="31">
        <f t="shared" si="136"/>
        <v>0</v>
      </c>
      <c r="L1737" s="34">
        <f t="shared" si="137"/>
        <v>0</v>
      </c>
      <c r="M1737" s="34">
        <f t="shared" si="135"/>
        <v>0</v>
      </c>
    </row>
    <row r="1738" spans="5:13" x14ac:dyDescent="0.25">
      <c r="E1738" s="32">
        <f t="shared" si="138"/>
        <v>0</v>
      </c>
      <c r="I1738" s="32">
        <f t="shared" si="139"/>
        <v>0</v>
      </c>
      <c r="K1738" s="31">
        <f t="shared" si="136"/>
        <v>0</v>
      </c>
      <c r="L1738" s="34">
        <f t="shared" si="137"/>
        <v>0</v>
      </c>
      <c r="M1738" s="34">
        <f t="shared" si="135"/>
        <v>0</v>
      </c>
    </row>
    <row r="1739" spans="5:13" x14ac:dyDescent="0.25">
      <c r="E1739" s="32">
        <f t="shared" si="138"/>
        <v>0</v>
      </c>
      <c r="I1739" s="32">
        <f t="shared" si="139"/>
        <v>0</v>
      </c>
      <c r="K1739" s="31">
        <f t="shared" si="136"/>
        <v>0</v>
      </c>
      <c r="L1739" s="34">
        <f t="shared" si="137"/>
        <v>0</v>
      </c>
      <c r="M1739" s="34">
        <f t="shared" si="135"/>
        <v>0</v>
      </c>
    </row>
    <row r="1740" spans="5:13" x14ac:dyDescent="0.25">
      <c r="E1740" s="32">
        <f t="shared" si="138"/>
        <v>0</v>
      </c>
      <c r="I1740" s="32">
        <f t="shared" si="139"/>
        <v>0</v>
      </c>
      <c r="K1740" s="31">
        <f t="shared" si="136"/>
        <v>0</v>
      </c>
      <c r="L1740" s="34">
        <f t="shared" si="137"/>
        <v>0</v>
      </c>
      <c r="M1740" s="34">
        <f t="shared" si="135"/>
        <v>0</v>
      </c>
    </row>
    <row r="1741" spans="5:13" x14ac:dyDescent="0.25">
      <c r="E1741" s="32">
        <f t="shared" si="138"/>
        <v>0</v>
      </c>
      <c r="I1741" s="32">
        <f t="shared" si="139"/>
        <v>0</v>
      </c>
      <c r="K1741" s="31">
        <f t="shared" si="136"/>
        <v>0</v>
      </c>
      <c r="L1741" s="34">
        <f t="shared" si="137"/>
        <v>0</v>
      </c>
      <c r="M1741" s="34">
        <f t="shared" si="135"/>
        <v>0</v>
      </c>
    </row>
    <row r="1742" spans="5:13" x14ac:dyDescent="0.25">
      <c r="E1742" s="32">
        <f t="shared" si="138"/>
        <v>0</v>
      </c>
      <c r="I1742" s="32">
        <f t="shared" si="139"/>
        <v>0</v>
      </c>
      <c r="K1742" s="31">
        <f t="shared" si="136"/>
        <v>0</v>
      </c>
      <c r="L1742" s="34">
        <f t="shared" si="137"/>
        <v>0</v>
      </c>
      <c r="M1742" s="34">
        <f t="shared" si="135"/>
        <v>0</v>
      </c>
    </row>
    <row r="1743" spans="5:13" x14ac:dyDescent="0.25">
      <c r="E1743" s="32">
        <f t="shared" si="138"/>
        <v>0</v>
      </c>
      <c r="I1743" s="32">
        <f t="shared" si="139"/>
        <v>0</v>
      </c>
      <c r="K1743" s="31">
        <f t="shared" si="136"/>
        <v>0</v>
      </c>
      <c r="L1743" s="34">
        <f t="shared" si="137"/>
        <v>0</v>
      </c>
      <c r="M1743" s="34">
        <f t="shared" si="135"/>
        <v>0</v>
      </c>
    </row>
    <row r="1744" spans="5:13" x14ac:dyDescent="0.25">
      <c r="E1744" s="32">
        <f t="shared" si="138"/>
        <v>0</v>
      </c>
      <c r="I1744" s="32">
        <f t="shared" si="139"/>
        <v>0</v>
      </c>
      <c r="K1744" s="31">
        <f t="shared" si="136"/>
        <v>0</v>
      </c>
      <c r="L1744" s="34">
        <f t="shared" si="137"/>
        <v>0</v>
      </c>
      <c r="M1744" s="34">
        <f t="shared" si="135"/>
        <v>0</v>
      </c>
    </row>
    <row r="1745" spans="5:13" x14ac:dyDescent="0.25">
      <c r="E1745" s="32">
        <f t="shared" si="138"/>
        <v>0</v>
      </c>
      <c r="I1745" s="32">
        <f t="shared" si="139"/>
        <v>0</v>
      </c>
      <c r="K1745" s="31">
        <f t="shared" si="136"/>
        <v>0</v>
      </c>
      <c r="L1745" s="34">
        <f t="shared" si="137"/>
        <v>0</v>
      </c>
      <c r="M1745" s="34">
        <f t="shared" si="135"/>
        <v>0</v>
      </c>
    </row>
    <row r="1746" spans="5:13" x14ac:dyDescent="0.25">
      <c r="E1746" s="32">
        <f t="shared" si="138"/>
        <v>0</v>
      </c>
      <c r="I1746" s="32">
        <f t="shared" si="139"/>
        <v>0</v>
      </c>
      <c r="K1746" s="31">
        <f t="shared" si="136"/>
        <v>0</v>
      </c>
      <c r="L1746" s="34">
        <f t="shared" si="137"/>
        <v>0</v>
      </c>
      <c r="M1746" s="34">
        <f t="shared" si="135"/>
        <v>0</v>
      </c>
    </row>
    <row r="1747" spans="5:13" x14ac:dyDescent="0.25">
      <c r="E1747" s="32">
        <f t="shared" si="138"/>
        <v>0</v>
      </c>
      <c r="I1747" s="32">
        <f t="shared" si="139"/>
        <v>0</v>
      </c>
      <c r="K1747" s="31">
        <f t="shared" si="136"/>
        <v>0</v>
      </c>
      <c r="L1747" s="34">
        <f t="shared" si="137"/>
        <v>0</v>
      </c>
      <c r="M1747" s="34">
        <f t="shared" si="135"/>
        <v>0</v>
      </c>
    </row>
    <row r="1748" spans="5:13" x14ac:dyDescent="0.25">
      <c r="E1748" s="32">
        <f t="shared" si="138"/>
        <v>0</v>
      </c>
      <c r="I1748" s="32">
        <f t="shared" si="139"/>
        <v>0</v>
      </c>
      <c r="K1748" s="31">
        <f t="shared" si="136"/>
        <v>0</v>
      </c>
      <c r="L1748" s="34">
        <f t="shared" si="137"/>
        <v>0</v>
      </c>
      <c r="M1748" s="34">
        <f t="shared" si="135"/>
        <v>0</v>
      </c>
    </row>
    <row r="1749" spans="5:13" x14ac:dyDescent="0.25">
      <c r="E1749" s="32">
        <f t="shared" si="138"/>
        <v>0</v>
      </c>
      <c r="I1749" s="32">
        <f t="shared" si="139"/>
        <v>0</v>
      </c>
      <c r="K1749" s="31">
        <f t="shared" si="136"/>
        <v>0</v>
      </c>
      <c r="L1749" s="34">
        <f t="shared" si="137"/>
        <v>0</v>
      </c>
      <c r="M1749" s="34">
        <f t="shared" si="135"/>
        <v>0</v>
      </c>
    </row>
    <row r="1750" spans="5:13" x14ac:dyDescent="0.25">
      <c r="E1750" s="32">
        <f t="shared" si="138"/>
        <v>0</v>
      </c>
      <c r="I1750" s="32">
        <f t="shared" si="139"/>
        <v>0</v>
      </c>
      <c r="K1750" s="31">
        <f t="shared" si="136"/>
        <v>0</v>
      </c>
      <c r="L1750" s="34">
        <f t="shared" si="137"/>
        <v>0</v>
      </c>
      <c r="M1750" s="34">
        <f t="shared" si="135"/>
        <v>0</v>
      </c>
    </row>
    <row r="1751" spans="5:13" x14ac:dyDescent="0.25">
      <c r="E1751" s="32">
        <f t="shared" si="138"/>
        <v>0</v>
      </c>
      <c r="I1751" s="32">
        <f t="shared" si="139"/>
        <v>0</v>
      </c>
      <c r="K1751" s="31">
        <f t="shared" si="136"/>
        <v>0</v>
      </c>
      <c r="L1751" s="34">
        <f t="shared" si="137"/>
        <v>0</v>
      </c>
      <c r="M1751" s="34">
        <f t="shared" si="135"/>
        <v>0</v>
      </c>
    </row>
    <row r="1752" spans="5:13" x14ac:dyDescent="0.25">
      <c r="E1752" s="32">
        <f t="shared" si="138"/>
        <v>0</v>
      </c>
      <c r="I1752" s="32">
        <f t="shared" si="139"/>
        <v>0</v>
      </c>
      <c r="K1752" s="31">
        <f t="shared" si="136"/>
        <v>0</v>
      </c>
      <c r="L1752" s="34">
        <f t="shared" si="137"/>
        <v>0</v>
      </c>
      <c r="M1752" s="34">
        <f t="shared" si="135"/>
        <v>0</v>
      </c>
    </row>
    <row r="1753" spans="5:13" x14ac:dyDescent="0.25">
      <c r="E1753" s="32">
        <f t="shared" si="138"/>
        <v>0</v>
      </c>
      <c r="I1753" s="32">
        <f t="shared" si="139"/>
        <v>0</v>
      </c>
      <c r="K1753" s="31">
        <f t="shared" si="136"/>
        <v>0</v>
      </c>
      <c r="L1753" s="34">
        <f t="shared" si="137"/>
        <v>0</v>
      </c>
      <c r="M1753" s="34">
        <f t="shared" si="135"/>
        <v>0</v>
      </c>
    </row>
    <row r="1754" spans="5:13" x14ac:dyDescent="0.25">
      <c r="E1754" s="32">
        <f t="shared" si="138"/>
        <v>0</v>
      </c>
      <c r="I1754" s="32">
        <f t="shared" si="139"/>
        <v>0</v>
      </c>
      <c r="K1754" s="31">
        <f t="shared" si="136"/>
        <v>0</v>
      </c>
      <c r="L1754" s="34">
        <f t="shared" si="137"/>
        <v>0</v>
      </c>
      <c r="M1754" s="34">
        <f t="shared" si="135"/>
        <v>0</v>
      </c>
    </row>
    <row r="1755" spans="5:13" x14ac:dyDescent="0.25">
      <c r="E1755" s="32">
        <f t="shared" si="138"/>
        <v>0</v>
      </c>
      <c r="I1755" s="32">
        <f t="shared" si="139"/>
        <v>0</v>
      </c>
      <c r="K1755" s="31">
        <f t="shared" si="136"/>
        <v>0</v>
      </c>
      <c r="L1755" s="34">
        <f t="shared" si="137"/>
        <v>0</v>
      </c>
      <c r="M1755" s="34">
        <f t="shared" si="135"/>
        <v>0</v>
      </c>
    </row>
    <row r="1756" spans="5:13" x14ac:dyDescent="0.25">
      <c r="E1756" s="32">
        <f t="shared" si="138"/>
        <v>0</v>
      </c>
      <c r="I1756" s="32">
        <f t="shared" si="139"/>
        <v>0</v>
      </c>
      <c r="K1756" s="31">
        <f t="shared" si="136"/>
        <v>0</v>
      </c>
      <c r="L1756" s="34">
        <f t="shared" si="137"/>
        <v>0</v>
      </c>
      <c r="M1756" s="34">
        <f t="shared" si="135"/>
        <v>0</v>
      </c>
    </row>
    <row r="1757" spans="5:13" x14ac:dyDescent="0.25">
      <c r="E1757" s="32">
        <f t="shared" si="138"/>
        <v>0</v>
      </c>
      <c r="I1757" s="32">
        <f t="shared" si="139"/>
        <v>0</v>
      </c>
      <c r="K1757" s="31">
        <f t="shared" si="136"/>
        <v>0</v>
      </c>
      <c r="L1757" s="34">
        <f t="shared" si="137"/>
        <v>0</v>
      </c>
      <c r="M1757" s="34">
        <f t="shared" si="135"/>
        <v>0</v>
      </c>
    </row>
    <row r="1758" spans="5:13" x14ac:dyDescent="0.25">
      <c r="E1758" s="32">
        <f t="shared" si="138"/>
        <v>0</v>
      </c>
      <c r="I1758" s="32">
        <f t="shared" si="139"/>
        <v>0</v>
      </c>
      <c r="K1758" s="31">
        <f t="shared" si="136"/>
        <v>0</v>
      </c>
      <c r="L1758" s="34">
        <f t="shared" si="137"/>
        <v>0</v>
      </c>
      <c r="M1758" s="34">
        <f t="shared" si="135"/>
        <v>0</v>
      </c>
    </row>
    <row r="1759" spans="5:13" x14ac:dyDescent="0.25">
      <c r="E1759" s="32">
        <f t="shared" si="138"/>
        <v>0</v>
      </c>
      <c r="I1759" s="32">
        <f t="shared" si="139"/>
        <v>0</v>
      </c>
      <c r="K1759" s="31">
        <f t="shared" si="136"/>
        <v>0</v>
      </c>
      <c r="L1759" s="34">
        <f t="shared" si="137"/>
        <v>0</v>
      </c>
      <c r="M1759" s="34">
        <f t="shared" si="135"/>
        <v>0</v>
      </c>
    </row>
    <row r="1760" spans="5:13" x14ac:dyDescent="0.25">
      <c r="E1760" s="32">
        <f t="shared" si="138"/>
        <v>0</v>
      </c>
      <c r="I1760" s="32">
        <f t="shared" si="139"/>
        <v>0</v>
      </c>
      <c r="K1760" s="31">
        <f t="shared" si="136"/>
        <v>0</v>
      </c>
      <c r="L1760" s="34">
        <f t="shared" si="137"/>
        <v>0</v>
      </c>
      <c r="M1760" s="34">
        <f t="shared" si="135"/>
        <v>0</v>
      </c>
    </row>
    <row r="1761" spans="5:13" x14ac:dyDescent="0.25">
      <c r="E1761" s="32">
        <f t="shared" si="138"/>
        <v>0</v>
      </c>
      <c r="I1761" s="32">
        <f t="shared" si="139"/>
        <v>0</v>
      </c>
      <c r="K1761" s="31">
        <f t="shared" si="136"/>
        <v>0</v>
      </c>
      <c r="L1761" s="34">
        <f t="shared" si="137"/>
        <v>0</v>
      </c>
      <c r="M1761" s="34">
        <f t="shared" si="135"/>
        <v>0</v>
      </c>
    </row>
    <row r="1762" spans="5:13" x14ac:dyDescent="0.25">
      <c r="E1762" s="32">
        <f t="shared" si="138"/>
        <v>0</v>
      </c>
      <c r="I1762" s="32">
        <f t="shared" si="139"/>
        <v>0</v>
      </c>
      <c r="K1762" s="31">
        <f t="shared" si="136"/>
        <v>0</v>
      </c>
      <c r="L1762" s="34">
        <f t="shared" si="137"/>
        <v>0</v>
      </c>
      <c r="M1762" s="34">
        <f t="shared" si="135"/>
        <v>0</v>
      </c>
    </row>
    <row r="1763" spans="5:13" x14ac:dyDescent="0.25">
      <c r="E1763" s="32">
        <f t="shared" si="138"/>
        <v>0</v>
      </c>
      <c r="I1763" s="32">
        <f t="shared" si="139"/>
        <v>0</v>
      </c>
      <c r="K1763" s="31">
        <f t="shared" si="136"/>
        <v>0</v>
      </c>
      <c r="L1763" s="34">
        <f t="shared" si="137"/>
        <v>0</v>
      </c>
      <c r="M1763" s="34">
        <f t="shared" si="135"/>
        <v>0</v>
      </c>
    </row>
    <row r="1764" spans="5:13" x14ac:dyDescent="0.25">
      <c r="E1764" s="32">
        <f t="shared" si="138"/>
        <v>0</v>
      </c>
      <c r="I1764" s="32">
        <f t="shared" si="139"/>
        <v>0</v>
      </c>
      <c r="K1764" s="31">
        <f t="shared" si="136"/>
        <v>0</v>
      </c>
      <c r="L1764" s="34">
        <f t="shared" si="137"/>
        <v>0</v>
      </c>
      <c r="M1764" s="34">
        <f t="shared" si="135"/>
        <v>0</v>
      </c>
    </row>
    <row r="1765" spans="5:13" x14ac:dyDescent="0.25">
      <c r="E1765" s="32">
        <f t="shared" si="138"/>
        <v>0</v>
      </c>
      <c r="I1765" s="32">
        <f t="shared" si="139"/>
        <v>0</v>
      </c>
      <c r="K1765" s="31">
        <f t="shared" si="136"/>
        <v>0</v>
      </c>
      <c r="L1765" s="34">
        <f t="shared" si="137"/>
        <v>0</v>
      </c>
      <c r="M1765" s="34">
        <f t="shared" si="135"/>
        <v>0</v>
      </c>
    </row>
    <row r="1766" spans="5:13" x14ac:dyDescent="0.25">
      <c r="E1766" s="32">
        <f t="shared" si="138"/>
        <v>0</v>
      </c>
      <c r="I1766" s="32">
        <f t="shared" si="139"/>
        <v>0</v>
      </c>
      <c r="K1766" s="31">
        <f t="shared" si="136"/>
        <v>0</v>
      </c>
      <c r="L1766" s="34">
        <f t="shared" si="137"/>
        <v>0</v>
      </c>
      <c r="M1766" s="34">
        <f t="shared" si="135"/>
        <v>0</v>
      </c>
    </row>
    <row r="1767" spans="5:13" x14ac:dyDescent="0.25">
      <c r="E1767" s="32">
        <f t="shared" si="138"/>
        <v>0</v>
      </c>
      <c r="I1767" s="32">
        <f t="shared" si="139"/>
        <v>0</v>
      </c>
      <c r="K1767" s="31">
        <f t="shared" si="136"/>
        <v>0</v>
      </c>
      <c r="L1767" s="34">
        <f t="shared" si="137"/>
        <v>0</v>
      </c>
      <c r="M1767" s="34">
        <f t="shared" si="135"/>
        <v>0</v>
      </c>
    </row>
    <row r="1768" spans="5:13" x14ac:dyDescent="0.25">
      <c r="E1768" s="32">
        <f t="shared" si="138"/>
        <v>0</v>
      </c>
      <c r="I1768" s="32">
        <f t="shared" si="139"/>
        <v>0</v>
      </c>
      <c r="K1768" s="31">
        <f t="shared" si="136"/>
        <v>0</v>
      </c>
      <c r="L1768" s="34">
        <f t="shared" si="137"/>
        <v>0</v>
      </c>
      <c r="M1768" s="34">
        <f t="shared" si="135"/>
        <v>0</v>
      </c>
    </row>
    <row r="1769" spans="5:13" x14ac:dyDescent="0.25">
      <c r="E1769" s="32">
        <f t="shared" si="138"/>
        <v>0</v>
      </c>
      <c r="I1769" s="32">
        <f t="shared" si="139"/>
        <v>0</v>
      </c>
      <c r="K1769" s="31">
        <f t="shared" si="136"/>
        <v>0</v>
      </c>
      <c r="L1769" s="34">
        <f t="shared" si="137"/>
        <v>0</v>
      </c>
      <c r="M1769" s="34">
        <f t="shared" si="135"/>
        <v>0</v>
      </c>
    </row>
    <row r="1770" spans="5:13" x14ac:dyDescent="0.25">
      <c r="E1770" s="32">
        <f t="shared" si="138"/>
        <v>0</v>
      </c>
      <c r="I1770" s="32">
        <f t="shared" si="139"/>
        <v>0</v>
      </c>
      <c r="K1770" s="31">
        <f t="shared" si="136"/>
        <v>0</v>
      </c>
      <c r="L1770" s="34">
        <f t="shared" si="137"/>
        <v>0</v>
      </c>
      <c r="M1770" s="34">
        <f t="shared" si="135"/>
        <v>0</v>
      </c>
    </row>
    <row r="1771" spans="5:13" x14ac:dyDescent="0.25">
      <c r="E1771" s="32">
        <f t="shared" si="138"/>
        <v>0</v>
      </c>
      <c r="I1771" s="32">
        <f t="shared" si="139"/>
        <v>0</v>
      </c>
      <c r="K1771" s="31">
        <f t="shared" si="136"/>
        <v>0</v>
      </c>
      <c r="L1771" s="34">
        <f t="shared" si="137"/>
        <v>0</v>
      </c>
      <c r="M1771" s="34">
        <f t="shared" si="135"/>
        <v>0</v>
      </c>
    </row>
    <row r="1772" spans="5:13" x14ac:dyDescent="0.25">
      <c r="E1772" s="32">
        <f t="shared" si="138"/>
        <v>0</v>
      </c>
      <c r="I1772" s="32">
        <f t="shared" si="139"/>
        <v>0</v>
      </c>
      <c r="K1772" s="31">
        <f t="shared" si="136"/>
        <v>0</v>
      </c>
      <c r="L1772" s="34">
        <f t="shared" si="137"/>
        <v>0</v>
      </c>
      <c r="M1772" s="34">
        <f t="shared" si="135"/>
        <v>0</v>
      </c>
    </row>
    <row r="1773" spans="5:13" x14ac:dyDescent="0.25">
      <c r="E1773" s="32">
        <f t="shared" si="138"/>
        <v>0</v>
      </c>
      <c r="I1773" s="32">
        <f t="shared" si="139"/>
        <v>0</v>
      </c>
      <c r="K1773" s="31">
        <f t="shared" si="136"/>
        <v>0</v>
      </c>
      <c r="L1773" s="34">
        <f t="shared" si="137"/>
        <v>0</v>
      </c>
      <c r="M1773" s="34">
        <f t="shared" si="135"/>
        <v>0</v>
      </c>
    </row>
    <row r="1774" spans="5:13" x14ac:dyDescent="0.25">
      <c r="E1774" s="32">
        <f t="shared" si="138"/>
        <v>0</v>
      </c>
      <c r="I1774" s="32">
        <f t="shared" si="139"/>
        <v>0</v>
      </c>
      <c r="K1774" s="31">
        <f t="shared" si="136"/>
        <v>0</v>
      </c>
      <c r="L1774" s="34">
        <f t="shared" si="137"/>
        <v>0</v>
      </c>
      <c r="M1774" s="34">
        <f t="shared" si="135"/>
        <v>0</v>
      </c>
    </row>
    <row r="1775" spans="5:13" x14ac:dyDescent="0.25">
      <c r="E1775" s="32">
        <f t="shared" si="138"/>
        <v>0</v>
      </c>
      <c r="I1775" s="32">
        <f t="shared" si="139"/>
        <v>0</v>
      </c>
      <c r="K1775" s="31">
        <f t="shared" si="136"/>
        <v>0</v>
      </c>
      <c r="L1775" s="34">
        <f t="shared" si="137"/>
        <v>0</v>
      </c>
      <c r="M1775" s="34">
        <f t="shared" si="135"/>
        <v>0</v>
      </c>
    </row>
    <row r="1776" spans="5:13" x14ac:dyDescent="0.25">
      <c r="E1776" s="32">
        <f t="shared" si="138"/>
        <v>0</v>
      </c>
      <c r="I1776" s="32">
        <f t="shared" si="139"/>
        <v>0</v>
      </c>
      <c r="K1776" s="31">
        <f t="shared" si="136"/>
        <v>0</v>
      </c>
      <c r="L1776" s="34">
        <f t="shared" si="137"/>
        <v>0</v>
      </c>
      <c r="M1776" s="34">
        <f t="shared" si="135"/>
        <v>0</v>
      </c>
    </row>
    <row r="1777" spans="5:13" x14ac:dyDescent="0.25">
      <c r="E1777" s="32">
        <f t="shared" si="138"/>
        <v>0</v>
      </c>
      <c r="I1777" s="32">
        <f t="shared" si="139"/>
        <v>0</v>
      </c>
      <c r="K1777" s="31">
        <f t="shared" si="136"/>
        <v>0</v>
      </c>
      <c r="L1777" s="34">
        <f t="shared" si="137"/>
        <v>0</v>
      </c>
      <c r="M1777" s="34">
        <f t="shared" si="135"/>
        <v>0</v>
      </c>
    </row>
    <row r="1778" spans="5:13" x14ac:dyDescent="0.25">
      <c r="E1778" s="32">
        <f t="shared" si="138"/>
        <v>0</v>
      </c>
      <c r="I1778" s="32">
        <f t="shared" si="139"/>
        <v>0</v>
      </c>
      <c r="K1778" s="31">
        <f t="shared" si="136"/>
        <v>0</v>
      </c>
      <c r="L1778" s="34">
        <f t="shared" si="137"/>
        <v>0</v>
      </c>
      <c r="M1778" s="34">
        <f t="shared" si="135"/>
        <v>0</v>
      </c>
    </row>
    <row r="1779" spans="5:13" x14ac:dyDescent="0.25">
      <c r="E1779" s="32">
        <f t="shared" si="138"/>
        <v>0</v>
      </c>
      <c r="I1779" s="32">
        <f t="shared" si="139"/>
        <v>0</v>
      </c>
      <c r="K1779" s="31">
        <f t="shared" si="136"/>
        <v>0</v>
      </c>
      <c r="L1779" s="34">
        <f t="shared" si="137"/>
        <v>0</v>
      </c>
      <c r="M1779" s="34">
        <f t="shared" si="135"/>
        <v>0</v>
      </c>
    </row>
    <row r="1780" spans="5:13" x14ac:dyDescent="0.25">
      <c r="E1780" s="32">
        <f t="shared" si="138"/>
        <v>0</v>
      </c>
      <c r="I1780" s="32">
        <f t="shared" si="139"/>
        <v>0</v>
      </c>
      <c r="K1780" s="31">
        <f t="shared" si="136"/>
        <v>0</v>
      </c>
      <c r="L1780" s="34">
        <f t="shared" si="137"/>
        <v>0</v>
      </c>
      <c r="M1780" s="34">
        <f t="shared" si="135"/>
        <v>0</v>
      </c>
    </row>
    <row r="1781" spans="5:13" x14ac:dyDescent="0.25">
      <c r="E1781" s="32">
        <f t="shared" si="138"/>
        <v>0</v>
      </c>
      <c r="I1781" s="32">
        <f t="shared" si="139"/>
        <v>0</v>
      </c>
      <c r="K1781" s="31">
        <f t="shared" si="136"/>
        <v>0</v>
      </c>
      <c r="L1781" s="34">
        <f t="shared" si="137"/>
        <v>0</v>
      </c>
      <c r="M1781" s="34">
        <f t="shared" si="135"/>
        <v>0</v>
      </c>
    </row>
    <row r="1782" spans="5:13" x14ac:dyDescent="0.25">
      <c r="E1782" s="32">
        <f t="shared" si="138"/>
        <v>0</v>
      </c>
      <c r="I1782" s="32">
        <f t="shared" si="139"/>
        <v>0</v>
      </c>
      <c r="K1782" s="31">
        <f t="shared" si="136"/>
        <v>0</v>
      </c>
      <c r="L1782" s="34">
        <f t="shared" si="137"/>
        <v>0</v>
      </c>
      <c r="M1782" s="34">
        <f t="shared" si="135"/>
        <v>0</v>
      </c>
    </row>
    <row r="1783" spans="5:13" x14ac:dyDescent="0.25">
      <c r="E1783" s="32">
        <f t="shared" si="138"/>
        <v>0</v>
      </c>
      <c r="I1783" s="32">
        <f t="shared" si="139"/>
        <v>0</v>
      </c>
      <c r="K1783" s="31">
        <f t="shared" si="136"/>
        <v>0</v>
      </c>
      <c r="L1783" s="34">
        <f t="shared" si="137"/>
        <v>0</v>
      </c>
      <c r="M1783" s="34">
        <f t="shared" si="135"/>
        <v>0</v>
      </c>
    </row>
    <row r="1784" spans="5:13" x14ac:dyDescent="0.25">
      <c r="E1784" s="32">
        <f t="shared" si="138"/>
        <v>0</v>
      </c>
      <c r="I1784" s="32">
        <f t="shared" si="139"/>
        <v>0</v>
      </c>
      <c r="K1784" s="31">
        <f t="shared" si="136"/>
        <v>0</v>
      </c>
      <c r="L1784" s="34">
        <f t="shared" si="137"/>
        <v>0</v>
      </c>
      <c r="M1784" s="34">
        <f t="shared" si="135"/>
        <v>0</v>
      </c>
    </row>
    <row r="1785" spans="5:13" x14ac:dyDescent="0.25">
      <c r="E1785" s="32">
        <f t="shared" si="138"/>
        <v>0</v>
      </c>
      <c r="I1785" s="32">
        <f t="shared" si="139"/>
        <v>0</v>
      </c>
      <c r="K1785" s="31">
        <f t="shared" si="136"/>
        <v>0</v>
      </c>
      <c r="L1785" s="34">
        <f t="shared" si="137"/>
        <v>0</v>
      </c>
      <c r="M1785" s="34">
        <f t="shared" si="135"/>
        <v>0</v>
      </c>
    </row>
    <row r="1786" spans="5:13" x14ac:dyDescent="0.25">
      <c r="E1786" s="32">
        <f t="shared" si="138"/>
        <v>0</v>
      </c>
      <c r="I1786" s="32">
        <f t="shared" si="139"/>
        <v>0</v>
      </c>
      <c r="K1786" s="31">
        <f t="shared" si="136"/>
        <v>0</v>
      </c>
      <c r="L1786" s="34">
        <f t="shared" si="137"/>
        <v>0</v>
      </c>
      <c r="M1786" s="34">
        <f t="shared" si="135"/>
        <v>0</v>
      </c>
    </row>
    <row r="1787" spans="5:13" x14ac:dyDescent="0.25">
      <c r="E1787" s="32">
        <f t="shared" si="138"/>
        <v>0</v>
      </c>
      <c r="I1787" s="32">
        <f t="shared" si="139"/>
        <v>0</v>
      </c>
      <c r="K1787" s="31">
        <f t="shared" si="136"/>
        <v>0</v>
      </c>
      <c r="L1787" s="34">
        <f t="shared" si="137"/>
        <v>0</v>
      </c>
      <c r="M1787" s="34">
        <f t="shared" si="135"/>
        <v>0</v>
      </c>
    </row>
    <row r="1788" spans="5:13" x14ac:dyDescent="0.25">
      <c r="E1788" s="32">
        <f t="shared" si="138"/>
        <v>0</v>
      </c>
      <c r="I1788" s="32">
        <f t="shared" si="139"/>
        <v>0</v>
      </c>
      <c r="K1788" s="31">
        <f t="shared" si="136"/>
        <v>0</v>
      </c>
      <c r="L1788" s="34">
        <f t="shared" si="137"/>
        <v>0</v>
      </c>
      <c r="M1788" s="34">
        <f t="shared" si="135"/>
        <v>0</v>
      </c>
    </row>
    <row r="1789" spans="5:13" x14ac:dyDescent="0.25">
      <c r="E1789" s="32">
        <f t="shared" si="138"/>
        <v>0</v>
      </c>
      <c r="I1789" s="32">
        <f t="shared" si="139"/>
        <v>0</v>
      </c>
      <c r="K1789" s="31">
        <f t="shared" si="136"/>
        <v>0</v>
      </c>
      <c r="L1789" s="34">
        <f t="shared" si="137"/>
        <v>0</v>
      </c>
      <c r="M1789" s="34">
        <f t="shared" si="135"/>
        <v>0</v>
      </c>
    </row>
    <row r="1790" spans="5:13" x14ac:dyDescent="0.25">
      <c r="E1790" s="32">
        <f t="shared" si="138"/>
        <v>0</v>
      </c>
      <c r="I1790" s="32">
        <f t="shared" si="139"/>
        <v>0</v>
      </c>
      <c r="K1790" s="31">
        <f t="shared" si="136"/>
        <v>0</v>
      </c>
      <c r="L1790" s="34">
        <f t="shared" si="137"/>
        <v>0</v>
      </c>
      <c r="M1790" s="34">
        <f t="shared" si="135"/>
        <v>0</v>
      </c>
    </row>
    <row r="1791" spans="5:13" x14ac:dyDescent="0.25">
      <c r="E1791" s="32">
        <f t="shared" si="138"/>
        <v>0</v>
      </c>
      <c r="I1791" s="32">
        <f t="shared" si="139"/>
        <v>0</v>
      </c>
      <c r="K1791" s="31">
        <f t="shared" si="136"/>
        <v>0</v>
      </c>
      <c r="L1791" s="34">
        <f t="shared" si="137"/>
        <v>0</v>
      </c>
      <c r="M1791" s="34">
        <f t="shared" si="135"/>
        <v>0</v>
      </c>
    </row>
    <row r="1792" spans="5:13" x14ac:dyDescent="0.25">
      <c r="E1792" s="32">
        <f t="shared" si="138"/>
        <v>0</v>
      </c>
      <c r="I1792" s="32">
        <f t="shared" si="139"/>
        <v>0</v>
      </c>
      <c r="K1792" s="31">
        <f t="shared" si="136"/>
        <v>0</v>
      </c>
      <c r="L1792" s="34">
        <f t="shared" si="137"/>
        <v>0</v>
      </c>
      <c r="M1792" s="34">
        <f t="shared" si="135"/>
        <v>0</v>
      </c>
    </row>
    <row r="1793" spans="5:13" x14ac:dyDescent="0.25">
      <c r="E1793" s="32">
        <f t="shared" si="138"/>
        <v>0</v>
      </c>
      <c r="I1793" s="32">
        <f t="shared" si="139"/>
        <v>0</v>
      </c>
      <c r="K1793" s="31">
        <f t="shared" si="136"/>
        <v>0</v>
      </c>
      <c r="L1793" s="34">
        <f t="shared" si="137"/>
        <v>0</v>
      </c>
      <c r="M1793" s="34">
        <f t="shared" si="135"/>
        <v>0</v>
      </c>
    </row>
    <row r="1794" spans="5:13" x14ac:dyDescent="0.25">
      <c r="E1794" s="32">
        <f t="shared" si="138"/>
        <v>0</v>
      </c>
      <c r="I1794" s="32">
        <f t="shared" si="139"/>
        <v>0</v>
      </c>
      <c r="K1794" s="31">
        <f t="shared" si="136"/>
        <v>0</v>
      </c>
      <c r="L1794" s="34">
        <f t="shared" si="137"/>
        <v>0</v>
      </c>
      <c r="M1794" s="34">
        <f t="shared" si="135"/>
        <v>0</v>
      </c>
    </row>
    <row r="1795" spans="5:13" x14ac:dyDescent="0.25">
      <c r="E1795" s="32">
        <f t="shared" si="138"/>
        <v>0</v>
      </c>
      <c r="I1795" s="32">
        <f t="shared" si="139"/>
        <v>0</v>
      </c>
      <c r="K1795" s="31">
        <f t="shared" si="136"/>
        <v>0</v>
      </c>
      <c r="L1795" s="34">
        <f t="shared" si="137"/>
        <v>0</v>
      </c>
      <c r="M1795" s="34">
        <f t="shared" si="135"/>
        <v>0</v>
      </c>
    </row>
    <row r="1796" spans="5:13" x14ac:dyDescent="0.25">
      <c r="E1796" s="32">
        <f t="shared" si="138"/>
        <v>0</v>
      </c>
      <c r="I1796" s="32">
        <f t="shared" si="139"/>
        <v>0</v>
      </c>
      <c r="K1796" s="31">
        <f t="shared" si="136"/>
        <v>0</v>
      </c>
      <c r="L1796" s="34">
        <f t="shared" si="137"/>
        <v>0</v>
      </c>
      <c r="M1796" s="34">
        <f t="shared" ref="M1796:M1859" si="140">(L1796/27)*4</f>
        <v>0</v>
      </c>
    </row>
    <row r="1797" spans="5:13" x14ac:dyDescent="0.25">
      <c r="E1797" s="32">
        <f t="shared" si="138"/>
        <v>0</v>
      </c>
      <c r="I1797" s="32">
        <f t="shared" si="139"/>
        <v>0</v>
      </c>
      <c r="K1797" s="31">
        <f t="shared" ref="K1797:K1860" si="141">B1797/30</f>
        <v>0</v>
      </c>
      <c r="L1797" s="34">
        <f t="shared" ref="L1797:L1860" si="142">IF(J1797="S",((I1797*24)*K1797)*2,((I1797*24)*K1797)*1.5)</f>
        <v>0</v>
      </c>
      <c r="M1797" s="34">
        <f t="shared" si="140"/>
        <v>0</v>
      </c>
    </row>
    <row r="1798" spans="5:13" x14ac:dyDescent="0.25">
      <c r="E1798" s="32">
        <f t="shared" ref="E1798:E1861" si="143">D1798-C1798</f>
        <v>0</v>
      </c>
      <c r="I1798" s="32">
        <f t="shared" ref="I1798:I1861" si="144">H1798-G1798</f>
        <v>0</v>
      </c>
      <c r="K1798" s="31">
        <f t="shared" si="141"/>
        <v>0</v>
      </c>
      <c r="L1798" s="34">
        <f t="shared" si="142"/>
        <v>0</v>
      </c>
      <c r="M1798" s="34">
        <f t="shared" si="140"/>
        <v>0</v>
      </c>
    </row>
    <row r="1799" spans="5:13" x14ac:dyDescent="0.25">
      <c r="E1799" s="32">
        <f t="shared" si="143"/>
        <v>0</v>
      </c>
      <c r="I1799" s="32">
        <f t="shared" si="144"/>
        <v>0</v>
      </c>
      <c r="K1799" s="31">
        <f t="shared" si="141"/>
        <v>0</v>
      </c>
      <c r="L1799" s="34">
        <f t="shared" si="142"/>
        <v>0</v>
      </c>
      <c r="M1799" s="34">
        <f t="shared" si="140"/>
        <v>0</v>
      </c>
    </row>
    <row r="1800" spans="5:13" x14ac:dyDescent="0.25">
      <c r="E1800" s="32">
        <f t="shared" si="143"/>
        <v>0</v>
      </c>
      <c r="I1800" s="32">
        <f t="shared" si="144"/>
        <v>0</v>
      </c>
      <c r="K1800" s="31">
        <f t="shared" si="141"/>
        <v>0</v>
      </c>
      <c r="L1800" s="34">
        <f t="shared" si="142"/>
        <v>0</v>
      </c>
      <c r="M1800" s="34">
        <f t="shared" si="140"/>
        <v>0</v>
      </c>
    </row>
    <row r="1801" spans="5:13" x14ac:dyDescent="0.25">
      <c r="E1801" s="32">
        <f t="shared" si="143"/>
        <v>0</v>
      </c>
      <c r="I1801" s="32">
        <f t="shared" si="144"/>
        <v>0</v>
      </c>
      <c r="K1801" s="31">
        <f t="shared" si="141"/>
        <v>0</v>
      </c>
      <c r="L1801" s="34">
        <f t="shared" si="142"/>
        <v>0</v>
      </c>
      <c r="M1801" s="34">
        <f t="shared" si="140"/>
        <v>0</v>
      </c>
    </row>
    <row r="1802" spans="5:13" x14ac:dyDescent="0.25">
      <c r="E1802" s="32">
        <f t="shared" si="143"/>
        <v>0</v>
      </c>
      <c r="I1802" s="32">
        <f t="shared" si="144"/>
        <v>0</v>
      </c>
      <c r="K1802" s="31">
        <f t="shared" si="141"/>
        <v>0</v>
      </c>
      <c r="L1802" s="34">
        <f t="shared" si="142"/>
        <v>0</v>
      </c>
      <c r="M1802" s="34">
        <f t="shared" si="140"/>
        <v>0</v>
      </c>
    </row>
    <row r="1803" spans="5:13" x14ac:dyDescent="0.25">
      <c r="E1803" s="32">
        <f t="shared" si="143"/>
        <v>0</v>
      </c>
      <c r="I1803" s="32">
        <f t="shared" si="144"/>
        <v>0</v>
      </c>
      <c r="K1803" s="31">
        <f t="shared" si="141"/>
        <v>0</v>
      </c>
      <c r="L1803" s="34">
        <f t="shared" si="142"/>
        <v>0</v>
      </c>
      <c r="M1803" s="34">
        <f t="shared" si="140"/>
        <v>0</v>
      </c>
    </row>
    <row r="1804" spans="5:13" x14ac:dyDescent="0.25">
      <c r="E1804" s="32">
        <f t="shared" si="143"/>
        <v>0</v>
      </c>
      <c r="I1804" s="32">
        <f t="shared" si="144"/>
        <v>0</v>
      </c>
      <c r="K1804" s="31">
        <f t="shared" si="141"/>
        <v>0</v>
      </c>
      <c r="L1804" s="34">
        <f t="shared" si="142"/>
        <v>0</v>
      </c>
      <c r="M1804" s="34">
        <f t="shared" si="140"/>
        <v>0</v>
      </c>
    </row>
    <row r="1805" spans="5:13" x14ac:dyDescent="0.25">
      <c r="E1805" s="32">
        <f t="shared" si="143"/>
        <v>0</v>
      </c>
      <c r="I1805" s="32">
        <f t="shared" si="144"/>
        <v>0</v>
      </c>
      <c r="K1805" s="31">
        <f t="shared" si="141"/>
        <v>0</v>
      </c>
      <c r="L1805" s="34">
        <f t="shared" si="142"/>
        <v>0</v>
      </c>
      <c r="M1805" s="34">
        <f t="shared" si="140"/>
        <v>0</v>
      </c>
    </row>
    <row r="1806" spans="5:13" x14ac:dyDescent="0.25">
      <c r="E1806" s="32">
        <f t="shared" si="143"/>
        <v>0</v>
      </c>
      <c r="I1806" s="32">
        <f t="shared" si="144"/>
        <v>0</v>
      </c>
      <c r="K1806" s="31">
        <f t="shared" si="141"/>
        <v>0</v>
      </c>
      <c r="L1806" s="34">
        <f t="shared" si="142"/>
        <v>0</v>
      </c>
      <c r="M1806" s="34">
        <f t="shared" si="140"/>
        <v>0</v>
      </c>
    </row>
    <row r="1807" spans="5:13" x14ac:dyDescent="0.25">
      <c r="E1807" s="32">
        <f t="shared" si="143"/>
        <v>0</v>
      </c>
      <c r="I1807" s="32">
        <f t="shared" si="144"/>
        <v>0</v>
      </c>
      <c r="K1807" s="31">
        <f t="shared" si="141"/>
        <v>0</v>
      </c>
      <c r="L1807" s="34">
        <f t="shared" si="142"/>
        <v>0</v>
      </c>
      <c r="M1807" s="34">
        <f t="shared" si="140"/>
        <v>0</v>
      </c>
    </row>
    <row r="1808" spans="5:13" x14ac:dyDescent="0.25">
      <c r="E1808" s="32">
        <f t="shared" si="143"/>
        <v>0</v>
      </c>
      <c r="I1808" s="32">
        <f t="shared" si="144"/>
        <v>0</v>
      </c>
      <c r="K1808" s="31">
        <f t="shared" si="141"/>
        <v>0</v>
      </c>
      <c r="L1808" s="34">
        <f t="shared" si="142"/>
        <v>0</v>
      </c>
      <c r="M1808" s="34">
        <f t="shared" si="140"/>
        <v>0</v>
      </c>
    </row>
    <row r="1809" spans="5:13" x14ac:dyDescent="0.25">
      <c r="E1809" s="32">
        <f t="shared" si="143"/>
        <v>0</v>
      </c>
      <c r="I1809" s="32">
        <f t="shared" si="144"/>
        <v>0</v>
      </c>
      <c r="K1809" s="31">
        <f t="shared" si="141"/>
        <v>0</v>
      </c>
      <c r="L1809" s="34">
        <f t="shared" si="142"/>
        <v>0</v>
      </c>
      <c r="M1809" s="34">
        <f t="shared" si="140"/>
        <v>0</v>
      </c>
    </row>
    <row r="1810" spans="5:13" x14ac:dyDescent="0.25">
      <c r="E1810" s="32">
        <f t="shared" si="143"/>
        <v>0</v>
      </c>
      <c r="I1810" s="32">
        <f t="shared" si="144"/>
        <v>0</v>
      </c>
      <c r="K1810" s="31">
        <f t="shared" si="141"/>
        <v>0</v>
      </c>
      <c r="L1810" s="34">
        <f t="shared" si="142"/>
        <v>0</v>
      </c>
      <c r="M1810" s="34">
        <f t="shared" si="140"/>
        <v>0</v>
      </c>
    </row>
    <row r="1811" spans="5:13" x14ac:dyDescent="0.25">
      <c r="E1811" s="32">
        <f t="shared" si="143"/>
        <v>0</v>
      </c>
      <c r="I1811" s="32">
        <f t="shared" si="144"/>
        <v>0</v>
      </c>
      <c r="K1811" s="31">
        <f t="shared" si="141"/>
        <v>0</v>
      </c>
      <c r="L1811" s="34">
        <f t="shared" si="142"/>
        <v>0</v>
      </c>
      <c r="M1811" s="34">
        <f t="shared" si="140"/>
        <v>0</v>
      </c>
    </row>
    <row r="1812" spans="5:13" x14ac:dyDescent="0.25">
      <c r="E1812" s="32">
        <f t="shared" si="143"/>
        <v>0</v>
      </c>
      <c r="I1812" s="32">
        <f t="shared" si="144"/>
        <v>0</v>
      </c>
      <c r="K1812" s="31">
        <f t="shared" si="141"/>
        <v>0</v>
      </c>
      <c r="L1812" s="34">
        <f t="shared" si="142"/>
        <v>0</v>
      </c>
      <c r="M1812" s="34">
        <f t="shared" si="140"/>
        <v>0</v>
      </c>
    </row>
    <row r="1813" spans="5:13" x14ac:dyDescent="0.25">
      <c r="E1813" s="32">
        <f t="shared" si="143"/>
        <v>0</v>
      </c>
      <c r="I1813" s="32">
        <f t="shared" si="144"/>
        <v>0</v>
      </c>
      <c r="K1813" s="31">
        <f t="shared" si="141"/>
        <v>0</v>
      </c>
      <c r="L1813" s="34">
        <f t="shared" si="142"/>
        <v>0</v>
      </c>
      <c r="M1813" s="34">
        <f t="shared" si="140"/>
        <v>0</v>
      </c>
    </row>
    <row r="1814" spans="5:13" x14ac:dyDescent="0.25">
      <c r="E1814" s="32">
        <f t="shared" si="143"/>
        <v>0</v>
      </c>
      <c r="I1814" s="32">
        <f t="shared" si="144"/>
        <v>0</v>
      </c>
      <c r="K1814" s="31">
        <f t="shared" si="141"/>
        <v>0</v>
      </c>
      <c r="L1814" s="34">
        <f t="shared" si="142"/>
        <v>0</v>
      </c>
      <c r="M1814" s="34">
        <f t="shared" si="140"/>
        <v>0</v>
      </c>
    </row>
    <row r="1815" spans="5:13" x14ac:dyDescent="0.25">
      <c r="E1815" s="32">
        <f t="shared" si="143"/>
        <v>0</v>
      </c>
      <c r="I1815" s="32">
        <f t="shared" si="144"/>
        <v>0</v>
      </c>
      <c r="K1815" s="31">
        <f t="shared" si="141"/>
        <v>0</v>
      </c>
      <c r="L1815" s="34">
        <f t="shared" si="142"/>
        <v>0</v>
      </c>
      <c r="M1815" s="34">
        <f t="shared" si="140"/>
        <v>0</v>
      </c>
    </row>
    <row r="1816" spans="5:13" x14ac:dyDescent="0.25">
      <c r="E1816" s="32">
        <f t="shared" si="143"/>
        <v>0</v>
      </c>
      <c r="I1816" s="32">
        <f t="shared" si="144"/>
        <v>0</v>
      </c>
      <c r="K1816" s="31">
        <f t="shared" si="141"/>
        <v>0</v>
      </c>
      <c r="L1816" s="34">
        <f t="shared" si="142"/>
        <v>0</v>
      </c>
      <c r="M1816" s="34">
        <f t="shared" si="140"/>
        <v>0</v>
      </c>
    </row>
    <row r="1817" spans="5:13" x14ac:dyDescent="0.25">
      <c r="E1817" s="32">
        <f t="shared" si="143"/>
        <v>0</v>
      </c>
      <c r="I1817" s="32">
        <f t="shared" si="144"/>
        <v>0</v>
      </c>
      <c r="K1817" s="31">
        <f t="shared" si="141"/>
        <v>0</v>
      </c>
      <c r="L1817" s="34">
        <f t="shared" si="142"/>
        <v>0</v>
      </c>
      <c r="M1817" s="34">
        <f t="shared" si="140"/>
        <v>0</v>
      </c>
    </row>
    <row r="1818" spans="5:13" x14ac:dyDescent="0.25">
      <c r="E1818" s="32">
        <f t="shared" si="143"/>
        <v>0</v>
      </c>
      <c r="I1818" s="32">
        <f t="shared" si="144"/>
        <v>0</v>
      </c>
      <c r="K1818" s="31">
        <f t="shared" si="141"/>
        <v>0</v>
      </c>
      <c r="L1818" s="34">
        <f t="shared" si="142"/>
        <v>0</v>
      </c>
      <c r="M1818" s="34">
        <f t="shared" si="140"/>
        <v>0</v>
      </c>
    </row>
    <row r="1819" spans="5:13" x14ac:dyDescent="0.25">
      <c r="E1819" s="32">
        <f t="shared" si="143"/>
        <v>0</v>
      </c>
      <c r="I1819" s="32">
        <f t="shared" si="144"/>
        <v>0</v>
      </c>
      <c r="K1819" s="31">
        <f t="shared" si="141"/>
        <v>0</v>
      </c>
      <c r="L1819" s="34">
        <f t="shared" si="142"/>
        <v>0</v>
      </c>
      <c r="M1819" s="34">
        <f t="shared" si="140"/>
        <v>0</v>
      </c>
    </row>
    <row r="1820" spans="5:13" x14ac:dyDescent="0.25">
      <c r="E1820" s="32">
        <f t="shared" si="143"/>
        <v>0</v>
      </c>
      <c r="I1820" s="32">
        <f t="shared" si="144"/>
        <v>0</v>
      </c>
      <c r="K1820" s="31">
        <f t="shared" si="141"/>
        <v>0</v>
      </c>
      <c r="L1820" s="34">
        <f t="shared" si="142"/>
        <v>0</v>
      </c>
      <c r="M1820" s="34">
        <f t="shared" si="140"/>
        <v>0</v>
      </c>
    </row>
    <row r="1821" spans="5:13" x14ac:dyDescent="0.25">
      <c r="E1821" s="32">
        <f t="shared" si="143"/>
        <v>0</v>
      </c>
      <c r="I1821" s="32">
        <f t="shared" si="144"/>
        <v>0</v>
      </c>
      <c r="K1821" s="31">
        <f t="shared" si="141"/>
        <v>0</v>
      </c>
      <c r="L1821" s="34">
        <f t="shared" si="142"/>
        <v>0</v>
      </c>
      <c r="M1821" s="34">
        <f t="shared" si="140"/>
        <v>0</v>
      </c>
    </row>
    <row r="1822" spans="5:13" x14ac:dyDescent="0.25">
      <c r="E1822" s="32">
        <f t="shared" si="143"/>
        <v>0</v>
      </c>
      <c r="I1822" s="32">
        <f t="shared" si="144"/>
        <v>0</v>
      </c>
      <c r="K1822" s="31">
        <f t="shared" si="141"/>
        <v>0</v>
      </c>
      <c r="L1822" s="34">
        <f t="shared" si="142"/>
        <v>0</v>
      </c>
      <c r="M1822" s="34">
        <f t="shared" si="140"/>
        <v>0</v>
      </c>
    </row>
    <row r="1823" spans="5:13" x14ac:dyDescent="0.25">
      <c r="E1823" s="32">
        <f t="shared" si="143"/>
        <v>0</v>
      </c>
      <c r="I1823" s="32">
        <f t="shared" si="144"/>
        <v>0</v>
      </c>
      <c r="K1823" s="31">
        <f t="shared" si="141"/>
        <v>0</v>
      </c>
      <c r="L1823" s="34">
        <f t="shared" si="142"/>
        <v>0</v>
      </c>
      <c r="M1823" s="34">
        <f t="shared" si="140"/>
        <v>0</v>
      </c>
    </row>
    <row r="1824" spans="5:13" x14ac:dyDescent="0.25">
      <c r="E1824" s="32">
        <f t="shared" si="143"/>
        <v>0</v>
      </c>
      <c r="I1824" s="32">
        <f t="shared" si="144"/>
        <v>0</v>
      </c>
      <c r="K1824" s="31">
        <f t="shared" si="141"/>
        <v>0</v>
      </c>
      <c r="L1824" s="34">
        <f t="shared" si="142"/>
        <v>0</v>
      </c>
      <c r="M1824" s="34">
        <f t="shared" si="140"/>
        <v>0</v>
      </c>
    </row>
    <row r="1825" spans="5:13" x14ac:dyDescent="0.25">
      <c r="E1825" s="32">
        <f t="shared" si="143"/>
        <v>0</v>
      </c>
      <c r="I1825" s="32">
        <f t="shared" si="144"/>
        <v>0</v>
      </c>
      <c r="K1825" s="31">
        <f t="shared" si="141"/>
        <v>0</v>
      </c>
      <c r="L1825" s="34">
        <f t="shared" si="142"/>
        <v>0</v>
      </c>
      <c r="M1825" s="34">
        <f t="shared" si="140"/>
        <v>0</v>
      </c>
    </row>
    <row r="1826" spans="5:13" x14ac:dyDescent="0.25">
      <c r="E1826" s="32">
        <f t="shared" si="143"/>
        <v>0</v>
      </c>
      <c r="I1826" s="32">
        <f t="shared" si="144"/>
        <v>0</v>
      </c>
      <c r="K1826" s="31">
        <f t="shared" si="141"/>
        <v>0</v>
      </c>
      <c r="L1826" s="34">
        <f t="shared" si="142"/>
        <v>0</v>
      </c>
      <c r="M1826" s="34">
        <f t="shared" si="140"/>
        <v>0</v>
      </c>
    </row>
    <row r="1827" spans="5:13" x14ac:dyDescent="0.25">
      <c r="E1827" s="32">
        <f t="shared" si="143"/>
        <v>0</v>
      </c>
      <c r="I1827" s="32">
        <f t="shared" si="144"/>
        <v>0</v>
      </c>
      <c r="K1827" s="31">
        <f t="shared" si="141"/>
        <v>0</v>
      </c>
      <c r="L1827" s="34">
        <f t="shared" si="142"/>
        <v>0</v>
      </c>
      <c r="M1827" s="34">
        <f t="shared" si="140"/>
        <v>0</v>
      </c>
    </row>
    <row r="1828" spans="5:13" x14ac:dyDescent="0.25">
      <c r="E1828" s="32">
        <f t="shared" si="143"/>
        <v>0</v>
      </c>
      <c r="I1828" s="32">
        <f t="shared" si="144"/>
        <v>0</v>
      </c>
      <c r="K1828" s="31">
        <f t="shared" si="141"/>
        <v>0</v>
      </c>
      <c r="L1828" s="34">
        <f t="shared" si="142"/>
        <v>0</v>
      </c>
      <c r="M1828" s="34">
        <f t="shared" si="140"/>
        <v>0</v>
      </c>
    </row>
    <row r="1829" spans="5:13" x14ac:dyDescent="0.25">
      <c r="E1829" s="32">
        <f t="shared" si="143"/>
        <v>0</v>
      </c>
      <c r="I1829" s="32">
        <f t="shared" si="144"/>
        <v>0</v>
      </c>
      <c r="K1829" s="31">
        <f t="shared" si="141"/>
        <v>0</v>
      </c>
      <c r="L1829" s="34">
        <f t="shared" si="142"/>
        <v>0</v>
      </c>
      <c r="M1829" s="34">
        <f t="shared" si="140"/>
        <v>0</v>
      </c>
    </row>
    <row r="1830" spans="5:13" x14ac:dyDescent="0.25">
      <c r="E1830" s="32">
        <f t="shared" si="143"/>
        <v>0</v>
      </c>
      <c r="I1830" s="32">
        <f t="shared" si="144"/>
        <v>0</v>
      </c>
      <c r="K1830" s="31">
        <f t="shared" si="141"/>
        <v>0</v>
      </c>
      <c r="L1830" s="34">
        <f t="shared" si="142"/>
        <v>0</v>
      </c>
      <c r="M1830" s="34">
        <f t="shared" si="140"/>
        <v>0</v>
      </c>
    </row>
    <row r="1831" spans="5:13" x14ac:dyDescent="0.25">
      <c r="E1831" s="32">
        <f t="shared" si="143"/>
        <v>0</v>
      </c>
      <c r="I1831" s="32">
        <f t="shared" si="144"/>
        <v>0</v>
      </c>
      <c r="K1831" s="31">
        <f t="shared" si="141"/>
        <v>0</v>
      </c>
      <c r="L1831" s="34">
        <f t="shared" si="142"/>
        <v>0</v>
      </c>
      <c r="M1831" s="34">
        <f t="shared" si="140"/>
        <v>0</v>
      </c>
    </row>
    <row r="1832" spans="5:13" x14ac:dyDescent="0.25">
      <c r="E1832" s="32">
        <f t="shared" si="143"/>
        <v>0</v>
      </c>
      <c r="I1832" s="32">
        <f t="shared" si="144"/>
        <v>0</v>
      </c>
      <c r="K1832" s="31">
        <f t="shared" si="141"/>
        <v>0</v>
      </c>
      <c r="L1832" s="34">
        <f t="shared" si="142"/>
        <v>0</v>
      </c>
      <c r="M1832" s="34">
        <f t="shared" si="140"/>
        <v>0</v>
      </c>
    </row>
    <row r="1833" spans="5:13" x14ac:dyDescent="0.25">
      <c r="E1833" s="32">
        <f t="shared" si="143"/>
        <v>0</v>
      </c>
      <c r="I1833" s="32">
        <f t="shared" si="144"/>
        <v>0</v>
      </c>
      <c r="K1833" s="31">
        <f t="shared" si="141"/>
        <v>0</v>
      </c>
      <c r="L1833" s="34">
        <f t="shared" si="142"/>
        <v>0</v>
      </c>
      <c r="M1833" s="34">
        <f t="shared" si="140"/>
        <v>0</v>
      </c>
    </row>
    <row r="1834" spans="5:13" x14ac:dyDescent="0.25">
      <c r="E1834" s="32">
        <f t="shared" si="143"/>
        <v>0</v>
      </c>
      <c r="I1834" s="32">
        <f t="shared" si="144"/>
        <v>0</v>
      </c>
      <c r="K1834" s="31">
        <f t="shared" si="141"/>
        <v>0</v>
      </c>
      <c r="L1834" s="34">
        <f t="shared" si="142"/>
        <v>0</v>
      </c>
      <c r="M1834" s="34">
        <f t="shared" si="140"/>
        <v>0</v>
      </c>
    </row>
    <row r="1835" spans="5:13" x14ac:dyDescent="0.25">
      <c r="E1835" s="32">
        <f t="shared" si="143"/>
        <v>0</v>
      </c>
      <c r="I1835" s="32">
        <f t="shared" si="144"/>
        <v>0</v>
      </c>
      <c r="K1835" s="31">
        <f t="shared" si="141"/>
        <v>0</v>
      </c>
      <c r="L1835" s="34">
        <f t="shared" si="142"/>
        <v>0</v>
      </c>
      <c r="M1835" s="34">
        <f t="shared" si="140"/>
        <v>0</v>
      </c>
    </row>
    <row r="1836" spans="5:13" x14ac:dyDescent="0.25">
      <c r="E1836" s="32">
        <f t="shared" si="143"/>
        <v>0</v>
      </c>
      <c r="I1836" s="32">
        <f t="shared" si="144"/>
        <v>0</v>
      </c>
      <c r="K1836" s="31">
        <f t="shared" si="141"/>
        <v>0</v>
      </c>
      <c r="L1836" s="34">
        <f t="shared" si="142"/>
        <v>0</v>
      </c>
      <c r="M1836" s="34">
        <f t="shared" si="140"/>
        <v>0</v>
      </c>
    </row>
    <row r="1837" spans="5:13" x14ac:dyDescent="0.25">
      <c r="E1837" s="32">
        <f t="shared" si="143"/>
        <v>0</v>
      </c>
      <c r="I1837" s="32">
        <f t="shared" si="144"/>
        <v>0</v>
      </c>
      <c r="K1837" s="31">
        <f t="shared" si="141"/>
        <v>0</v>
      </c>
      <c r="L1837" s="34">
        <f t="shared" si="142"/>
        <v>0</v>
      </c>
      <c r="M1837" s="34">
        <f t="shared" si="140"/>
        <v>0</v>
      </c>
    </row>
    <row r="1838" spans="5:13" x14ac:dyDescent="0.25">
      <c r="E1838" s="32">
        <f t="shared" si="143"/>
        <v>0</v>
      </c>
      <c r="I1838" s="32">
        <f t="shared" si="144"/>
        <v>0</v>
      </c>
      <c r="K1838" s="31">
        <f t="shared" si="141"/>
        <v>0</v>
      </c>
      <c r="L1838" s="34">
        <f t="shared" si="142"/>
        <v>0</v>
      </c>
      <c r="M1838" s="34">
        <f t="shared" si="140"/>
        <v>0</v>
      </c>
    </row>
    <row r="1839" spans="5:13" x14ac:dyDescent="0.25">
      <c r="E1839" s="32">
        <f t="shared" si="143"/>
        <v>0</v>
      </c>
      <c r="I1839" s="32">
        <f t="shared" si="144"/>
        <v>0</v>
      </c>
      <c r="K1839" s="31">
        <f t="shared" si="141"/>
        <v>0</v>
      </c>
      <c r="L1839" s="34">
        <f t="shared" si="142"/>
        <v>0</v>
      </c>
      <c r="M1839" s="34">
        <f t="shared" si="140"/>
        <v>0</v>
      </c>
    </row>
    <row r="1840" spans="5:13" x14ac:dyDescent="0.25">
      <c r="E1840" s="32">
        <f t="shared" si="143"/>
        <v>0</v>
      </c>
      <c r="I1840" s="32">
        <f t="shared" si="144"/>
        <v>0</v>
      </c>
      <c r="K1840" s="31">
        <f t="shared" si="141"/>
        <v>0</v>
      </c>
      <c r="L1840" s="34">
        <f t="shared" si="142"/>
        <v>0</v>
      </c>
      <c r="M1840" s="34">
        <f t="shared" si="140"/>
        <v>0</v>
      </c>
    </row>
    <row r="1841" spans="5:13" x14ac:dyDescent="0.25">
      <c r="E1841" s="32">
        <f t="shared" si="143"/>
        <v>0</v>
      </c>
      <c r="I1841" s="32">
        <f t="shared" si="144"/>
        <v>0</v>
      </c>
      <c r="K1841" s="31">
        <f t="shared" si="141"/>
        <v>0</v>
      </c>
      <c r="L1841" s="34">
        <f t="shared" si="142"/>
        <v>0</v>
      </c>
      <c r="M1841" s="34">
        <f t="shared" si="140"/>
        <v>0</v>
      </c>
    </row>
    <row r="1842" spans="5:13" x14ac:dyDescent="0.25">
      <c r="E1842" s="32">
        <f t="shared" si="143"/>
        <v>0</v>
      </c>
      <c r="I1842" s="32">
        <f t="shared" si="144"/>
        <v>0</v>
      </c>
      <c r="K1842" s="31">
        <f t="shared" si="141"/>
        <v>0</v>
      </c>
      <c r="L1842" s="34">
        <f t="shared" si="142"/>
        <v>0</v>
      </c>
      <c r="M1842" s="34">
        <f t="shared" si="140"/>
        <v>0</v>
      </c>
    </row>
    <row r="1843" spans="5:13" x14ac:dyDescent="0.25">
      <c r="E1843" s="32">
        <f t="shared" si="143"/>
        <v>0</v>
      </c>
      <c r="I1843" s="32">
        <f t="shared" si="144"/>
        <v>0</v>
      </c>
      <c r="K1843" s="31">
        <f t="shared" si="141"/>
        <v>0</v>
      </c>
      <c r="L1843" s="34">
        <f t="shared" si="142"/>
        <v>0</v>
      </c>
      <c r="M1843" s="34">
        <f t="shared" si="140"/>
        <v>0</v>
      </c>
    </row>
    <row r="1844" spans="5:13" x14ac:dyDescent="0.25">
      <c r="E1844" s="32">
        <f t="shared" si="143"/>
        <v>0</v>
      </c>
      <c r="I1844" s="32">
        <f t="shared" si="144"/>
        <v>0</v>
      </c>
      <c r="K1844" s="31">
        <f t="shared" si="141"/>
        <v>0</v>
      </c>
      <c r="L1844" s="34">
        <f t="shared" si="142"/>
        <v>0</v>
      </c>
      <c r="M1844" s="34">
        <f t="shared" si="140"/>
        <v>0</v>
      </c>
    </row>
    <row r="1845" spans="5:13" x14ac:dyDescent="0.25">
      <c r="E1845" s="32">
        <f t="shared" si="143"/>
        <v>0</v>
      </c>
      <c r="I1845" s="32">
        <f t="shared" si="144"/>
        <v>0</v>
      </c>
      <c r="K1845" s="31">
        <f t="shared" si="141"/>
        <v>0</v>
      </c>
      <c r="L1845" s="34">
        <f t="shared" si="142"/>
        <v>0</v>
      </c>
      <c r="M1845" s="34">
        <f t="shared" si="140"/>
        <v>0</v>
      </c>
    </row>
    <row r="1846" spans="5:13" x14ac:dyDescent="0.25">
      <c r="E1846" s="32">
        <f t="shared" si="143"/>
        <v>0</v>
      </c>
      <c r="I1846" s="32">
        <f t="shared" si="144"/>
        <v>0</v>
      </c>
      <c r="K1846" s="31">
        <f t="shared" si="141"/>
        <v>0</v>
      </c>
      <c r="L1846" s="34">
        <f t="shared" si="142"/>
        <v>0</v>
      </c>
      <c r="M1846" s="34">
        <f t="shared" si="140"/>
        <v>0</v>
      </c>
    </row>
    <row r="1847" spans="5:13" x14ac:dyDescent="0.25">
      <c r="E1847" s="32">
        <f t="shared" si="143"/>
        <v>0</v>
      </c>
      <c r="I1847" s="32">
        <f t="shared" si="144"/>
        <v>0</v>
      </c>
      <c r="K1847" s="31">
        <f t="shared" si="141"/>
        <v>0</v>
      </c>
      <c r="L1847" s="34">
        <f t="shared" si="142"/>
        <v>0</v>
      </c>
      <c r="M1847" s="34">
        <f t="shared" si="140"/>
        <v>0</v>
      </c>
    </row>
    <row r="1848" spans="5:13" x14ac:dyDescent="0.25">
      <c r="E1848" s="32">
        <f t="shared" si="143"/>
        <v>0</v>
      </c>
      <c r="I1848" s="32">
        <f t="shared" si="144"/>
        <v>0</v>
      </c>
      <c r="K1848" s="31">
        <f t="shared" si="141"/>
        <v>0</v>
      </c>
      <c r="L1848" s="34">
        <f t="shared" si="142"/>
        <v>0</v>
      </c>
      <c r="M1848" s="34">
        <f t="shared" si="140"/>
        <v>0</v>
      </c>
    </row>
    <row r="1849" spans="5:13" x14ac:dyDescent="0.25">
      <c r="E1849" s="32">
        <f t="shared" si="143"/>
        <v>0</v>
      </c>
      <c r="I1849" s="32">
        <f t="shared" si="144"/>
        <v>0</v>
      </c>
      <c r="K1849" s="31">
        <f t="shared" si="141"/>
        <v>0</v>
      </c>
      <c r="L1849" s="34">
        <f t="shared" si="142"/>
        <v>0</v>
      </c>
      <c r="M1849" s="34">
        <f t="shared" si="140"/>
        <v>0</v>
      </c>
    </row>
    <row r="1850" spans="5:13" x14ac:dyDescent="0.25">
      <c r="E1850" s="32">
        <f t="shared" si="143"/>
        <v>0</v>
      </c>
      <c r="I1850" s="32">
        <f t="shared" si="144"/>
        <v>0</v>
      </c>
      <c r="K1850" s="31">
        <f t="shared" si="141"/>
        <v>0</v>
      </c>
      <c r="L1850" s="34">
        <f t="shared" si="142"/>
        <v>0</v>
      </c>
      <c r="M1850" s="34">
        <f t="shared" si="140"/>
        <v>0</v>
      </c>
    </row>
    <row r="1851" spans="5:13" x14ac:dyDescent="0.25">
      <c r="E1851" s="32">
        <f t="shared" si="143"/>
        <v>0</v>
      </c>
      <c r="I1851" s="32">
        <f t="shared" si="144"/>
        <v>0</v>
      </c>
      <c r="K1851" s="31">
        <f t="shared" si="141"/>
        <v>0</v>
      </c>
      <c r="L1851" s="34">
        <f t="shared" si="142"/>
        <v>0</v>
      </c>
      <c r="M1851" s="34">
        <f t="shared" si="140"/>
        <v>0</v>
      </c>
    </row>
    <row r="1852" spans="5:13" x14ac:dyDescent="0.25">
      <c r="E1852" s="32">
        <f t="shared" si="143"/>
        <v>0</v>
      </c>
      <c r="I1852" s="32">
        <f t="shared" si="144"/>
        <v>0</v>
      </c>
      <c r="K1852" s="31">
        <f t="shared" si="141"/>
        <v>0</v>
      </c>
      <c r="L1852" s="34">
        <f t="shared" si="142"/>
        <v>0</v>
      </c>
      <c r="M1852" s="34">
        <f t="shared" si="140"/>
        <v>0</v>
      </c>
    </row>
    <row r="1853" spans="5:13" x14ac:dyDescent="0.25">
      <c r="E1853" s="32">
        <f t="shared" si="143"/>
        <v>0</v>
      </c>
      <c r="I1853" s="32">
        <f t="shared" si="144"/>
        <v>0</v>
      </c>
      <c r="K1853" s="31">
        <f t="shared" si="141"/>
        <v>0</v>
      </c>
      <c r="L1853" s="34">
        <f t="shared" si="142"/>
        <v>0</v>
      </c>
      <c r="M1853" s="34">
        <f t="shared" si="140"/>
        <v>0</v>
      </c>
    </row>
    <row r="1854" spans="5:13" x14ac:dyDescent="0.25">
      <c r="E1854" s="32">
        <f t="shared" si="143"/>
        <v>0</v>
      </c>
      <c r="I1854" s="32">
        <f t="shared" si="144"/>
        <v>0</v>
      </c>
      <c r="K1854" s="31">
        <f t="shared" si="141"/>
        <v>0</v>
      </c>
      <c r="L1854" s="34">
        <f t="shared" si="142"/>
        <v>0</v>
      </c>
      <c r="M1854" s="34">
        <f t="shared" si="140"/>
        <v>0</v>
      </c>
    </row>
    <row r="1855" spans="5:13" x14ac:dyDescent="0.25">
      <c r="E1855" s="32">
        <f t="shared" si="143"/>
        <v>0</v>
      </c>
      <c r="I1855" s="32">
        <f t="shared" si="144"/>
        <v>0</v>
      </c>
      <c r="K1855" s="31">
        <f t="shared" si="141"/>
        <v>0</v>
      </c>
      <c r="L1855" s="34">
        <f t="shared" si="142"/>
        <v>0</v>
      </c>
      <c r="M1855" s="34">
        <f t="shared" si="140"/>
        <v>0</v>
      </c>
    </row>
    <row r="1856" spans="5:13" x14ac:dyDescent="0.25">
      <c r="E1856" s="32">
        <f t="shared" si="143"/>
        <v>0</v>
      </c>
      <c r="I1856" s="32">
        <f t="shared" si="144"/>
        <v>0</v>
      </c>
      <c r="K1856" s="31">
        <f t="shared" si="141"/>
        <v>0</v>
      </c>
      <c r="L1856" s="34">
        <f t="shared" si="142"/>
        <v>0</v>
      </c>
      <c r="M1856" s="34">
        <f t="shared" si="140"/>
        <v>0</v>
      </c>
    </row>
    <row r="1857" spans="5:13" x14ac:dyDescent="0.25">
      <c r="E1857" s="32">
        <f t="shared" si="143"/>
        <v>0</v>
      </c>
      <c r="I1857" s="32">
        <f t="shared" si="144"/>
        <v>0</v>
      </c>
      <c r="K1857" s="31">
        <f t="shared" si="141"/>
        <v>0</v>
      </c>
      <c r="L1857" s="34">
        <f t="shared" si="142"/>
        <v>0</v>
      </c>
      <c r="M1857" s="34">
        <f t="shared" si="140"/>
        <v>0</v>
      </c>
    </row>
    <row r="1858" spans="5:13" x14ac:dyDescent="0.25">
      <c r="E1858" s="32">
        <f t="shared" si="143"/>
        <v>0</v>
      </c>
      <c r="I1858" s="32">
        <f t="shared" si="144"/>
        <v>0</v>
      </c>
      <c r="K1858" s="31">
        <f t="shared" si="141"/>
        <v>0</v>
      </c>
      <c r="L1858" s="34">
        <f t="shared" si="142"/>
        <v>0</v>
      </c>
      <c r="M1858" s="34">
        <f t="shared" si="140"/>
        <v>0</v>
      </c>
    </row>
    <row r="1859" spans="5:13" x14ac:dyDescent="0.25">
      <c r="E1859" s="32">
        <f t="shared" si="143"/>
        <v>0</v>
      </c>
      <c r="I1859" s="32">
        <f t="shared" si="144"/>
        <v>0</v>
      </c>
      <c r="K1859" s="31">
        <f t="shared" si="141"/>
        <v>0</v>
      </c>
      <c r="L1859" s="34">
        <f t="shared" si="142"/>
        <v>0</v>
      </c>
      <c r="M1859" s="34">
        <f t="shared" si="140"/>
        <v>0</v>
      </c>
    </row>
    <row r="1860" spans="5:13" x14ac:dyDescent="0.25">
      <c r="E1860" s="32">
        <f t="shared" si="143"/>
        <v>0</v>
      </c>
      <c r="I1860" s="32">
        <f t="shared" si="144"/>
        <v>0</v>
      </c>
      <c r="K1860" s="31">
        <f t="shared" si="141"/>
        <v>0</v>
      </c>
      <c r="L1860" s="34">
        <f t="shared" si="142"/>
        <v>0</v>
      </c>
      <c r="M1860" s="34">
        <f t="shared" ref="M1860:M1923" si="145">(L1860/27)*4</f>
        <v>0</v>
      </c>
    </row>
    <row r="1861" spans="5:13" x14ac:dyDescent="0.25">
      <c r="E1861" s="32">
        <f t="shared" si="143"/>
        <v>0</v>
      </c>
      <c r="I1861" s="32">
        <f t="shared" si="144"/>
        <v>0</v>
      </c>
      <c r="K1861" s="31">
        <f t="shared" ref="K1861:K1924" si="146">B1861/30</f>
        <v>0</v>
      </c>
      <c r="L1861" s="34">
        <f t="shared" ref="L1861:L1924" si="147">IF(J1861="S",((I1861*24)*K1861)*2,((I1861*24)*K1861)*1.5)</f>
        <v>0</v>
      </c>
      <c r="M1861" s="34">
        <f t="shared" si="145"/>
        <v>0</v>
      </c>
    </row>
    <row r="1862" spans="5:13" x14ac:dyDescent="0.25">
      <c r="E1862" s="32">
        <f t="shared" ref="E1862:E1925" si="148">D1862-C1862</f>
        <v>0</v>
      </c>
      <c r="I1862" s="32">
        <f t="shared" ref="I1862:I1925" si="149">H1862-G1862</f>
        <v>0</v>
      </c>
      <c r="K1862" s="31">
        <f t="shared" si="146"/>
        <v>0</v>
      </c>
      <c r="L1862" s="34">
        <f t="shared" si="147"/>
        <v>0</v>
      </c>
      <c r="M1862" s="34">
        <f t="shared" si="145"/>
        <v>0</v>
      </c>
    </row>
    <row r="1863" spans="5:13" x14ac:dyDescent="0.25">
      <c r="E1863" s="32">
        <f t="shared" si="148"/>
        <v>0</v>
      </c>
      <c r="I1863" s="32">
        <f t="shared" si="149"/>
        <v>0</v>
      </c>
      <c r="K1863" s="31">
        <f t="shared" si="146"/>
        <v>0</v>
      </c>
      <c r="L1863" s="34">
        <f t="shared" si="147"/>
        <v>0</v>
      </c>
      <c r="M1863" s="34">
        <f t="shared" si="145"/>
        <v>0</v>
      </c>
    </row>
    <row r="1864" spans="5:13" x14ac:dyDescent="0.25">
      <c r="E1864" s="32">
        <f t="shared" si="148"/>
        <v>0</v>
      </c>
      <c r="I1864" s="32">
        <f t="shared" si="149"/>
        <v>0</v>
      </c>
      <c r="K1864" s="31">
        <f t="shared" si="146"/>
        <v>0</v>
      </c>
      <c r="L1864" s="34">
        <f t="shared" si="147"/>
        <v>0</v>
      </c>
      <c r="M1864" s="34">
        <f t="shared" si="145"/>
        <v>0</v>
      </c>
    </row>
    <row r="1865" spans="5:13" x14ac:dyDescent="0.25">
      <c r="E1865" s="32">
        <f t="shared" si="148"/>
        <v>0</v>
      </c>
      <c r="I1865" s="32">
        <f t="shared" si="149"/>
        <v>0</v>
      </c>
      <c r="K1865" s="31">
        <f t="shared" si="146"/>
        <v>0</v>
      </c>
      <c r="L1865" s="34">
        <f t="shared" si="147"/>
        <v>0</v>
      </c>
      <c r="M1865" s="34">
        <f t="shared" si="145"/>
        <v>0</v>
      </c>
    </row>
    <row r="1866" spans="5:13" x14ac:dyDescent="0.25">
      <c r="E1866" s="32">
        <f t="shared" si="148"/>
        <v>0</v>
      </c>
      <c r="I1866" s="32">
        <f t="shared" si="149"/>
        <v>0</v>
      </c>
      <c r="K1866" s="31">
        <f t="shared" si="146"/>
        <v>0</v>
      </c>
      <c r="L1866" s="34">
        <f t="shared" si="147"/>
        <v>0</v>
      </c>
      <c r="M1866" s="34">
        <f t="shared" si="145"/>
        <v>0</v>
      </c>
    </row>
    <row r="1867" spans="5:13" x14ac:dyDescent="0.25">
      <c r="E1867" s="32">
        <f t="shared" si="148"/>
        <v>0</v>
      </c>
      <c r="I1867" s="32">
        <f t="shared" si="149"/>
        <v>0</v>
      </c>
      <c r="K1867" s="31">
        <f t="shared" si="146"/>
        <v>0</v>
      </c>
      <c r="L1867" s="34">
        <f t="shared" si="147"/>
        <v>0</v>
      </c>
      <c r="M1867" s="34">
        <f t="shared" si="145"/>
        <v>0</v>
      </c>
    </row>
    <row r="1868" spans="5:13" x14ac:dyDescent="0.25">
      <c r="E1868" s="32">
        <f t="shared" si="148"/>
        <v>0</v>
      </c>
      <c r="I1868" s="32">
        <f t="shared" si="149"/>
        <v>0</v>
      </c>
      <c r="K1868" s="31">
        <f t="shared" si="146"/>
        <v>0</v>
      </c>
      <c r="L1868" s="34">
        <f t="shared" si="147"/>
        <v>0</v>
      </c>
      <c r="M1868" s="34">
        <f t="shared" si="145"/>
        <v>0</v>
      </c>
    </row>
    <row r="1869" spans="5:13" x14ac:dyDescent="0.25">
      <c r="E1869" s="32">
        <f t="shared" si="148"/>
        <v>0</v>
      </c>
      <c r="I1869" s="32">
        <f t="shared" si="149"/>
        <v>0</v>
      </c>
      <c r="K1869" s="31">
        <f t="shared" si="146"/>
        <v>0</v>
      </c>
      <c r="L1869" s="34">
        <f t="shared" si="147"/>
        <v>0</v>
      </c>
      <c r="M1869" s="34">
        <f t="shared" si="145"/>
        <v>0</v>
      </c>
    </row>
    <row r="1870" spans="5:13" x14ac:dyDescent="0.25">
      <c r="E1870" s="32">
        <f t="shared" si="148"/>
        <v>0</v>
      </c>
      <c r="I1870" s="32">
        <f t="shared" si="149"/>
        <v>0</v>
      </c>
      <c r="K1870" s="31">
        <f t="shared" si="146"/>
        <v>0</v>
      </c>
      <c r="L1870" s="34">
        <f t="shared" si="147"/>
        <v>0</v>
      </c>
      <c r="M1870" s="34">
        <f t="shared" si="145"/>
        <v>0</v>
      </c>
    </row>
    <row r="1871" spans="5:13" x14ac:dyDescent="0.25">
      <c r="E1871" s="32">
        <f t="shared" si="148"/>
        <v>0</v>
      </c>
      <c r="I1871" s="32">
        <f t="shared" si="149"/>
        <v>0</v>
      </c>
      <c r="K1871" s="31">
        <f t="shared" si="146"/>
        <v>0</v>
      </c>
      <c r="L1871" s="34">
        <f t="shared" si="147"/>
        <v>0</v>
      </c>
      <c r="M1871" s="34">
        <f t="shared" si="145"/>
        <v>0</v>
      </c>
    </row>
    <row r="1872" spans="5:13" x14ac:dyDescent="0.25">
      <c r="E1872" s="32">
        <f t="shared" si="148"/>
        <v>0</v>
      </c>
      <c r="I1872" s="32">
        <f t="shared" si="149"/>
        <v>0</v>
      </c>
      <c r="K1872" s="31">
        <f t="shared" si="146"/>
        <v>0</v>
      </c>
      <c r="L1872" s="34">
        <f t="shared" si="147"/>
        <v>0</v>
      </c>
      <c r="M1872" s="34">
        <f t="shared" si="145"/>
        <v>0</v>
      </c>
    </row>
    <row r="1873" spans="5:13" x14ac:dyDescent="0.25">
      <c r="E1873" s="32">
        <f t="shared" si="148"/>
        <v>0</v>
      </c>
      <c r="I1873" s="32">
        <f t="shared" si="149"/>
        <v>0</v>
      </c>
      <c r="K1873" s="31">
        <f t="shared" si="146"/>
        <v>0</v>
      </c>
      <c r="L1873" s="34">
        <f t="shared" si="147"/>
        <v>0</v>
      </c>
      <c r="M1873" s="34">
        <f t="shared" si="145"/>
        <v>0</v>
      </c>
    </row>
    <row r="1874" spans="5:13" x14ac:dyDescent="0.25">
      <c r="E1874" s="32">
        <f t="shared" si="148"/>
        <v>0</v>
      </c>
      <c r="I1874" s="32">
        <f t="shared" si="149"/>
        <v>0</v>
      </c>
      <c r="K1874" s="31">
        <f t="shared" si="146"/>
        <v>0</v>
      </c>
      <c r="L1874" s="34">
        <f t="shared" si="147"/>
        <v>0</v>
      </c>
      <c r="M1874" s="34">
        <f t="shared" si="145"/>
        <v>0</v>
      </c>
    </row>
    <row r="1875" spans="5:13" x14ac:dyDescent="0.25">
      <c r="E1875" s="32">
        <f t="shared" si="148"/>
        <v>0</v>
      </c>
      <c r="I1875" s="32">
        <f t="shared" si="149"/>
        <v>0</v>
      </c>
      <c r="K1875" s="31">
        <f t="shared" si="146"/>
        <v>0</v>
      </c>
      <c r="L1875" s="34">
        <f t="shared" si="147"/>
        <v>0</v>
      </c>
      <c r="M1875" s="34">
        <f t="shared" si="145"/>
        <v>0</v>
      </c>
    </row>
    <row r="1876" spans="5:13" x14ac:dyDescent="0.25">
      <c r="E1876" s="32">
        <f t="shared" si="148"/>
        <v>0</v>
      </c>
      <c r="I1876" s="32">
        <f t="shared" si="149"/>
        <v>0</v>
      </c>
      <c r="K1876" s="31">
        <f t="shared" si="146"/>
        <v>0</v>
      </c>
      <c r="L1876" s="34">
        <f t="shared" si="147"/>
        <v>0</v>
      </c>
      <c r="M1876" s="34">
        <f t="shared" si="145"/>
        <v>0</v>
      </c>
    </row>
    <row r="1877" spans="5:13" x14ac:dyDescent="0.25">
      <c r="E1877" s="32">
        <f t="shared" si="148"/>
        <v>0</v>
      </c>
      <c r="I1877" s="32">
        <f t="shared" si="149"/>
        <v>0</v>
      </c>
      <c r="K1877" s="31">
        <f t="shared" si="146"/>
        <v>0</v>
      </c>
      <c r="L1877" s="34">
        <f t="shared" si="147"/>
        <v>0</v>
      </c>
      <c r="M1877" s="34">
        <f t="shared" si="145"/>
        <v>0</v>
      </c>
    </row>
    <row r="1878" spans="5:13" x14ac:dyDescent="0.25">
      <c r="E1878" s="32">
        <f t="shared" si="148"/>
        <v>0</v>
      </c>
      <c r="I1878" s="32">
        <f t="shared" si="149"/>
        <v>0</v>
      </c>
      <c r="K1878" s="31">
        <f t="shared" si="146"/>
        <v>0</v>
      </c>
      <c r="L1878" s="34">
        <f t="shared" si="147"/>
        <v>0</v>
      </c>
      <c r="M1878" s="34">
        <f t="shared" si="145"/>
        <v>0</v>
      </c>
    </row>
    <row r="1879" spans="5:13" x14ac:dyDescent="0.25">
      <c r="E1879" s="32">
        <f t="shared" si="148"/>
        <v>0</v>
      </c>
      <c r="I1879" s="32">
        <f t="shared" si="149"/>
        <v>0</v>
      </c>
      <c r="K1879" s="31">
        <f t="shared" si="146"/>
        <v>0</v>
      </c>
      <c r="L1879" s="34">
        <f t="shared" si="147"/>
        <v>0</v>
      </c>
      <c r="M1879" s="34">
        <f t="shared" si="145"/>
        <v>0</v>
      </c>
    </row>
    <row r="1880" spans="5:13" x14ac:dyDescent="0.25">
      <c r="E1880" s="32">
        <f t="shared" si="148"/>
        <v>0</v>
      </c>
      <c r="I1880" s="32">
        <f t="shared" si="149"/>
        <v>0</v>
      </c>
      <c r="K1880" s="31">
        <f t="shared" si="146"/>
        <v>0</v>
      </c>
      <c r="L1880" s="34">
        <f t="shared" si="147"/>
        <v>0</v>
      </c>
      <c r="M1880" s="34">
        <f t="shared" si="145"/>
        <v>0</v>
      </c>
    </row>
    <row r="1881" spans="5:13" x14ac:dyDescent="0.25">
      <c r="E1881" s="32">
        <f t="shared" si="148"/>
        <v>0</v>
      </c>
      <c r="I1881" s="32">
        <f t="shared" si="149"/>
        <v>0</v>
      </c>
      <c r="K1881" s="31">
        <f t="shared" si="146"/>
        <v>0</v>
      </c>
      <c r="L1881" s="34">
        <f t="shared" si="147"/>
        <v>0</v>
      </c>
      <c r="M1881" s="34">
        <f t="shared" si="145"/>
        <v>0</v>
      </c>
    </row>
    <row r="1882" spans="5:13" x14ac:dyDescent="0.25">
      <c r="E1882" s="32">
        <f t="shared" si="148"/>
        <v>0</v>
      </c>
      <c r="I1882" s="32">
        <f t="shared" si="149"/>
        <v>0</v>
      </c>
      <c r="K1882" s="31">
        <f t="shared" si="146"/>
        <v>0</v>
      </c>
      <c r="L1882" s="34">
        <f t="shared" si="147"/>
        <v>0</v>
      </c>
      <c r="M1882" s="34">
        <f t="shared" si="145"/>
        <v>0</v>
      </c>
    </row>
    <row r="1883" spans="5:13" x14ac:dyDescent="0.25">
      <c r="E1883" s="32">
        <f t="shared" si="148"/>
        <v>0</v>
      </c>
      <c r="I1883" s="32">
        <f t="shared" si="149"/>
        <v>0</v>
      </c>
      <c r="K1883" s="31">
        <f t="shared" si="146"/>
        <v>0</v>
      </c>
      <c r="L1883" s="34">
        <f t="shared" si="147"/>
        <v>0</v>
      </c>
      <c r="M1883" s="34">
        <f t="shared" si="145"/>
        <v>0</v>
      </c>
    </row>
    <row r="1884" spans="5:13" x14ac:dyDescent="0.25">
      <c r="E1884" s="32">
        <f t="shared" si="148"/>
        <v>0</v>
      </c>
      <c r="I1884" s="32">
        <f t="shared" si="149"/>
        <v>0</v>
      </c>
      <c r="K1884" s="31">
        <f t="shared" si="146"/>
        <v>0</v>
      </c>
      <c r="L1884" s="34">
        <f t="shared" si="147"/>
        <v>0</v>
      </c>
      <c r="M1884" s="34">
        <f t="shared" si="145"/>
        <v>0</v>
      </c>
    </row>
    <row r="1885" spans="5:13" x14ac:dyDescent="0.25">
      <c r="E1885" s="32">
        <f t="shared" si="148"/>
        <v>0</v>
      </c>
      <c r="I1885" s="32">
        <f t="shared" si="149"/>
        <v>0</v>
      </c>
      <c r="K1885" s="31">
        <f t="shared" si="146"/>
        <v>0</v>
      </c>
      <c r="L1885" s="34">
        <f t="shared" si="147"/>
        <v>0</v>
      </c>
      <c r="M1885" s="34">
        <f t="shared" si="145"/>
        <v>0</v>
      </c>
    </row>
    <row r="1886" spans="5:13" x14ac:dyDescent="0.25">
      <c r="E1886" s="32">
        <f t="shared" si="148"/>
        <v>0</v>
      </c>
      <c r="I1886" s="32">
        <f t="shared" si="149"/>
        <v>0</v>
      </c>
      <c r="K1886" s="31">
        <f t="shared" si="146"/>
        <v>0</v>
      </c>
      <c r="L1886" s="34">
        <f t="shared" si="147"/>
        <v>0</v>
      </c>
      <c r="M1886" s="34">
        <f t="shared" si="145"/>
        <v>0</v>
      </c>
    </row>
    <row r="1887" spans="5:13" x14ac:dyDescent="0.25">
      <c r="E1887" s="32">
        <f t="shared" si="148"/>
        <v>0</v>
      </c>
      <c r="I1887" s="32">
        <f t="shared" si="149"/>
        <v>0</v>
      </c>
      <c r="K1887" s="31">
        <f t="shared" si="146"/>
        <v>0</v>
      </c>
      <c r="L1887" s="34">
        <f t="shared" si="147"/>
        <v>0</v>
      </c>
      <c r="M1887" s="34">
        <f t="shared" si="145"/>
        <v>0</v>
      </c>
    </row>
    <row r="1888" spans="5:13" x14ac:dyDescent="0.25">
      <c r="E1888" s="32">
        <f t="shared" si="148"/>
        <v>0</v>
      </c>
      <c r="I1888" s="32">
        <f t="shared" si="149"/>
        <v>0</v>
      </c>
      <c r="K1888" s="31">
        <f t="shared" si="146"/>
        <v>0</v>
      </c>
      <c r="L1888" s="34">
        <f t="shared" si="147"/>
        <v>0</v>
      </c>
      <c r="M1888" s="34">
        <f t="shared" si="145"/>
        <v>0</v>
      </c>
    </row>
    <row r="1889" spans="5:13" x14ac:dyDescent="0.25">
      <c r="E1889" s="32">
        <f t="shared" si="148"/>
        <v>0</v>
      </c>
      <c r="I1889" s="32">
        <f t="shared" si="149"/>
        <v>0</v>
      </c>
      <c r="K1889" s="31">
        <f t="shared" si="146"/>
        <v>0</v>
      </c>
      <c r="L1889" s="34">
        <f t="shared" si="147"/>
        <v>0</v>
      </c>
      <c r="M1889" s="34">
        <f t="shared" si="145"/>
        <v>0</v>
      </c>
    </row>
    <row r="1890" spans="5:13" x14ac:dyDescent="0.25">
      <c r="E1890" s="32">
        <f t="shared" si="148"/>
        <v>0</v>
      </c>
      <c r="I1890" s="32">
        <f t="shared" si="149"/>
        <v>0</v>
      </c>
      <c r="K1890" s="31">
        <f t="shared" si="146"/>
        <v>0</v>
      </c>
      <c r="L1890" s="34">
        <f t="shared" si="147"/>
        <v>0</v>
      </c>
      <c r="M1890" s="34">
        <f t="shared" si="145"/>
        <v>0</v>
      </c>
    </row>
    <row r="1891" spans="5:13" x14ac:dyDescent="0.25">
      <c r="E1891" s="32">
        <f t="shared" si="148"/>
        <v>0</v>
      </c>
      <c r="I1891" s="32">
        <f t="shared" si="149"/>
        <v>0</v>
      </c>
      <c r="K1891" s="31">
        <f t="shared" si="146"/>
        <v>0</v>
      </c>
      <c r="L1891" s="34">
        <f t="shared" si="147"/>
        <v>0</v>
      </c>
      <c r="M1891" s="34">
        <f t="shared" si="145"/>
        <v>0</v>
      </c>
    </row>
    <row r="1892" spans="5:13" x14ac:dyDescent="0.25">
      <c r="E1892" s="32">
        <f t="shared" si="148"/>
        <v>0</v>
      </c>
      <c r="I1892" s="32">
        <f t="shared" si="149"/>
        <v>0</v>
      </c>
      <c r="K1892" s="31">
        <f t="shared" si="146"/>
        <v>0</v>
      </c>
      <c r="L1892" s="34">
        <f t="shared" si="147"/>
        <v>0</v>
      </c>
      <c r="M1892" s="34">
        <f t="shared" si="145"/>
        <v>0</v>
      </c>
    </row>
    <row r="1893" spans="5:13" x14ac:dyDescent="0.25">
      <c r="E1893" s="32">
        <f t="shared" si="148"/>
        <v>0</v>
      </c>
      <c r="I1893" s="32">
        <f t="shared" si="149"/>
        <v>0</v>
      </c>
      <c r="K1893" s="31">
        <f t="shared" si="146"/>
        <v>0</v>
      </c>
      <c r="L1893" s="34">
        <f t="shared" si="147"/>
        <v>0</v>
      </c>
      <c r="M1893" s="34">
        <f t="shared" si="145"/>
        <v>0</v>
      </c>
    </row>
    <row r="1894" spans="5:13" x14ac:dyDescent="0.25">
      <c r="E1894" s="32">
        <f t="shared" si="148"/>
        <v>0</v>
      </c>
      <c r="I1894" s="32">
        <f t="shared" si="149"/>
        <v>0</v>
      </c>
      <c r="K1894" s="31">
        <f t="shared" si="146"/>
        <v>0</v>
      </c>
      <c r="L1894" s="34">
        <f t="shared" si="147"/>
        <v>0</v>
      </c>
      <c r="M1894" s="34">
        <f t="shared" si="145"/>
        <v>0</v>
      </c>
    </row>
    <row r="1895" spans="5:13" x14ac:dyDescent="0.25">
      <c r="E1895" s="32">
        <f t="shared" si="148"/>
        <v>0</v>
      </c>
      <c r="I1895" s="32">
        <f t="shared" si="149"/>
        <v>0</v>
      </c>
      <c r="K1895" s="31">
        <f t="shared" si="146"/>
        <v>0</v>
      </c>
      <c r="L1895" s="34">
        <f t="shared" si="147"/>
        <v>0</v>
      </c>
      <c r="M1895" s="34">
        <f t="shared" si="145"/>
        <v>0</v>
      </c>
    </row>
    <row r="1896" spans="5:13" x14ac:dyDescent="0.25">
      <c r="E1896" s="32">
        <f t="shared" si="148"/>
        <v>0</v>
      </c>
      <c r="I1896" s="32">
        <f t="shared" si="149"/>
        <v>0</v>
      </c>
      <c r="K1896" s="31">
        <f t="shared" si="146"/>
        <v>0</v>
      </c>
      <c r="L1896" s="34">
        <f t="shared" si="147"/>
        <v>0</v>
      </c>
      <c r="M1896" s="34">
        <f t="shared" si="145"/>
        <v>0</v>
      </c>
    </row>
    <row r="1897" spans="5:13" x14ac:dyDescent="0.25">
      <c r="E1897" s="32">
        <f t="shared" si="148"/>
        <v>0</v>
      </c>
      <c r="I1897" s="32">
        <f t="shared" si="149"/>
        <v>0</v>
      </c>
      <c r="K1897" s="31">
        <f t="shared" si="146"/>
        <v>0</v>
      </c>
      <c r="L1897" s="34">
        <f t="shared" si="147"/>
        <v>0</v>
      </c>
      <c r="M1897" s="34">
        <f t="shared" si="145"/>
        <v>0</v>
      </c>
    </row>
    <row r="1898" spans="5:13" x14ac:dyDescent="0.25">
      <c r="E1898" s="32">
        <f t="shared" si="148"/>
        <v>0</v>
      </c>
      <c r="I1898" s="32">
        <f t="shared" si="149"/>
        <v>0</v>
      </c>
      <c r="K1898" s="31">
        <f t="shared" si="146"/>
        <v>0</v>
      </c>
      <c r="L1898" s="34">
        <f t="shared" si="147"/>
        <v>0</v>
      </c>
      <c r="M1898" s="34">
        <f t="shared" si="145"/>
        <v>0</v>
      </c>
    </row>
    <row r="1899" spans="5:13" x14ac:dyDescent="0.25">
      <c r="E1899" s="32">
        <f t="shared" si="148"/>
        <v>0</v>
      </c>
      <c r="I1899" s="32">
        <f t="shared" si="149"/>
        <v>0</v>
      </c>
      <c r="K1899" s="31">
        <f t="shared" si="146"/>
        <v>0</v>
      </c>
      <c r="L1899" s="34">
        <f t="shared" si="147"/>
        <v>0</v>
      </c>
      <c r="M1899" s="34">
        <f t="shared" si="145"/>
        <v>0</v>
      </c>
    </row>
    <row r="1900" spans="5:13" x14ac:dyDescent="0.25">
      <c r="E1900" s="32">
        <f t="shared" si="148"/>
        <v>0</v>
      </c>
      <c r="I1900" s="32">
        <f t="shared" si="149"/>
        <v>0</v>
      </c>
      <c r="K1900" s="31">
        <f t="shared" si="146"/>
        <v>0</v>
      </c>
      <c r="L1900" s="34">
        <f t="shared" si="147"/>
        <v>0</v>
      </c>
      <c r="M1900" s="34">
        <f t="shared" si="145"/>
        <v>0</v>
      </c>
    </row>
    <row r="1901" spans="5:13" x14ac:dyDescent="0.25">
      <c r="E1901" s="32">
        <f t="shared" si="148"/>
        <v>0</v>
      </c>
      <c r="I1901" s="32">
        <f t="shared" si="149"/>
        <v>0</v>
      </c>
      <c r="K1901" s="31">
        <f t="shared" si="146"/>
        <v>0</v>
      </c>
      <c r="L1901" s="34">
        <f t="shared" si="147"/>
        <v>0</v>
      </c>
      <c r="M1901" s="34">
        <f t="shared" si="145"/>
        <v>0</v>
      </c>
    </row>
    <row r="1902" spans="5:13" x14ac:dyDescent="0.25">
      <c r="E1902" s="32">
        <f t="shared" si="148"/>
        <v>0</v>
      </c>
      <c r="I1902" s="32">
        <f t="shared" si="149"/>
        <v>0</v>
      </c>
      <c r="K1902" s="31">
        <f t="shared" si="146"/>
        <v>0</v>
      </c>
      <c r="L1902" s="34">
        <f t="shared" si="147"/>
        <v>0</v>
      </c>
      <c r="M1902" s="34">
        <f t="shared" si="145"/>
        <v>0</v>
      </c>
    </row>
    <row r="1903" spans="5:13" x14ac:dyDescent="0.25">
      <c r="E1903" s="32">
        <f t="shared" si="148"/>
        <v>0</v>
      </c>
      <c r="I1903" s="32">
        <f t="shared" si="149"/>
        <v>0</v>
      </c>
      <c r="K1903" s="31">
        <f t="shared" si="146"/>
        <v>0</v>
      </c>
      <c r="L1903" s="34">
        <f t="shared" si="147"/>
        <v>0</v>
      </c>
      <c r="M1903" s="34">
        <f t="shared" si="145"/>
        <v>0</v>
      </c>
    </row>
    <row r="1904" spans="5:13" x14ac:dyDescent="0.25">
      <c r="E1904" s="32">
        <f t="shared" si="148"/>
        <v>0</v>
      </c>
      <c r="I1904" s="32">
        <f t="shared" si="149"/>
        <v>0</v>
      </c>
      <c r="K1904" s="31">
        <f t="shared" si="146"/>
        <v>0</v>
      </c>
      <c r="L1904" s="34">
        <f t="shared" si="147"/>
        <v>0</v>
      </c>
      <c r="M1904" s="34">
        <f t="shared" si="145"/>
        <v>0</v>
      </c>
    </row>
    <row r="1905" spans="5:13" x14ac:dyDescent="0.25">
      <c r="E1905" s="32">
        <f t="shared" si="148"/>
        <v>0</v>
      </c>
      <c r="I1905" s="32">
        <f t="shared" si="149"/>
        <v>0</v>
      </c>
      <c r="K1905" s="31">
        <f t="shared" si="146"/>
        <v>0</v>
      </c>
      <c r="L1905" s="34">
        <f t="shared" si="147"/>
        <v>0</v>
      </c>
      <c r="M1905" s="34">
        <f t="shared" si="145"/>
        <v>0</v>
      </c>
    </row>
    <row r="1906" spans="5:13" x14ac:dyDescent="0.25">
      <c r="E1906" s="32">
        <f t="shared" si="148"/>
        <v>0</v>
      </c>
      <c r="I1906" s="32">
        <f t="shared" si="149"/>
        <v>0</v>
      </c>
      <c r="K1906" s="31">
        <f t="shared" si="146"/>
        <v>0</v>
      </c>
      <c r="L1906" s="34">
        <f t="shared" si="147"/>
        <v>0</v>
      </c>
      <c r="M1906" s="34">
        <f t="shared" si="145"/>
        <v>0</v>
      </c>
    </row>
    <row r="1907" spans="5:13" x14ac:dyDescent="0.25">
      <c r="E1907" s="32">
        <f t="shared" si="148"/>
        <v>0</v>
      </c>
      <c r="I1907" s="32">
        <f t="shared" si="149"/>
        <v>0</v>
      </c>
      <c r="K1907" s="31">
        <f t="shared" si="146"/>
        <v>0</v>
      </c>
      <c r="L1907" s="34">
        <f t="shared" si="147"/>
        <v>0</v>
      </c>
      <c r="M1907" s="34">
        <f t="shared" si="145"/>
        <v>0</v>
      </c>
    </row>
    <row r="1908" spans="5:13" x14ac:dyDescent="0.25">
      <c r="E1908" s="32">
        <f t="shared" si="148"/>
        <v>0</v>
      </c>
      <c r="I1908" s="32">
        <f t="shared" si="149"/>
        <v>0</v>
      </c>
      <c r="K1908" s="31">
        <f t="shared" si="146"/>
        <v>0</v>
      </c>
      <c r="L1908" s="34">
        <f t="shared" si="147"/>
        <v>0</v>
      </c>
      <c r="M1908" s="34">
        <f t="shared" si="145"/>
        <v>0</v>
      </c>
    </row>
    <row r="1909" spans="5:13" x14ac:dyDescent="0.25">
      <c r="E1909" s="32">
        <f t="shared" si="148"/>
        <v>0</v>
      </c>
      <c r="I1909" s="32">
        <f t="shared" si="149"/>
        <v>0</v>
      </c>
      <c r="K1909" s="31">
        <f t="shared" si="146"/>
        <v>0</v>
      </c>
      <c r="L1909" s="34">
        <f t="shared" si="147"/>
        <v>0</v>
      </c>
      <c r="M1909" s="34">
        <f t="shared" si="145"/>
        <v>0</v>
      </c>
    </row>
    <row r="1910" spans="5:13" x14ac:dyDescent="0.25">
      <c r="E1910" s="32">
        <f t="shared" si="148"/>
        <v>0</v>
      </c>
      <c r="I1910" s="32">
        <f t="shared" si="149"/>
        <v>0</v>
      </c>
      <c r="K1910" s="31">
        <f t="shared" si="146"/>
        <v>0</v>
      </c>
      <c r="L1910" s="34">
        <f t="shared" si="147"/>
        <v>0</v>
      </c>
      <c r="M1910" s="34">
        <f t="shared" si="145"/>
        <v>0</v>
      </c>
    </row>
    <row r="1911" spans="5:13" x14ac:dyDescent="0.25">
      <c r="E1911" s="32">
        <f t="shared" si="148"/>
        <v>0</v>
      </c>
      <c r="I1911" s="32">
        <f t="shared" si="149"/>
        <v>0</v>
      </c>
      <c r="K1911" s="31">
        <f t="shared" si="146"/>
        <v>0</v>
      </c>
      <c r="L1911" s="34">
        <f t="shared" si="147"/>
        <v>0</v>
      </c>
      <c r="M1911" s="34">
        <f t="shared" si="145"/>
        <v>0</v>
      </c>
    </row>
    <row r="1912" spans="5:13" x14ac:dyDescent="0.25">
      <c r="E1912" s="32">
        <f t="shared" si="148"/>
        <v>0</v>
      </c>
      <c r="I1912" s="32">
        <f t="shared" si="149"/>
        <v>0</v>
      </c>
      <c r="K1912" s="31">
        <f t="shared" si="146"/>
        <v>0</v>
      </c>
      <c r="L1912" s="34">
        <f t="shared" si="147"/>
        <v>0</v>
      </c>
      <c r="M1912" s="34">
        <f t="shared" si="145"/>
        <v>0</v>
      </c>
    </row>
    <row r="1913" spans="5:13" x14ac:dyDescent="0.25">
      <c r="E1913" s="32">
        <f t="shared" si="148"/>
        <v>0</v>
      </c>
      <c r="I1913" s="32">
        <f t="shared" si="149"/>
        <v>0</v>
      </c>
      <c r="K1913" s="31">
        <f t="shared" si="146"/>
        <v>0</v>
      </c>
      <c r="L1913" s="34">
        <f t="shared" si="147"/>
        <v>0</v>
      </c>
      <c r="M1913" s="34">
        <f t="shared" si="145"/>
        <v>0</v>
      </c>
    </row>
    <row r="1914" spans="5:13" x14ac:dyDescent="0.25">
      <c r="E1914" s="32">
        <f t="shared" si="148"/>
        <v>0</v>
      </c>
      <c r="I1914" s="32">
        <f t="shared" si="149"/>
        <v>0</v>
      </c>
      <c r="K1914" s="31">
        <f t="shared" si="146"/>
        <v>0</v>
      </c>
      <c r="L1914" s="34">
        <f t="shared" si="147"/>
        <v>0</v>
      </c>
      <c r="M1914" s="34">
        <f t="shared" si="145"/>
        <v>0</v>
      </c>
    </row>
    <row r="1915" spans="5:13" x14ac:dyDescent="0.25">
      <c r="E1915" s="32">
        <f t="shared" si="148"/>
        <v>0</v>
      </c>
      <c r="I1915" s="32">
        <f t="shared" si="149"/>
        <v>0</v>
      </c>
      <c r="K1915" s="31">
        <f t="shared" si="146"/>
        <v>0</v>
      </c>
      <c r="L1915" s="34">
        <f t="shared" si="147"/>
        <v>0</v>
      </c>
      <c r="M1915" s="34">
        <f t="shared" si="145"/>
        <v>0</v>
      </c>
    </row>
    <row r="1916" spans="5:13" x14ac:dyDescent="0.25">
      <c r="E1916" s="32">
        <f t="shared" si="148"/>
        <v>0</v>
      </c>
      <c r="I1916" s="32">
        <f t="shared" si="149"/>
        <v>0</v>
      </c>
      <c r="K1916" s="31">
        <f t="shared" si="146"/>
        <v>0</v>
      </c>
      <c r="L1916" s="34">
        <f t="shared" si="147"/>
        <v>0</v>
      </c>
      <c r="M1916" s="34">
        <f t="shared" si="145"/>
        <v>0</v>
      </c>
    </row>
    <row r="1917" spans="5:13" x14ac:dyDescent="0.25">
      <c r="E1917" s="32">
        <f t="shared" si="148"/>
        <v>0</v>
      </c>
      <c r="I1917" s="32">
        <f t="shared" si="149"/>
        <v>0</v>
      </c>
      <c r="K1917" s="31">
        <f t="shared" si="146"/>
        <v>0</v>
      </c>
      <c r="L1917" s="34">
        <f t="shared" si="147"/>
        <v>0</v>
      </c>
      <c r="M1917" s="34">
        <f t="shared" si="145"/>
        <v>0</v>
      </c>
    </row>
    <row r="1918" spans="5:13" x14ac:dyDescent="0.25">
      <c r="E1918" s="32">
        <f t="shared" si="148"/>
        <v>0</v>
      </c>
      <c r="I1918" s="32">
        <f t="shared" si="149"/>
        <v>0</v>
      </c>
      <c r="K1918" s="31">
        <f t="shared" si="146"/>
        <v>0</v>
      </c>
      <c r="L1918" s="34">
        <f t="shared" si="147"/>
        <v>0</v>
      </c>
      <c r="M1918" s="34">
        <f t="shared" si="145"/>
        <v>0</v>
      </c>
    </row>
    <row r="1919" spans="5:13" x14ac:dyDescent="0.25">
      <c r="E1919" s="32">
        <f t="shared" si="148"/>
        <v>0</v>
      </c>
      <c r="I1919" s="32">
        <f t="shared" si="149"/>
        <v>0</v>
      </c>
      <c r="K1919" s="31">
        <f t="shared" si="146"/>
        <v>0</v>
      </c>
      <c r="L1919" s="34">
        <f t="shared" si="147"/>
        <v>0</v>
      </c>
      <c r="M1919" s="34">
        <f t="shared" si="145"/>
        <v>0</v>
      </c>
    </row>
    <row r="1920" spans="5:13" x14ac:dyDescent="0.25">
      <c r="E1920" s="32">
        <f t="shared" si="148"/>
        <v>0</v>
      </c>
      <c r="I1920" s="32">
        <f t="shared" si="149"/>
        <v>0</v>
      </c>
      <c r="K1920" s="31">
        <f t="shared" si="146"/>
        <v>0</v>
      </c>
      <c r="L1920" s="34">
        <f t="shared" si="147"/>
        <v>0</v>
      </c>
      <c r="M1920" s="34">
        <f t="shared" si="145"/>
        <v>0</v>
      </c>
    </row>
    <row r="1921" spans="5:13" x14ac:dyDescent="0.25">
      <c r="E1921" s="32">
        <f t="shared" si="148"/>
        <v>0</v>
      </c>
      <c r="I1921" s="32">
        <f t="shared" si="149"/>
        <v>0</v>
      </c>
      <c r="K1921" s="31">
        <f t="shared" si="146"/>
        <v>0</v>
      </c>
      <c r="L1921" s="34">
        <f t="shared" si="147"/>
        <v>0</v>
      </c>
      <c r="M1921" s="34">
        <f t="shared" si="145"/>
        <v>0</v>
      </c>
    </row>
    <row r="1922" spans="5:13" x14ac:dyDescent="0.25">
      <c r="E1922" s="32">
        <f t="shared" si="148"/>
        <v>0</v>
      </c>
      <c r="I1922" s="32">
        <f t="shared" si="149"/>
        <v>0</v>
      </c>
      <c r="K1922" s="31">
        <f t="shared" si="146"/>
        <v>0</v>
      </c>
      <c r="L1922" s="34">
        <f t="shared" si="147"/>
        <v>0</v>
      </c>
      <c r="M1922" s="34">
        <f t="shared" si="145"/>
        <v>0</v>
      </c>
    </row>
    <row r="1923" spans="5:13" x14ac:dyDescent="0.25">
      <c r="E1923" s="32">
        <f t="shared" si="148"/>
        <v>0</v>
      </c>
      <c r="I1923" s="32">
        <f t="shared" si="149"/>
        <v>0</v>
      </c>
      <c r="K1923" s="31">
        <f t="shared" si="146"/>
        <v>0</v>
      </c>
      <c r="L1923" s="34">
        <f t="shared" si="147"/>
        <v>0</v>
      </c>
      <c r="M1923" s="34">
        <f t="shared" si="145"/>
        <v>0</v>
      </c>
    </row>
    <row r="1924" spans="5:13" x14ac:dyDescent="0.25">
      <c r="E1924" s="32">
        <f t="shared" si="148"/>
        <v>0</v>
      </c>
      <c r="I1924" s="32">
        <f t="shared" si="149"/>
        <v>0</v>
      </c>
      <c r="K1924" s="31">
        <f t="shared" si="146"/>
        <v>0</v>
      </c>
      <c r="L1924" s="34">
        <f t="shared" si="147"/>
        <v>0</v>
      </c>
      <c r="M1924" s="34">
        <f t="shared" ref="M1924:M1987" si="150">(L1924/27)*4</f>
        <v>0</v>
      </c>
    </row>
    <row r="1925" spans="5:13" x14ac:dyDescent="0.25">
      <c r="E1925" s="32">
        <f t="shared" si="148"/>
        <v>0</v>
      </c>
      <c r="I1925" s="32">
        <f t="shared" si="149"/>
        <v>0</v>
      </c>
      <c r="K1925" s="31">
        <f t="shared" ref="K1925:K1988" si="151">B1925/30</f>
        <v>0</v>
      </c>
      <c r="L1925" s="34">
        <f t="shared" ref="L1925:L1988" si="152">IF(J1925="S",((I1925*24)*K1925)*2,((I1925*24)*K1925)*1.5)</f>
        <v>0</v>
      </c>
      <c r="M1925" s="34">
        <f t="shared" si="150"/>
        <v>0</v>
      </c>
    </row>
    <row r="1926" spans="5:13" x14ac:dyDescent="0.25">
      <c r="E1926" s="32">
        <f t="shared" ref="E1926:E1989" si="153">D1926-C1926</f>
        <v>0</v>
      </c>
      <c r="I1926" s="32">
        <f t="shared" ref="I1926:I1989" si="154">H1926-G1926</f>
        <v>0</v>
      </c>
      <c r="K1926" s="31">
        <f t="shared" si="151"/>
        <v>0</v>
      </c>
      <c r="L1926" s="34">
        <f t="shared" si="152"/>
        <v>0</v>
      </c>
      <c r="M1926" s="34">
        <f t="shared" si="150"/>
        <v>0</v>
      </c>
    </row>
    <row r="1927" spans="5:13" x14ac:dyDescent="0.25">
      <c r="E1927" s="32">
        <f t="shared" si="153"/>
        <v>0</v>
      </c>
      <c r="I1927" s="32">
        <f t="shared" si="154"/>
        <v>0</v>
      </c>
      <c r="K1927" s="31">
        <f t="shared" si="151"/>
        <v>0</v>
      </c>
      <c r="L1927" s="34">
        <f t="shared" si="152"/>
        <v>0</v>
      </c>
      <c r="M1927" s="34">
        <f t="shared" si="150"/>
        <v>0</v>
      </c>
    </row>
    <row r="1928" spans="5:13" x14ac:dyDescent="0.25">
      <c r="E1928" s="32">
        <f t="shared" si="153"/>
        <v>0</v>
      </c>
      <c r="I1928" s="32">
        <f t="shared" si="154"/>
        <v>0</v>
      </c>
      <c r="K1928" s="31">
        <f t="shared" si="151"/>
        <v>0</v>
      </c>
      <c r="L1928" s="34">
        <f t="shared" si="152"/>
        <v>0</v>
      </c>
      <c r="M1928" s="34">
        <f t="shared" si="150"/>
        <v>0</v>
      </c>
    </row>
    <row r="1929" spans="5:13" x14ac:dyDescent="0.25">
      <c r="E1929" s="32">
        <f t="shared" si="153"/>
        <v>0</v>
      </c>
      <c r="I1929" s="32">
        <f t="shared" si="154"/>
        <v>0</v>
      </c>
      <c r="K1929" s="31">
        <f t="shared" si="151"/>
        <v>0</v>
      </c>
      <c r="L1929" s="34">
        <f t="shared" si="152"/>
        <v>0</v>
      </c>
      <c r="M1929" s="34">
        <f t="shared" si="150"/>
        <v>0</v>
      </c>
    </row>
    <row r="1930" spans="5:13" x14ac:dyDescent="0.25">
      <c r="E1930" s="32">
        <f t="shared" si="153"/>
        <v>0</v>
      </c>
      <c r="I1930" s="32">
        <f t="shared" si="154"/>
        <v>0</v>
      </c>
      <c r="K1930" s="31">
        <f t="shared" si="151"/>
        <v>0</v>
      </c>
      <c r="L1930" s="34">
        <f t="shared" si="152"/>
        <v>0</v>
      </c>
      <c r="M1930" s="34">
        <f t="shared" si="150"/>
        <v>0</v>
      </c>
    </row>
    <row r="1931" spans="5:13" x14ac:dyDescent="0.25">
      <c r="E1931" s="32">
        <f t="shared" si="153"/>
        <v>0</v>
      </c>
      <c r="I1931" s="32">
        <f t="shared" si="154"/>
        <v>0</v>
      </c>
      <c r="K1931" s="31">
        <f t="shared" si="151"/>
        <v>0</v>
      </c>
      <c r="L1931" s="34">
        <f t="shared" si="152"/>
        <v>0</v>
      </c>
      <c r="M1931" s="34">
        <f t="shared" si="150"/>
        <v>0</v>
      </c>
    </row>
    <row r="1932" spans="5:13" x14ac:dyDescent="0.25">
      <c r="E1932" s="32">
        <f t="shared" si="153"/>
        <v>0</v>
      </c>
      <c r="I1932" s="32">
        <f t="shared" si="154"/>
        <v>0</v>
      </c>
      <c r="K1932" s="31">
        <f t="shared" si="151"/>
        <v>0</v>
      </c>
      <c r="L1932" s="34">
        <f t="shared" si="152"/>
        <v>0</v>
      </c>
      <c r="M1932" s="34">
        <f t="shared" si="150"/>
        <v>0</v>
      </c>
    </row>
    <row r="1933" spans="5:13" x14ac:dyDescent="0.25">
      <c r="E1933" s="32">
        <f t="shared" si="153"/>
        <v>0</v>
      </c>
      <c r="I1933" s="32">
        <f t="shared" si="154"/>
        <v>0</v>
      </c>
      <c r="K1933" s="31">
        <f t="shared" si="151"/>
        <v>0</v>
      </c>
      <c r="L1933" s="34">
        <f t="shared" si="152"/>
        <v>0</v>
      </c>
      <c r="M1933" s="34">
        <f t="shared" si="150"/>
        <v>0</v>
      </c>
    </row>
    <row r="1934" spans="5:13" x14ac:dyDescent="0.25">
      <c r="E1934" s="32">
        <f t="shared" si="153"/>
        <v>0</v>
      </c>
      <c r="I1934" s="32">
        <f t="shared" si="154"/>
        <v>0</v>
      </c>
      <c r="K1934" s="31">
        <f t="shared" si="151"/>
        <v>0</v>
      </c>
      <c r="L1934" s="34">
        <f t="shared" si="152"/>
        <v>0</v>
      </c>
      <c r="M1934" s="34">
        <f t="shared" si="150"/>
        <v>0</v>
      </c>
    </row>
    <row r="1935" spans="5:13" x14ac:dyDescent="0.25">
      <c r="E1935" s="32">
        <f t="shared" si="153"/>
        <v>0</v>
      </c>
      <c r="I1935" s="32">
        <f t="shared" si="154"/>
        <v>0</v>
      </c>
      <c r="K1935" s="31">
        <f t="shared" si="151"/>
        <v>0</v>
      </c>
      <c r="L1935" s="34">
        <f t="shared" si="152"/>
        <v>0</v>
      </c>
      <c r="M1935" s="34">
        <f t="shared" si="150"/>
        <v>0</v>
      </c>
    </row>
    <row r="1936" spans="5:13" x14ac:dyDescent="0.25">
      <c r="E1936" s="32">
        <f t="shared" si="153"/>
        <v>0</v>
      </c>
      <c r="I1936" s="32">
        <f t="shared" si="154"/>
        <v>0</v>
      </c>
      <c r="K1936" s="31">
        <f t="shared" si="151"/>
        <v>0</v>
      </c>
      <c r="L1936" s="34">
        <f t="shared" si="152"/>
        <v>0</v>
      </c>
      <c r="M1936" s="34">
        <f t="shared" si="150"/>
        <v>0</v>
      </c>
    </row>
    <row r="1937" spans="5:13" x14ac:dyDescent="0.25">
      <c r="E1937" s="32">
        <f t="shared" si="153"/>
        <v>0</v>
      </c>
      <c r="I1937" s="32">
        <f t="shared" si="154"/>
        <v>0</v>
      </c>
      <c r="K1937" s="31">
        <f t="shared" si="151"/>
        <v>0</v>
      </c>
      <c r="L1937" s="34">
        <f t="shared" si="152"/>
        <v>0</v>
      </c>
      <c r="M1937" s="34">
        <f t="shared" si="150"/>
        <v>0</v>
      </c>
    </row>
    <row r="1938" spans="5:13" x14ac:dyDescent="0.25">
      <c r="E1938" s="32">
        <f t="shared" si="153"/>
        <v>0</v>
      </c>
      <c r="I1938" s="32">
        <f t="shared" si="154"/>
        <v>0</v>
      </c>
      <c r="K1938" s="31">
        <f t="shared" si="151"/>
        <v>0</v>
      </c>
      <c r="L1938" s="34">
        <f t="shared" si="152"/>
        <v>0</v>
      </c>
      <c r="M1938" s="34">
        <f t="shared" si="150"/>
        <v>0</v>
      </c>
    </row>
    <row r="1939" spans="5:13" x14ac:dyDescent="0.25">
      <c r="E1939" s="32">
        <f t="shared" si="153"/>
        <v>0</v>
      </c>
      <c r="I1939" s="32">
        <f t="shared" si="154"/>
        <v>0</v>
      </c>
      <c r="K1939" s="31">
        <f t="shared" si="151"/>
        <v>0</v>
      </c>
      <c r="L1939" s="34">
        <f t="shared" si="152"/>
        <v>0</v>
      </c>
      <c r="M1939" s="34">
        <f t="shared" si="150"/>
        <v>0</v>
      </c>
    </row>
    <row r="1940" spans="5:13" x14ac:dyDescent="0.25">
      <c r="E1940" s="32">
        <f t="shared" si="153"/>
        <v>0</v>
      </c>
      <c r="I1940" s="32">
        <f t="shared" si="154"/>
        <v>0</v>
      </c>
      <c r="K1940" s="31">
        <f t="shared" si="151"/>
        <v>0</v>
      </c>
      <c r="L1940" s="34">
        <f t="shared" si="152"/>
        <v>0</v>
      </c>
      <c r="M1940" s="34">
        <f t="shared" si="150"/>
        <v>0</v>
      </c>
    </row>
    <row r="1941" spans="5:13" x14ac:dyDescent="0.25">
      <c r="E1941" s="32">
        <f t="shared" si="153"/>
        <v>0</v>
      </c>
      <c r="I1941" s="32">
        <f t="shared" si="154"/>
        <v>0</v>
      </c>
      <c r="K1941" s="31">
        <f t="shared" si="151"/>
        <v>0</v>
      </c>
      <c r="L1941" s="34">
        <f t="shared" si="152"/>
        <v>0</v>
      </c>
      <c r="M1941" s="34">
        <f t="shared" si="150"/>
        <v>0</v>
      </c>
    </row>
    <row r="1942" spans="5:13" x14ac:dyDescent="0.25">
      <c r="E1942" s="32">
        <f t="shared" si="153"/>
        <v>0</v>
      </c>
      <c r="I1942" s="32">
        <f t="shared" si="154"/>
        <v>0</v>
      </c>
      <c r="K1942" s="31">
        <f t="shared" si="151"/>
        <v>0</v>
      </c>
      <c r="L1942" s="34">
        <f t="shared" si="152"/>
        <v>0</v>
      </c>
      <c r="M1942" s="34">
        <f t="shared" si="150"/>
        <v>0</v>
      </c>
    </row>
    <row r="1943" spans="5:13" x14ac:dyDescent="0.25">
      <c r="E1943" s="32">
        <f t="shared" si="153"/>
        <v>0</v>
      </c>
      <c r="I1943" s="32">
        <f t="shared" si="154"/>
        <v>0</v>
      </c>
      <c r="K1943" s="31">
        <f t="shared" si="151"/>
        <v>0</v>
      </c>
      <c r="L1943" s="34">
        <f t="shared" si="152"/>
        <v>0</v>
      </c>
      <c r="M1943" s="34">
        <f t="shared" si="150"/>
        <v>0</v>
      </c>
    </row>
    <row r="1944" spans="5:13" x14ac:dyDescent="0.25">
      <c r="E1944" s="32">
        <f t="shared" si="153"/>
        <v>0</v>
      </c>
      <c r="I1944" s="32">
        <f t="shared" si="154"/>
        <v>0</v>
      </c>
      <c r="K1944" s="31">
        <f t="shared" si="151"/>
        <v>0</v>
      </c>
      <c r="L1944" s="34">
        <f t="shared" si="152"/>
        <v>0</v>
      </c>
      <c r="M1944" s="34">
        <f t="shared" si="150"/>
        <v>0</v>
      </c>
    </row>
    <row r="1945" spans="5:13" x14ac:dyDescent="0.25">
      <c r="E1945" s="32">
        <f t="shared" si="153"/>
        <v>0</v>
      </c>
      <c r="I1945" s="32">
        <f t="shared" si="154"/>
        <v>0</v>
      </c>
      <c r="K1945" s="31">
        <f t="shared" si="151"/>
        <v>0</v>
      </c>
      <c r="L1945" s="34">
        <f t="shared" si="152"/>
        <v>0</v>
      </c>
      <c r="M1945" s="34">
        <f t="shared" si="150"/>
        <v>0</v>
      </c>
    </row>
    <row r="1946" spans="5:13" x14ac:dyDescent="0.25">
      <c r="E1946" s="32">
        <f t="shared" si="153"/>
        <v>0</v>
      </c>
      <c r="I1946" s="32">
        <f t="shared" si="154"/>
        <v>0</v>
      </c>
      <c r="K1946" s="31">
        <f t="shared" si="151"/>
        <v>0</v>
      </c>
      <c r="L1946" s="34">
        <f t="shared" si="152"/>
        <v>0</v>
      </c>
      <c r="M1946" s="34">
        <f t="shared" si="150"/>
        <v>0</v>
      </c>
    </row>
    <row r="1947" spans="5:13" x14ac:dyDescent="0.25">
      <c r="E1947" s="32">
        <f t="shared" si="153"/>
        <v>0</v>
      </c>
      <c r="I1947" s="32">
        <f t="shared" si="154"/>
        <v>0</v>
      </c>
      <c r="K1947" s="31">
        <f t="shared" si="151"/>
        <v>0</v>
      </c>
      <c r="L1947" s="34">
        <f t="shared" si="152"/>
        <v>0</v>
      </c>
      <c r="M1947" s="34">
        <f t="shared" si="150"/>
        <v>0</v>
      </c>
    </row>
    <row r="1948" spans="5:13" x14ac:dyDescent="0.25">
      <c r="E1948" s="32">
        <f t="shared" si="153"/>
        <v>0</v>
      </c>
      <c r="I1948" s="32">
        <f t="shared" si="154"/>
        <v>0</v>
      </c>
      <c r="K1948" s="31">
        <f t="shared" si="151"/>
        <v>0</v>
      </c>
      <c r="L1948" s="34">
        <f t="shared" si="152"/>
        <v>0</v>
      </c>
      <c r="M1948" s="34">
        <f t="shared" si="150"/>
        <v>0</v>
      </c>
    </row>
    <row r="1949" spans="5:13" x14ac:dyDescent="0.25">
      <c r="E1949" s="32">
        <f t="shared" si="153"/>
        <v>0</v>
      </c>
      <c r="I1949" s="32">
        <f t="shared" si="154"/>
        <v>0</v>
      </c>
      <c r="K1949" s="31">
        <f t="shared" si="151"/>
        <v>0</v>
      </c>
      <c r="L1949" s="34">
        <f t="shared" si="152"/>
        <v>0</v>
      </c>
      <c r="M1949" s="34">
        <f t="shared" si="150"/>
        <v>0</v>
      </c>
    </row>
    <row r="1950" spans="5:13" x14ac:dyDescent="0.25">
      <c r="E1950" s="32">
        <f t="shared" si="153"/>
        <v>0</v>
      </c>
      <c r="I1950" s="32">
        <f t="shared" si="154"/>
        <v>0</v>
      </c>
      <c r="K1950" s="31">
        <f t="shared" si="151"/>
        <v>0</v>
      </c>
      <c r="L1950" s="34">
        <f t="shared" si="152"/>
        <v>0</v>
      </c>
      <c r="M1950" s="34">
        <f t="shared" si="150"/>
        <v>0</v>
      </c>
    </row>
    <row r="1951" spans="5:13" x14ac:dyDescent="0.25">
      <c r="E1951" s="32">
        <f t="shared" si="153"/>
        <v>0</v>
      </c>
      <c r="I1951" s="32">
        <f t="shared" si="154"/>
        <v>0</v>
      </c>
      <c r="K1951" s="31">
        <f t="shared" si="151"/>
        <v>0</v>
      </c>
      <c r="L1951" s="34">
        <f t="shared" si="152"/>
        <v>0</v>
      </c>
      <c r="M1951" s="34">
        <f t="shared" si="150"/>
        <v>0</v>
      </c>
    </row>
    <row r="1952" spans="5:13" x14ac:dyDescent="0.25">
      <c r="E1952" s="32">
        <f t="shared" si="153"/>
        <v>0</v>
      </c>
      <c r="I1952" s="32">
        <f t="shared" si="154"/>
        <v>0</v>
      </c>
      <c r="K1952" s="31">
        <f t="shared" si="151"/>
        <v>0</v>
      </c>
      <c r="L1952" s="34">
        <f t="shared" si="152"/>
        <v>0</v>
      </c>
      <c r="M1952" s="34">
        <f t="shared" si="150"/>
        <v>0</v>
      </c>
    </row>
    <row r="1953" spans="5:13" x14ac:dyDescent="0.25">
      <c r="E1953" s="32">
        <f t="shared" si="153"/>
        <v>0</v>
      </c>
      <c r="I1953" s="32">
        <f t="shared" si="154"/>
        <v>0</v>
      </c>
      <c r="K1953" s="31">
        <f t="shared" si="151"/>
        <v>0</v>
      </c>
      <c r="L1953" s="34">
        <f t="shared" si="152"/>
        <v>0</v>
      </c>
      <c r="M1953" s="34">
        <f t="shared" si="150"/>
        <v>0</v>
      </c>
    </row>
    <row r="1954" spans="5:13" x14ac:dyDescent="0.25">
      <c r="E1954" s="32">
        <f t="shared" si="153"/>
        <v>0</v>
      </c>
      <c r="I1954" s="32">
        <f t="shared" si="154"/>
        <v>0</v>
      </c>
      <c r="K1954" s="31">
        <f t="shared" si="151"/>
        <v>0</v>
      </c>
      <c r="L1954" s="34">
        <f t="shared" si="152"/>
        <v>0</v>
      </c>
      <c r="M1954" s="34">
        <f t="shared" si="150"/>
        <v>0</v>
      </c>
    </row>
    <row r="1955" spans="5:13" x14ac:dyDescent="0.25">
      <c r="E1955" s="32">
        <f t="shared" si="153"/>
        <v>0</v>
      </c>
      <c r="I1955" s="32">
        <f t="shared" si="154"/>
        <v>0</v>
      </c>
      <c r="K1955" s="31">
        <f t="shared" si="151"/>
        <v>0</v>
      </c>
      <c r="L1955" s="34">
        <f t="shared" si="152"/>
        <v>0</v>
      </c>
      <c r="M1955" s="34">
        <f t="shared" si="150"/>
        <v>0</v>
      </c>
    </row>
    <row r="1956" spans="5:13" x14ac:dyDescent="0.25">
      <c r="E1956" s="32">
        <f t="shared" si="153"/>
        <v>0</v>
      </c>
      <c r="I1956" s="32">
        <f t="shared" si="154"/>
        <v>0</v>
      </c>
      <c r="K1956" s="31">
        <f t="shared" si="151"/>
        <v>0</v>
      </c>
      <c r="L1956" s="34">
        <f t="shared" si="152"/>
        <v>0</v>
      </c>
      <c r="M1956" s="34">
        <f t="shared" si="150"/>
        <v>0</v>
      </c>
    </row>
    <row r="1957" spans="5:13" x14ac:dyDescent="0.25">
      <c r="E1957" s="32">
        <f t="shared" si="153"/>
        <v>0</v>
      </c>
      <c r="I1957" s="32">
        <f t="shared" si="154"/>
        <v>0</v>
      </c>
      <c r="K1957" s="31">
        <f t="shared" si="151"/>
        <v>0</v>
      </c>
      <c r="L1957" s="34">
        <f t="shared" si="152"/>
        <v>0</v>
      </c>
      <c r="M1957" s="34">
        <f t="shared" si="150"/>
        <v>0</v>
      </c>
    </row>
    <row r="1958" spans="5:13" x14ac:dyDescent="0.25">
      <c r="E1958" s="32">
        <f t="shared" si="153"/>
        <v>0</v>
      </c>
      <c r="I1958" s="32">
        <f t="shared" si="154"/>
        <v>0</v>
      </c>
      <c r="K1958" s="31">
        <f t="shared" si="151"/>
        <v>0</v>
      </c>
      <c r="L1958" s="34">
        <f t="shared" si="152"/>
        <v>0</v>
      </c>
      <c r="M1958" s="34">
        <f t="shared" si="150"/>
        <v>0</v>
      </c>
    </row>
    <row r="1959" spans="5:13" x14ac:dyDescent="0.25">
      <c r="E1959" s="32">
        <f t="shared" si="153"/>
        <v>0</v>
      </c>
      <c r="I1959" s="32">
        <f t="shared" si="154"/>
        <v>0</v>
      </c>
      <c r="K1959" s="31">
        <f t="shared" si="151"/>
        <v>0</v>
      </c>
      <c r="L1959" s="34">
        <f t="shared" si="152"/>
        <v>0</v>
      </c>
      <c r="M1959" s="34">
        <f t="shared" si="150"/>
        <v>0</v>
      </c>
    </row>
    <row r="1960" spans="5:13" x14ac:dyDescent="0.25">
      <c r="E1960" s="32">
        <f t="shared" si="153"/>
        <v>0</v>
      </c>
      <c r="I1960" s="32">
        <f t="shared" si="154"/>
        <v>0</v>
      </c>
      <c r="K1960" s="31">
        <f t="shared" si="151"/>
        <v>0</v>
      </c>
      <c r="L1960" s="34">
        <f t="shared" si="152"/>
        <v>0</v>
      </c>
      <c r="M1960" s="34">
        <f t="shared" si="150"/>
        <v>0</v>
      </c>
    </row>
    <row r="1961" spans="5:13" x14ac:dyDescent="0.25">
      <c r="E1961" s="32">
        <f t="shared" si="153"/>
        <v>0</v>
      </c>
      <c r="I1961" s="32">
        <f t="shared" si="154"/>
        <v>0</v>
      </c>
      <c r="K1961" s="31">
        <f t="shared" si="151"/>
        <v>0</v>
      </c>
      <c r="L1961" s="34">
        <f t="shared" si="152"/>
        <v>0</v>
      </c>
      <c r="M1961" s="34">
        <f t="shared" si="150"/>
        <v>0</v>
      </c>
    </row>
    <row r="1962" spans="5:13" x14ac:dyDescent="0.25">
      <c r="E1962" s="32">
        <f t="shared" si="153"/>
        <v>0</v>
      </c>
      <c r="I1962" s="32">
        <f t="shared" si="154"/>
        <v>0</v>
      </c>
      <c r="K1962" s="31">
        <f t="shared" si="151"/>
        <v>0</v>
      </c>
      <c r="L1962" s="34">
        <f t="shared" si="152"/>
        <v>0</v>
      </c>
      <c r="M1962" s="34">
        <f t="shared" si="150"/>
        <v>0</v>
      </c>
    </row>
    <row r="1963" spans="5:13" x14ac:dyDescent="0.25">
      <c r="E1963" s="32">
        <f t="shared" si="153"/>
        <v>0</v>
      </c>
      <c r="I1963" s="32">
        <f t="shared" si="154"/>
        <v>0</v>
      </c>
      <c r="K1963" s="31">
        <f t="shared" si="151"/>
        <v>0</v>
      </c>
      <c r="L1963" s="34">
        <f t="shared" si="152"/>
        <v>0</v>
      </c>
      <c r="M1963" s="34">
        <f t="shared" si="150"/>
        <v>0</v>
      </c>
    </row>
    <row r="1964" spans="5:13" x14ac:dyDescent="0.25">
      <c r="E1964" s="32">
        <f t="shared" si="153"/>
        <v>0</v>
      </c>
      <c r="I1964" s="32">
        <f t="shared" si="154"/>
        <v>0</v>
      </c>
      <c r="K1964" s="31">
        <f t="shared" si="151"/>
        <v>0</v>
      </c>
      <c r="L1964" s="34">
        <f t="shared" si="152"/>
        <v>0</v>
      </c>
      <c r="M1964" s="34">
        <f t="shared" si="150"/>
        <v>0</v>
      </c>
    </row>
    <row r="1965" spans="5:13" x14ac:dyDescent="0.25">
      <c r="E1965" s="32">
        <f t="shared" si="153"/>
        <v>0</v>
      </c>
      <c r="I1965" s="32">
        <f t="shared" si="154"/>
        <v>0</v>
      </c>
      <c r="K1965" s="31">
        <f t="shared" si="151"/>
        <v>0</v>
      </c>
      <c r="L1965" s="34">
        <f t="shared" si="152"/>
        <v>0</v>
      </c>
      <c r="M1965" s="34">
        <f t="shared" si="150"/>
        <v>0</v>
      </c>
    </row>
    <row r="1966" spans="5:13" x14ac:dyDescent="0.25">
      <c r="E1966" s="32">
        <f t="shared" si="153"/>
        <v>0</v>
      </c>
      <c r="I1966" s="32">
        <f t="shared" si="154"/>
        <v>0</v>
      </c>
      <c r="K1966" s="31">
        <f t="shared" si="151"/>
        <v>0</v>
      </c>
      <c r="L1966" s="34">
        <f t="shared" si="152"/>
        <v>0</v>
      </c>
      <c r="M1966" s="34">
        <f t="shared" si="150"/>
        <v>0</v>
      </c>
    </row>
    <row r="1967" spans="5:13" x14ac:dyDescent="0.25">
      <c r="E1967" s="32">
        <f t="shared" si="153"/>
        <v>0</v>
      </c>
      <c r="I1967" s="32">
        <f t="shared" si="154"/>
        <v>0</v>
      </c>
      <c r="K1967" s="31">
        <f t="shared" si="151"/>
        <v>0</v>
      </c>
      <c r="L1967" s="34">
        <f t="shared" si="152"/>
        <v>0</v>
      </c>
      <c r="M1967" s="34">
        <f t="shared" si="150"/>
        <v>0</v>
      </c>
    </row>
    <row r="1968" spans="5:13" x14ac:dyDescent="0.25">
      <c r="E1968" s="32">
        <f t="shared" si="153"/>
        <v>0</v>
      </c>
      <c r="I1968" s="32">
        <f t="shared" si="154"/>
        <v>0</v>
      </c>
      <c r="K1968" s="31">
        <f t="shared" si="151"/>
        <v>0</v>
      </c>
      <c r="L1968" s="34">
        <f t="shared" si="152"/>
        <v>0</v>
      </c>
      <c r="M1968" s="34">
        <f t="shared" si="150"/>
        <v>0</v>
      </c>
    </row>
    <row r="1969" spans="5:13" x14ac:dyDescent="0.25">
      <c r="E1969" s="32">
        <f t="shared" si="153"/>
        <v>0</v>
      </c>
      <c r="I1969" s="32">
        <f t="shared" si="154"/>
        <v>0</v>
      </c>
      <c r="K1969" s="31">
        <f t="shared" si="151"/>
        <v>0</v>
      </c>
      <c r="L1969" s="34">
        <f t="shared" si="152"/>
        <v>0</v>
      </c>
      <c r="M1969" s="34">
        <f t="shared" si="150"/>
        <v>0</v>
      </c>
    </row>
    <row r="1970" spans="5:13" x14ac:dyDescent="0.25">
      <c r="E1970" s="32">
        <f t="shared" si="153"/>
        <v>0</v>
      </c>
      <c r="I1970" s="32">
        <f t="shared" si="154"/>
        <v>0</v>
      </c>
      <c r="K1970" s="31">
        <f t="shared" si="151"/>
        <v>0</v>
      </c>
      <c r="L1970" s="34">
        <f t="shared" si="152"/>
        <v>0</v>
      </c>
      <c r="M1970" s="34">
        <f t="shared" si="150"/>
        <v>0</v>
      </c>
    </row>
    <row r="1971" spans="5:13" x14ac:dyDescent="0.25">
      <c r="E1971" s="32">
        <f t="shared" si="153"/>
        <v>0</v>
      </c>
      <c r="I1971" s="32">
        <f t="shared" si="154"/>
        <v>0</v>
      </c>
      <c r="K1971" s="31">
        <f t="shared" si="151"/>
        <v>0</v>
      </c>
      <c r="L1971" s="34">
        <f t="shared" si="152"/>
        <v>0</v>
      </c>
      <c r="M1971" s="34">
        <f t="shared" si="150"/>
        <v>0</v>
      </c>
    </row>
    <row r="1972" spans="5:13" x14ac:dyDescent="0.25">
      <c r="E1972" s="32">
        <f t="shared" si="153"/>
        <v>0</v>
      </c>
      <c r="I1972" s="32">
        <f t="shared" si="154"/>
        <v>0</v>
      </c>
      <c r="K1972" s="31">
        <f t="shared" si="151"/>
        <v>0</v>
      </c>
      <c r="L1972" s="34">
        <f t="shared" si="152"/>
        <v>0</v>
      </c>
      <c r="M1972" s="34">
        <f t="shared" si="150"/>
        <v>0</v>
      </c>
    </row>
    <row r="1973" spans="5:13" x14ac:dyDescent="0.25">
      <c r="E1973" s="32">
        <f t="shared" si="153"/>
        <v>0</v>
      </c>
      <c r="I1973" s="32">
        <f t="shared" si="154"/>
        <v>0</v>
      </c>
      <c r="K1973" s="31">
        <f t="shared" si="151"/>
        <v>0</v>
      </c>
      <c r="L1973" s="34">
        <f t="shared" si="152"/>
        <v>0</v>
      </c>
      <c r="M1973" s="34">
        <f t="shared" si="150"/>
        <v>0</v>
      </c>
    </row>
    <row r="1974" spans="5:13" x14ac:dyDescent="0.25">
      <c r="E1974" s="32">
        <f t="shared" si="153"/>
        <v>0</v>
      </c>
      <c r="I1974" s="32">
        <f t="shared" si="154"/>
        <v>0</v>
      </c>
      <c r="K1974" s="31">
        <f t="shared" si="151"/>
        <v>0</v>
      </c>
      <c r="L1974" s="34">
        <f t="shared" si="152"/>
        <v>0</v>
      </c>
      <c r="M1974" s="34">
        <f t="shared" si="150"/>
        <v>0</v>
      </c>
    </row>
    <row r="1975" spans="5:13" x14ac:dyDescent="0.25">
      <c r="E1975" s="32">
        <f t="shared" si="153"/>
        <v>0</v>
      </c>
      <c r="I1975" s="32">
        <f t="shared" si="154"/>
        <v>0</v>
      </c>
      <c r="K1975" s="31">
        <f t="shared" si="151"/>
        <v>0</v>
      </c>
      <c r="L1975" s="34">
        <f t="shared" si="152"/>
        <v>0</v>
      </c>
      <c r="M1975" s="34">
        <f t="shared" si="150"/>
        <v>0</v>
      </c>
    </row>
    <row r="1976" spans="5:13" x14ac:dyDescent="0.25">
      <c r="E1976" s="32">
        <f t="shared" si="153"/>
        <v>0</v>
      </c>
      <c r="I1976" s="32">
        <f t="shared" si="154"/>
        <v>0</v>
      </c>
      <c r="K1976" s="31">
        <f t="shared" si="151"/>
        <v>0</v>
      </c>
      <c r="L1976" s="34">
        <f t="shared" si="152"/>
        <v>0</v>
      </c>
      <c r="M1976" s="34">
        <f t="shared" si="150"/>
        <v>0</v>
      </c>
    </row>
    <row r="1977" spans="5:13" x14ac:dyDescent="0.25">
      <c r="E1977" s="32">
        <f t="shared" si="153"/>
        <v>0</v>
      </c>
      <c r="I1977" s="32">
        <f t="shared" si="154"/>
        <v>0</v>
      </c>
      <c r="K1977" s="31">
        <f t="shared" si="151"/>
        <v>0</v>
      </c>
      <c r="L1977" s="34">
        <f t="shared" si="152"/>
        <v>0</v>
      </c>
      <c r="M1977" s="34">
        <f t="shared" si="150"/>
        <v>0</v>
      </c>
    </row>
    <row r="1978" spans="5:13" x14ac:dyDescent="0.25">
      <c r="E1978" s="32">
        <f t="shared" si="153"/>
        <v>0</v>
      </c>
      <c r="I1978" s="32">
        <f t="shared" si="154"/>
        <v>0</v>
      </c>
      <c r="K1978" s="31">
        <f t="shared" si="151"/>
        <v>0</v>
      </c>
      <c r="L1978" s="34">
        <f t="shared" si="152"/>
        <v>0</v>
      </c>
      <c r="M1978" s="34">
        <f t="shared" si="150"/>
        <v>0</v>
      </c>
    </row>
    <row r="1979" spans="5:13" x14ac:dyDescent="0.25">
      <c r="E1979" s="32">
        <f t="shared" si="153"/>
        <v>0</v>
      </c>
      <c r="I1979" s="32">
        <f t="shared" si="154"/>
        <v>0</v>
      </c>
      <c r="K1979" s="31">
        <f t="shared" si="151"/>
        <v>0</v>
      </c>
      <c r="L1979" s="34">
        <f t="shared" si="152"/>
        <v>0</v>
      </c>
      <c r="M1979" s="34">
        <f t="shared" si="150"/>
        <v>0</v>
      </c>
    </row>
    <row r="1980" spans="5:13" x14ac:dyDescent="0.25">
      <c r="E1980" s="32">
        <f t="shared" si="153"/>
        <v>0</v>
      </c>
      <c r="I1980" s="32">
        <f t="shared" si="154"/>
        <v>0</v>
      </c>
      <c r="K1980" s="31">
        <f t="shared" si="151"/>
        <v>0</v>
      </c>
      <c r="L1980" s="34">
        <f t="shared" si="152"/>
        <v>0</v>
      </c>
      <c r="M1980" s="34">
        <f t="shared" si="150"/>
        <v>0</v>
      </c>
    </row>
    <row r="1981" spans="5:13" x14ac:dyDescent="0.25">
      <c r="E1981" s="32">
        <f t="shared" si="153"/>
        <v>0</v>
      </c>
      <c r="I1981" s="32">
        <f t="shared" si="154"/>
        <v>0</v>
      </c>
      <c r="K1981" s="31">
        <f t="shared" si="151"/>
        <v>0</v>
      </c>
      <c r="L1981" s="34">
        <f t="shared" si="152"/>
        <v>0</v>
      </c>
      <c r="M1981" s="34">
        <f t="shared" si="150"/>
        <v>0</v>
      </c>
    </row>
    <row r="1982" spans="5:13" x14ac:dyDescent="0.25">
      <c r="E1982" s="32">
        <f t="shared" si="153"/>
        <v>0</v>
      </c>
      <c r="I1982" s="32">
        <f t="shared" si="154"/>
        <v>0</v>
      </c>
      <c r="K1982" s="31">
        <f t="shared" si="151"/>
        <v>0</v>
      </c>
      <c r="L1982" s="34">
        <f t="shared" si="152"/>
        <v>0</v>
      </c>
      <c r="M1982" s="34">
        <f t="shared" si="150"/>
        <v>0</v>
      </c>
    </row>
    <row r="1983" spans="5:13" x14ac:dyDescent="0.25">
      <c r="E1983" s="32">
        <f t="shared" si="153"/>
        <v>0</v>
      </c>
      <c r="I1983" s="32">
        <f t="shared" si="154"/>
        <v>0</v>
      </c>
      <c r="K1983" s="31">
        <f t="shared" si="151"/>
        <v>0</v>
      </c>
      <c r="L1983" s="34">
        <f t="shared" si="152"/>
        <v>0</v>
      </c>
      <c r="M1983" s="34">
        <f t="shared" si="150"/>
        <v>0</v>
      </c>
    </row>
    <row r="1984" spans="5:13" x14ac:dyDescent="0.25">
      <c r="E1984" s="32">
        <f t="shared" si="153"/>
        <v>0</v>
      </c>
      <c r="I1984" s="32">
        <f t="shared" si="154"/>
        <v>0</v>
      </c>
      <c r="K1984" s="31">
        <f t="shared" si="151"/>
        <v>0</v>
      </c>
      <c r="L1984" s="34">
        <f t="shared" si="152"/>
        <v>0</v>
      </c>
      <c r="M1984" s="34">
        <f t="shared" si="150"/>
        <v>0</v>
      </c>
    </row>
    <row r="1985" spans="5:13" x14ac:dyDescent="0.25">
      <c r="E1985" s="32">
        <f t="shared" si="153"/>
        <v>0</v>
      </c>
      <c r="I1985" s="32">
        <f t="shared" si="154"/>
        <v>0</v>
      </c>
      <c r="K1985" s="31">
        <f t="shared" si="151"/>
        <v>0</v>
      </c>
      <c r="L1985" s="34">
        <f t="shared" si="152"/>
        <v>0</v>
      </c>
      <c r="M1985" s="34">
        <f t="shared" si="150"/>
        <v>0</v>
      </c>
    </row>
    <row r="1986" spans="5:13" x14ac:dyDescent="0.25">
      <c r="E1986" s="32">
        <f t="shared" si="153"/>
        <v>0</v>
      </c>
      <c r="I1986" s="32">
        <f t="shared" si="154"/>
        <v>0</v>
      </c>
      <c r="K1986" s="31">
        <f t="shared" si="151"/>
        <v>0</v>
      </c>
      <c r="L1986" s="34">
        <f t="shared" si="152"/>
        <v>0</v>
      </c>
      <c r="M1986" s="34">
        <f t="shared" si="150"/>
        <v>0</v>
      </c>
    </row>
    <row r="1987" spans="5:13" x14ac:dyDescent="0.25">
      <c r="E1987" s="32">
        <f t="shared" si="153"/>
        <v>0</v>
      </c>
      <c r="I1987" s="32">
        <f t="shared" si="154"/>
        <v>0</v>
      </c>
      <c r="K1987" s="31">
        <f t="shared" si="151"/>
        <v>0</v>
      </c>
      <c r="L1987" s="34">
        <f t="shared" si="152"/>
        <v>0</v>
      </c>
      <c r="M1987" s="34">
        <f t="shared" si="150"/>
        <v>0</v>
      </c>
    </row>
    <row r="1988" spans="5:13" x14ac:dyDescent="0.25">
      <c r="E1988" s="32">
        <f t="shared" si="153"/>
        <v>0</v>
      </c>
      <c r="I1988" s="32">
        <f t="shared" si="154"/>
        <v>0</v>
      </c>
      <c r="K1988" s="31">
        <f t="shared" si="151"/>
        <v>0</v>
      </c>
      <c r="L1988" s="34">
        <f t="shared" si="152"/>
        <v>0</v>
      </c>
      <c r="M1988" s="34">
        <f t="shared" ref="M1988:M2051" si="155">(L1988/27)*4</f>
        <v>0</v>
      </c>
    </row>
    <row r="1989" spans="5:13" x14ac:dyDescent="0.25">
      <c r="E1989" s="32">
        <f t="shared" si="153"/>
        <v>0</v>
      </c>
      <c r="I1989" s="32">
        <f t="shared" si="154"/>
        <v>0</v>
      </c>
      <c r="K1989" s="31">
        <f t="shared" ref="K1989:K2052" si="156">B1989/30</f>
        <v>0</v>
      </c>
      <c r="L1989" s="34">
        <f t="shared" ref="L1989:L2052" si="157">IF(J1989="S",((I1989*24)*K1989)*2,((I1989*24)*K1989)*1.5)</f>
        <v>0</v>
      </c>
      <c r="M1989" s="34">
        <f t="shared" si="155"/>
        <v>0</v>
      </c>
    </row>
    <row r="1990" spans="5:13" x14ac:dyDescent="0.25">
      <c r="E1990" s="32">
        <f t="shared" ref="E1990:E2053" si="158">D1990-C1990</f>
        <v>0</v>
      </c>
      <c r="I1990" s="32">
        <f t="shared" ref="I1990:I2053" si="159">H1990-G1990</f>
        <v>0</v>
      </c>
      <c r="K1990" s="31">
        <f t="shared" si="156"/>
        <v>0</v>
      </c>
      <c r="L1990" s="34">
        <f t="shared" si="157"/>
        <v>0</v>
      </c>
      <c r="M1990" s="34">
        <f t="shared" si="155"/>
        <v>0</v>
      </c>
    </row>
    <row r="1991" spans="5:13" x14ac:dyDescent="0.25">
      <c r="E1991" s="32">
        <f t="shared" si="158"/>
        <v>0</v>
      </c>
      <c r="I1991" s="32">
        <f t="shared" si="159"/>
        <v>0</v>
      </c>
      <c r="K1991" s="31">
        <f t="shared" si="156"/>
        <v>0</v>
      </c>
      <c r="L1991" s="34">
        <f t="shared" si="157"/>
        <v>0</v>
      </c>
      <c r="M1991" s="34">
        <f t="shared" si="155"/>
        <v>0</v>
      </c>
    </row>
    <row r="1992" spans="5:13" x14ac:dyDescent="0.25">
      <c r="E1992" s="32">
        <f t="shared" si="158"/>
        <v>0</v>
      </c>
      <c r="I1992" s="32">
        <f t="shared" si="159"/>
        <v>0</v>
      </c>
      <c r="K1992" s="31">
        <f t="shared" si="156"/>
        <v>0</v>
      </c>
      <c r="L1992" s="34">
        <f t="shared" si="157"/>
        <v>0</v>
      </c>
      <c r="M1992" s="34">
        <f t="shared" si="155"/>
        <v>0</v>
      </c>
    </row>
    <row r="1993" spans="5:13" x14ac:dyDescent="0.25">
      <c r="E1993" s="32">
        <f t="shared" si="158"/>
        <v>0</v>
      </c>
      <c r="I1993" s="32">
        <f t="shared" si="159"/>
        <v>0</v>
      </c>
      <c r="K1993" s="31">
        <f t="shared" si="156"/>
        <v>0</v>
      </c>
      <c r="L1993" s="34">
        <f t="shared" si="157"/>
        <v>0</v>
      </c>
      <c r="M1993" s="34">
        <f t="shared" si="155"/>
        <v>0</v>
      </c>
    </row>
    <row r="1994" spans="5:13" x14ac:dyDescent="0.25">
      <c r="E1994" s="32">
        <f t="shared" si="158"/>
        <v>0</v>
      </c>
      <c r="I1994" s="32">
        <f t="shared" si="159"/>
        <v>0</v>
      </c>
      <c r="K1994" s="31">
        <f t="shared" si="156"/>
        <v>0</v>
      </c>
      <c r="L1994" s="34">
        <f t="shared" si="157"/>
        <v>0</v>
      </c>
      <c r="M1994" s="34">
        <f t="shared" si="155"/>
        <v>0</v>
      </c>
    </row>
    <row r="1995" spans="5:13" x14ac:dyDescent="0.25">
      <c r="E1995" s="32">
        <f t="shared" si="158"/>
        <v>0</v>
      </c>
      <c r="I1995" s="32">
        <f t="shared" si="159"/>
        <v>0</v>
      </c>
      <c r="K1995" s="31">
        <f t="shared" si="156"/>
        <v>0</v>
      </c>
      <c r="L1995" s="34">
        <f t="shared" si="157"/>
        <v>0</v>
      </c>
      <c r="M1995" s="34">
        <f t="shared" si="155"/>
        <v>0</v>
      </c>
    </row>
    <row r="1996" spans="5:13" x14ac:dyDescent="0.25">
      <c r="E1996" s="32">
        <f t="shared" si="158"/>
        <v>0</v>
      </c>
      <c r="I1996" s="32">
        <f t="shared" si="159"/>
        <v>0</v>
      </c>
      <c r="K1996" s="31">
        <f t="shared" si="156"/>
        <v>0</v>
      </c>
      <c r="L1996" s="34">
        <f t="shared" si="157"/>
        <v>0</v>
      </c>
      <c r="M1996" s="34">
        <f t="shared" si="155"/>
        <v>0</v>
      </c>
    </row>
    <row r="1997" spans="5:13" x14ac:dyDescent="0.25">
      <c r="E1997" s="32">
        <f t="shared" si="158"/>
        <v>0</v>
      </c>
      <c r="I1997" s="32">
        <f t="shared" si="159"/>
        <v>0</v>
      </c>
      <c r="K1997" s="31">
        <f t="shared" si="156"/>
        <v>0</v>
      </c>
      <c r="L1997" s="34">
        <f t="shared" si="157"/>
        <v>0</v>
      </c>
      <c r="M1997" s="34">
        <f t="shared" si="155"/>
        <v>0</v>
      </c>
    </row>
    <row r="1998" spans="5:13" x14ac:dyDescent="0.25">
      <c r="E1998" s="32">
        <f t="shared" si="158"/>
        <v>0</v>
      </c>
      <c r="I1998" s="32">
        <f t="shared" si="159"/>
        <v>0</v>
      </c>
      <c r="K1998" s="31">
        <f t="shared" si="156"/>
        <v>0</v>
      </c>
      <c r="L1998" s="34">
        <f t="shared" si="157"/>
        <v>0</v>
      </c>
      <c r="M1998" s="34">
        <f t="shared" si="155"/>
        <v>0</v>
      </c>
    </row>
    <row r="1999" spans="5:13" x14ac:dyDescent="0.25">
      <c r="E1999" s="32">
        <f t="shared" si="158"/>
        <v>0</v>
      </c>
      <c r="I1999" s="32">
        <f t="shared" si="159"/>
        <v>0</v>
      </c>
      <c r="K1999" s="31">
        <f t="shared" si="156"/>
        <v>0</v>
      </c>
      <c r="L1999" s="34">
        <f t="shared" si="157"/>
        <v>0</v>
      </c>
      <c r="M1999" s="34">
        <f t="shared" si="155"/>
        <v>0</v>
      </c>
    </row>
    <row r="2000" spans="5:13" x14ac:dyDescent="0.25">
      <c r="E2000" s="32">
        <f t="shared" si="158"/>
        <v>0</v>
      </c>
      <c r="I2000" s="32">
        <f t="shared" si="159"/>
        <v>0</v>
      </c>
      <c r="K2000" s="31">
        <f t="shared" si="156"/>
        <v>0</v>
      </c>
      <c r="L2000" s="34">
        <f t="shared" si="157"/>
        <v>0</v>
      </c>
      <c r="M2000" s="34">
        <f t="shared" si="155"/>
        <v>0</v>
      </c>
    </row>
    <row r="2001" spans="5:13" x14ac:dyDescent="0.25">
      <c r="E2001" s="32">
        <f t="shared" si="158"/>
        <v>0</v>
      </c>
      <c r="I2001" s="32">
        <f t="shared" si="159"/>
        <v>0</v>
      </c>
      <c r="K2001" s="31">
        <f t="shared" si="156"/>
        <v>0</v>
      </c>
      <c r="L2001" s="34">
        <f t="shared" si="157"/>
        <v>0</v>
      </c>
      <c r="M2001" s="34">
        <f t="shared" si="155"/>
        <v>0</v>
      </c>
    </row>
    <row r="2002" spans="5:13" x14ac:dyDescent="0.25">
      <c r="E2002" s="32">
        <f t="shared" si="158"/>
        <v>0</v>
      </c>
      <c r="I2002" s="32">
        <f t="shared" si="159"/>
        <v>0</v>
      </c>
      <c r="K2002" s="31">
        <f t="shared" si="156"/>
        <v>0</v>
      </c>
      <c r="L2002" s="34">
        <f t="shared" si="157"/>
        <v>0</v>
      </c>
      <c r="M2002" s="34">
        <f t="shared" si="155"/>
        <v>0</v>
      </c>
    </row>
    <row r="2003" spans="5:13" x14ac:dyDescent="0.25">
      <c r="E2003" s="32">
        <f t="shared" si="158"/>
        <v>0</v>
      </c>
      <c r="I2003" s="32">
        <f t="shared" si="159"/>
        <v>0</v>
      </c>
      <c r="K2003" s="31">
        <f t="shared" si="156"/>
        <v>0</v>
      </c>
      <c r="L2003" s="34">
        <f t="shared" si="157"/>
        <v>0</v>
      </c>
      <c r="M2003" s="34">
        <f t="shared" si="155"/>
        <v>0</v>
      </c>
    </row>
    <row r="2004" spans="5:13" x14ac:dyDescent="0.25">
      <c r="E2004" s="32">
        <f t="shared" si="158"/>
        <v>0</v>
      </c>
      <c r="I2004" s="32">
        <f t="shared" si="159"/>
        <v>0</v>
      </c>
      <c r="K2004" s="31">
        <f t="shared" si="156"/>
        <v>0</v>
      </c>
      <c r="L2004" s="34">
        <f t="shared" si="157"/>
        <v>0</v>
      </c>
      <c r="M2004" s="34">
        <f t="shared" si="155"/>
        <v>0</v>
      </c>
    </row>
    <row r="2005" spans="5:13" x14ac:dyDescent="0.25">
      <c r="E2005" s="32">
        <f t="shared" si="158"/>
        <v>0</v>
      </c>
      <c r="I2005" s="32">
        <f t="shared" si="159"/>
        <v>0</v>
      </c>
      <c r="K2005" s="31">
        <f t="shared" si="156"/>
        <v>0</v>
      </c>
      <c r="L2005" s="34">
        <f t="shared" si="157"/>
        <v>0</v>
      </c>
      <c r="M2005" s="34">
        <f t="shared" si="155"/>
        <v>0</v>
      </c>
    </row>
    <row r="2006" spans="5:13" x14ac:dyDescent="0.25">
      <c r="E2006" s="32">
        <f t="shared" si="158"/>
        <v>0</v>
      </c>
      <c r="I2006" s="32">
        <f t="shared" si="159"/>
        <v>0</v>
      </c>
      <c r="K2006" s="31">
        <f t="shared" si="156"/>
        <v>0</v>
      </c>
      <c r="L2006" s="34">
        <f t="shared" si="157"/>
        <v>0</v>
      </c>
      <c r="M2006" s="34">
        <f t="shared" si="155"/>
        <v>0</v>
      </c>
    </row>
    <row r="2007" spans="5:13" x14ac:dyDescent="0.25">
      <c r="E2007" s="32">
        <f t="shared" si="158"/>
        <v>0</v>
      </c>
      <c r="I2007" s="32">
        <f t="shared" si="159"/>
        <v>0</v>
      </c>
      <c r="K2007" s="31">
        <f t="shared" si="156"/>
        <v>0</v>
      </c>
      <c r="L2007" s="34">
        <f t="shared" si="157"/>
        <v>0</v>
      </c>
      <c r="M2007" s="34">
        <f t="shared" si="155"/>
        <v>0</v>
      </c>
    </row>
    <row r="2008" spans="5:13" x14ac:dyDescent="0.25">
      <c r="E2008" s="32">
        <f t="shared" si="158"/>
        <v>0</v>
      </c>
      <c r="I2008" s="32">
        <f t="shared" si="159"/>
        <v>0</v>
      </c>
      <c r="K2008" s="31">
        <f t="shared" si="156"/>
        <v>0</v>
      </c>
      <c r="L2008" s="34">
        <f t="shared" si="157"/>
        <v>0</v>
      </c>
      <c r="M2008" s="34">
        <f t="shared" si="155"/>
        <v>0</v>
      </c>
    </row>
    <row r="2009" spans="5:13" x14ac:dyDescent="0.25">
      <c r="E2009" s="32">
        <f t="shared" si="158"/>
        <v>0</v>
      </c>
      <c r="I2009" s="32">
        <f t="shared" si="159"/>
        <v>0</v>
      </c>
      <c r="K2009" s="31">
        <f t="shared" si="156"/>
        <v>0</v>
      </c>
      <c r="L2009" s="34">
        <f t="shared" si="157"/>
        <v>0</v>
      </c>
      <c r="M2009" s="34">
        <f t="shared" si="155"/>
        <v>0</v>
      </c>
    </row>
    <row r="2010" spans="5:13" x14ac:dyDescent="0.25">
      <c r="E2010" s="32">
        <f t="shared" si="158"/>
        <v>0</v>
      </c>
      <c r="I2010" s="32">
        <f t="shared" si="159"/>
        <v>0</v>
      </c>
      <c r="K2010" s="31">
        <f t="shared" si="156"/>
        <v>0</v>
      </c>
      <c r="L2010" s="34">
        <f t="shared" si="157"/>
        <v>0</v>
      </c>
      <c r="M2010" s="34">
        <f t="shared" si="155"/>
        <v>0</v>
      </c>
    </row>
    <row r="2011" spans="5:13" x14ac:dyDescent="0.25">
      <c r="E2011" s="32">
        <f t="shared" si="158"/>
        <v>0</v>
      </c>
      <c r="I2011" s="32">
        <f t="shared" si="159"/>
        <v>0</v>
      </c>
      <c r="K2011" s="31">
        <f t="shared" si="156"/>
        <v>0</v>
      </c>
      <c r="L2011" s="34">
        <f t="shared" si="157"/>
        <v>0</v>
      </c>
      <c r="M2011" s="34">
        <f t="shared" si="155"/>
        <v>0</v>
      </c>
    </row>
    <row r="2012" spans="5:13" x14ac:dyDescent="0.25">
      <c r="E2012" s="32">
        <f t="shared" si="158"/>
        <v>0</v>
      </c>
      <c r="I2012" s="32">
        <f t="shared" si="159"/>
        <v>0</v>
      </c>
      <c r="K2012" s="31">
        <f t="shared" si="156"/>
        <v>0</v>
      </c>
      <c r="L2012" s="34">
        <f t="shared" si="157"/>
        <v>0</v>
      </c>
      <c r="M2012" s="34">
        <f t="shared" si="155"/>
        <v>0</v>
      </c>
    </row>
    <row r="2013" spans="5:13" x14ac:dyDescent="0.25">
      <c r="E2013" s="32">
        <f t="shared" si="158"/>
        <v>0</v>
      </c>
      <c r="I2013" s="32">
        <f t="shared" si="159"/>
        <v>0</v>
      </c>
      <c r="K2013" s="31">
        <f t="shared" si="156"/>
        <v>0</v>
      </c>
      <c r="L2013" s="34">
        <f t="shared" si="157"/>
        <v>0</v>
      </c>
      <c r="M2013" s="34">
        <f t="shared" si="155"/>
        <v>0</v>
      </c>
    </row>
    <row r="2014" spans="5:13" x14ac:dyDescent="0.25">
      <c r="E2014" s="32">
        <f t="shared" si="158"/>
        <v>0</v>
      </c>
      <c r="I2014" s="32">
        <f t="shared" si="159"/>
        <v>0</v>
      </c>
      <c r="K2014" s="31">
        <f t="shared" si="156"/>
        <v>0</v>
      </c>
      <c r="L2014" s="34">
        <f t="shared" si="157"/>
        <v>0</v>
      </c>
      <c r="M2014" s="34">
        <f t="shared" si="155"/>
        <v>0</v>
      </c>
    </row>
    <row r="2015" spans="5:13" x14ac:dyDescent="0.25">
      <c r="E2015" s="32">
        <f t="shared" si="158"/>
        <v>0</v>
      </c>
      <c r="I2015" s="32">
        <f t="shared" si="159"/>
        <v>0</v>
      </c>
      <c r="K2015" s="31">
        <f t="shared" si="156"/>
        <v>0</v>
      </c>
      <c r="L2015" s="34">
        <f t="shared" si="157"/>
        <v>0</v>
      </c>
      <c r="M2015" s="34">
        <f t="shared" si="155"/>
        <v>0</v>
      </c>
    </row>
    <row r="2016" spans="5:13" x14ac:dyDescent="0.25">
      <c r="E2016" s="32">
        <f t="shared" si="158"/>
        <v>0</v>
      </c>
      <c r="I2016" s="32">
        <f t="shared" si="159"/>
        <v>0</v>
      </c>
      <c r="K2016" s="31">
        <f t="shared" si="156"/>
        <v>0</v>
      </c>
      <c r="L2016" s="34">
        <f t="shared" si="157"/>
        <v>0</v>
      </c>
      <c r="M2016" s="34">
        <f t="shared" si="155"/>
        <v>0</v>
      </c>
    </row>
    <row r="2017" spans="5:13" x14ac:dyDescent="0.25">
      <c r="E2017" s="32">
        <f t="shared" si="158"/>
        <v>0</v>
      </c>
      <c r="I2017" s="32">
        <f t="shared" si="159"/>
        <v>0</v>
      </c>
      <c r="K2017" s="31">
        <f t="shared" si="156"/>
        <v>0</v>
      </c>
      <c r="L2017" s="34">
        <f t="shared" si="157"/>
        <v>0</v>
      </c>
      <c r="M2017" s="34">
        <f t="shared" si="155"/>
        <v>0</v>
      </c>
    </row>
    <row r="2018" spans="5:13" x14ac:dyDescent="0.25">
      <c r="E2018" s="32">
        <f t="shared" si="158"/>
        <v>0</v>
      </c>
      <c r="I2018" s="32">
        <f t="shared" si="159"/>
        <v>0</v>
      </c>
      <c r="K2018" s="31">
        <f t="shared" si="156"/>
        <v>0</v>
      </c>
      <c r="L2018" s="34">
        <f t="shared" si="157"/>
        <v>0</v>
      </c>
      <c r="M2018" s="34">
        <f t="shared" si="155"/>
        <v>0</v>
      </c>
    </row>
    <row r="2019" spans="5:13" x14ac:dyDescent="0.25">
      <c r="E2019" s="32">
        <f t="shared" si="158"/>
        <v>0</v>
      </c>
      <c r="I2019" s="32">
        <f t="shared" si="159"/>
        <v>0</v>
      </c>
      <c r="K2019" s="31">
        <f t="shared" si="156"/>
        <v>0</v>
      </c>
      <c r="L2019" s="34">
        <f t="shared" si="157"/>
        <v>0</v>
      </c>
      <c r="M2019" s="34">
        <f t="shared" si="155"/>
        <v>0</v>
      </c>
    </row>
    <row r="2020" spans="5:13" x14ac:dyDescent="0.25">
      <c r="E2020" s="32">
        <f t="shared" si="158"/>
        <v>0</v>
      </c>
      <c r="I2020" s="32">
        <f t="shared" si="159"/>
        <v>0</v>
      </c>
      <c r="K2020" s="31">
        <f t="shared" si="156"/>
        <v>0</v>
      </c>
      <c r="L2020" s="34">
        <f t="shared" si="157"/>
        <v>0</v>
      </c>
      <c r="M2020" s="34">
        <f t="shared" si="155"/>
        <v>0</v>
      </c>
    </row>
    <row r="2021" spans="5:13" x14ac:dyDescent="0.25">
      <c r="E2021" s="32">
        <f t="shared" si="158"/>
        <v>0</v>
      </c>
      <c r="I2021" s="32">
        <f t="shared" si="159"/>
        <v>0</v>
      </c>
      <c r="K2021" s="31">
        <f t="shared" si="156"/>
        <v>0</v>
      </c>
      <c r="L2021" s="34">
        <f t="shared" si="157"/>
        <v>0</v>
      </c>
      <c r="M2021" s="34">
        <f t="shared" si="155"/>
        <v>0</v>
      </c>
    </row>
    <row r="2022" spans="5:13" x14ac:dyDescent="0.25">
      <c r="E2022" s="32">
        <f t="shared" si="158"/>
        <v>0</v>
      </c>
      <c r="I2022" s="32">
        <f t="shared" si="159"/>
        <v>0</v>
      </c>
      <c r="K2022" s="31">
        <f t="shared" si="156"/>
        <v>0</v>
      </c>
      <c r="L2022" s="34">
        <f t="shared" si="157"/>
        <v>0</v>
      </c>
      <c r="M2022" s="34">
        <f t="shared" si="155"/>
        <v>0</v>
      </c>
    </row>
    <row r="2023" spans="5:13" x14ac:dyDescent="0.25">
      <c r="E2023" s="32">
        <f t="shared" si="158"/>
        <v>0</v>
      </c>
      <c r="I2023" s="32">
        <f t="shared" si="159"/>
        <v>0</v>
      </c>
      <c r="K2023" s="31">
        <f t="shared" si="156"/>
        <v>0</v>
      </c>
      <c r="L2023" s="34">
        <f t="shared" si="157"/>
        <v>0</v>
      </c>
      <c r="M2023" s="34">
        <f t="shared" si="155"/>
        <v>0</v>
      </c>
    </row>
    <row r="2024" spans="5:13" x14ac:dyDescent="0.25">
      <c r="E2024" s="32">
        <f t="shared" si="158"/>
        <v>0</v>
      </c>
      <c r="I2024" s="32">
        <f t="shared" si="159"/>
        <v>0</v>
      </c>
      <c r="K2024" s="31">
        <f t="shared" si="156"/>
        <v>0</v>
      </c>
      <c r="L2024" s="34">
        <f t="shared" si="157"/>
        <v>0</v>
      </c>
      <c r="M2024" s="34">
        <f t="shared" si="155"/>
        <v>0</v>
      </c>
    </row>
    <row r="2025" spans="5:13" x14ac:dyDescent="0.25">
      <c r="E2025" s="32">
        <f t="shared" si="158"/>
        <v>0</v>
      </c>
      <c r="I2025" s="32">
        <f t="shared" si="159"/>
        <v>0</v>
      </c>
      <c r="K2025" s="31">
        <f t="shared" si="156"/>
        <v>0</v>
      </c>
      <c r="L2025" s="34">
        <f t="shared" si="157"/>
        <v>0</v>
      </c>
      <c r="M2025" s="34">
        <f t="shared" si="155"/>
        <v>0</v>
      </c>
    </row>
    <row r="2026" spans="5:13" x14ac:dyDescent="0.25">
      <c r="E2026" s="32">
        <f t="shared" si="158"/>
        <v>0</v>
      </c>
      <c r="I2026" s="32">
        <f t="shared" si="159"/>
        <v>0</v>
      </c>
      <c r="K2026" s="31">
        <f t="shared" si="156"/>
        <v>0</v>
      </c>
      <c r="L2026" s="34">
        <f t="shared" si="157"/>
        <v>0</v>
      </c>
      <c r="M2026" s="34">
        <f t="shared" si="155"/>
        <v>0</v>
      </c>
    </row>
    <row r="2027" spans="5:13" x14ac:dyDescent="0.25">
      <c r="E2027" s="32">
        <f t="shared" si="158"/>
        <v>0</v>
      </c>
      <c r="I2027" s="32">
        <f t="shared" si="159"/>
        <v>0</v>
      </c>
      <c r="K2027" s="31">
        <f t="shared" si="156"/>
        <v>0</v>
      </c>
      <c r="L2027" s="34">
        <f t="shared" si="157"/>
        <v>0</v>
      </c>
      <c r="M2027" s="34">
        <f t="shared" si="155"/>
        <v>0</v>
      </c>
    </row>
    <row r="2028" spans="5:13" x14ac:dyDescent="0.25">
      <c r="E2028" s="32">
        <f t="shared" si="158"/>
        <v>0</v>
      </c>
      <c r="I2028" s="32">
        <f t="shared" si="159"/>
        <v>0</v>
      </c>
      <c r="K2028" s="31">
        <f t="shared" si="156"/>
        <v>0</v>
      </c>
      <c r="L2028" s="34">
        <f t="shared" si="157"/>
        <v>0</v>
      </c>
      <c r="M2028" s="34">
        <f t="shared" si="155"/>
        <v>0</v>
      </c>
    </row>
    <row r="2029" spans="5:13" x14ac:dyDescent="0.25">
      <c r="E2029" s="32">
        <f t="shared" si="158"/>
        <v>0</v>
      </c>
      <c r="I2029" s="32">
        <f t="shared" si="159"/>
        <v>0</v>
      </c>
      <c r="K2029" s="31">
        <f t="shared" si="156"/>
        <v>0</v>
      </c>
      <c r="L2029" s="34">
        <f t="shared" si="157"/>
        <v>0</v>
      </c>
      <c r="M2029" s="34">
        <f t="shared" si="155"/>
        <v>0</v>
      </c>
    </row>
    <row r="2030" spans="5:13" x14ac:dyDescent="0.25">
      <c r="E2030" s="32">
        <f t="shared" si="158"/>
        <v>0</v>
      </c>
      <c r="I2030" s="32">
        <f t="shared" si="159"/>
        <v>0</v>
      </c>
      <c r="K2030" s="31">
        <f t="shared" si="156"/>
        <v>0</v>
      </c>
      <c r="L2030" s="34">
        <f t="shared" si="157"/>
        <v>0</v>
      </c>
      <c r="M2030" s="34">
        <f t="shared" si="155"/>
        <v>0</v>
      </c>
    </row>
    <row r="2031" spans="5:13" x14ac:dyDescent="0.25">
      <c r="E2031" s="32">
        <f t="shared" si="158"/>
        <v>0</v>
      </c>
      <c r="I2031" s="32">
        <f t="shared" si="159"/>
        <v>0</v>
      </c>
      <c r="K2031" s="31">
        <f t="shared" si="156"/>
        <v>0</v>
      </c>
      <c r="L2031" s="34">
        <f t="shared" si="157"/>
        <v>0</v>
      </c>
      <c r="M2031" s="34">
        <f t="shared" si="155"/>
        <v>0</v>
      </c>
    </row>
    <row r="2032" spans="5:13" x14ac:dyDescent="0.25">
      <c r="E2032" s="32">
        <f t="shared" si="158"/>
        <v>0</v>
      </c>
      <c r="I2032" s="32">
        <f t="shared" si="159"/>
        <v>0</v>
      </c>
      <c r="K2032" s="31">
        <f t="shared" si="156"/>
        <v>0</v>
      </c>
      <c r="L2032" s="34">
        <f t="shared" si="157"/>
        <v>0</v>
      </c>
      <c r="M2032" s="34">
        <f t="shared" si="155"/>
        <v>0</v>
      </c>
    </row>
    <row r="2033" spans="5:13" x14ac:dyDescent="0.25">
      <c r="E2033" s="32">
        <f t="shared" si="158"/>
        <v>0</v>
      </c>
      <c r="I2033" s="32">
        <f t="shared" si="159"/>
        <v>0</v>
      </c>
      <c r="K2033" s="31">
        <f t="shared" si="156"/>
        <v>0</v>
      </c>
      <c r="L2033" s="34">
        <f t="shared" si="157"/>
        <v>0</v>
      </c>
      <c r="M2033" s="34">
        <f t="shared" si="155"/>
        <v>0</v>
      </c>
    </row>
    <row r="2034" spans="5:13" x14ac:dyDescent="0.25">
      <c r="E2034" s="32">
        <f t="shared" si="158"/>
        <v>0</v>
      </c>
      <c r="I2034" s="32">
        <f t="shared" si="159"/>
        <v>0</v>
      </c>
      <c r="K2034" s="31">
        <f t="shared" si="156"/>
        <v>0</v>
      </c>
      <c r="L2034" s="34">
        <f t="shared" si="157"/>
        <v>0</v>
      </c>
      <c r="M2034" s="34">
        <f t="shared" si="155"/>
        <v>0</v>
      </c>
    </row>
    <row r="2035" spans="5:13" x14ac:dyDescent="0.25">
      <c r="E2035" s="32">
        <f t="shared" si="158"/>
        <v>0</v>
      </c>
      <c r="I2035" s="32">
        <f t="shared" si="159"/>
        <v>0</v>
      </c>
      <c r="K2035" s="31">
        <f t="shared" si="156"/>
        <v>0</v>
      </c>
      <c r="L2035" s="34">
        <f t="shared" si="157"/>
        <v>0</v>
      </c>
      <c r="M2035" s="34">
        <f t="shared" si="155"/>
        <v>0</v>
      </c>
    </row>
    <row r="2036" spans="5:13" x14ac:dyDescent="0.25">
      <c r="E2036" s="32">
        <f t="shared" si="158"/>
        <v>0</v>
      </c>
      <c r="I2036" s="32">
        <f t="shared" si="159"/>
        <v>0</v>
      </c>
      <c r="K2036" s="31">
        <f t="shared" si="156"/>
        <v>0</v>
      </c>
      <c r="L2036" s="34">
        <f t="shared" si="157"/>
        <v>0</v>
      </c>
      <c r="M2036" s="34">
        <f t="shared" si="155"/>
        <v>0</v>
      </c>
    </row>
    <row r="2037" spans="5:13" x14ac:dyDescent="0.25">
      <c r="E2037" s="32">
        <f t="shared" si="158"/>
        <v>0</v>
      </c>
      <c r="I2037" s="32">
        <f t="shared" si="159"/>
        <v>0</v>
      </c>
      <c r="K2037" s="31">
        <f t="shared" si="156"/>
        <v>0</v>
      </c>
      <c r="L2037" s="34">
        <f t="shared" si="157"/>
        <v>0</v>
      </c>
      <c r="M2037" s="34">
        <f t="shared" si="155"/>
        <v>0</v>
      </c>
    </row>
    <row r="2038" spans="5:13" x14ac:dyDescent="0.25">
      <c r="E2038" s="32">
        <f t="shared" si="158"/>
        <v>0</v>
      </c>
      <c r="I2038" s="32">
        <f t="shared" si="159"/>
        <v>0</v>
      </c>
      <c r="K2038" s="31">
        <f t="shared" si="156"/>
        <v>0</v>
      </c>
      <c r="L2038" s="34">
        <f t="shared" si="157"/>
        <v>0</v>
      </c>
      <c r="M2038" s="34">
        <f t="shared" si="155"/>
        <v>0</v>
      </c>
    </row>
    <row r="2039" spans="5:13" x14ac:dyDescent="0.25">
      <c r="E2039" s="32">
        <f t="shared" si="158"/>
        <v>0</v>
      </c>
      <c r="I2039" s="32">
        <f t="shared" si="159"/>
        <v>0</v>
      </c>
      <c r="K2039" s="31">
        <f t="shared" si="156"/>
        <v>0</v>
      </c>
      <c r="L2039" s="34">
        <f t="shared" si="157"/>
        <v>0</v>
      </c>
      <c r="M2039" s="34">
        <f t="shared" si="155"/>
        <v>0</v>
      </c>
    </row>
    <row r="2040" spans="5:13" x14ac:dyDescent="0.25">
      <c r="E2040" s="32">
        <f t="shared" si="158"/>
        <v>0</v>
      </c>
      <c r="I2040" s="32">
        <f t="shared" si="159"/>
        <v>0</v>
      </c>
      <c r="K2040" s="31">
        <f t="shared" si="156"/>
        <v>0</v>
      </c>
      <c r="L2040" s="34">
        <f t="shared" si="157"/>
        <v>0</v>
      </c>
      <c r="M2040" s="34">
        <f t="shared" si="155"/>
        <v>0</v>
      </c>
    </row>
    <row r="2041" spans="5:13" x14ac:dyDescent="0.25">
      <c r="E2041" s="32">
        <f t="shared" si="158"/>
        <v>0</v>
      </c>
      <c r="I2041" s="32">
        <f t="shared" si="159"/>
        <v>0</v>
      </c>
      <c r="K2041" s="31">
        <f t="shared" si="156"/>
        <v>0</v>
      </c>
      <c r="L2041" s="34">
        <f t="shared" si="157"/>
        <v>0</v>
      </c>
      <c r="M2041" s="34">
        <f t="shared" si="155"/>
        <v>0</v>
      </c>
    </row>
    <row r="2042" spans="5:13" x14ac:dyDescent="0.25">
      <c r="E2042" s="32">
        <f t="shared" si="158"/>
        <v>0</v>
      </c>
      <c r="I2042" s="32">
        <f t="shared" si="159"/>
        <v>0</v>
      </c>
      <c r="K2042" s="31">
        <f t="shared" si="156"/>
        <v>0</v>
      </c>
      <c r="L2042" s="34">
        <f t="shared" si="157"/>
        <v>0</v>
      </c>
      <c r="M2042" s="34">
        <f t="shared" si="155"/>
        <v>0</v>
      </c>
    </row>
    <row r="2043" spans="5:13" x14ac:dyDescent="0.25">
      <c r="E2043" s="32">
        <f t="shared" si="158"/>
        <v>0</v>
      </c>
      <c r="I2043" s="32">
        <f t="shared" si="159"/>
        <v>0</v>
      </c>
      <c r="K2043" s="31">
        <f t="shared" si="156"/>
        <v>0</v>
      </c>
      <c r="L2043" s="34">
        <f t="shared" si="157"/>
        <v>0</v>
      </c>
      <c r="M2043" s="34">
        <f t="shared" si="155"/>
        <v>0</v>
      </c>
    </row>
    <row r="2044" spans="5:13" x14ac:dyDescent="0.25">
      <c r="E2044" s="32">
        <f t="shared" si="158"/>
        <v>0</v>
      </c>
      <c r="I2044" s="32">
        <f t="shared" si="159"/>
        <v>0</v>
      </c>
      <c r="K2044" s="31">
        <f t="shared" si="156"/>
        <v>0</v>
      </c>
      <c r="L2044" s="34">
        <f t="shared" si="157"/>
        <v>0</v>
      </c>
      <c r="M2044" s="34">
        <f t="shared" si="155"/>
        <v>0</v>
      </c>
    </row>
    <row r="2045" spans="5:13" x14ac:dyDescent="0.25">
      <c r="E2045" s="32">
        <f t="shared" si="158"/>
        <v>0</v>
      </c>
      <c r="I2045" s="32">
        <f t="shared" si="159"/>
        <v>0</v>
      </c>
      <c r="K2045" s="31">
        <f t="shared" si="156"/>
        <v>0</v>
      </c>
      <c r="L2045" s="34">
        <f t="shared" si="157"/>
        <v>0</v>
      </c>
      <c r="M2045" s="34">
        <f t="shared" si="155"/>
        <v>0</v>
      </c>
    </row>
    <row r="2046" spans="5:13" x14ac:dyDescent="0.25">
      <c r="E2046" s="32">
        <f t="shared" si="158"/>
        <v>0</v>
      </c>
      <c r="I2046" s="32">
        <f t="shared" si="159"/>
        <v>0</v>
      </c>
      <c r="K2046" s="31">
        <f t="shared" si="156"/>
        <v>0</v>
      </c>
      <c r="L2046" s="34">
        <f t="shared" si="157"/>
        <v>0</v>
      </c>
      <c r="M2046" s="34">
        <f t="shared" si="155"/>
        <v>0</v>
      </c>
    </row>
    <row r="2047" spans="5:13" x14ac:dyDescent="0.25">
      <c r="E2047" s="32">
        <f t="shared" si="158"/>
        <v>0</v>
      </c>
      <c r="I2047" s="32">
        <f t="shared" si="159"/>
        <v>0</v>
      </c>
      <c r="K2047" s="31">
        <f t="shared" si="156"/>
        <v>0</v>
      </c>
      <c r="L2047" s="34">
        <f t="shared" si="157"/>
        <v>0</v>
      </c>
      <c r="M2047" s="34">
        <f t="shared" si="155"/>
        <v>0</v>
      </c>
    </row>
    <row r="2048" spans="5:13" x14ac:dyDescent="0.25">
      <c r="E2048" s="32">
        <f t="shared" si="158"/>
        <v>0</v>
      </c>
      <c r="I2048" s="32">
        <f t="shared" si="159"/>
        <v>0</v>
      </c>
      <c r="K2048" s="31">
        <f t="shared" si="156"/>
        <v>0</v>
      </c>
      <c r="L2048" s="34">
        <f t="shared" si="157"/>
        <v>0</v>
      </c>
      <c r="M2048" s="34">
        <f t="shared" si="155"/>
        <v>0</v>
      </c>
    </row>
    <row r="2049" spans="5:13" x14ac:dyDescent="0.25">
      <c r="E2049" s="32">
        <f t="shared" si="158"/>
        <v>0</v>
      </c>
      <c r="I2049" s="32">
        <f t="shared" si="159"/>
        <v>0</v>
      </c>
      <c r="K2049" s="31">
        <f t="shared" si="156"/>
        <v>0</v>
      </c>
      <c r="L2049" s="34">
        <f t="shared" si="157"/>
        <v>0</v>
      </c>
      <c r="M2049" s="34">
        <f t="shared" si="155"/>
        <v>0</v>
      </c>
    </row>
    <row r="2050" spans="5:13" x14ac:dyDescent="0.25">
      <c r="E2050" s="32">
        <f t="shared" si="158"/>
        <v>0</v>
      </c>
      <c r="I2050" s="32">
        <f t="shared" si="159"/>
        <v>0</v>
      </c>
      <c r="K2050" s="31">
        <f t="shared" si="156"/>
        <v>0</v>
      </c>
      <c r="L2050" s="34">
        <f t="shared" si="157"/>
        <v>0</v>
      </c>
      <c r="M2050" s="34">
        <f t="shared" si="155"/>
        <v>0</v>
      </c>
    </row>
    <row r="2051" spans="5:13" x14ac:dyDescent="0.25">
      <c r="E2051" s="32">
        <f t="shared" si="158"/>
        <v>0</v>
      </c>
      <c r="I2051" s="32">
        <f t="shared" si="159"/>
        <v>0</v>
      </c>
      <c r="K2051" s="31">
        <f t="shared" si="156"/>
        <v>0</v>
      </c>
      <c r="L2051" s="34">
        <f t="shared" si="157"/>
        <v>0</v>
      </c>
      <c r="M2051" s="34">
        <f t="shared" si="155"/>
        <v>0</v>
      </c>
    </row>
    <row r="2052" spans="5:13" x14ac:dyDescent="0.25">
      <c r="E2052" s="32">
        <f t="shared" si="158"/>
        <v>0</v>
      </c>
      <c r="I2052" s="32">
        <f t="shared" si="159"/>
        <v>0</v>
      </c>
      <c r="K2052" s="31">
        <f t="shared" si="156"/>
        <v>0</v>
      </c>
      <c r="L2052" s="34">
        <f t="shared" si="157"/>
        <v>0</v>
      </c>
      <c r="M2052" s="34">
        <f t="shared" ref="M2052:M2115" si="160">(L2052/27)*4</f>
        <v>0</v>
      </c>
    </row>
    <row r="2053" spans="5:13" x14ac:dyDescent="0.25">
      <c r="E2053" s="32">
        <f t="shared" si="158"/>
        <v>0</v>
      </c>
      <c r="I2053" s="32">
        <f t="shared" si="159"/>
        <v>0</v>
      </c>
      <c r="K2053" s="31">
        <f t="shared" ref="K2053:K2116" si="161">B2053/30</f>
        <v>0</v>
      </c>
      <c r="L2053" s="34">
        <f t="shared" ref="L2053:L2116" si="162">IF(J2053="S",((I2053*24)*K2053)*2,((I2053*24)*K2053)*1.5)</f>
        <v>0</v>
      </c>
      <c r="M2053" s="34">
        <f t="shared" si="160"/>
        <v>0</v>
      </c>
    </row>
    <row r="2054" spans="5:13" x14ac:dyDescent="0.25">
      <c r="E2054" s="32">
        <f t="shared" ref="E2054:E2117" si="163">D2054-C2054</f>
        <v>0</v>
      </c>
      <c r="I2054" s="32">
        <f t="shared" ref="I2054:I2117" si="164">H2054-G2054</f>
        <v>0</v>
      </c>
      <c r="K2054" s="31">
        <f t="shared" si="161"/>
        <v>0</v>
      </c>
      <c r="L2054" s="34">
        <f t="shared" si="162"/>
        <v>0</v>
      </c>
      <c r="M2054" s="34">
        <f t="shared" si="160"/>
        <v>0</v>
      </c>
    </row>
    <row r="2055" spans="5:13" x14ac:dyDescent="0.25">
      <c r="E2055" s="32">
        <f t="shared" si="163"/>
        <v>0</v>
      </c>
      <c r="I2055" s="32">
        <f t="shared" si="164"/>
        <v>0</v>
      </c>
      <c r="K2055" s="31">
        <f t="shared" si="161"/>
        <v>0</v>
      </c>
      <c r="L2055" s="34">
        <f t="shared" si="162"/>
        <v>0</v>
      </c>
      <c r="M2055" s="34">
        <f t="shared" si="160"/>
        <v>0</v>
      </c>
    </row>
    <row r="2056" spans="5:13" x14ac:dyDescent="0.25">
      <c r="E2056" s="32">
        <f t="shared" si="163"/>
        <v>0</v>
      </c>
      <c r="I2056" s="32">
        <f t="shared" si="164"/>
        <v>0</v>
      </c>
      <c r="K2056" s="31">
        <f t="shared" si="161"/>
        <v>0</v>
      </c>
      <c r="L2056" s="34">
        <f t="shared" si="162"/>
        <v>0</v>
      </c>
      <c r="M2056" s="34">
        <f t="shared" si="160"/>
        <v>0</v>
      </c>
    </row>
    <row r="2057" spans="5:13" x14ac:dyDescent="0.25">
      <c r="E2057" s="32">
        <f t="shared" si="163"/>
        <v>0</v>
      </c>
      <c r="I2057" s="32">
        <f t="shared" si="164"/>
        <v>0</v>
      </c>
      <c r="K2057" s="31">
        <f t="shared" si="161"/>
        <v>0</v>
      </c>
      <c r="L2057" s="34">
        <f t="shared" si="162"/>
        <v>0</v>
      </c>
      <c r="M2057" s="34">
        <f t="shared" si="160"/>
        <v>0</v>
      </c>
    </row>
    <row r="2058" spans="5:13" x14ac:dyDescent="0.25">
      <c r="E2058" s="32">
        <f t="shared" si="163"/>
        <v>0</v>
      </c>
      <c r="I2058" s="32">
        <f t="shared" si="164"/>
        <v>0</v>
      </c>
      <c r="K2058" s="31">
        <f t="shared" si="161"/>
        <v>0</v>
      </c>
      <c r="L2058" s="34">
        <f t="shared" si="162"/>
        <v>0</v>
      </c>
      <c r="M2058" s="34">
        <f t="shared" si="160"/>
        <v>0</v>
      </c>
    </row>
    <row r="2059" spans="5:13" x14ac:dyDescent="0.25">
      <c r="E2059" s="32">
        <f t="shared" si="163"/>
        <v>0</v>
      </c>
      <c r="I2059" s="32">
        <f t="shared" si="164"/>
        <v>0</v>
      </c>
      <c r="K2059" s="31">
        <f t="shared" si="161"/>
        <v>0</v>
      </c>
      <c r="L2059" s="34">
        <f t="shared" si="162"/>
        <v>0</v>
      </c>
      <c r="M2059" s="34">
        <f t="shared" si="160"/>
        <v>0</v>
      </c>
    </row>
    <row r="2060" spans="5:13" x14ac:dyDescent="0.25">
      <c r="E2060" s="32">
        <f t="shared" si="163"/>
        <v>0</v>
      </c>
      <c r="I2060" s="32">
        <f t="shared" si="164"/>
        <v>0</v>
      </c>
      <c r="K2060" s="31">
        <f t="shared" si="161"/>
        <v>0</v>
      </c>
      <c r="L2060" s="34">
        <f t="shared" si="162"/>
        <v>0</v>
      </c>
      <c r="M2060" s="34">
        <f t="shared" si="160"/>
        <v>0</v>
      </c>
    </row>
    <row r="2061" spans="5:13" x14ac:dyDescent="0.25">
      <c r="E2061" s="32">
        <f t="shared" si="163"/>
        <v>0</v>
      </c>
      <c r="I2061" s="32">
        <f t="shared" si="164"/>
        <v>0</v>
      </c>
      <c r="K2061" s="31">
        <f t="shared" si="161"/>
        <v>0</v>
      </c>
      <c r="L2061" s="34">
        <f t="shared" si="162"/>
        <v>0</v>
      </c>
      <c r="M2061" s="34">
        <f t="shared" si="160"/>
        <v>0</v>
      </c>
    </row>
    <row r="2062" spans="5:13" x14ac:dyDescent="0.25">
      <c r="E2062" s="32">
        <f t="shared" si="163"/>
        <v>0</v>
      </c>
      <c r="I2062" s="32">
        <f t="shared" si="164"/>
        <v>0</v>
      </c>
      <c r="K2062" s="31">
        <f t="shared" si="161"/>
        <v>0</v>
      </c>
      <c r="L2062" s="34">
        <f t="shared" si="162"/>
        <v>0</v>
      </c>
      <c r="M2062" s="34">
        <f t="shared" si="160"/>
        <v>0</v>
      </c>
    </row>
    <row r="2063" spans="5:13" x14ac:dyDescent="0.25">
      <c r="E2063" s="32">
        <f t="shared" si="163"/>
        <v>0</v>
      </c>
      <c r="I2063" s="32">
        <f t="shared" si="164"/>
        <v>0</v>
      </c>
      <c r="K2063" s="31">
        <f t="shared" si="161"/>
        <v>0</v>
      </c>
      <c r="L2063" s="34">
        <f t="shared" si="162"/>
        <v>0</v>
      </c>
      <c r="M2063" s="34">
        <f t="shared" si="160"/>
        <v>0</v>
      </c>
    </row>
    <row r="2064" spans="5:13" x14ac:dyDescent="0.25">
      <c r="E2064" s="32">
        <f t="shared" si="163"/>
        <v>0</v>
      </c>
      <c r="I2064" s="32">
        <f t="shared" si="164"/>
        <v>0</v>
      </c>
      <c r="K2064" s="31">
        <f t="shared" si="161"/>
        <v>0</v>
      </c>
      <c r="L2064" s="34">
        <f t="shared" si="162"/>
        <v>0</v>
      </c>
      <c r="M2064" s="34">
        <f t="shared" si="160"/>
        <v>0</v>
      </c>
    </row>
    <row r="2065" spans="5:13" x14ac:dyDescent="0.25">
      <c r="E2065" s="32">
        <f t="shared" si="163"/>
        <v>0</v>
      </c>
      <c r="I2065" s="32">
        <f t="shared" si="164"/>
        <v>0</v>
      </c>
      <c r="K2065" s="31">
        <f t="shared" si="161"/>
        <v>0</v>
      </c>
      <c r="L2065" s="34">
        <f t="shared" si="162"/>
        <v>0</v>
      </c>
      <c r="M2065" s="34">
        <f t="shared" si="160"/>
        <v>0</v>
      </c>
    </row>
    <row r="2066" spans="5:13" x14ac:dyDescent="0.25">
      <c r="E2066" s="32">
        <f t="shared" si="163"/>
        <v>0</v>
      </c>
      <c r="I2066" s="32">
        <f t="shared" si="164"/>
        <v>0</v>
      </c>
      <c r="K2066" s="31">
        <f t="shared" si="161"/>
        <v>0</v>
      </c>
      <c r="L2066" s="34">
        <f t="shared" si="162"/>
        <v>0</v>
      </c>
      <c r="M2066" s="34">
        <f t="shared" si="160"/>
        <v>0</v>
      </c>
    </row>
    <row r="2067" spans="5:13" x14ac:dyDescent="0.25">
      <c r="E2067" s="32">
        <f t="shared" si="163"/>
        <v>0</v>
      </c>
      <c r="I2067" s="32">
        <f t="shared" si="164"/>
        <v>0</v>
      </c>
      <c r="K2067" s="31">
        <f t="shared" si="161"/>
        <v>0</v>
      </c>
      <c r="L2067" s="34">
        <f t="shared" si="162"/>
        <v>0</v>
      </c>
      <c r="M2067" s="34">
        <f t="shared" si="160"/>
        <v>0</v>
      </c>
    </row>
    <row r="2068" spans="5:13" x14ac:dyDescent="0.25">
      <c r="E2068" s="32">
        <f t="shared" si="163"/>
        <v>0</v>
      </c>
      <c r="I2068" s="32">
        <f t="shared" si="164"/>
        <v>0</v>
      </c>
      <c r="K2068" s="31">
        <f t="shared" si="161"/>
        <v>0</v>
      </c>
      <c r="L2068" s="34">
        <f t="shared" si="162"/>
        <v>0</v>
      </c>
      <c r="M2068" s="34">
        <f t="shared" si="160"/>
        <v>0</v>
      </c>
    </row>
    <row r="2069" spans="5:13" x14ac:dyDescent="0.25">
      <c r="E2069" s="32">
        <f t="shared" si="163"/>
        <v>0</v>
      </c>
      <c r="I2069" s="32">
        <f t="shared" si="164"/>
        <v>0</v>
      </c>
      <c r="K2069" s="31">
        <f t="shared" si="161"/>
        <v>0</v>
      </c>
      <c r="L2069" s="34">
        <f t="shared" si="162"/>
        <v>0</v>
      </c>
      <c r="M2069" s="34">
        <f t="shared" si="160"/>
        <v>0</v>
      </c>
    </row>
    <row r="2070" spans="5:13" x14ac:dyDescent="0.25">
      <c r="E2070" s="32">
        <f t="shared" si="163"/>
        <v>0</v>
      </c>
      <c r="I2070" s="32">
        <f t="shared" si="164"/>
        <v>0</v>
      </c>
      <c r="K2070" s="31">
        <f t="shared" si="161"/>
        <v>0</v>
      </c>
      <c r="L2070" s="34">
        <f t="shared" si="162"/>
        <v>0</v>
      </c>
      <c r="M2070" s="34">
        <f t="shared" si="160"/>
        <v>0</v>
      </c>
    </row>
    <row r="2071" spans="5:13" x14ac:dyDescent="0.25">
      <c r="E2071" s="32">
        <f t="shared" si="163"/>
        <v>0</v>
      </c>
      <c r="I2071" s="32">
        <f t="shared" si="164"/>
        <v>0</v>
      </c>
      <c r="K2071" s="31">
        <f t="shared" si="161"/>
        <v>0</v>
      </c>
      <c r="L2071" s="34">
        <f t="shared" si="162"/>
        <v>0</v>
      </c>
      <c r="M2071" s="34">
        <f t="shared" si="160"/>
        <v>0</v>
      </c>
    </row>
    <row r="2072" spans="5:13" x14ac:dyDescent="0.25">
      <c r="E2072" s="32">
        <f t="shared" si="163"/>
        <v>0</v>
      </c>
      <c r="I2072" s="32">
        <f t="shared" si="164"/>
        <v>0</v>
      </c>
      <c r="K2072" s="31">
        <f t="shared" si="161"/>
        <v>0</v>
      </c>
      <c r="L2072" s="34">
        <f t="shared" si="162"/>
        <v>0</v>
      </c>
      <c r="M2072" s="34">
        <f t="shared" si="160"/>
        <v>0</v>
      </c>
    </row>
    <row r="2073" spans="5:13" x14ac:dyDescent="0.25">
      <c r="E2073" s="32">
        <f t="shared" si="163"/>
        <v>0</v>
      </c>
      <c r="I2073" s="32">
        <f t="shared" si="164"/>
        <v>0</v>
      </c>
      <c r="K2073" s="31">
        <f t="shared" si="161"/>
        <v>0</v>
      </c>
      <c r="L2073" s="34">
        <f t="shared" si="162"/>
        <v>0</v>
      </c>
      <c r="M2073" s="34">
        <f t="shared" si="160"/>
        <v>0</v>
      </c>
    </row>
    <row r="2074" spans="5:13" x14ac:dyDescent="0.25">
      <c r="E2074" s="32">
        <f t="shared" si="163"/>
        <v>0</v>
      </c>
      <c r="I2074" s="32">
        <f t="shared" si="164"/>
        <v>0</v>
      </c>
      <c r="K2074" s="31">
        <f t="shared" si="161"/>
        <v>0</v>
      </c>
      <c r="L2074" s="34">
        <f t="shared" si="162"/>
        <v>0</v>
      </c>
      <c r="M2074" s="34">
        <f t="shared" si="160"/>
        <v>0</v>
      </c>
    </row>
    <row r="2075" spans="5:13" x14ac:dyDescent="0.25">
      <c r="E2075" s="32">
        <f t="shared" si="163"/>
        <v>0</v>
      </c>
      <c r="I2075" s="32">
        <f t="shared" si="164"/>
        <v>0</v>
      </c>
      <c r="K2075" s="31">
        <f t="shared" si="161"/>
        <v>0</v>
      </c>
      <c r="L2075" s="34">
        <f t="shared" si="162"/>
        <v>0</v>
      </c>
      <c r="M2075" s="34">
        <f t="shared" si="160"/>
        <v>0</v>
      </c>
    </row>
    <row r="2076" spans="5:13" x14ac:dyDescent="0.25">
      <c r="E2076" s="32">
        <f t="shared" si="163"/>
        <v>0</v>
      </c>
      <c r="I2076" s="32">
        <f t="shared" si="164"/>
        <v>0</v>
      </c>
      <c r="K2076" s="31">
        <f t="shared" si="161"/>
        <v>0</v>
      </c>
      <c r="L2076" s="34">
        <f t="shared" si="162"/>
        <v>0</v>
      </c>
      <c r="M2076" s="34">
        <f t="shared" si="160"/>
        <v>0</v>
      </c>
    </row>
    <row r="2077" spans="5:13" x14ac:dyDescent="0.25">
      <c r="E2077" s="32">
        <f t="shared" si="163"/>
        <v>0</v>
      </c>
      <c r="I2077" s="32">
        <f t="shared" si="164"/>
        <v>0</v>
      </c>
      <c r="K2077" s="31">
        <f t="shared" si="161"/>
        <v>0</v>
      </c>
      <c r="L2077" s="34">
        <f t="shared" si="162"/>
        <v>0</v>
      </c>
      <c r="M2077" s="34">
        <f t="shared" si="160"/>
        <v>0</v>
      </c>
    </row>
    <row r="2078" spans="5:13" x14ac:dyDescent="0.25">
      <c r="E2078" s="32">
        <f t="shared" si="163"/>
        <v>0</v>
      </c>
      <c r="I2078" s="32">
        <f t="shared" si="164"/>
        <v>0</v>
      </c>
      <c r="K2078" s="31">
        <f t="shared" si="161"/>
        <v>0</v>
      </c>
      <c r="L2078" s="34">
        <f t="shared" si="162"/>
        <v>0</v>
      </c>
      <c r="M2078" s="34">
        <f t="shared" si="160"/>
        <v>0</v>
      </c>
    </row>
    <row r="2079" spans="5:13" x14ac:dyDescent="0.25">
      <c r="E2079" s="32">
        <f t="shared" si="163"/>
        <v>0</v>
      </c>
      <c r="I2079" s="32">
        <f t="shared" si="164"/>
        <v>0</v>
      </c>
      <c r="K2079" s="31">
        <f t="shared" si="161"/>
        <v>0</v>
      </c>
      <c r="L2079" s="34">
        <f t="shared" si="162"/>
        <v>0</v>
      </c>
      <c r="M2079" s="34">
        <f t="shared" si="160"/>
        <v>0</v>
      </c>
    </row>
    <row r="2080" spans="5:13" x14ac:dyDescent="0.25">
      <c r="E2080" s="32">
        <f t="shared" si="163"/>
        <v>0</v>
      </c>
      <c r="I2080" s="32">
        <f t="shared" si="164"/>
        <v>0</v>
      </c>
      <c r="K2080" s="31">
        <f t="shared" si="161"/>
        <v>0</v>
      </c>
      <c r="L2080" s="34">
        <f t="shared" si="162"/>
        <v>0</v>
      </c>
      <c r="M2080" s="34">
        <f t="shared" si="160"/>
        <v>0</v>
      </c>
    </row>
    <row r="2081" spans="5:13" x14ac:dyDescent="0.25">
      <c r="E2081" s="32">
        <f t="shared" si="163"/>
        <v>0</v>
      </c>
      <c r="I2081" s="32">
        <f t="shared" si="164"/>
        <v>0</v>
      </c>
      <c r="K2081" s="31">
        <f t="shared" si="161"/>
        <v>0</v>
      </c>
      <c r="L2081" s="34">
        <f t="shared" si="162"/>
        <v>0</v>
      </c>
      <c r="M2081" s="34">
        <f t="shared" si="160"/>
        <v>0</v>
      </c>
    </row>
    <row r="2082" spans="5:13" x14ac:dyDescent="0.25">
      <c r="E2082" s="32">
        <f t="shared" si="163"/>
        <v>0</v>
      </c>
      <c r="I2082" s="32">
        <f t="shared" si="164"/>
        <v>0</v>
      </c>
      <c r="K2082" s="31">
        <f t="shared" si="161"/>
        <v>0</v>
      </c>
      <c r="L2082" s="34">
        <f t="shared" si="162"/>
        <v>0</v>
      </c>
      <c r="M2082" s="34">
        <f t="shared" si="160"/>
        <v>0</v>
      </c>
    </row>
    <row r="2083" spans="5:13" x14ac:dyDescent="0.25">
      <c r="E2083" s="32">
        <f t="shared" si="163"/>
        <v>0</v>
      </c>
      <c r="I2083" s="32">
        <f t="shared" si="164"/>
        <v>0</v>
      </c>
      <c r="K2083" s="31">
        <f t="shared" si="161"/>
        <v>0</v>
      </c>
      <c r="L2083" s="34">
        <f t="shared" si="162"/>
        <v>0</v>
      </c>
      <c r="M2083" s="34">
        <f t="shared" si="160"/>
        <v>0</v>
      </c>
    </row>
    <row r="2084" spans="5:13" x14ac:dyDescent="0.25">
      <c r="E2084" s="32">
        <f t="shared" si="163"/>
        <v>0</v>
      </c>
      <c r="I2084" s="32">
        <f t="shared" si="164"/>
        <v>0</v>
      </c>
      <c r="K2084" s="31">
        <f t="shared" si="161"/>
        <v>0</v>
      </c>
      <c r="L2084" s="34">
        <f t="shared" si="162"/>
        <v>0</v>
      </c>
      <c r="M2084" s="34">
        <f t="shared" si="160"/>
        <v>0</v>
      </c>
    </row>
    <row r="2085" spans="5:13" x14ac:dyDescent="0.25">
      <c r="E2085" s="32">
        <f t="shared" si="163"/>
        <v>0</v>
      </c>
      <c r="I2085" s="32">
        <f t="shared" si="164"/>
        <v>0</v>
      </c>
      <c r="K2085" s="31">
        <f t="shared" si="161"/>
        <v>0</v>
      </c>
      <c r="L2085" s="34">
        <f t="shared" si="162"/>
        <v>0</v>
      </c>
      <c r="M2085" s="34">
        <f t="shared" si="160"/>
        <v>0</v>
      </c>
    </row>
    <row r="2086" spans="5:13" x14ac:dyDescent="0.25">
      <c r="E2086" s="32">
        <f t="shared" si="163"/>
        <v>0</v>
      </c>
      <c r="I2086" s="32">
        <f t="shared" si="164"/>
        <v>0</v>
      </c>
      <c r="K2086" s="31">
        <f t="shared" si="161"/>
        <v>0</v>
      </c>
      <c r="L2086" s="34">
        <f t="shared" si="162"/>
        <v>0</v>
      </c>
      <c r="M2086" s="34">
        <f t="shared" si="160"/>
        <v>0</v>
      </c>
    </row>
    <row r="2087" spans="5:13" x14ac:dyDescent="0.25">
      <c r="E2087" s="32">
        <f t="shared" si="163"/>
        <v>0</v>
      </c>
      <c r="I2087" s="32">
        <f t="shared" si="164"/>
        <v>0</v>
      </c>
      <c r="K2087" s="31">
        <f t="shared" si="161"/>
        <v>0</v>
      </c>
      <c r="L2087" s="34">
        <f t="shared" si="162"/>
        <v>0</v>
      </c>
      <c r="M2087" s="34">
        <f t="shared" si="160"/>
        <v>0</v>
      </c>
    </row>
    <row r="2088" spans="5:13" x14ac:dyDescent="0.25">
      <c r="E2088" s="32">
        <f t="shared" si="163"/>
        <v>0</v>
      </c>
      <c r="I2088" s="32">
        <f t="shared" si="164"/>
        <v>0</v>
      </c>
      <c r="K2088" s="31">
        <f t="shared" si="161"/>
        <v>0</v>
      </c>
      <c r="L2088" s="34">
        <f t="shared" si="162"/>
        <v>0</v>
      </c>
      <c r="M2088" s="34">
        <f t="shared" si="160"/>
        <v>0</v>
      </c>
    </row>
    <row r="2089" spans="5:13" x14ac:dyDescent="0.25">
      <c r="E2089" s="32">
        <f t="shared" si="163"/>
        <v>0</v>
      </c>
      <c r="I2089" s="32">
        <f t="shared" si="164"/>
        <v>0</v>
      </c>
      <c r="K2089" s="31">
        <f t="shared" si="161"/>
        <v>0</v>
      </c>
      <c r="L2089" s="34">
        <f t="shared" si="162"/>
        <v>0</v>
      </c>
      <c r="M2089" s="34">
        <f t="shared" si="160"/>
        <v>0</v>
      </c>
    </row>
    <row r="2090" spans="5:13" x14ac:dyDescent="0.25">
      <c r="E2090" s="32">
        <f t="shared" si="163"/>
        <v>0</v>
      </c>
      <c r="I2090" s="32">
        <f t="shared" si="164"/>
        <v>0</v>
      </c>
      <c r="K2090" s="31">
        <f t="shared" si="161"/>
        <v>0</v>
      </c>
      <c r="L2090" s="34">
        <f t="shared" si="162"/>
        <v>0</v>
      </c>
      <c r="M2090" s="34">
        <f t="shared" si="160"/>
        <v>0</v>
      </c>
    </row>
    <row r="2091" spans="5:13" x14ac:dyDescent="0.25">
      <c r="E2091" s="32">
        <f t="shared" si="163"/>
        <v>0</v>
      </c>
      <c r="I2091" s="32">
        <f t="shared" si="164"/>
        <v>0</v>
      </c>
      <c r="K2091" s="31">
        <f t="shared" si="161"/>
        <v>0</v>
      </c>
      <c r="L2091" s="34">
        <f t="shared" si="162"/>
        <v>0</v>
      </c>
      <c r="M2091" s="34">
        <f t="shared" si="160"/>
        <v>0</v>
      </c>
    </row>
    <row r="2092" spans="5:13" x14ac:dyDescent="0.25">
      <c r="E2092" s="32">
        <f t="shared" si="163"/>
        <v>0</v>
      </c>
      <c r="I2092" s="32">
        <f t="shared" si="164"/>
        <v>0</v>
      </c>
      <c r="K2092" s="31">
        <f t="shared" si="161"/>
        <v>0</v>
      </c>
      <c r="L2092" s="34">
        <f t="shared" si="162"/>
        <v>0</v>
      </c>
      <c r="M2092" s="34">
        <f t="shared" si="160"/>
        <v>0</v>
      </c>
    </row>
    <row r="2093" spans="5:13" x14ac:dyDescent="0.25">
      <c r="E2093" s="32">
        <f t="shared" si="163"/>
        <v>0</v>
      </c>
      <c r="I2093" s="32">
        <f t="shared" si="164"/>
        <v>0</v>
      </c>
      <c r="K2093" s="31">
        <f t="shared" si="161"/>
        <v>0</v>
      </c>
      <c r="L2093" s="34">
        <f t="shared" si="162"/>
        <v>0</v>
      </c>
      <c r="M2093" s="34">
        <f t="shared" si="160"/>
        <v>0</v>
      </c>
    </row>
    <row r="2094" spans="5:13" x14ac:dyDescent="0.25">
      <c r="E2094" s="32">
        <f t="shared" si="163"/>
        <v>0</v>
      </c>
      <c r="I2094" s="32">
        <f t="shared" si="164"/>
        <v>0</v>
      </c>
      <c r="K2094" s="31">
        <f t="shared" si="161"/>
        <v>0</v>
      </c>
      <c r="L2094" s="34">
        <f t="shared" si="162"/>
        <v>0</v>
      </c>
      <c r="M2094" s="34">
        <f t="shared" si="160"/>
        <v>0</v>
      </c>
    </row>
    <row r="2095" spans="5:13" x14ac:dyDescent="0.25">
      <c r="E2095" s="32">
        <f t="shared" si="163"/>
        <v>0</v>
      </c>
      <c r="I2095" s="32">
        <f t="shared" si="164"/>
        <v>0</v>
      </c>
      <c r="K2095" s="31">
        <f t="shared" si="161"/>
        <v>0</v>
      </c>
      <c r="L2095" s="34">
        <f t="shared" si="162"/>
        <v>0</v>
      </c>
      <c r="M2095" s="34">
        <f t="shared" si="160"/>
        <v>0</v>
      </c>
    </row>
    <row r="2096" spans="5:13" x14ac:dyDescent="0.25">
      <c r="E2096" s="32">
        <f t="shared" si="163"/>
        <v>0</v>
      </c>
      <c r="I2096" s="32">
        <f t="shared" si="164"/>
        <v>0</v>
      </c>
      <c r="K2096" s="31">
        <f t="shared" si="161"/>
        <v>0</v>
      </c>
      <c r="L2096" s="34">
        <f t="shared" si="162"/>
        <v>0</v>
      </c>
      <c r="M2096" s="34">
        <f t="shared" si="160"/>
        <v>0</v>
      </c>
    </row>
    <row r="2097" spans="5:13" x14ac:dyDescent="0.25">
      <c r="E2097" s="32">
        <f t="shared" si="163"/>
        <v>0</v>
      </c>
      <c r="I2097" s="32">
        <f t="shared" si="164"/>
        <v>0</v>
      </c>
      <c r="K2097" s="31">
        <f t="shared" si="161"/>
        <v>0</v>
      </c>
      <c r="L2097" s="34">
        <f t="shared" si="162"/>
        <v>0</v>
      </c>
      <c r="M2097" s="34">
        <f t="shared" si="160"/>
        <v>0</v>
      </c>
    </row>
    <row r="2098" spans="5:13" x14ac:dyDescent="0.25">
      <c r="E2098" s="32">
        <f t="shared" si="163"/>
        <v>0</v>
      </c>
      <c r="I2098" s="32">
        <f t="shared" si="164"/>
        <v>0</v>
      </c>
      <c r="K2098" s="31">
        <f t="shared" si="161"/>
        <v>0</v>
      </c>
      <c r="L2098" s="34">
        <f t="shared" si="162"/>
        <v>0</v>
      </c>
      <c r="M2098" s="34">
        <f t="shared" si="160"/>
        <v>0</v>
      </c>
    </row>
    <row r="2099" spans="5:13" x14ac:dyDescent="0.25">
      <c r="E2099" s="32">
        <f t="shared" si="163"/>
        <v>0</v>
      </c>
      <c r="I2099" s="32">
        <f t="shared" si="164"/>
        <v>0</v>
      </c>
      <c r="K2099" s="31">
        <f t="shared" si="161"/>
        <v>0</v>
      </c>
      <c r="L2099" s="34">
        <f t="shared" si="162"/>
        <v>0</v>
      </c>
      <c r="M2099" s="34">
        <f t="shared" si="160"/>
        <v>0</v>
      </c>
    </row>
    <row r="2100" spans="5:13" x14ac:dyDescent="0.25">
      <c r="E2100" s="32">
        <f t="shared" si="163"/>
        <v>0</v>
      </c>
      <c r="I2100" s="32">
        <f t="shared" si="164"/>
        <v>0</v>
      </c>
      <c r="K2100" s="31">
        <f t="shared" si="161"/>
        <v>0</v>
      </c>
      <c r="L2100" s="34">
        <f t="shared" si="162"/>
        <v>0</v>
      </c>
      <c r="M2100" s="34">
        <f t="shared" si="160"/>
        <v>0</v>
      </c>
    </row>
    <row r="2101" spans="5:13" x14ac:dyDescent="0.25">
      <c r="E2101" s="32">
        <f t="shared" si="163"/>
        <v>0</v>
      </c>
      <c r="I2101" s="32">
        <f t="shared" si="164"/>
        <v>0</v>
      </c>
      <c r="K2101" s="31">
        <f t="shared" si="161"/>
        <v>0</v>
      </c>
      <c r="L2101" s="34">
        <f t="shared" si="162"/>
        <v>0</v>
      </c>
      <c r="M2101" s="34">
        <f t="shared" si="160"/>
        <v>0</v>
      </c>
    </row>
    <row r="2102" spans="5:13" x14ac:dyDescent="0.25">
      <c r="E2102" s="32">
        <f t="shared" si="163"/>
        <v>0</v>
      </c>
      <c r="I2102" s="32">
        <f t="shared" si="164"/>
        <v>0</v>
      </c>
      <c r="K2102" s="31">
        <f t="shared" si="161"/>
        <v>0</v>
      </c>
      <c r="L2102" s="34">
        <f t="shared" si="162"/>
        <v>0</v>
      </c>
      <c r="M2102" s="34">
        <f t="shared" si="160"/>
        <v>0</v>
      </c>
    </row>
    <row r="2103" spans="5:13" x14ac:dyDescent="0.25">
      <c r="E2103" s="32">
        <f t="shared" si="163"/>
        <v>0</v>
      </c>
      <c r="I2103" s="32">
        <f t="shared" si="164"/>
        <v>0</v>
      </c>
      <c r="K2103" s="31">
        <f t="shared" si="161"/>
        <v>0</v>
      </c>
      <c r="L2103" s="34">
        <f t="shared" si="162"/>
        <v>0</v>
      </c>
      <c r="M2103" s="34">
        <f t="shared" si="160"/>
        <v>0</v>
      </c>
    </row>
    <row r="2104" spans="5:13" x14ac:dyDescent="0.25">
      <c r="E2104" s="32">
        <f t="shared" si="163"/>
        <v>0</v>
      </c>
      <c r="I2104" s="32">
        <f t="shared" si="164"/>
        <v>0</v>
      </c>
      <c r="K2104" s="31">
        <f t="shared" si="161"/>
        <v>0</v>
      </c>
      <c r="L2104" s="34">
        <f t="shared" si="162"/>
        <v>0</v>
      </c>
      <c r="M2104" s="34">
        <f t="shared" si="160"/>
        <v>0</v>
      </c>
    </row>
    <row r="2105" spans="5:13" x14ac:dyDescent="0.25">
      <c r="E2105" s="32">
        <f t="shared" si="163"/>
        <v>0</v>
      </c>
      <c r="I2105" s="32">
        <f t="shared" si="164"/>
        <v>0</v>
      </c>
      <c r="K2105" s="31">
        <f t="shared" si="161"/>
        <v>0</v>
      </c>
      <c r="L2105" s="34">
        <f t="shared" si="162"/>
        <v>0</v>
      </c>
      <c r="M2105" s="34">
        <f t="shared" si="160"/>
        <v>0</v>
      </c>
    </row>
    <row r="2106" spans="5:13" x14ac:dyDescent="0.25">
      <c r="E2106" s="32">
        <f t="shared" si="163"/>
        <v>0</v>
      </c>
      <c r="I2106" s="32">
        <f t="shared" si="164"/>
        <v>0</v>
      </c>
      <c r="K2106" s="31">
        <f t="shared" si="161"/>
        <v>0</v>
      </c>
      <c r="L2106" s="34">
        <f t="shared" si="162"/>
        <v>0</v>
      </c>
      <c r="M2106" s="34">
        <f t="shared" si="160"/>
        <v>0</v>
      </c>
    </row>
    <row r="2107" spans="5:13" x14ac:dyDescent="0.25">
      <c r="E2107" s="32">
        <f t="shared" si="163"/>
        <v>0</v>
      </c>
      <c r="I2107" s="32">
        <f t="shared" si="164"/>
        <v>0</v>
      </c>
      <c r="K2107" s="31">
        <f t="shared" si="161"/>
        <v>0</v>
      </c>
      <c r="L2107" s="34">
        <f t="shared" si="162"/>
        <v>0</v>
      </c>
      <c r="M2107" s="34">
        <f t="shared" si="160"/>
        <v>0</v>
      </c>
    </row>
    <row r="2108" spans="5:13" x14ac:dyDescent="0.25">
      <c r="E2108" s="32">
        <f t="shared" si="163"/>
        <v>0</v>
      </c>
      <c r="I2108" s="32">
        <f t="shared" si="164"/>
        <v>0</v>
      </c>
      <c r="K2108" s="31">
        <f t="shared" si="161"/>
        <v>0</v>
      </c>
      <c r="L2108" s="34">
        <f t="shared" si="162"/>
        <v>0</v>
      </c>
      <c r="M2108" s="34">
        <f t="shared" si="160"/>
        <v>0</v>
      </c>
    </row>
    <row r="2109" spans="5:13" x14ac:dyDescent="0.25">
      <c r="E2109" s="32">
        <f t="shared" si="163"/>
        <v>0</v>
      </c>
      <c r="I2109" s="32">
        <f t="shared" si="164"/>
        <v>0</v>
      </c>
      <c r="K2109" s="31">
        <f t="shared" si="161"/>
        <v>0</v>
      </c>
      <c r="L2109" s="34">
        <f t="shared" si="162"/>
        <v>0</v>
      </c>
      <c r="M2109" s="34">
        <f t="shared" si="160"/>
        <v>0</v>
      </c>
    </row>
    <row r="2110" spans="5:13" x14ac:dyDescent="0.25">
      <c r="E2110" s="32">
        <f t="shared" si="163"/>
        <v>0</v>
      </c>
      <c r="I2110" s="32">
        <f t="shared" si="164"/>
        <v>0</v>
      </c>
      <c r="K2110" s="31">
        <f t="shared" si="161"/>
        <v>0</v>
      </c>
      <c r="L2110" s="34">
        <f t="shared" si="162"/>
        <v>0</v>
      </c>
      <c r="M2110" s="34">
        <f t="shared" si="160"/>
        <v>0</v>
      </c>
    </row>
    <row r="2111" spans="5:13" x14ac:dyDescent="0.25">
      <c r="E2111" s="32">
        <f t="shared" si="163"/>
        <v>0</v>
      </c>
      <c r="I2111" s="32">
        <f t="shared" si="164"/>
        <v>0</v>
      </c>
      <c r="K2111" s="31">
        <f t="shared" si="161"/>
        <v>0</v>
      </c>
      <c r="L2111" s="34">
        <f t="shared" si="162"/>
        <v>0</v>
      </c>
      <c r="M2111" s="34">
        <f t="shared" si="160"/>
        <v>0</v>
      </c>
    </row>
    <row r="2112" spans="5:13" x14ac:dyDescent="0.25">
      <c r="E2112" s="32">
        <f t="shared" si="163"/>
        <v>0</v>
      </c>
      <c r="I2112" s="32">
        <f t="shared" si="164"/>
        <v>0</v>
      </c>
      <c r="K2112" s="31">
        <f t="shared" si="161"/>
        <v>0</v>
      </c>
      <c r="L2112" s="34">
        <f t="shared" si="162"/>
        <v>0</v>
      </c>
      <c r="M2112" s="34">
        <f t="shared" si="160"/>
        <v>0</v>
      </c>
    </row>
    <row r="2113" spans="5:13" x14ac:dyDescent="0.25">
      <c r="E2113" s="32">
        <f t="shared" si="163"/>
        <v>0</v>
      </c>
      <c r="I2113" s="32">
        <f t="shared" si="164"/>
        <v>0</v>
      </c>
      <c r="K2113" s="31">
        <f t="shared" si="161"/>
        <v>0</v>
      </c>
      <c r="L2113" s="34">
        <f t="shared" si="162"/>
        <v>0</v>
      </c>
      <c r="M2113" s="34">
        <f t="shared" si="160"/>
        <v>0</v>
      </c>
    </row>
    <row r="2114" spans="5:13" x14ac:dyDescent="0.25">
      <c r="E2114" s="32">
        <f t="shared" si="163"/>
        <v>0</v>
      </c>
      <c r="I2114" s="32">
        <f t="shared" si="164"/>
        <v>0</v>
      </c>
      <c r="K2114" s="31">
        <f t="shared" si="161"/>
        <v>0</v>
      </c>
      <c r="L2114" s="34">
        <f t="shared" si="162"/>
        <v>0</v>
      </c>
      <c r="M2114" s="34">
        <f t="shared" si="160"/>
        <v>0</v>
      </c>
    </row>
    <row r="2115" spans="5:13" x14ac:dyDescent="0.25">
      <c r="E2115" s="32">
        <f t="shared" si="163"/>
        <v>0</v>
      </c>
      <c r="I2115" s="32">
        <f t="shared" si="164"/>
        <v>0</v>
      </c>
      <c r="K2115" s="31">
        <f t="shared" si="161"/>
        <v>0</v>
      </c>
      <c r="L2115" s="34">
        <f t="shared" si="162"/>
        <v>0</v>
      </c>
      <c r="M2115" s="34">
        <f t="shared" si="160"/>
        <v>0</v>
      </c>
    </row>
    <row r="2116" spans="5:13" x14ac:dyDescent="0.25">
      <c r="E2116" s="32">
        <f t="shared" si="163"/>
        <v>0</v>
      </c>
      <c r="I2116" s="32">
        <f t="shared" si="164"/>
        <v>0</v>
      </c>
      <c r="K2116" s="31">
        <f t="shared" si="161"/>
        <v>0</v>
      </c>
      <c r="L2116" s="34">
        <f t="shared" si="162"/>
        <v>0</v>
      </c>
      <c r="M2116" s="34">
        <f t="shared" ref="M2116:M2179" si="165">(L2116/27)*4</f>
        <v>0</v>
      </c>
    </row>
    <row r="2117" spans="5:13" x14ac:dyDescent="0.25">
      <c r="E2117" s="32">
        <f t="shared" si="163"/>
        <v>0</v>
      </c>
      <c r="I2117" s="32">
        <f t="shared" si="164"/>
        <v>0</v>
      </c>
      <c r="K2117" s="31">
        <f t="shared" ref="K2117:K2180" si="166">B2117/30</f>
        <v>0</v>
      </c>
      <c r="L2117" s="34">
        <f t="shared" ref="L2117:L2180" si="167">IF(J2117="S",((I2117*24)*K2117)*2,((I2117*24)*K2117)*1.5)</f>
        <v>0</v>
      </c>
      <c r="M2117" s="34">
        <f t="shared" si="165"/>
        <v>0</v>
      </c>
    </row>
    <row r="2118" spans="5:13" x14ac:dyDescent="0.25">
      <c r="E2118" s="32">
        <f t="shared" ref="E2118:E2181" si="168">D2118-C2118</f>
        <v>0</v>
      </c>
      <c r="I2118" s="32">
        <f t="shared" ref="I2118:I2181" si="169">H2118-G2118</f>
        <v>0</v>
      </c>
      <c r="K2118" s="31">
        <f t="shared" si="166"/>
        <v>0</v>
      </c>
      <c r="L2118" s="34">
        <f t="shared" si="167"/>
        <v>0</v>
      </c>
      <c r="M2118" s="34">
        <f t="shared" si="165"/>
        <v>0</v>
      </c>
    </row>
    <row r="2119" spans="5:13" x14ac:dyDescent="0.25">
      <c r="E2119" s="32">
        <f t="shared" si="168"/>
        <v>0</v>
      </c>
      <c r="I2119" s="32">
        <f t="shared" si="169"/>
        <v>0</v>
      </c>
      <c r="K2119" s="31">
        <f t="shared" si="166"/>
        <v>0</v>
      </c>
      <c r="L2119" s="34">
        <f t="shared" si="167"/>
        <v>0</v>
      </c>
      <c r="M2119" s="34">
        <f t="shared" si="165"/>
        <v>0</v>
      </c>
    </row>
    <row r="2120" spans="5:13" x14ac:dyDescent="0.25">
      <c r="E2120" s="32">
        <f t="shared" si="168"/>
        <v>0</v>
      </c>
      <c r="I2120" s="32">
        <f t="shared" si="169"/>
        <v>0</v>
      </c>
      <c r="K2120" s="31">
        <f t="shared" si="166"/>
        <v>0</v>
      </c>
      <c r="L2120" s="34">
        <f t="shared" si="167"/>
        <v>0</v>
      </c>
      <c r="M2120" s="34">
        <f t="shared" si="165"/>
        <v>0</v>
      </c>
    </row>
    <row r="2121" spans="5:13" x14ac:dyDescent="0.25">
      <c r="E2121" s="32">
        <f t="shared" si="168"/>
        <v>0</v>
      </c>
      <c r="I2121" s="32">
        <f t="shared" si="169"/>
        <v>0</v>
      </c>
      <c r="K2121" s="31">
        <f t="shared" si="166"/>
        <v>0</v>
      </c>
      <c r="L2121" s="34">
        <f t="shared" si="167"/>
        <v>0</v>
      </c>
      <c r="M2121" s="34">
        <f t="shared" si="165"/>
        <v>0</v>
      </c>
    </row>
    <row r="2122" spans="5:13" x14ac:dyDescent="0.25">
      <c r="E2122" s="32">
        <f t="shared" si="168"/>
        <v>0</v>
      </c>
      <c r="I2122" s="32">
        <f t="shared" si="169"/>
        <v>0</v>
      </c>
      <c r="K2122" s="31">
        <f t="shared" si="166"/>
        <v>0</v>
      </c>
      <c r="L2122" s="34">
        <f t="shared" si="167"/>
        <v>0</v>
      </c>
      <c r="M2122" s="34">
        <f t="shared" si="165"/>
        <v>0</v>
      </c>
    </row>
    <row r="2123" spans="5:13" x14ac:dyDescent="0.25">
      <c r="E2123" s="32">
        <f t="shared" si="168"/>
        <v>0</v>
      </c>
      <c r="I2123" s="32">
        <f t="shared" si="169"/>
        <v>0</v>
      </c>
      <c r="K2123" s="31">
        <f t="shared" si="166"/>
        <v>0</v>
      </c>
      <c r="L2123" s="34">
        <f t="shared" si="167"/>
        <v>0</v>
      </c>
      <c r="M2123" s="34">
        <f t="shared" si="165"/>
        <v>0</v>
      </c>
    </row>
    <row r="2124" spans="5:13" x14ac:dyDescent="0.25">
      <c r="E2124" s="32">
        <f t="shared" si="168"/>
        <v>0</v>
      </c>
      <c r="I2124" s="32">
        <f t="shared" si="169"/>
        <v>0</v>
      </c>
      <c r="K2124" s="31">
        <f t="shared" si="166"/>
        <v>0</v>
      </c>
      <c r="L2124" s="34">
        <f t="shared" si="167"/>
        <v>0</v>
      </c>
      <c r="M2124" s="34">
        <f t="shared" si="165"/>
        <v>0</v>
      </c>
    </row>
    <row r="2125" spans="5:13" x14ac:dyDescent="0.25">
      <c r="E2125" s="32">
        <f t="shared" si="168"/>
        <v>0</v>
      </c>
      <c r="I2125" s="32">
        <f t="shared" si="169"/>
        <v>0</v>
      </c>
      <c r="K2125" s="31">
        <f t="shared" si="166"/>
        <v>0</v>
      </c>
      <c r="L2125" s="34">
        <f t="shared" si="167"/>
        <v>0</v>
      </c>
      <c r="M2125" s="34">
        <f t="shared" si="165"/>
        <v>0</v>
      </c>
    </row>
    <row r="2126" spans="5:13" x14ac:dyDescent="0.25">
      <c r="E2126" s="32">
        <f t="shared" si="168"/>
        <v>0</v>
      </c>
      <c r="I2126" s="32">
        <f t="shared" si="169"/>
        <v>0</v>
      </c>
      <c r="K2126" s="31">
        <f t="shared" si="166"/>
        <v>0</v>
      </c>
      <c r="L2126" s="34">
        <f t="shared" si="167"/>
        <v>0</v>
      </c>
      <c r="M2126" s="34">
        <f t="shared" si="165"/>
        <v>0</v>
      </c>
    </row>
    <row r="2127" spans="5:13" x14ac:dyDescent="0.25">
      <c r="E2127" s="32">
        <f t="shared" si="168"/>
        <v>0</v>
      </c>
      <c r="I2127" s="32">
        <f t="shared" si="169"/>
        <v>0</v>
      </c>
      <c r="K2127" s="31">
        <f t="shared" si="166"/>
        <v>0</v>
      </c>
      <c r="L2127" s="34">
        <f t="shared" si="167"/>
        <v>0</v>
      </c>
      <c r="M2127" s="34">
        <f t="shared" si="165"/>
        <v>0</v>
      </c>
    </row>
    <row r="2128" spans="5:13" x14ac:dyDescent="0.25">
      <c r="E2128" s="32">
        <f t="shared" si="168"/>
        <v>0</v>
      </c>
      <c r="I2128" s="32">
        <f t="shared" si="169"/>
        <v>0</v>
      </c>
      <c r="K2128" s="31">
        <f t="shared" si="166"/>
        <v>0</v>
      </c>
      <c r="L2128" s="34">
        <f t="shared" si="167"/>
        <v>0</v>
      </c>
      <c r="M2128" s="34">
        <f t="shared" si="165"/>
        <v>0</v>
      </c>
    </row>
    <row r="2129" spans="5:13" x14ac:dyDescent="0.25">
      <c r="E2129" s="32">
        <f t="shared" si="168"/>
        <v>0</v>
      </c>
      <c r="I2129" s="32">
        <f t="shared" si="169"/>
        <v>0</v>
      </c>
      <c r="K2129" s="31">
        <f t="shared" si="166"/>
        <v>0</v>
      </c>
      <c r="L2129" s="34">
        <f t="shared" si="167"/>
        <v>0</v>
      </c>
      <c r="M2129" s="34">
        <f t="shared" si="165"/>
        <v>0</v>
      </c>
    </row>
    <row r="2130" spans="5:13" x14ac:dyDescent="0.25">
      <c r="E2130" s="32">
        <f t="shared" si="168"/>
        <v>0</v>
      </c>
      <c r="I2130" s="32">
        <f t="shared" si="169"/>
        <v>0</v>
      </c>
      <c r="K2130" s="31">
        <f t="shared" si="166"/>
        <v>0</v>
      </c>
      <c r="L2130" s="34">
        <f t="shared" si="167"/>
        <v>0</v>
      </c>
      <c r="M2130" s="34">
        <f t="shared" si="165"/>
        <v>0</v>
      </c>
    </row>
    <row r="2131" spans="5:13" x14ac:dyDescent="0.25">
      <c r="E2131" s="32">
        <f t="shared" si="168"/>
        <v>0</v>
      </c>
      <c r="I2131" s="32">
        <f t="shared" si="169"/>
        <v>0</v>
      </c>
      <c r="K2131" s="31">
        <f t="shared" si="166"/>
        <v>0</v>
      </c>
      <c r="L2131" s="34">
        <f t="shared" si="167"/>
        <v>0</v>
      </c>
      <c r="M2131" s="34">
        <f t="shared" si="165"/>
        <v>0</v>
      </c>
    </row>
    <row r="2132" spans="5:13" x14ac:dyDescent="0.25">
      <c r="E2132" s="32">
        <f t="shared" si="168"/>
        <v>0</v>
      </c>
      <c r="I2132" s="32">
        <f t="shared" si="169"/>
        <v>0</v>
      </c>
      <c r="K2132" s="31">
        <f t="shared" si="166"/>
        <v>0</v>
      </c>
      <c r="L2132" s="34">
        <f t="shared" si="167"/>
        <v>0</v>
      </c>
      <c r="M2132" s="34">
        <f t="shared" si="165"/>
        <v>0</v>
      </c>
    </row>
    <row r="2133" spans="5:13" x14ac:dyDescent="0.25">
      <c r="E2133" s="32">
        <f t="shared" si="168"/>
        <v>0</v>
      </c>
      <c r="I2133" s="32">
        <f t="shared" si="169"/>
        <v>0</v>
      </c>
      <c r="K2133" s="31">
        <f t="shared" si="166"/>
        <v>0</v>
      </c>
      <c r="L2133" s="34">
        <f t="shared" si="167"/>
        <v>0</v>
      </c>
      <c r="M2133" s="34">
        <f t="shared" si="165"/>
        <v>0</v>
      </c>
    </row>
    <row r="2134" spans="5:13" x14ac:dyDescent="0.25">
      <c r="E2134" s="32">
        <f t="shared" si="168"/>
        <v>0</v>
      </c>
      <c r="I2134" s="32">
        <f t="shared" si="169"/>
        <v>0</v>
      </c>
      <c r="K2134" s="31">
        <f t="shared" si="166"/>
        <v>0</v>
      </c>
      <c r="L2134" s="34">
        <f t="shared" si="167"/>
        <v>0</v>
      </c>
      <c r="M2134" s="34">
        <f t="shared" si="165"/>
        <v>0</v>
      </c>
    </row>
    <row r="2135" spans="5:13" x14ac:dyDescent="0.25">
      <c r="E2135" s="32">
        <f t="shared" si="168"/>
        <v>0</v>
      </c>
      <c r="I2135" s="32">
        <f t="shared" si="169"/>
        <v>0</v>
      </c>
      <c r="K2135" s="31">
        <f t="shared" si="166"/>
        <v>0</v>
      </c>
      <c r="L2135" s="34">
        <f t="shared" si="167"/>
        <v>0</v>
      </c>
      <c r="M2135" s="34">
        <f t="shared" si="165"/>
        <v>0</v>
      </c>
    </row>
    <row r="2136" spans="5:13" x14ac:dyDescent="0.25">
      <c r="E2136" s="32">
        <f t="shared" si="168"/>
        <v>0</v>
      </c>
      <c r="I2136" s="32">
        <f t="shared" si="169"/>
        <v>0</v>
      </c>
      <c r="K2136" s="31">
        <f t="shared" si="166"/>
        <v>0</v>
      </c>
      <c r="L2136" s="34">
        <f t="shared" si="167"/>
        <v>0</v>
      </c>
      <c r="M2136" s="34">
        <f t="shared" si="165"/>
        <v>0</v>
      </c>
    </row>
    <row r="2137" spans="5:13" x14ac:dyDescent="0.25">
      <c r="E2137" s="32">
        <f t="shared" si="168"/>
        <v>0</v>
      </c>
      <c r="I2137" s="32">
        <f t="shared" si="169"/>
        <v>0</v>
      </c>
      <c r="K2137" s="31">
        <f t="shared" si="166"/>
        <v>0</v>
      </c>
      <c r="L2137" s="34">
        <f t="shared" si="167"/>
        <v>0</v>
      </c>
      <c r="M2137" s="34">
        <f t="shared" si="165"/>
        <v>0</v>
      </c>
    </row>
    <row r="2138" spans="5:13" x14ac:dyDescent="0.25">
      <c r="E2138" s="32">
        <f t="shared" si="168"/>
        <v>0</v>
      </c>
      <c r="I2138" s="32">
        <f t="shared" si="169"/>
        <v>0</v>
      </c>
      <c r="K2138" s="31">
        <f t="shared" si="166"/>
        <v>0</v>
      </c>
      <c r="L2138" s="34">
        <f t="shared" si="167"/>
        <v>0</v>
      </c>
      <c r="M2138" s="34">
        <f t="shared" si="165"/>
        <v>0</v>
      </c>
    </row>
    <row r="2139" spans="5:13" x14ac:dyDescent="0.25">
      <c r="E2139" s="32">
        <f t="shared" si="168"/>
        <v>0</v>
      </c>
      <c r="I2139" s="32">
        <f t="shared" si="169"/>
        <v>0</v>
      </c>
      <c r="K2139" s="31">
        <f t="shared" si="166"/>
        <v>0</v>
      </c>
      <c r="L2139" s="34">
        <f t="shared" si="167"/>
        <v>0</v>
      </c>
      <c r="M2139" s="34">
        <f t="shared" si="165"/>
        <v>0</v>
      </c>
    </row>
    <row r="2140" spans="5:13" x14ac:dyDescent="0.25">
      <c r="E2140" s="32">
        <f t="shared" si="168"/>
        <v>0</v>
      </c>
      <c r="I2140" s="32">
        <f t="shared" si="169"/>
        <v>0</v>
      </c>
      <c r="K2140" s="31">
        <f t="shared" si="166"/>
        <v>0</v>
      </c>
      <c r="L2140" s="34">
        <f t="shared" si="167"/>
        <v>0</v>
      </c>
      <c r="M2140" s="34">
        <f t="shared" si="165"/>
        <v>0</v>
      </c>
    </row>
    <row r="2141" spans="5:13" x14ac:dyDescent="0.25">
      <c r="E2141" s="32">
        <f t="shared" si="168"/>
        <v>0</v>
      </c>
      <c r="I2141" s="32">
        <f t="shared" si="169"/>
        <v>0</v>
      </c>
      <c r="K2141" s="31">
        <f t="shared" si="166"/>
        <v>0</v>
      </c>
      <c r="L2141" s="34">
        <f t="shared" si="167"/>
        <v>0</v>
      </c>
      <c r="M2141" s="34">
        <f t="shared" si="165"/>
        <v>0</v>
      </c>
    </row>
    <row r="2142" spans="5:13" x14ac:dyDescent="0.25">
      <c r="E2142" s="32">
        <f t="shared" si="168"/>
        <v>0</v>
      </c>
      <c r="I2142" s="32">
        <f t="shared" si="169"/>
        <v>0</v>
      </c>
      <c r="K2142" s="31">
        <f t="shared" si="166"/>
        <v>0</v>
      </c>
      <c r="L2142" s="34">
        <f t="shared" si="167"/>
        <v>0</v>
      </c>
      <c r="M2142" s="34">
        <f t="shared" si="165"/>
        <v>0</v>
      </c>
    </row>
    <row r="2143" spans="5:13" x14ac:dyDescent="0.25">
      <c r="E2143" s="32">
        <f t="shared" si="168"/>
        <v>0</v>
      </c>
      <c r="I2143" s="32">
        <f t="shared" si="169"/>
        <v>0</v>
      </c>
      <c r="K2143" s="31">
        <f t="shared" si="166"/>
        <v>0</v>
      </c>
      <c r="L2143" s="34">
        <f t="shared" si="167"/>
        <v>0</v>
      </c>
      <c r="M2143" s="34">
        <f t="shared" si="165"/>
        <v>0</v>
      </c>
    </row>
    <row r="2144" spans="5:13" x14ac:dyDescent="0.25">
      <c r="E2144" s="32">
        <f t="shared" si="168"/>
        <v>0</v>
      </c>
      <c r="I2144" s="32">
        <f t="shared" si="169"/>
        <v>0</v>
      </c>
      <c r="K2144" s="31">
        <f t="shared" si="166"/>
        <v>0</v>
      </c>
      <c r="L2144" s="34">
        <f t="shared" si="167"/>
        <v>0</v>
      </c>
      <c r="M2144" s="34">
        <f t="shared" si="165"/>
        <v>0</v>
      </c>
    </row>
    <row r="2145" spans="5:13" x14ac:dyDescent="0.25">
      <c r="E2145" s="32">
        <f t="shared" si="168"/>
        <v>0</v>
      </c>
      <c r="I2145" s="32">
        <f t="shared" si="169"/>
        <v>0</v>
      </c>
      <c r="K2145" s="31">
        <f t="shared" si="166"/>
        <v>0</v>
      </c>
      <c r="L2145" s="34">
        <f t="shared" si="167"/>
        <v>0</v>
      </c>
      <c r="M2145" s="34">
        <f t="shared" si="165"/>
        <v>0</v>
      </c>
    </row>
    <row r="2146" spans="5:13" x14ac:dyDescent="0.25">
      <c r="E2146" s="32">
        <f t="shared" si="168"/>
        <v>0</v>
      </c>
      <c r="I2146" s="32">
        <f t="shared" si="169"/>
        <v>0</v>
      </c>
      <c r="K2146" s="31">
        <f t="shared" si="166"/>
        <v>0</v>
      </c>
      <c r="L2146" s="34">
        <f t="shared" si="167"/>
        <v>0</v>
      </c>
      <c r="M2146" s="34">
        <f t="shared" si="165"/>
        <v>0</v>
      </c>
    </row>
    <row r="2147" spans="5:13" x14ac:dyDescent="0.25">
      <c r="E2147" s="32">
        <f t="shared" si="168"/>
        <v>0</v>
      </c>
      <c r="I2147" s="32">
        <f t="shared" si="169"/>
        <v>0</v>
      </c>
      <c r="K2147" s="31">
        <f t="shared" si="166"/>
        <v>0</v>
      </c>
      <c r="L2147" s="34">
        <f t="shared" si="167"/>
        <v>0</v>
      </c>
      <c r="M2147" s="34">
        <f t="shared" si="165"/>
        <v>0</v>
      </c>
    </row>
    <row r="2148" spans="5:13" x14ac:dyDescent="0.25">
      <c r="E2148" s="32">
        <f t="shared" si="168"/>
        <v>0</v>
      </c>
      <c r="I2148" s="32">
        <f t="shared" si="169"/>
        <v>0</v>
      </c>
      <c r="K2148" s="31">
        <f t="shared" si="166"/>
        <v>0</v>
      </c>
      <c r="L2148" s="34">
        <f t="shared" si="167"/>
        <v>0</v>
      </c>
      <c r="M2148" s="34">
        <f t="shared" si="165"/>
        <v>0</v>
      </c>
    </row>
    <row r="2149" spans="5:13" x14ac:dyDescent="0.25">
      <c r="E2149" s="32">
        <f t="shared" si="168"/>
        <v>0</v>
      </c>
      <c r="I2149" s="32">
        <f t="shared" si="169"/>
        <v>0</v>
      </c>
      <c r="K2149" s="31">
        <f t="shared" si="166"/>
        <v>0</v>
      </c>
      <c r="L2149" s="34">
        <f t="shared" si="167"/>
        <v>0</v>
      </c>
      <c r="M2149" s="34">
        <f t="shared" si="165"/>
        <v>0</v>
      </c>
    </row>
    <row r="2150" spans="5:13" x14ac:dyDescent="0.25">
      <c r="E2150" s="32">
        <f t="shared" si="168"/>
        <v>0</v>
      </c>
      <c r="I2150" s="32">
        <f t="shared" si="169"/>
        <v>0</v>
      </c>
      <c r="K2150" s="31">
        <f t="shared" si="166"/>
        <v>0</v>
      </c>
      <c r="L2150" s="34">
        <f t="shared" si="167"/>
        <v>0</v>
      </c>
      <c r="M2150" s="34">
        <f t="shared" si="165"/>
        <v>0</v>
      </c>
    </row>
    <row r="2151" spans="5:13" x14ac:dyDescent="0.25">
      <c r="E2151" s="32">
        <f t="shared" si="168"/>
        <v>0</v>
      </c>
      <c r="I2151" s="32">
        <f t="shared" si="169"/>
        <v>0</v>
      </c>
      <c r="K2151" s="31">
        <f t="shared" si="166"/>
        <v>0</v>
      </c>
      <c r="L2151" s="34">
        <f t="shared" si="167"/>
        <v>0</v>
      </c>
      <c r="M2151" s="34">
        <f t="shared" si="165"/>
        <v>0</v>
      </c>
    </row>
    <row r="2152" spans="5:13" x14ac:dyDescent="0.25">
      <c r="E2152" s="32">
        <f t="shared" si="168"/>
        <v>0</v>
      </c>
      <c r="I2152" s="32">
        <f t="shared" si="169"/>
        <v>0</v>
      </c>
      <c r="K2152" s="31">
        <f t="shared" si="166"/>
        <v>0</v>
      </c>
      <c r="L2152" s="34">
        <f t="shared" si="167"/>
        <v>0</v>
      </c>
      <c r="M2152" s="34">
        <f t="shared" si="165"/>
        <v>0</v>
      </c>
    </row>
    <row r="2153" spans="5:13" x14ac:dyDescent="0.25">
      <c r="E2153" s="32">
        <f t="shared" si="168"/>
        <v>0</v>
      </c>
      <c r="I2153" s="32">
        <f t="shared" si="169"/>
        <v>0</v>
      </c>
      <c r="K2153" s="31">
        <f t="shared" si="166"/>
        <v>0</v>
      </c>
      <c r="L2153" s="34">
        <f t="shared" si="167"/>
        <v>0</v>
      </c>
      <c r="M2153" s="34">
        <f t="shared" si="165"/>
        <v>0</v>
      </c>
    </row>
    <row r="2154" spans="5:13" x14ac:dyDescent="0.25">
      <c r="E2154" s="32">
        <f t="shared" si="168"/>
        <v>0</v>
      </c>
      <c r="I2154" s="32">
        <f t="shared" si="169"/>
        <v>0</v>
      </c>
      <c r="K2154" s="31">
        <f t="shared" si="166"/>
        <v>0</v>
      </c>
      <c r="L2154" s="34">
        <f t="shared" si="167"/>
        <v>0</v>
      </c>
      <c r="M2154" s="34">
        <f t="shared" si="165"/>
        <v>0</v>
      </c>
    </row>
    <row r="2155" spans="5:13" x14ac:dyDescent="0.25">
      <c r="E2155" s="32">
        <f t="shared" si="168"/>
        <v>0</v>
      </c>
      <c r="I2155" s="32">
        <f t="shared" si="169"/>
        <v>0</v>
      </c>
      <c r="K2155" s="31">
        <f t="shared" si="166"/>
        <v>0</v>
      </c>
      <c r="L2155" s="34">
        <f t="shared" si="167"/>
        <v>0</v>
      </c>
      <c r="M2155" s="34">
        <f t="shared" si="165"/>
        <v>0</v>
      </c>
    </row>
    <row r="2156" spans="5:13" x14ac:dyDescent="0.25">
      <c r="E2156" s="32">
        <f t="shared" si="168"/>
        <v>0</v>
      </c>
      <c r="I2156" s="32">
        <f t="shared" si="169"/>
        <v>0</v>
      </c>
      <c r="K2156" s="31">
        <f t="shared" si="166"/>
        <v>0</v>
      </c>
      <c r="L2156" s="34">
        <f t="shared" si="167"/>
        <v>0</v>
      </c>
      <c r="M2156" s="34">
        <f t="shared" si="165"/>
        <v>0</v>
      </c>
    </row>
    <row r="2157" spans="5:13" x14ac:dyDescent="0.25">
      <c r="E2157" s="32">
        <f t="shared" si="168"/>
        <v>0</v>
      </c>
      <c r="I2157" s="32">
        <f t="shared" si="169"/>
        <v>0</v>
      </c>
      <c r="K2157" s="31">
        <f t="shared" si="166"/>
        <v>0</v>
      </c>
      <c r="L2157" s="34">
        <f t="shared" si="167"/>
        <v>0</v>
      </c>
      <c r="M2157" s="34">
        <f t="shared" si="165"/>
        <v>0</v>
      </c>
    </row>
    <row r="2158" spans="5:13" x14ac:dyDescent="0.25">
      <c r="E2158" s="32">
        <f t="shared" si="168"/>
        <v>0</v>
      </c>
      <c r="I2158" s="32">
        <f t="shared" si="169"/>
        <v>0</v>
      </c>
      <c r="K2158" s="31">
        <f t="shared" si="166"/>
        <v>0</v>
      </c>
      <c r="L2158" s="34">
        <f t="shared" si="167"/>
        <v>0</v>
      </c>
      <c r="M2158" s="34">
        <f t="shared" si="165"/>
        <v>0</v>
      </c>
    </row>
    <row r="2159" spans="5:13" x14ac:dyDescent="0.25">
      <c r="E2159" s="32">
        <f t="shared" si="168"/>
        <v>0</v>
      </c>
      <c r="I2159" s="32">
        <f t="shared" si="169"/>
        <v>0</v>
      </c>
      <c r="K2159" s="31">
        <f t="shared" si="166"/>
        <v>0</v>
      </c>
      <c r="L2159" s="34">
        <f t="shared" si="167"/>
        <v>0</v>
      </c>
      <c r="M2159" s="34">
        <f t="shared" si="165"/>
        <v>0</v>
      </c>
    </row>
    <row r="2160" spans="5:13" x14ac:dyDescent="0.25">
      <c r="E2160" s="32">
        <f t="shared" si="168"/>
        <v>0</v>
      </c>
      <c r="I2160" s="32">
        <f t="shared" si="169"/>
        <v>0</v>
      </c>
      <c r="K2160" s="31">
        <f t="shared" si="166"/>
        <v>0</v>
      </c>
      <c r="L2160" s="34">
        <f t="shared" si="167"/>
        <v>0</v>
      </c>
      <c r="M2160" s="34">
        <f t="shared" si="165"/>
        <v>0</v>
      </c>
    </row>
    <row r="2161" spans="5:13" x14ac:dyDescent="0.25">
      <c r="E2161" s="32">
        <f t="shared" si="168"/>
        <v>0</v>
      </c>
      <c r="I2161" s="32">
        <f t="shared" si="169"/>
        <v>0</v>
      </c>
      <c r="K2161" s="31">
        <f t="shared" si="166"/>
        <v>0</v>
      </c>
      <c r="L2161" s="34">
        <f t="shared" si="167"/>
        <v>0</v>
      </c>
      <c r="M2161" s="34">
        <f t="shared" si="165"/>
        <v>0</v>
      </c>
    </row>
    <row r="2162" spans="5:13" x14ac:dyDescent="0.25">
      <c r="E2162" s="32">
        <f t="shared" si="168"/>
        <v>0</v>
      </c>
      <c r="I2162" s="32">
        <f t="shared" si="169"/>
        <v>0</v>
      </c>
      <c r="K2162" s="31">
        <f t="shared" si="166"/>
        <v>0</v>
      </c>
      <c r="L2162" s="34">
        <f t="shared" si="167"/>
        <v>0</v>
      </c>
      <c r="M2162" s="34">
        <f t="shared" si="165"/>
        <v>0</v>
      </c>
    </row>
    <row r="2163" spans="5:13" x14ac:dyDescent="0.25">
      <c r="E2163" s="32">
        <f t="shared" si="168"/>
        <v>0</v>
      </c>
      <c r="I2163" s="32">
        <f t="shared" si="169"/>
        <v>0</v>
      </c>
      <c r="K2163" s="31">
        <f t="shared" si="166"/>
        <v>0</v>
      </c>
      <c r="L2163" s="34">
        <f t="shared" si="167"/>
        <v>0</v>
      </c>
      <c r="M2163" s="34">
        <f t="shared" si="165"/>
        <v>0</v>
      </c>
    </row>
    <row r="2164" spans="5:13" x14ac:dyDescent="0.25">
      <c r="E2164" s="32">
        <f t="shared" si="168"/>
        <v>0</v>
      </c>
      <c r="I2164" s="32">
        <f t="shared" si="169"/>
        <v>0</v>
      </c>
      <c r="K2164" s="31">
        <f t="shared" si="166"/>
        <v>0</v>
      </c>
      <c r="L2164" s="34">
        <f t="shared" si="167"/>
        <v>0</v>
      </c>
      <c r="M2164" s="34">
        <f t="shared" si="165"/>
        <v>0</v>
      </c>
    </row>
    <row r="2165" spans="5:13" x14ac:dyDescent="0.25">
      <c r="E2165" s="32">
        <f t="shared" si="168"/>
        <v>0</v>
      </c>
      <c r="I2165" s="32">
        <f t="shared" si="169"/>
        <v>0</v>
      </c>
      <c r="K2165" s="31">
        <f t="shared" si="166"/>
        <v>0</v>
      </c>
      <c r="L2165" s="34">
        <f t="shared" si="167"/>
        <v>0</v>
      </c>
      <c r="M2165" s="34">
        <f t="shared" si="165"/>
        <v>0</v>
      </c>
    </row>
    <row r="2166" spans="5:13" x14ac:dyDescent="0.25">
      <c r="E2166" s="32">
        <f t="shared" si="168"/>
        <v>0</v>
      </c>
      <c r="I2166" s="32">
        <f t="shared" si="169"/>
        <v>0</v>
      </c>
      <c r="K2166" s="31">
        <f t="shared" si="166"/>
        <v>0</v>
      </c>
      <c r="L2166" s="34">
        <f t="shared" si="167"/>
        <v>0</v>
      </c>
      <c r="M2166" s="34">
        <f t="shared" si="165"/>
        <v>0</v>
      </c>
    </row>
    <row r="2167" spans="5:13" x14ac:dyDescent="0.25">
      <c r="E2167" s="32">
        <f t="shared" si="168"/>
        <v>0</v>
      </c>
      <c r="I2167" s="32">
        <f t="shared" si="169"/>
        <v>0</v>
      </c>
      <c r="K2167" s="31">
        <f t="shared" si="166"/>
        <v>0</v>
      </c>
      <c r="L2167" s="34">
        <f t="shared" si="167"/>
        <v>0</v>
      </c>
      <c r="M2167" s="34">
        <f t="shared" si="165"/>
        <v>0</v>
      </c>
    </row>
    <row r="2168" spans="5:13" x14ac:dyDescent="0.25">
      <c r="E2168" s="32">
        <f t="shared" si="168"/>
        <v>0</v>
      </c>
      <c r="I2168" s="32">
        <f t="shared" si="169"/>
        <v>0</v>
      </c>
      <c r="K2168" s="31">
        <f t="shared" si="166"/>
        <v>0</v>
      </c>
      <c r="L2168" s="34">
        <f t="shared" si="167"/>
        <v>0</v>
      </c>
      <c r="M2168" s="34">
        <f t="shared" si="165"/>
        <v>0</v>
      </c>
    </row>
    <row r="2169" spans="5:13" x14ac:dyDescent="0.25">
      <c r="E2169" s="32">
        <f t="shared" si="168"/>
        <v>0</v>
      </c>
      <c r="I2169" s="32">
        <f t="shared" si="169"/>
        <v>0</v>
      </c>
      <c r="K2169" s="31">
        <f t="shared" si="166"/>
        <v>0</v>
      </c>
      <c r="L2169" s="34">
        <f t="shared" si="167"/>
        <v>0</v>
      </c>
      <c r="M2169" s="34">
        <f t="shared" si="165"/>
        <v>0</v>
      </c>
    </row>
    <row r="2170" spans="5:13" x14ac:dyDescent="0.25">
      <c r="E2170" s="32">
        <f t="shared" si="168"/>
        <v>0</v>
      </c>
      <c r="I2170" s="32">
        <f t="shared" si="169"/>
        <v>0</v>
      </c>
      <c r="K2170" s="31">
        <f t="shared" si="166"/>
        <v>0</v>
      </c>
      <c r="L2170" s="34">
        <f t="shared" si="167"/>
        <v>0</v>
      </c>
      <c r="M2170" s="34">
        <f t="shared" si="165"/>
        <v>0</v>
      </c>
    </row>
    <row r="2171" spans="5:13" x14ac:dyDescent="0.25">
      <c r="E2171" s="32">
        <f t="shared" si="168"/>
        <v>0</v>
      </c>
      <c r="I2171" s="32">
        <f t="shared" si="169"/>
        <v>0</v>
      </c>
      <c r="K2171" s="31">
        <f t="shared" si="166"/>
        <v>0</v>
      </c>
      <c r="L2171" s="34">
        <f t="shared" si="167"/>
        <v>0</v>
      </c>
      <c r="M2171" s="34">
        <f t="shared" si="165"/>
        <v>0</v>
      </c>
    </row>
    <row r="2172" spans="5:13" x14ac:dyDescent="0.25">
      <c r="E2172" s="32">
        <f t="shared" si="168"/>
        <v>0</v>
      </c>
      <c r="I2172" s="32">
        <f t="shared" si="169"/>
        <v>0</v>
      </c>
      <c r="K2172" s="31">
        <f t="shared" si="166"/>
        <v>0</v>
      </c>
      <c r="L2172" s="34">
        <f t="shared" si="167"/>
        <v>0</v>
      </c>
      <c r="M2172" s="34">
        <f t="shared" si="165"/>
        <v>0</v>
      </c>
    </row>
    <row r="2173" spans="5:13" x14ac:dyDescent="0.25">
      <c r="E2173" s="32">
        <f t="shared" si="168"/>
        <v>0</v>
      </c>
      <c r="I2173" s="32">
        <f t="shared" si="169"/>
        <v>0</v>
      </c>
      <c r="K2173" s="31">
        <f t="shared" si="166"/>
        <v>0</v>
      </c>
      <c r="L2173" s="34">
        <f t="shared" si="167"/>
        <v>0</v>
      </c>
      <c r="M2173" s="34">
        <f t="shared" si="165"/>
        <v>0</v>
      </c>
    </row>
    <row r="2174" spans="5:13" x14ac:dyDescent="0.25">
      <c r="E2174" s="32">
        <f t="shared" si="168"/>
        <v>0</v>
      </c>
      <c r="I2174" s="32">
        <f t="shared" si="169"/>
        <v>0</v>
      </c>
      <c r="K2174" s="31">
        <f t="shared" si="166"/>
        <v>0</v>
      </c>
      <c r="L2174" s="34">
        <f t="shared" si="167"/>
        <v>0</v>
      </c>
      <c r="M2174" s="34">
        <f t="shared" si="165"/>
        <v>0</v>
      </c>
    </row>
    <row r="2175" spans="5:13" x14ac:dyDescent="0.25">
      <c r="E2175" s="32">
        <f t="shared" si="168"/>
        <v>0</v>
      </c>
      <c r="I2175" s="32">
        <f t="shared" si="169"/>
        <v>0</v>
      </c>
      <c r="K2175" s="31">
        <f t="shared" si="166"/>
        <v>0</v>
      </c>
      <c r="L2175" s="34">
        <f t="shared" si="167"/>
        <v>0</v>
      </c>
      <c r="M2175" s="34">
        <f t="shared" si="165"/>
        <v>0</v>
      </c>
    </row>
    <row r="2176" spans="5:13" x14ac:dyDescent="0.25">
      <c r="E2176" s="32">
        <f t="shared" si="168"/>
        <v>0</v>
      </c>
      <c r="I2176" s="32">
        <f t="shared" si="169"/>
        <v>0</v>
      </c>
      <c r="K2176" s="31">
        <f t="shared" si="166"/>
        <v>0</v>
      </c>
      <c r="L2176" s="34">
        <f t="shared" si="167"/>
        <v>0</v>
      </c>
      <c r="M2176" s="34">
        <f t="shared" si="165"/>
        <v>0</v>
      </c>
    </row>
    <row r="2177" spans="5:13" x14ac:dyDescent="0.25">
      <c r="E2177" s="32">
        <f t="shared" si="168"/>
        <v>0</v>
      </c>
      <c r="I2177" s="32">
        <f t="shared" si="169"/>
        <v>0</v>
      </c>
      <c r="K2177" s="31">
        <f t="shared" si="166"/>
        <v>0</v>
      </c>
      <c r="L2177" s="34">
        <f t="shared" si="167"/>
        <v>0</v>
      </c>
      <c r="M2177" s="34">
        <f t="shared" si="165"/>
        <v>0</v>
      </c>
    </row>
    <row r="2178" spans="5:13" x14ac:dyDescent="0.25">
      <c r="E2178" s="32">
        <f t="shared" si="168"/>
        <v>0</v>
      </c>
      <c r="I2178" s="32">
        <f t="shared" si="169"/>
        <v>0</v>
      </c>
      <c r="K2178" s="31">
        <f t="shared" si="166"/>
        <v>0</v>
      </c>
      <c r="L2178" s="34">
        <f t="shared" si="167"/>
        <v>0</v>
      </c>
      <c r="M2178" s="34">
        <f t="shared" si="165"/>
        <v>0</v>
      </c>
    </row>
    <row r="2179" spans="5:13" x14ac:dyDescent="0.25">
      <c r="E2179" s="32">
        <f t="shared" si="168"/>
        <v>0</v>
      </c>
      <c r="I2179" s="32">
        <f t="shared" si="169"/>
        <v>0</v>
      </c>
      <c r="K2179" s="31">
        <f t="shared" si="166"/>
        <v>0</v>
      </c>
      <c r="L2179" s="34">
        <f t="shared" si="167"/>
        <v>0</v>
      </c>
      <c r="M2179" s="34">
        <f t="shared" si="165"/>
        <v>0</v>
      </c>
    </row>
    <row r="2180" spans="5:13" x14ac:dyDescent="0.25">
      <c r="E2180" s="32">
        <f t="shared" si="168"/>
        <v>0</v>
      </c>
      <c r="I2180" s="32">
        <f t="shared" si="169"/>
        <v>0</v>
      </c>
      <c r="K2180" s="31">
        <f t="shared" si="166"/>
        <v>0</v>
      </c>
      <c r="L2180" s="34">
        <f t="shared" si="167"/>
        <v>0</v>
      </c>
      <c r="M2180" s="34">
        <f t="shared" ref="M2180:M2243" si="170">(L2180/27)*4</f>
        <v>0</v>
      </c>
    </row>
    <row r="2181" spans="5:13" x14ac:dyDescent="0.25">
      <c r="E2181" s="32">
        <f t="shared" si="168"/>
        <v>0</v>
      </c>
      <c r="I2181" s="32">
        <f t="shared" si="169"/>
        <v>0</v>
      </c>
      <c r="K2181" s="31">
        <f t="shared" ref="K2181:K2244" si="171">B2181/30</f>
        <v>0</v>
      </c>
      <c r="L2181" s="34">
        <f t="shared" ref="L2181:L2244" si="172">IF(J2181="S",((I2181*24)*K2181)*2,((I2181*24)*K2181)*1.5)</f>
        <v>0</v>
      </c>
      <c r="M2181" s="34">
        <f t="shared" si="170"/>
        <v>0</v>
      </c>
    </row>
    <row r="2182" spans="5:13" x14ac:dyDescent="0.25">
      <c r="E2182" s="32">
        <f t="shared" ref="E2182:E2245" si="173">D2182-C2182</f>
        <v>0</v>
      </c>
      <c r="I2182" s="32">
        <f t="shared" ref="I2182:I2245" si="174">H2182-G2182</f>
        <v>0</v>
      </c>
      <c r="K2182" s="31">
        <f t="shared" si="171"/>
        <v>0</v>
      </c>
      <c r="L2182" s="34">
        <f t="shared" si="172"/>
        <v>0</v>
      </c>
      <c r="M2182" s="34">
        <f t="shared" si="170"/>
        <v>0</v>
      </c>
    </row>
    <row r="2183" spans="5:13" x14ac:dyDescent="0.25">
      <c r="E2183" s="32">
        <f t="shared" si="173"/>
        <v>0</v>
      </c>
      <c r="I2183" s="32">
        <f t="shared" si="174"/>
        <v>0</v>
      </c>
      <c r="K2183" s="31">
        <f t="shared" si="171"/>
        <v>0</v>
      </c>
      <c r="L2183" s="34">
        <f t="shared" si="172"/>
        <v>0</v>
      </c>
      <c r="M2183" s="34">
        <f t="shared" si="170"/>
        <v>0</v>
      </c>
    </row>
    <row r="2184" spans="5:13" x14ac:dyDescent="0.25">
      <c r="E2184" s="32">
        <f t="shared" si="173"/>
        <v>0</v>
      </c>
      <c r="I2184" s="32">
        <f t="shared" si="174"/>
        <v>0</v>
      </c>
      <c r="K2184" s="31">
        <f t="shared" si="171"/>
        <v>0</v>
      </c>
      <c r="L2184" s="34">
        <f t="shared" si="172"/>
        <v>0</v>
      </c>
      <c r="M2184" s="34">
        <f t="shared" si="170"/>
        <v>0</v>
      </c>
    </row>
    <row r="2185" spans="5:13" x14ac:dyDescent="0.25">
      <c r="E2185" s="32">
        <f t="shared" si="173"/>
        <v>0</v>
      </c>
      <c r="I2185" s="32">
        <f t="shared" si="174"/>
        <v>0</v>
      </c>
      <c r="K2185" s="31">
        <f t="shared" si="171"/>
        <v>0</v>
      </c>
      <c r="L2185" s="34">
        <f t="shared" si="172"/>
        <v>0</v>
      </c>
      <c r="M2185" s="34">
        <f t="shared" si="170"/>
        <v>0</v>
      </c>
    </row>
    <row r="2186" spans="5:13" x14ac:dyDescent="0.25">
      <c r="E2186" s="32">
        <f t="shared" si="173"/>
        <v>0</v>
      </c>
      <c r="I2186" s="32">
        <f t="shared" si="174"/>
        <v>0</v>
      </c>
      <c r="K2186" s="31">
        <f t="shared" si="171"/>
        <v>0</v>
      </c>
      <c r="L2186" s="34">
        <f t="shared" si="172"/>
        <v>0</v>
      </c>
      <c r="M2186" s="34">
        <f t="shared" si="170"/>
        <v>0</v>
      </c>
    </row>
    <row r="2187" spans="5:13" x14ac:dyDescent="0.25">
      <c r="E2187" s="32">
        <f t="shared" si="173"/>
        <v>0</v>
      </c>
      <c r="I2187" s="32">
        <f t="shared" si="174"/>
        <v>0</v>
      </c>
      <c r="K2187" s="31">
        <f t="shared" si="171"/>
        <v>0</v>
      </c>
      <c r="L2187" s="34">
        <f t="shared" si="172"/>
        <v>0</v>
      </c>
      <c r="M2187" s="34">
        <f t="shared" si="170"/>
        <v>0</v>
      </c>
    </row>
    <row r="2188" spans="5:13" x14ac:dyDescent="0.25">
      <c r="E2188" s="32">
        <f t="shared" si="173"/>
        <v>0</v>
      </c>
      <c r="I2188" s="32">
        <f t="shared" si="174"/>
        <v>0</v>
      </c>
      <c r="K2188" s="31">
        <f t="shared" si="171"/>
        <v>0</v>
      </c>
      <c r="L2188" s="34">
        <f t="shared" si="172"/>
        <v>0</v>
      </c>
      <c r="M2188" s="34">
        <f t="shared" si="170"/>
        <v>0</v>
      </c>
    </row>
    <row r="2189" spans="5:13" x14ac:dyDescent="0.25">
      <c r="E2189" s="32">
        <f t="shared" si="173"/>
        <v>0</v>
      </c>
      <c r="I2189" s="32">
        <f t="shared" si="174"/>
        <v>0</v>
      </c>
      <c r="K2189" s="31">
        <f t="shared" si="171"/>
        <v>0</v>
      </c>
      <c r="L2189" s="34">
        <f t="shared" si="172"/>
        <v>0</v>
      </c>
      <c r="M2189" s="34">
        <f t="shared" si="170"/>
        <v>0</v>
      </c>
    </row>
    <row r="2190" spans="5:13" x14ac:dyDescent="0.25">
      <c r="E2190" s="32">
        <f t="shared" si="173"/>
        <v>0</v>
      </c>
      <c r="I2190" s="32">
        <f t="shared" si="174"/>
        <v>0</v>
      </c>
      <c r="K2190" s="31">
        <f t="shared" si="171"/>
        <v>0</v>
      </c>
      <c r="L2190" s="34">
        <f t="shared" si="172"/>
        <v>0</v>
      </c>
      <c r="M2190" s="34">
        <f t="shared" si="170"/>
        <v>0</v>
      </c>
    </row>
    <row r="2191" spans="5:13" x14ac:dyDescent="0.25">
      <c r="E2191" s="32">
        <f t="shared" si="173"/>
        <v>0</v>
      </c>
      <c r="I2191" s="32">
        <f t="shared" si="174"/>
        <v>0</v>
      </c>
      <c r="K2191" s="31">
        <f t="shared" si="171"/>
        <v>0</v>
      </c>
      <c r="L2191" s="34">
        <f t="shared" si="172"/>
        <v>0</v>
      </c>
      <c r="M2191" s="34">
        <f t="shared" si="170"/>
        <v>0</v>
      </c>
    </row>
    <row r="2192" spans="5:13" x14ac:dyDescent="0.25">
      <c r="E2192" s="32">
        <f t="shared" si="173"/>
        <v>0</v>
      </c>
      <c r="I2192" s="32">
        <f t="shared" si="174"/>
        <v>0</v>
      </c>
      <c r="K2192" s="31">
        <f t="shared" si="171"/>
        <v>0</v>
      </c>
      <c r="L2192" s="34">
        <f t="shared" si="172"/>
        <v>0</v>
      </c>
      <c r="M2192" s="34">
        <f t="shared" si="170"/>
        <v>0</v>
      </c>
    </row>
    <row r="2193" spans="5:13" x14ac:dyDescent="0.25">
      <c r="E2193" s="32">
        <f t="shared" si="173"/>
        <v>0</v>
      </c>
      <c r="I2193" s="32">
        <f t="shared" si="174"/>
        <v>0</v>
      </c>
      <c r="K2193" s="31">
        <f t="shared" si="171"/>
        <v>0</v>
      </c>
      <c r="L2193" s="34">
        <f t="shared" si="172"/>
        <v>0</v>
      </c>
      <c r="M2193" s="34">
        <f t="shared" si="170"/>
        <v>0</v>
      </c>
    </row>
    <row r="2194" spans="5:13" x14ac:dyDescent="0.25">
      <c r="E2194" s="32">
        <f t="shared" si="173"/>
        <v>0</v>
      </c>
      <c r="I2194" s="32">
        <f t="shared" si="174"/>
        <v>0</v>
      </c>
      <c r="K2194" s="31">
        <f t="shared" si="171"/>
        <v>0</v>
      </c>
      <c r="L2194" s="34">
        <f t="shared" si="172"/>
        <v>0</v>
      </c>
      <c r="M2194" s="34">
        <f t="shared" si="170"/>
        <v>0</v>
      </c>
    </row>
    <row r="2195" spans="5:13" x14ac:dyDescent="0.25">
      <c r="E2195" s="32">
        <f t="shared" si="173"/>
        <v>0</v>
      </c>
      <c r="I2195" s="32">
        <f t="shared" si="174"/>
        <v>0</v>
      </c>
      <c r="K2195" s="31">
        <f t="shared" si="171"/>
        <v>0</v>
      </c>
      <c r="L2195" s="34">
        <f t="shared" si="172"/>
        <v>0</v>
      </c>
      <c r="M2195" s="34">
        <f t="shared" si="170"/>
        <v>0</v>
      </c>
    </row>
    <row r="2196" spans="5:13" x14ac:dyDescent="0.25">
      <c r="E2196" s="32">
        <f t="shared" si="173"/>
        <v>0</v>
      </c>
      <c r="I2196" s="32">
        <f t="shared" si="174"/>
        <v>0</v>
      </c>
      <c r="K2196" s="31">
        <f t="shared" si="171"/>
        <v>0</v>
      </c>
      <c r="L2196" s="34">
        <f t="shared" si="172"/>
        <v>0</v>
      </c>
      <c r="M2196" s="34">
        <f t="shared" si="170"/>
        <v>0</v>
      </c>
    </row>
    <row r="2197" spans="5:13" x14ac:dyDescent="0.25">
      <c r="E2197" s="32">
        <f t="shared" si="173"/>
        <v>0</v>
      </c>
      <c r="I2197" s="32">
        <f t="shared" si="174"/>
        <v>0</v>
      </c>
      <c r="K2197" s="31">
        <f t="shared" si="171"/>
        <v>0</v>
      </c>
      <c r="L2197" s="34">
        <f t="shared" si="172"/>
        <v>0</v>
      </c>
      <c r="M2197" s="34">
        <f t="shared" si="170"/>
        <v>0</v>
      </c>
    </row>
    <row r="2198" spans="5:13" x14ac:dyDescent="0.25">
      <c r="E2198" s="32">
        <f t="shared" si="173"/>
        <v>0</v>
      </c>
      <c r="I2198" s="32">
        <f t="shared" si="174"/>
        <v>0</v>
      </c>
      <c r="K2198" s="31">
        <f t="shared" si="171"/>
        <v>0</v>
      </c>
      <c r="L2198" s="34">
        <f t="shared" si="172"/>
        <v>0</v>
      </c>
      <c r="M2198" s="34">
        <f t="shared" si="170"/>
        <v>0</v>
      </c>
    </row>
    <row r="2199" spans="5:13" x14ac:dyDescent="0.25">
      <c r="E2199" s="32">
        <f t="shared" si="173"/>
        <v>0</v>
      </c>
      <c r="I2199" s="32">
        <f t="shared" si="174"/>
        <v>0</v>
      </c>
      <c r="K2199" s="31">
        <f t="shared" si="171"/>
        <v>0</v>
      </c>
      <c r="L2199" s="34">
        <f t="shared" si="172"/>
        <v>0</v>
      </c>
      <c r="M2199" s="34">
        <f t="shared" si="170"/>
        <v>0</v>
      </c>
    </row>
    <row r="2200" spans="5:13" x14ac:dyDescent="0.25">
      <c r="E2200" s="32">
        <f t="shared" si="173"/>
        <v>0</v>
      </c>
      <c r="I2200" s="32">
        <f t="shared" si="174"/>
        <v>0</v>
      </c>
      <c r="K2200" s="31">
        <f t="shared" si="171"/>
        <v>0</v>
      </c>
      <c r="L2200" s="34">
        <f t="shared" si="172"/>
        <v>0</v>
      </c>
      <c r="M2200" s="34">
        <f t="shared" si="170"/>
        <v>0</v>
      </c>
    </row>
    <row r="2201" spans="5:13" x14ac:dyDescent="0.25">
      <c r="E2201" s="32">
        <f t="shared" si="173"/>
        <v>0</v>
      </c>
      <c r="I2201" s="32">
        <f t="shared" si="174"/>
        <v>0</v>
      </c>
      <c r="K2201" s="31">
        <f t="shared" si="171"/>
        <v>0</v>
      </c>
      <c r="L2201" s="34">
        <f t="shared" si="172"/>
        <v>0</v>
      </c>
      <c r="M2201" s="34">
        <f t="shared" si="170"/>
        <v>0</v>
      </c>
    </row>
    <row r="2202" spans="5:13" x14ac:dyDescent="0.25">
      <c r="E2202" s="32">
        <f t="shared" si="173"/>
        <v>0</v>
      </c>
      <c r="I2202" s="32">
        <f t="shared" si="174"/>
        <v>0</v>
      </c>
      <c r="K2202" s="31">
        <f t="shared" si="171"/>
        <v>0</v>
      </c>
      <c r="L2202" s="34">
        <f t="shared" si="172"/>
        <v>0</v>
      </c>
      <c r="M2202" s="34">
        <f t="shared" si="170"/>
        <v>0</v>
      </c>
    </row>
    <row r="2203" spans="5:13" x14ac:dyDescent="0.25">
      <c r="E2203" s="32">
        <f t="shared" si="173"/>
        <v>0</v>
      </c>
      <c r="I2203" s="32">
        <f t="shared" si="174"/>
        <v>0</v>
      </c>
      <c r="K2203" s="31">
        <f t="shared" si="171"/>
        <v>0</v>
      </c>
      <c r="L2203" s="34">
        <f t="shared" si="172"/>
        <v>0</v>
      </c>
      <c r="M2203" s="34">
        <f t="shared" si="170"/>
        <v>0</v>
      </c>
    </row>
    <row r="2204" spans="5:13" x14ac:dyDescent="0.25">
      <c r="E2204" s="32">
        <f t="shared" si="173"/>
        <v>0</v>
      </c>
      <c r="I2204" s="32">
        <f t="shared" si="174"/>
        <v>0</v>
      </c>
      <c r="K2204" s="31">
        <f t="shared" si="171"/>
        <v>0</v>
      </c>
      <c r="L2204" s="34">
        <f t="shared" si="172"/>
        <v>0</v>
      </c>
      <c r="M2204" s="34">
        <f t="shared" si="170"/>
        <v>0</v>
      </c>
    </row>
    <row r="2205" spans="5:13" x14ac:dyDescent="0.25">
      <c r="E2205" s="32">
        <f t="shared" si="173"/>
        <v>0</v>
      </c>
      <c r="I2205" s="32">
        <f t="shared" si="174"/>
        <v>0</v>
      </c>
      <c r="K2205" s="31">
        <f t="shared" si="171"/>
        <v>0</v>
      </c>
      <c r="L2205" s="34">
        <f t="shared" si="172"/>
        <v>0</v>
      </c>
      <c r="M2205" s="34">
        <f t="shared" si="170"/>
        <v>0</v>
      </c>
    </row>
    <row r="2206" spans="5:13" x14ac:dyDescent="0.25">
      <c r="E2206" s="32">
        <f t="shared" si="173"/>
        <v>0</v>
      </c>
      <c r="I2206" s="32">
        <f t="shared" si="174"/>
        <v>0</v>
      </c>
      <c r="K2206" s="31">
        <f t="shared" si="171"/>
        <v>0</v>
      </c>
      <c r="L2206" s="34">
        <f t="shared" si="172"/>
        <v>0</v>
      </c>
      <c r="M2206" s="34">
        <f t="shared" si="170"/>
        <v>0</v>
      </c>
    </row>
    <row r="2207" spans="5:13" x14ac:dyDescent="0.25">
      <c r="E2207" s="32">
        <f t="shared" si="173"/>
        <v>0</v>
      </c>
      <c r="I2207" s="32">
        <f t="shared" si="174"/>
        <v>0</v>
      </c>
      <c r="K2207" s="31">
        <f t="shared" si="171"/>
        <v>0</v>
      </c>
      <c r="L2207" s="34">
        <f t="shared" si="172"/>
        <v>0</v>
      </c>
      <c r="M2207" s="34">
        <f t="shared" si="170"/>
        <v>0</v>
      </c>
    </row>
    <row r="2208" spans="5:13" x14ac:dyDescent="0.25">
      <c r="E2208" s="32">
        <f t="shared" si="173"/>
        <v>0</v>
      </c>
      <c r="I2208" s="32">
        <f t="shared" si="174"/>
        <v>0</v>
      </c>
      <c r="K2208" s="31">
        <f t="shared" si="171"/>
        <v>0</v>
      </c>
      <c r="L2208" s="34">
        <f t="shared" si="172"/>
        <v>0</v>
      </c>
      <c r="M2208" s="34">
        <f t="shared" si="170"/>
        <v>0</v>
      </c>
    </row>
    <row r="2209" spans="5:13" x14ac:dyDescent="0.25">
      <c r="E2209" s="32">
        <f t="shared" si="173"/>
        <v>0</v>
      </c>
      <c r="I2209" s="32">
        <f t="shared" si="174"/>
        <v>0</v>
      </c>
      <c r="K2209" s="31">
        <f t="shared" si="171"/>
        <v>0</v>
      </c>
      <c r="L2209" s="34">
        <f t="shared" si="172"/>
        <v>0</v>
      </c>
      <c r="M2209" s="34">
        <f t="shared" si="170"/>
        <v>0</v>
      </c>
    </row>
    <row r="2210" spans="5:13" x14ac:dyDescent="0.25">
      <c r="E2210" s="32">
        <f t="shared" si="173"/>
        <v>0</v>
      </c>
      <c r="I2210" s="32">
        <f t="shared" si="174"/>
        <v>0</v>
      </c>
      <c r="K2210" s="31">
        <f t="shared" si="171"/>
        <v>0</v>
      </c>
      <c r="L2210" s="34">
        <f t="shared" si="172"/>
        <v>0</v>
      </c>
      <c r="M2210" s="34">
        <f t="shared" si="170"/>
        <v>0</v>
      </c>
    </row>
    <row r="2211" spans="5:13" x14ac:dyDescent="0.25">
      <c r="E2211" s="32">
        <f t="shared" si="173"/>
        <v>0</v>
      </c>
      <c r="I2211" s="32">
        <f t="shared" si="174"/>
        <v>0</v>
      </c>
      <c r="K2211" s="31">
        <f t="shared" si="171"/>
        <v>0</v>
      </c>
      <c r="L2211" s="34">
        <f t="shared" si="172"/>
        <v>0</v>
      </c>
      <c r="M2211" s="34">
        <f t="shared" si="170"/>
        <v>0</v>
      </c>
    </row>
    <row r="2212" spans="5:13" x14ac:dyDescent="0.25">
      <c r="E2212" s="32">
        <f t="shared" si="173"/>
        <v>0</v>
      </c>
      <c r="I2212" s="32">
        <f t="shared" si="174"/>
        <v>0</v>
      </c>
      <c r="K2212" s="31">
        <f t="shared" si="171"/>
        <v>0</v>
      </c>
      <c r="L2212" s="34">
        <f t="shared" si="172"/>
        <v>0</v>
      </c>
      <c r="M2212" s="34">
        <f t="shared" si="170"/>
        <v>0</v>
      </c>
    </row>
    <row r="2213" spans="5:13" x14ac:dyDescent="0.25">
      <c r="E2213" s="32">
        <f t="shared" si="173"/>
        <v>0</v>
      </c>
      <c r="I2213" s="32">
        <f t="shared" si="174"/>
        <v>0</v>
      </c>
      <c r="K2213" s="31">
        <f t="shared" si="171"/>
        <v>0</v>
      </c>
      <c r="L2213" s="34">
        <f t="shared" si="172"/>
        <v>0</v>
      </c>
      <c r="M2213" s="34">
        <f t="shared" si="170"/>
        <v>0</v>
      </c>
    </row>
    <row r="2214" spans="5:13" x14ac:dyDescent="0.25">
      <c r="E2214" s="32">
        <f t="shared" si="173"/>
        <v>0</v>
      </c>
      <c r="I2214" s="32">
        <f t="shared" si="174"/>
        <v>0</v>
      </c>
      <c r="K2214" s="31">
        <f t="shared" si="171"/>
        <v>0</v>
      </c>
      <c r="L2214" s="34">
        <f t="shared" si="172"/>
        <v>0</v>
      </c>
      <c r="M2214" s="34">
        <f t="shared" si="170"/>
        <v>0</v>
      </c>
    </row>
    <row r="2215" spans="5:13" x14ac:dyDescent="0.25">
      <c r="E2215" s="32">
        <f t="shared" si="173"/>
        <v>0</v>
      </c>
      <c r="I2215" s="32">
        <f t="shared" si="174"/>
        <v>0</v>
      </c>
      <c r="K2215" s="31">
        <f t="shared" si="171"/>
        <v>0</v>
      </c>
      <c r="L2215" s="34">
        <f t="shared" si="172"/>
        <v>0</v>
      </c>
      <c r="M2215" s="34">
        <f t="shared" si="170"/>
        <v>0</v>
      </c>
    </row>
    <row r="2216" spans="5:13" x14ac:dyDescent="0.25">
      <c r="E2216" s="32">
        <f t="shared" si="173"/>
        <v>0</v>
      </c>
      <c r="I2216" s="32">
        <f t="shared" si="174"/>
        <v>0</v>
      </c>
      <c r="K2216" s="31">
        <f t="shared" si="171"/>
        <v>0</v>
      </c>
      <c r="L2216" s="34">
        <f t="shared" si="172"/>
        <v>0</v>
      </c>
      <c r="M2216" s="34">
        <f t="shared" si="170"/>
        <v>0</v>
      </c>
    </row>
    <row r="2217" spans="5:13" x14ac:dyDescent="0.25">
      <c r="E2217" s="32">
        <f t="shared" si="173"/>
        <v>0</v>
      </c>
      <c r="I2217" s="32">
        <f t="shared" si="174"/>
        <v>0</v>
      </c>
      <c r="K2217" s="31">
        <f t="shared" si="171"/>
        <v>0</v>
      </c>
      <c r="L2217" s="34">
        <f t="shared" si="172"/>
        <v>0</v>
      </c>
      <c r="M2217" s="34">
        <f t="shared" si="170"/>
        <v>0</v>
      </c>
    </row>
    <row r="2218" spans="5:13" x14ac:dyDescent="0.25">
      <c r="E2218" s="32">
        <f t="shared" si="173"/>
        <v>0</v>
      </c>
      <c r="I2218" s="32">
        <f t="shared" si="174"/>
        <v>0</v>
      </c>
      <c r="K2218" s="31">
        <f t="shared" si="171"/>
        <v>0</v>
      </c>
      <c r="L2218" s="34">
        <f t="shared" si="172"/>
        <v>0</v>
      </c>
      <c r="M2218" s="34">
        <f t="shared" si="170"/>
        <v>0</v>
      </c>
    </row>
    <row r="2219" spans="5:13" x14ac:dyDescent="0.25">
      <c r="E2219" s="32">
        <f t="shared" si="173"/>
        <v>0</v>
      </c>
      <c r="I2219" s="32">
        <f t="shared" si="174"/>
        <v>0</v>
      </c>
      <c r="K2219" s="31">
        <f t="shared" si="171"/>
        <v>0</v>
      </c>
      <c r="L2219" s="34">
        <f t="shared" si="172"/>
        <v>0</v>
      </c>
      <c r="M2219" s="34">
        <f t="shared" si="170"/>
        <v>0</v>
      </c>
    </row>
    <row r="2220" spans="5:13" x14ac:dyDescent="0.25">
      <c r="E2220" s="32">
        <f t="shared" si="173"/>
        <v>0</v>
      </c>
      <c r="I2220" s="32">
        <f t="shared" si="174"/>
        <v>0</v>
      </c>
      <c r="K2220" s="31">
        <f t="shared" si="171"/>
        <v>0</v>
      </c>
      <c r="L2220" s="34">
        <f t="shared" si="172"/>
        <v>0</v>
      </c>
      <c r="M2220" s="34">
        <f t="shared" si="170"/>
        <v>0</v>
      </c>
    </row>
    <row r="2221" spans="5:13" x14ac:dyDescent="0.25">
      <c r="E2221" s="32">
        <f t="shared" si="173"/>
        <v>0</v>
      </c>
      <c r="I2221" s="32">
        <f t="shared" si="174"/>
        <v>0</v>
      </c>
      <c r="K2221" s="31">
        <f t="shared" si="171"/>
        <v>0</v>
      </c>
      <c r="L2221" s="34">
        <f t="shared" si="172"/>
        <v>0</v>
      </c>
      <c r="M2221" s="34">
        <f t="shared" si="170"/>
        <v>0</v>
      </c>
    </row>
    <row r="2222" spans="5:13" x14ac:dyDescent="0.25">
      <c r="E2222" s="32">
        <f t="shared" si="173"/>
        <v>0</v>
      </c>
      <c r="I2222" s="32">
        <f t="shared" si="174"/>
        <v>0</v>
      </c>
      <c r="K2222" s="31">
        <f t="shared" si="171"/>
        <v>0</v>
      </c>
      <c r="L2222" s="34">
        <f t="shared" si="172"/>
        <v>0</v>
      </c>
      <c r="M2222" s="34">
        <f t="shared" si="170"/>
        <v>0</v>
      </c>
    </row>
    <row r="2223" spans="5:13" x14ac:dyDescent="0.25">
      <c r="E2223" s="32">
        <f t="shared" si="173"/>
        <v>0</v>
      </c>
      <c r="I2223" s="32">
        <f t="shared" si="174"/>
        <v>0</v>
      </c>
      <c r="K2223" s="31">
        <f t="shared" si="171"/>
        <v>0</v>
      </c>
      <c r="L2223" s="34">
        <f t="shared" si="172"/>
        <v>0</v>
      </c>
      <c r="M2223" s="34">
        <f t="shared" si="170"/>
        <v>0</v>
      </c>
    </row>
    <row r="2224" spans="5:13" x14ac:dyDescent="0.25">
      <c r="E2224" s="32">
        <f t="shared" si="173"/>
        <v>0</v>
      </c>
      <c r="I2224" s="32">
        <f t="shared" si="174"/>
        <v>0</v>
      </c>
      <c r="K2224" s="31">
        <f t="shared" si="171"/>
        <v>0</v>
      </c>
      <c r="L2224" s="34">
        <f t="shared" si="172"/>
        <v>0</v>
      </c>
      <c r="M2224" s="34">
        <f t="shared" si="170"/>
        <v>0</v>
      </c>
    </row>
    <row r="2225" spans="5:13" x14ac:dyDescent="0.25">
      <c r="E2225" s="32">
        <f t="shared" si="173"/>
        <v>0</v>
      </c>
      <c r="I2225" s="32">
        <f t="shared" si="174"/>
        <v>0</v>
      </c>
      <c r="K2225" s="31">
        <f t="shared" si="171"/>
        <v>0</v>
      </c>
      <c r="L2225" s="34">
        <f t="shared" si="172"/>
        <v>0</v>
      </c>
      <c r="M2225" s="34">
        <f t="shared" si="170"/>
        <v>0</v>
      </c>
    </row>
    <row r="2226" spans="5:13" x14ac:dyDescent="0.25">
      <c r="E2226" s="32">
        <f t="shared" si="173"/>
        <v>0</v>
      </c>
      <c r="I2226" s="32">
        <f t="shared" si="174"/>
        <v>0</v>
      </c>
      <c r="K2226" s="31">
        <f t="shared" si="171"/>
        <v>0</v>
      </c>
      <c r="L2226" s="34">
        <f t="shared" si="172"/>
        <v>0</v>
      </c>
      <c r="M2226" s="34">
        <f t="shared" si="170"/>
        <v>0</v>
      </c>
    </row>
    <row r="2227" spans="5:13" x14ac:dyDescent="0.25">
      <c r="E2227" s="32">
        <f t="shared" si="173"/>
        <v>0</v>
      </c>
      <c r="I2227" s="32">
        <f t="shared" si="174"/>
        <v>0</v>
      </c>
      <c r="K2227" s="31">
        <f t="shared" si="171"/>
        <v>0</v>
      </c>
      <c r="L2227" s="34">
        <f t="shared" si="172"/>
        <v>0</v>
      </c>
      <c r="M2227" s="34">
        <f t="shared" si="170"/>
        <v>0</v>
      </c>
    </row>
    <row r="2228" spans="5:13" x14ac:dyDescent="0.25">
      <c r="E2228" s="32">
        <f t="shared" si="173"/>
        <v>0</v>
      </c>
      <c r="I2228" s="32">
        <f t="shared" si="174"/>
        <v>0</v>
      </c>
      <c r="K2228" s="31">
        <f t="shared" si="171"/>
        <v>0</v>
      </c>
      <c r="L2228" s="34">
        <f t="shared" si="172"/>
        <v>0</v>
      </c>
      <c r="M2228" s="34">
        <f t="shared" si="170"/>
        <v>0</v>
      </c>
    </row>
    <row r="2229" spans="5:13" x14ac:dyDescent="0.25">
      <c r="E2229" s="32">
        <f t="shared" si="173"/>
        <v>0</v>
      </c>
      <c r="I2229" s="32">
        <f t="shared" si="174"/>
        <v>0</v>
      </c>
      <c r="K2229" s="31">
        <f t="shared" si="171"/>
        <v>0</v>
      </c>
      <c r="L2229" s="34">
        <f t="shared" si="172"/>
        <v>0</v>
      </c>
      <c r="M2229" s="34">
        <f t="shared" si="170"/>
        <v>0</v>
      </c>
    </row>
    <row r="2230" spans="5:13" x14ac:dyDescent="0.25">
      <c r="E2230" s="32">
        <f t="shared" si="173"/>
        <v>0</v>
      </c>
      <c r="I2230" s="32">
        <f t="shared" si="174"/>
        <v>0</v>
      </c>
      <c r="K2230" s="31">
        <f t="shared" si="171"/>
        <v>0</v>
      </c>
      <c r="L2230" s="34">
        <f t="shared" si="172"/>
        <v>0</v>
      </c>
      <c r="M2230" s="34">
        <f t="shared" si="170"/>
        <v>0</v>
      </c>
    </row>
    <row r="2231" spans="5:13" x14ac:dyDescent="0.25">
      <c r="E2231" s="32">
        <f t="shared" si="173"/>
        <v>0</v>
      </c>
      <c r="I2231" s="32">
        <f t="shared" si="174"/>
        <v>0</v>
      </c>
      <c r="K2231" s="31">
        <f t="shared" si="171"/>
        <v>0</v>
      </c>
      <c r="L2231" s="34">
        <f t="shared" si="172"/>
        <v>0</v>
      </c>
      <c r="M2231" s="34">
        <f t="shared" si="170"/>
        <v>0</v>
      </c>
    </row>
    <row r="2232" spans="5:13" x14ac:dyDescent="0.25">
      <c r="E2232" s="32">
        <f t="shared" si="173"/>
        <v>0</v>
      </c>
      <c r="I2232" s="32">
        <f t="shared" si="174"/>
        <v>0</v>
      </c>
      <c r="K2232" s="31">
        <f t="shared" si="171"/>
        <v>0</v>
      </c>
      <c r="L2232" s="34">
        <f t="shared" si="172"/>
        <v>0</v>
      </c>
      <c r="M2232" s="34">
        <f t="shared" si="170"/>
        <v>0</v>
      </c>
    </row>
    <row r="2233" spans="5:13" x14ac:dyDescent="0.25">
      <c r="E2233" s="32">
        <f t="shared" si="173"/>
        <v>0</v>
      </c>
      <c r="I2233" s="32">
        <f t="shared" si="174"/>
        <v>0</v>
      </c>
      <c r="K2233" s="31">
        <f t="shared" si="171"/>
        <v>0</v>
      </c>
      <c r="L2233" s="34">
        <f t="shared" si="172"/>
        <v>0</v>
      </c>
      <c r="M2233" s="34">
        <f t="shared" si="170"/>
        <v>0</v>
      </c>
    </row>
    <row r="2234" spans="5:13" x14ac:dyDescent="0.25">
      <c r="E2234" s="32">
        <f t="shared" si="173"/>
        <v>0</v>
      </c>
      <c r="I2234" s="32">
        <f t="shared" si="174"/>
        <v>0</v>
      </c>
      <c r="K2234" s="31">
        <f t="shared" si="171"/>
        <v>0</v>
      </c>
      <c r="L2234" s="34">
        <f t="shared" si="172"/>
        <v>0</v>
      </c>
      <c r="M2234" s="34">
        <f t="shared" si="170"/>
        <v>0</v>
      </c>
    </row>
    <row r="2235" spans="5:13" x14ac:dyDescent="0.25">
      <c r="E2235" s="32">
        <f t="shared" si="173"/>
        <v>0</v>
      </c>
      <c r="I2235" s="32">
        <f t="shared" si="174"/>
        <v>0</v>
      </c>
      <c r="K2235" s="31">
        <f t="shared" si="171"/>
        <v>0</v>
      </c>
      <c r="L2235" s="34">
        <f t="shared" si="172"/>
        <v>0</v>
      </c>
      <c r="M2235" s="34">
        <f t="shared" si="170"/>
        <v>0</v>
      </c>
    </row>
    <row r="2236" spans="5:13" x14ac:dyDescent="0.25">
      <c r="E2236" s="32">
        <f t="shared" si="173"/>
        <v>0</v>
      </c>
      <c r="I2236" s="32">
        <f t="shared" si="174"/>
        <v>0</v>
      </c>
      <c r="K2236" s="31">
        <f t="shared" si="171"/>
        <v>0</v>
      </c>
      <c r="L2236" s="34">
        <f t="shared" si="172"/>
        <v>0</v>
      </c>
      <c r="M2236" s="34">
        <f t="shared" si="170"/>
        <v>0</v>
      </c>
    </row>
    <row r="2237" spans="5:13" x14ac:dyDescent="0.25">
      <c r="E2237" s="32">
        <f t="shared" si="173"/>
        <v>0</v>
      </c>
      <c r="I2237" s="32">
        <f t="shared" si="174"/>
        <v>0</v>
      </c>
      <c r="K2237" s="31">
        <f t="shared" si="171"/>
        <v>0</v>
      </c>
      <c r="L2237" s="34">
        <f t="shared" si="172"/>
        <v>0</v>
      </c>
      <c r="M2237" s="34">
        <f t="shared" si="170"/>
        <v>0</v>
      </c>
    </row>
    <row r="2238" spans="5:13" x14ac:dyDescent="0.25">
      <c r="E2238" s="32">
        <f t="shared" si="173"/>
        <v>0</v>
      </c>
      <c r="I2238" s="32">
        <f t="shared" si="174"/>
        <v>0</v>
      </c>
      <c r="K2238" s="31">
        <f t="shared" si="171"/>
        <v>0</v>
      </c>
      <c r="L2238" s="34">
        <f t="shared" si="172"/>
        <v>0</v>
      </c>
      <c r="M2238" s="34">
        <f t="shared" si="170"/>
        <v>0</v>
      </c>
    </row>
    <row r="2239" spans="5:13" x14ac:dyDescent="0.25">
      <c r="E2239" s="32">
        <f t="shared" si="173"/>
        <v>0</v>
      </c>
      <c r="I2239" s="32">
        <f t="shared" si="174"/>
        <v>0</v>
      </c>
      <c r="K2239" s="31">
        <f t="shared" si="171"/>
        <v>0</v>
      </c>
      <c r="L2239" s="34">
        <f t="shared" si="172"/>
        <v>0</v>
      </c>
      <c r="M2239" s="34">
        <f t="shared" si="170"/>
        <v>0</v>
      </c>
    </row>
    <row r="2240" spans="5:13" x14ac:dyDescent="0.25">
      <c r="E2240" s="32">
        <f t="shared" si="173"/>
        <v>0</v>
      </c>
      <c r="I2240" s="32">
        <f t="shared" si="174"/>
        <v>0</v>
      </c>
      <c r="K2240" s="31">
        <f t="shared" si="171"/>
        <v>0</v>
      </c>
      <c r="L2240" s="34">
        <f t="shared" si="172"/>
        <v>0</v>
      </c>
      <c r="M2240" s="34">
        <f t="shared" si="170"/>
        <v>0</v>
      </c>
    </row>
    <row r="2241" spans="5:13" x14ac:dyDescent="0.25">
      <c r="E2241" s="32">
        <f t="shared" si="173"/>
        <v>0</v>
      </c>
      <c r="I2241" s="32">
        <f t="shared" si="174"/>
        <v>0</v>
      </c>
      <c r="K2241" s="31">
        <f t="shared" si="171"/>
        <v>0</v>
      </c>
      <c r="L2241" s="34">
        <f t="shared" si="172"/>
        <v>0</v>
      </c>
      <c r="M2241" s="34">
        <f t="shared" si="170"/>
        <v>0</v>
      </c>
    </row>
    <row r="2242" spans="5:13" x14ac:dyDescent="0.25">
      <c r="E2242" s="32">
        <f t="shared" si="173"/>
        <v>0</v>
      </c>
      <c r="I2242" s="32">
        <f t="shared" si="174"/>
        <v>0</v>
      </c>
      <c r="K2242" s="31">
        <f t="shared" si="171"/>
        <v>0</v>
      </c>
      <c r="L2242" s="34">
        <f t="shared" si="172"/>
        <v>0</v>
      </c>
      <c r="M2242" s="34">
        <f t="shared" si="170"/>
        <v>0</v>
      </c>
    </row>
    <row r="2243" spans="5:13" x14ac:dyDescent="0.25">
      <c r="E2243" s="32">
        <f t="shared" si="173"/>
        <v>0</v>
      </c>
      <c r="I2243" s="32">
        <f t="shared" si="174"/>
        <v>0</v>
      </c>
      <c r="K2243" s="31">
        <f t="shared" si="171"/>
        <v>0</v>
      </c>
      <c r="L2243" s="34">
        <f t="shared" si="172"/>
        <v>0</v>
      </c>
      <c r="M2243" s="34">
        <f t="shared" si="170"/>
        <v>0</v>
      </c>
    </row>
    <row r="2244" spans="5:13" x14ac:dyDescent="0.25">
      <c r="E2244" s="32">
        <f t="shared" si="173"/>
        <v>0</v>
      </c>
      <c r="I2244" s="32">
        <f t="shared" si="174"/>
        <v>0</v>
      </c>
      <c r="K2244" s="31">
        <f t="shared" si="171"/>
        <v>0</v>
      </c>
      <c r="L2244" s="34">
        <f t="shared" si="172"/>
        <v>0</v>
      </c>
      <c r="M2244" s="34">
        <f t="shared" ref="M2244:M2307" si="175">(L2244/27)*4</f>
        <v>0</v>
      </c>
    </row>
    <row r="2245" spans="5:13" x14ac:dyDescent="0.25">
      <c r="E2245" s="32">
        <f t="shared" si="173"/>
        <v>0</v>
      </c>
      <c r="I2245" s="32">
        <f t="shared" si="174"/>
        <v>0</v>
      </c>
      <c r="K2245" s="31">
        <f t="shared" ref="K2245:K2308" si="176">B2245/30</f>
        <v>0</v>
      </c>
      <c r="L2245" s="34">
        <f t="shared" ref="L2245:L2308" si="177">IF(J2245="S",((I2245*24)*K2245)*2,((I2245*24)*K2245)*1.5)</f>
        <v>0</v>
      </c>
      <c r="M2245" s="34">
        <f t="shared" si="175"/>
        <v>0</v>
      </c>
    </row>
    <row r="2246" spans="5:13" x14ac:dyDescent="0.25">
      <c r="E2246" s="32">
        <f t="shared" ref="E2246:E2309" si="178">D2246-C2246</f>
        <v>0</v>
      </c>
      <c r="I2246" s="32">
        <f t="shared" ref="I2246:I2309" si="179">H2246-G2246</f>
        <v>0</v>
      </c>
      <c r="K2246" s="31">
        <f t="shared" si="176"/>
        <v>0</v>
      </c>
      <c r="L2246" s="34">
        <f t="shared" si="177"/>
        <v>0</v>
      </c>
      <c r="M2246" s="34">
        <f t="shared" si="175"/>
        <v>0</v>
      </c>
    </row>
    <row r="2247" spans="5:13" x14ac:dyDescent="0.25">
      <c r="E2247" s="32">
        <f t="shared" si="178"/>
        <v>0</v>
      </c>
      <c r="I2247" s="32">
        <f t="shared" si="179"/>
        <v>0</v>
      </c>
      <c r="K2247" s="31">
        <f t="shared" si="176"/>
        <v>0</v>
      </c>
      <c r="L2247" s="34">
        <f t="shared" si="177"/>
        <v>0</v>
      </c>
      <c r="M2247" s="34">
        <f t="shared" si="175"/>
        <v>0</v>
      </c>
    </row>
    <row r="2248" spans="5:13" x14ac:dyDescent="0.25">
      <c r="E2248" s="32">
        <f t="shared" si="178"/>
        <v>0</v>
      </c>
      <c r="I2248" s="32">
        <f t="shared" si="179"/>
        <v>0</v>
      </c>
      <c r="K2248" s="31">
        <f t="shared" si="176"/>
        <v>0</v>
      </c>
      <c r="L2248" s="34">
        <f t="shared" si="177"/>
        <v>0</v>
      </c>
      <c r="M2248" s="34">
        <f t="shared" si="175"/>
        <v>0</v>
      </c>
    </row>
    <row r="2249" spans="5:13" x14ac:dyDescent="0.25">
      <c r="E2249" s="32">
        <f t="shared" si="178"/>
        <v>0</v>
      </c>
      <c r="I2249" s="32">
        <f t="shared" si="179"/>
        <v>0</v>
      </c>
      <c r="K2249" s="31">
        <f t="shared" si="176"/>
        <v>0</v>
      </c>
      <c r="L2249" s="34">
        <f t="shared" si="177"/>
        <v>0</v>
      </c>
      <c r="M2249" s="34">
        <f t="shared" si="175"/>
        <v>0</v>
      </c>
    </row>
    <row r="2250" spans="5:13" x14ac:dyDescent="0.25">
      <c r="E2250" s="32">
        <f t="shared" si="178"/>
        <v>0</v>
      </c>
      <c r="I2250" s="32">
        <f t="shared" si="179"/>
        <v>0</v>
      </c>
      <c r="K2250" s="31">
        <f t="shared" si="176"/>
        <v>0</v>
      </c>
      <c r="L2250" s="34">
        <f t="shared" si="177"/>
        <v>0</v>
      </c>
      <c r="M2250" s="34">
        <f t="shared" si="175"/>
        <v>0</v>
      </c>
    </row>
    <row r="2251" spans="5:13" x14ac:dyDescent="0.25">
      <c r="E2251" s="32">
        <f t="shared" si="178"/>
        <v>0</v>
      </c>
      <c r="I2251" s="32">
        <f t="shared" si="179"/>
        <v>0</v>
      </c>
      <c r="K2251" s="31">
        <f t="shared" si="176"/>
        <v>0</v>
      </c>
      <c r="L2251" s="34">
        <f t="shared" si="177"/>
        <v>0</v>
      </c>
      <c r="M2251" s="34">
        <f t="shared" si="175"/>
        <v>0</v>
      </c>
    </row>
    <row r="2252" spans="5:13" x14ac:dyDescent="0.25">
      <c r="E2252" s="32">
        <f t="shared" si="178"/>
        <v>0</v>
      </c>
      <c r="I2252" s="32">
        <f t="shared" si="179"/>
        <v>0</v>
      </c>
      <c r="K2252" s="31">
        <f t="shared" si="176"/>
        <v>0</v>
      </c>
      <c r="L2252" s="34">
        <f t="shared" si="177"/>
        <v>0</v>
      </c>
      <c r="M2252" s="34">
        <f t="shared" si="175"/>
        <v>0</v>
      </c>
    </row>
    <row r="2253" spans="5:13" x14ac:dyDescent="0.25">
      <c r="E2253" s="32">
        <f t="shared" si="178"/>
        <v>0</v>
      </c>
      <c r="I2253" s="32">
        <f t="shared" si="179"/>
        <v>0</v>
      </c>
      <c r="K2253" s="31">
        <f t="shared" si="176"/>
        <v>0</v>
      </c>
      <c r="L2253" s="34">
        <f t="shared" si="177"/>
        <v>0</v>
      </c>
      <c r="M2253" s="34">
        <f t="shared" si="175"/>
        <v>0</v>
      </c>
    </row>
    <row r="2254" spans="5:13" x14ac:dyDescent="0.25">
      <c r="E2254" s="32">
        <f t="shared" si="178"/>
        <v>0</v>
      </c>
      <c r="I2254" s="32">
        <f t="shared" si="179"/>
        <v>0</v>
      </c>
      <c r="K2254" s="31">
        <f t="shared" si="176"/>
        <v>0</v>
      </c>
      <c r="L2254" s="34">
        <f t="shared" si="177"/>
        <v>0</v>
      </c>
      <c r="M2254" s="34">
        <f t="shared" si="175"/>
        <v>0</v>
      </c>
    </row>
    <row r="2255" spans="5:13" x14ac:dyDescent="0.25">
      <c r="E2255" s="32">
        <f t="shared" si="178"/>
        <v>0</v>
      </c>
      <c r="I2255" s="32">
        <f t="shared" si="179"/>
        <v>0</v>
      </c>
      <c r="K2255" s="31">
        <f t="shared" si="176"/>
        <v>0</v>
      </c>
      <c r="L2255" s="34">
        <f t="shared" si="177"/>
        <v>0</v>
      </c>
      <c r="M2255" s="34">
        <f t="shared" si="175"/>
        <v>0</v>
      </c>
    </row>
    <row r="2256" spans="5:13" x14ac:dyDescent="0.25">
      <c r="E2256" s="32">
        <f t="shared" si="178"/>
        <v>0</v>
      </c>
      <c r="I2256" s="32">
        <f t="shared" si="179"/>
        <v>0</v>
      </c>
      <c r="K2256" s="31">
        <f t="shared" si="176"/>
        <v>0</v>
      </c>
      <c r="L2256" s="34">
        <f t="shared" si="177"/>
        <v>0</v>
      </c>
      <c r="M2256" s="34">
        <f t="shared" si="175"/>
        <v>0</v>
      </c>
    </row>
    <row r="2257" spans="5:13" x14ac:dyDescent="0.25">
      <c r="E2257" s="32">
        <f t="shared" si="178"/>
        <v>0</v>
      </c>
      <c r="I2257" s="32">
        <f t="shared" si="179"/>
        <v>0</v>
      </c>
      <c r="K2257" s="31">
        <f t="shared" si="176"/>
        <v>0</v>
      </c>
      <c r="L2257" s="34">
        <f t="shared" si="177"/>
        <v>0</v>
      </c>
      <c r="M2257" s="34">
        <f t="shared" si="175"/>
        <v>0</v>
      </c>
    </row>
    <row r="2258" spans="5:13" x14ac:dyDescent="0.25">
      <c r="E2258" s="32">
        <f t="shared" si="178"/>
        <v>0</v>
      </c>
      <c r="I2258" s="32">
        <f t="shared" si="179"/>
        <v>0</v>
      </c>
      <c r="K2258" s="31">
        <f t="shared" si="176"/>
        <v>0</v>
      </c>
      <c r="L2258" s="34">
        <f t="shared" si="177"/>
        <v>0</v>
      </c>
      <c r="M2258" s="34">
        <f t="shared" si="175"/>
        <v>0</v>
      </c>
    </row>
    <row r="2259" spans="5:13" x14ac:dyDescent="0.25">
      <c r="E2259" s="32">
        <f t="shared" si="178"/>
        <v>0</v>
      </c>
      <c r="I2259" s="32">
        <f t="shared" si="179"/>
        <v>0</v>
      </c>
      <c r="K2259" s="31">
        <f t="shared" si="176"/>
        <v>0</v>
      </c>
      <c r="L2259" s="34">
        <f t="shared" si="177"/>
        <v>0</v>
      </c>
      <c r="M2259" s="34">
        <f t="shared" si="175"/>
        <v>0</v>
      </c>
    </row>
    <row r="2260" spans="5:13" x14ac:dyDescent="0.25">
      <c r="E2260" s="32">
        <f t="shared" si="178"/>
        <v>0</v>
      </c>
      <c r="I2260" s="32">
        <f t="shared" si="179"/>
        <v>0</v>
      </c>
      <c r="K2260" s="31">
        <f t="shared" si="176"/>
        <v>0</v>
      </c>
      <c r="L2260" s="34">
        <f t="shared" si="177"/>
        <v>0</v>
      </c>
      <c r="M2260" s="34">
        <f t="shared" si="175"/>
        <v>0</v>
      </c>
    </row>
    <row r="2261" spans="5:13" x14ac:dyDescent="0.25">
      <c r="E2261" s="32">
        <f t="shared" si="178"/>
        <v>0</v>
      </c>
      <c r="I2261" s="32">
        <f t="shared" si="179"/>
        <v>0</v>
      </c>
      <c r="K2261" s="31">
        <f t="shared" si="176"/>
        <v>0</v>
      </c>
      <c r="L2261" s="34">
        <f t="shared" si="177"/>
        <v>0</v>
      </c>
      <c r="M2261" s="34">
        <f t="shared" si="175"/>
        <v>0</v>
      </c>
    </row>
    <row r="2262" spans="5:13" x14ac:dyDescent="0.25">
      <c r="E2262" s="32">
        <f t="shared" si="178"/>
        <v>0</v>
      </c>
      <c r="I2262" s="32">
        <f t="shared" si="179"/>
        <v>0</v>
      </c>
      <c r="K2262" s="31">
        <f t="shared" si="176"/>
        <v>0</v>
      </c>
      <c r="L2262" s="34">
        <f t="shared" si="177"/>
        <v>0</v>
      </c>
      <c r="M2262" s="34">
        <f t="shared" si="175"/>
        <v>0</v>
      </c>
    </row>
    <row r="2263" spans="5:13" x14ac:dyDescent="0.25">
      <c r="E2263" s="32">
        <f t="shared" si="178"/>
        <v>0</v>
      </c>
      <c r="I2263" s="32">
        <f t="shared" si="179"/>
        <v>0</v>
      </c>
      <c r="K2263" s="31">
        <f t="shared" si="176"/>
        <v>0</v>
      </c>
      <c r="L2263" s="34">
        <f t="shared" si="177"/>
        <v>0</v>
      </c>
      <c r="M2263" s="34">
        <f t="shared" si="175"/>
        <v>0</v>
      </c>
    </row>
    <row r="2264" spans="5:13" x14ac:dyDescent="0.25">
      <c r="E2264" s="32">
        <f t="shared" si="178"/>
        <v>0</v>
      </c>
      <c r="I2264" s="32">
        <f t="shared" si="179"/>
        <v>0</v>
      </c>
      <c r="K2264" s="31">
        <f t="shared" si="176"/>
        <v>0</v>
      </c>
      <c r="L2264" s="34">
        <f t="shared" si="177"/>
        <v>0</v>
      </c>
      <c r="M2264" s="34">
        <f t="shared" si="175"/>
        <v>0</v>
      </c>
    </row>
    <row r="2265" spans="5:13" x14ac:dyDescent="0.25">
      <c r="E2265" s="32">
        <f t="shared" si="178"/>
        <v>0</v>
      </c>
      <c r="I2265" s="32">
        <f t="shared" si="179"/>
        <v>0</v>
      </c>
      <c r="K2265" s="31">
        <f t="shared" si="176"/>
        <v>0</v>
      </c>
      <c r="L2265" s="34">
        <f t="shared" si="177"/>
        <v>0</v>
      </c>
      <c r="M2265" s="34">
        <f t="shared" si="175"/>
        <v>0</v>
      </c>
    </row>
    <row r="2266" spans="5:13" x14ac:dyDescent="0.25">
      <c r="E2266" s="32">
        <f t="shared" si="178"/>
        <v>0</v>
      </c>
      <c r="I2266" s="32">
        <f t="shared" si="179"/>
        <v>0</v>
      </c>
      <c r="K2266" s="31">
        <f t="shared" si="176"/>
        <v>0</v>
      </c>
      <c r="L2266" s="34">
        <f t="shared" si="177"/>
        <v>0</v>
      </c>
      <c r="M2266" s="34">
        <f t="shared" si="175"/>
        <v>0</v>
      </c>
    </row>
    <row r="2267" spans="5:13" x14ac:dyDescent="0.25">
      <c r="E2267" s="32">
        <f t="shared" si="178"/>
        <v>0</v>
      </c>
      <c r="I2267" s="32">
        <f t="shared" si="179"/>
        <v>0</v>
      </c>
      <c r="K2267" s="31">
        <f t="shared" si="176"/>
        <v>0</v>
      </c>
      <c r="L2267" s="34">
        <f t="shared" si="177"/>
        <v>0</v>
      </c>
      <c r="M2267" s="34">
        <f t="shared" si="175"/>
        <v>0</v>
      </c>
    </row>
    <row r="2268" spans="5:13" x14ac:dyDescent="0.25">
      <c r="E2268" s="32">
        <f t="shared" si="178"/>
        <v>0</v>
      </c>
      <c r="I2268" s="32">
        <f t="shared" si="179"/>
        <v>0</v>
      </c>
      <c r="K2268" s="31">
        <f t="shared" si="176"/>
        <v>0</v>
      </c>
      <c r="L2268" s="34">
        <f t="shared" si="177"/>
        <v>0</v>
      </c>
      <c r="M2268" s="34">
        <f t="shared" si="175"/>
        <v>0</v>
      </c>
    </row>
    <row r="2269" spans="5:13" x14ac:dyDescent="0.25">
      <c r="E2269" s="32">
        <f t="shared" si="178"/>
        <v>0</v>
      </c>
      <c r="I2269" s="32">
        <f t="shared" si="179"/>
        <v>0</v>
      </c>
      <c r="K2269" s="31">
        <f t="shared" si="176"/>
        <v>0</v>
      </c>
      <c r="L2269" s="34">
        <f t="shared" si="177"/>
        <v>0</v>
      </c>
      <c r="M2269" s="34">
        <f t="shared" si="175"/>
        <v>0</v>
      </c>
    </row>
    <row r="2270" spans="5:13" x14ac:dyDescent="0.25">
      <c r="E2270" s="32">
        <f t="shared" si="178"/>
        <v>0</v>
      </c>
      <c r="I2270" s="32">
        <f t="shared" si="179"/>
        <v>0</v>
      </c>
      <c r="K2270" s="31">
        <f t="shared" si="176"/>
        <v>0</v>
      </c>
      <c r="L2270" s="34">
        <f t="shared" si="177"/>
        <v>0</v>
      </c>
      <c r="M2270" s="34">
        <f t="shared" si="175"/>
        <v>0</v>
      </c>
    </row>
    <row r="2271" spans="5:13" x14ac:dyDescent="0.25">
      <c r="E2271" s="32">
        <f t="shared" si="178"/>
        <v>0</v>
      </c>
      <c r="I2271" s="32">
        <f t="shared" si="179"/>
        <v>0</v>
      </c>
      <c r="K2271" s="31">
        <f t="shared" si="176"/>
        <v>0</v>
      </c>
      <c r="L2271" s="34">
        <f t="shared" si="177"/>
        <v>0</v>
      </c>
      <c r="M2271" s="34">
        <f t="shared" si="175"/>
        <v>0</v>
      </c>
    </row>
    <row r="2272" spans="5:13" x14ac:dyDescent="0.25">
      <c r="E2272" s="32">
        <f t="shared" si="178"/>
        <v>0</v>
      </c>
      <c r="I2272" s="32">
        <f t="shared" si="179"/>
        <v>0</v>
      </c>
      <c r="K2272" s="31">
        <f t="shared" si="176"/>
        <v>0</v>
      </c>
      <c r="L2272" s="34">
        <f t="shared" si="177"/>
        <v>0</v>
      </c>
      <c r="M2272" s="34">
        <f t="shared" si="175"/>
        <v>0</v>
      </c>
    </row>
    <row r="2273" spans="5:13" x14ac:dyDescent="0.25">
      <c r="E2273" s="32">
        <f t="shared" si="178"/>
        <v>0</v>
      </c>
      <c r="I2273" s="32">
        <f t="shared" si="179"/>
        <v>0</v>
      </c>
      <c r="K2273" s="31">
        <f t="shared" si="176"/>
        <v>0</v>
      </c>
      <c r="L2273" s="34">
        <f t="shared" si="177"/>
        <v>0</v>
      </c>
      <c r="M2273" s="34">
        <f t="shared" si="175"/>
        <v>0</v>
      </c>
    </row>
    <row r="2274" spans="5:13" x14ac:dyDescent="0.25">
      <c r="E2274" s="32">
        <f t="shared" si="178"/>
        <v>0</v>
      </c>
      <c r="I2274" s="32">
        <f t="shared" si="179"/>
        <v>0</v>
      </c>
      <c r="K2274" s="31">
        <f t="shared" si="176"/>
        <v>0</v>
      </c>
      <c r="L2274" s="34">
        <f t="shared" si="177"/>
        <v>0</v>
      </c>
      <c r="M2274" s="34">
        <f t="shared" si="175"/>
        <v>0</v>
      </c>
    </row>
    <row r="2275" spans="5:13" x14ac:dyDescent="0.25">
      <c r="E2275" s="32">
        <f t="shared" si="178"/>
        <v>0</v>
      </c>
      <c r="I2275" s="32">
        <f t="shared" si="179"/>
        <v>0</v>
      </c>
      <c r="K2275" s="31">
        <f t="shared" si="176"/>
        <v>0</v>
      </c>
      <c r="L2275" s="34">
        <f t="shared" si="177"/>
        <v>0</v>
      </c>
      <c r="M2275" s="34">
        <f t="shared" si="175"/>
        <v>0</v>
      </c>
    </row>
    <row r="2276" spans="5:13" x14ac:dyDescent="0.25">
      <c r="E2276" s="32">
        <f t="shared" si="178"/>
        <v>0</v>
      </c>
      <c r="I2276" s="32">
        <f t="shared" si="179"/>
        <v>0</v>
      </c>
      <c r="K2276" s="31">
        <f t="shared" si="176"/>
        <v>0</v>
      </c>
      <c r="L2276" s="34">
        <f t="shared" si="177"/>
        <v>0</v>
      </c>
      <c r="M2276" s="34">
        <f t="shared" si="175"/>
        <v>0</v>
      </c>
    </row>
    <row r="2277" spans="5:13" x14ac:dyDescent="0.25">
      <c r="E2277" s="32">
        <f t="shared" si="178"/>
        <v>0</v>
      </c>
      <c r="I2277" s="32">
        <f t="shared" si="179"/>
        <v>0</v>
      </c>
      <c r="K2277" s="31">
        <f t="shared" si="176"/>
        <v>0</v>
      </c>
      <c r="L2277" s="34">
        <f t="shared" si="177"/>
        <v>0</v>
      </c>
      <c r="M2277" s="34">
        <f t="shared" si="175"/>
        <v>0</v>
      </c>
    </row>
    <row r="2278" spans="5:13" x14ac:dyDescent="0.25">
      <c r="E2278" s="32">
        <f t="shared" si="178"/>
        <v>0</v>
      </c>
      <c r="I2278" s="32">
        <f t="shared" si="179"/>
        <v>0</v>
      </c>
      <c r="K2278" s="31">
        <f t="shared" si="176"/>
        <v>0</v>
      </c>
      <c r="L2278" s="34">
        <f t="shared" si="177"/>
        <v>0</v>
      </c>
      <c r="M2278" s="34">
        <f t="shared" si="175"/>
        <v>0</v>
      </c>
    </row>
    <row r="2279" spans="5:13" x14ac:dyDescent="0.25">
      <c r="E2279" s="32">
        <f t="shared" si="178"/>
        <v>0</v>
      </c>
      <c r="I2279" s="32">
        <f t="shared" si="179"/>
        <v>0</v>
      </c>
      <c r="K2279" s="31">
        <f t="shared" si="176"/>
        <v>0</v>
      </c>
      <c r="L2279" s="34">
        <f t="shared" si="177"/>
        <v>0</v>
      </c>
      <c r="M2279" s="34">
        <f t="shared" si="175"/>
        <v>0</v>
      </c>
    </row>
    <row r="2280" spans="5:13" x14ac:dyDescent="0.25">
      <c r="E2280" s="32">
        <f t="shared" si="178"/>
        <v>0</v>
      </c>
      <c r="I2280" s="32">
        <f t="shared" si="179"/>
        <v>0</v>
      </c>
      <c r="K2280" s="31">
        <f t="shared" si="176"/>
        <v>0</v>
      </c>
      <c r="L2280" s="34">
        <f t="shared" si="177"/>
        <v>0</v>
      </c>
      <c r="M2280" s="34">
        <f t="shared" si="175"/>
        <v>0</v>
      </c>
    </row>
    <row r="2281" spans="5:13" x14ac:dyDescent="0.25">
      <c r="E2281" s="32">
        <f t="shared" si="178"/>
        <v>0</v>
      </c>
      <c r="I2281" s="32">
        <f t="shared" si="179"/>
        <v>0</v>
      </c>
      <c r="K2281" s="31">
        <f t="shared" si="176"/>
        <v>0</v>
      </c>
      <c r="L2281" s="34">
        <f t="shared" si="177"/>
        <v>0</v>
      </c>
      <c r="M2281" s="34">
        <f t="shared" si="175"/>
        <v>0</v>
      </c>
    </row>
    <row r="2282" spans="5:13" x14ac:dyDescent="0.25">
      <c r="E2282" s="32">
        <f t="shared" si="178"/>
        <v>0</v>
      </c>
      <c r="I2282" s="32">
        <f t="shared" si="179"/>
        <v>0</v>
      </c>
      <c r="K2282" s="31">
        <f t="shared" si="176"/>
        <v>0</v>
      </c>
      <c r="L2282" s="34">
        <f t="shared" si="177"/>
        <v>0</v>
      </c>
      <c r="M2282" s="34">
        <f t="shared" si="175"/>
        <v>0</v>
      </c>
    </row>
    <row r="2283" spans="5:13" x14ac:dyDescent="0.25">
      <c r="E2283" s="32">
        <f t="shared" si="178"/>
        <v>0</v>
      </c>
      <c r="I2283" s="32">
        <f t="shared" si="179"/>
        <v>0</v>
      </c>
      <c r="K2283" s="31">
        <f t="shared" si="176"/>
        <v>0</v>
      </c>
      <c r="L2283" s="34">
        <f t="shared" si="177"/>
        <v>0</v>
      </c>
      <c r="M2283" s="34">
        <f t="shared" si="175"/>
        <v>0</v>
      </c>
    </row>
    <row r="2284" spans="5:13" x14ac:dyDescent="0.25">
      <c r="E2284" s="32">
        <f t="shared" si="178"/>
        <v>0</v>
      </c>
      <c r="I2284" s="32">
        <f t="shared" si="179"/>
        <v>0</v>
      </c>
      <c r="K2284" s="31">
        <f t="shared" si="176"/>
        <v>0</v>
      </c>
      <c r="L2284" s="34">
        <f t="shared" si="177"/>
        <v>0</v>
      </c>
      <c r="M2284" s="34">
        <f t="shared" si="175"/>
        <v>0</v>
      </c>
    </row>
    <row r="2285" spans="5:13" x14ac:dyDescent="0.25">
      <c r="E2285" s="32">
        <f t="shared" si="178"/>
        <v>0</v>
      </c>
      <c r="I2285" s="32">
        <f t="shared" si="179"/>
        <v>0</v>
      </c>
      <c r="K2285" s="31">
        <f t="shared" si="176"/>
        <v>0</v>
      </c>
      <c r="L2285" s="34">
        <f t="shared" si="177"/>
        <v>0</v>
      </c>
      <c r="M2285" s="34">
        <f t="shared" si="175"/>
        <v>0</v>
      </c>
    </row>
    <row r="2286" spans="5:13" x14ac:dyDescent="0.25">
      <c r="E2286" s="32">
        <f t="shared" si="178"/>
        <v>0</v>
      </c>
      <c r="I2286" s="32">
        <f t="shared" si="179"/>
        <v>0</v>
      </c>
      <c r="K2286" s="31">
        <f t="shared" si="176"/>
        <v>0</v>
      </c>
      <c r="L2286" s="34">
        <f t="shared" si="177"/>
        <v>0</v>
      </c>
      <c r="M2286" s="34">
        <f t="shared" si="175"/>
        <v>0</v>
      </c>
    </row>
    <row r="2287" spans="5:13" x14ac:dyDescent="0.25">
      <c r="E2287" s="32">
        <f t="shared" si="178"/>
        <v>0</v>
      </c>
      <c r="I2287" s="32">
        <f t="shared" si="179"/>
        <v>0</v>
      </c>
      <c r="K2287" s="31">
        <f t="shared" si="176"/>
        <v>0</v>
      </c>
      <c r="L2287" s="34">
        <f t="shared" si="177"/>
        <v>0</v>
      </c>
      <c r="M2287" s="34">
        <f t="shared" si="175"/>
        <v>0</v>
      </c>
    </row>
    <row r="2288" spans="5:13" x14ac:dyDescent="0.25">
      <c r="E2288" s="32">
        <f t="shared" si="178"/>
        <v>0</v>
      </c>
      <c r="I2288" s="32">
        <f t="shared" si="179"/>
        <v>0</v>
      </c>
      <c r="K2288" s="31">
        <f t="shared" si="176"/>
        <v>0</v>
      </c>
      <c r="L2288" s="34">
        <f t="shared" si="177"/>
        <v>0</v>
      </c>
      <c r="M2288" s="34">
        <f t="shared" si="175"/>
        <v>0</v>
      </c>
    </row>
    <row r="2289" spans="5:13" x14ac:dyDescent="0.25">
      <c r="E2289" s="32">
        <f t="shared" si="178"/>
        <v>0</v>
      </c>
      <c r="I2289" s="32">
        <f t="shared" si="179"/>
        <v>0</v>
      </c>
      <c r="K2289" s="31">
        <f t="shared" si="176"/>
        <v>0</v>
      </c>
      <c r="L2289" s="34">
        <f t="shared" si="177"/>
        <v>0</v>
      </c>
      <c r="M2289" s="34">
        <f t="shared" si="175"/>
        <v>0</v>
      </c>
    </row>
    <row r="2290" spans="5:13" x14ac:dyDescent="0.25">
      <c r="E2290" s="32">
        <f t="shared" si="178"/>
        <v>0</v>
      </c>
      <c r="I2290" s="32">
        <f t="shared" si="179"/>
        <v>0</v>
      </c>
      <c r="K2290" s="31">
        <f t="shared" si="176"/>
        <v>0</v>
      </c>
      <c r="L2290" s="34">
        <f t="shared" si="177"/>
        <v>0</v>
      </c>
      <c r="M2290" s="34">
        <f t="shared" si="175"/>
        <v>0</v>
      </c>
    </row>
    <row r="2291" spans="5:13" x14ac:dyDescent="0.25">
      <c r="E2291" s="32">
        <f t="shared" si="178"/>
        <v>0</v>
      </c>
      <c r="I2291" s="32">
        <f t="shared" si="179"/>
        <v>0</v>
      </c>
      <c r="K2291" s="31">
        <f t="shared" si="176"/>
        <v>0</v>
      </c>
      <c r="L2291" s="34">
        <f t="shared" si="177"/>
        <v>0</v>
      </c>
      <c r="M2291" s="34">
        <f t="shared" si="175"/>
        <v>0</v>
      </c>
    </row>
    <row r="2292" spans="5:13" x14ac:dyDescent="0.25">
      <c r="E2292" s="32">
        <f t="shared" si="178"/>
        <v>0</v>
      </c>
      <c r="I2292" s="32">
        <f t="shared" si="179"/>
        <v>0</v>
      </c>
      <c r="K2292" s="31">
        <f t="shared" si="176"/>
        <v>0</v>
      </c>
      <c r="L2292" s="34">
        <f t="shared" si="177"/>
        <v>0</v>
      </c>
      <c r="M2292" s="34">
        <f t="shared" si="175"/>
        <v>0</v>
      </c>
    </row>
    <row r="2293" spans="5:13" x14ac:dyDescent="0.25">
      <c r="E2293" s="32">
        <f t="shared" si="178"/>
        <v>0</v>
      </c>
      <c r="I2293" s="32">
        <f t="shared" si="179"/>
        <v>0</v>
      </c>
      <c r="K2293" s="31">
        <f t="shared" si="176"/>
        <v>0</v>
      </c>
      <c r="L2293" s="34">
        <f t="shared" si="177"/>
        <v>0</v>
      </c>
      <c r="M2293" s="34">
        <f t="shared" si="175"/>
        <v>0</v>
      </c>
    </row>
    <row r="2294" spans="5:13" x14ac:dyDescent="0.25">
      <c r="E2294" s="32">
        <f t="shared" si="178"/>
        <v>0</v>
      </c>
      <c r="I2294" s="32">
        <f t="shared" si="179"/>
        <v>0</v>
      </c>
      <c r="K2294" s="31">
        <f t="shared" si="176"/>
        <v>0</v>
      </c>
      <c r="L2294" s="34">
        <f t="shared" si="177"/>
        <v>0</v>
      </c>
      <c r="M2294" s="34">
        <f t="shared" si="175"/>
        <v>0</v>
      </c>
    </row>
    <row r="2295" spans="5:13" x14ac:dyDescent="0.25">
      <c r="E2295" s="32">
        <f t="shared" si="178"/>
        <v>0</v>
      </c>
      <c r="I2295" s="32">
        <f t="shared" si="179"/>
        <v>0</v>
      </c>
      <c r="K2295" s="31">
        <f t="shared" si="176"/>
        <v>0</v>
      </c>
      <c r="L2295" s="34">
        <f t="shared" si="177"/>
        <v>0</v>
      </c>
      <c r="M2295" s="34">
        <f t="shared" si="175"/>
        <v>0</v>
      </c>
    </row>
    <row r="2296" spans="5:13" x14ac:dyDescent="0.25">
      <c r="E2296" s="32">
        <f t="shared" si="178"/>
        <v>0</v>
      </c>
      <c r="I2296" s="32">
        <f t="shared" si="179"/>
        <v>0</v>
      </c>
      <c r="K2296" s="31">
        <f t="shared" si="176"/>
        <v>0</v>
      </c>
      <c r="L2296" s="34">
        <f t="shared" si="177"/>
        <v>0</v>
      </c>
      <c r="M2296" s="34">
        <f t="shared" si="175"/>
        <v>0</v>
      </c>
    </row>
    <row r="2297" spans="5:13" x14ac:dyDescent="0.25">
      <c r="E2297" s="32">
        <f t="shared" si="178"/>
        <v>0</v>
      </c>
      <c r="I2297" s="32">
        <f t="shared" si="179"/>
        <v>0</v>
      </c>
      <c r="K2297" s="31">
        <f t="shared" si="176"/>
        <v>0</v>
      </c>
      <c r="L2297" s="34">
        <f t="shared" si="177"/>
        <v>0</v>
      </c>
      <c r="M2297" s="34">
        <f t="shared" si="175"/>
        <v>0</v>
      </c>
    </row>
    <row r="2298" spans="5:13" x14ac:dyDescent="0.25">
      <c r="E2298" s="32">
        <f t="shared" si="178"/>
        <v>0</v>
      </c>
      <c r="I2298" s="32">
        <f t="shared" si="179"/>
        <v>0</v>
      </c>
      <c r="K2298" s="31">
        <f t="shared" si="176"/>
        <v>0</v>
      </c>
      <c r="L2298" s="34">
        <f t="shared" si="177"/>
        <v>0</v>
      </c>
      <c r="M2298" s="34">
        <f t="shared" si="175"/>
        <v>0</v>
      </c>
    </row>
    <row r="2299" spans="5:13" x14ac:dyDescent="0.25">
      <c r="E2299" s="32">
        <f t="shared" si="178"/>
        <v>0</v>
      </c>
      <c r="I2299" s="32">
        <f t="shared" si="179"/>
        <v>0</v>
      </c>
      <c r="K2299" s="31">
        <f t="shared" si="176"/>
        <v>0</v>
      </c>
      <c r="L2299" s="34">
        <f t="shared" si="177"/>
        <v>0</v>
      </c>
      <c r="M2299" s="34">
        <f t="shared" si="175"/>
        <v>0</v>
      </c>
    </row>
    <row r="2300" spans="5:13" x14ac:dyDescent="0.25">
      <c r="E2300" s="32">
        <f t="shared" si="178"/>
        <v>0</v>
      </c>
      <c r="I2300" s="32">
        <f t="shared" si="179"/>
        <v>0</v>
      </c>
      <c r="K2300" s="31">
        <f t="shared" si="176"/>
        <v>0</v>
      </c>
      <c r="L2300" s="34">
        <f t="shared" si="177"/>
        <v>0</v>
      </c>
      <c r="M2300" s="34">
        <f t="shared" si="175"/>
        <v>0</v>
      </c>
    </row>
    <row r="2301" spans="5:13" x14ac:dyDescent="0.25">
      <c r="E2301" s="32">
        <f t="shared" si="178"/>
        <v>0</v>
      </c>
      <c r="I2301" s="32">
        <f t="shared" si="179"/>
        <v>0</v>
      </c>
      <c r="K2301" s="31">
        <f t="shared" si="176"/>
        <v>0</v>
      </c>
      <c r="L2301" s="34">
        <f t="shared" si="177"/>
        <v>0</v>
      </c>
      <c r="M2301" s="34">
        <f t="shared" si="175"/>
        <v>0</v>
      </c>
    </row>
    <row r="2302" spans="5:13" x14ac:dyDescent="0.25">
      <c r="E2302" s="32">
        <f t="shared" si="178"/>
        <v>0</v>
      </c>
      <c r="I2302" s="32">
        <f t="shared" si="179"/>
        <v>0</v>
      </c>
      <c r="K2302" s="31">
        <f t="shared" si="176"/>
        <v>0</v>
      </c>
      <c r="L2302" s="34">
        <f t="shared" si="177"/>
        <v>0</v>
      </c>
      <c r="M2302" s="34">
        <f t="shared" si="175"/>
        <v>0</v>
      </c>
    </row>
    <row r="2303" spans="5:13" x14ac:dyDescent="0.25">
      <c r="E2303" s="32">
        <f t="shared" si="178"/>
        <v>0</v>
      </c>
      <c r="I2303" s="32">
        <f t="shared" si="179"/>
        <v>0</v>
      </c>
      <c r="K2303" s="31">
        <f t="shared" si="176"/>
        <v>0</v>
      </c>
      <c r="L2303" s="34">
        <f t="shared" si="177"/>
        <v>0</v>
      </c>
      <c r="M2303" s="34">
        <f t="shared" si="175"/>
        <v>0</v>
      </c>
    </row>
    <row r="2304" spans="5:13" x14ac:dyDescent="0.25">
      <c r="E2304" s="32">
        <f t="shared" si="178"/>
        <v>0</v>
      </c>
      <c r="I2304" s="32">
        <f t="shared" si="179"/>
        <v>0</v>
      </c>
      <c r="K2304" s="31">
        <f t="shared" si="176"/>
        <v>0</v>
      </c>
      <c r="L2304" s="34">
        <f t="shared" si="177"/>
        <v>0</v>
      </c>
      <c r="M2304" s="34">
        <f t="shared" si="175"/>
        <v>0</v>
      </c>
    </row>
    <row r="2305" spans="5:13" x14ac:dyDescent="0.25">
      <c r="E2305" s="32">
        <f t="shared" si="178"/>
        <v>0</v>
      </c>
      <c r="I2305" s="32">
        <f t="shared" si="179"/>
        <v>0</v>
      </c>
      <c r="K2305" s="31">
        <f t="shared" si="176"/>
        <v>0</v>
      </c>
      <c r="L2305" s="34">
        <f t="shared" si="177"/>
        <v>0</v>
      </c>
      <c r="M2305" s="34">
        <f t="shared" si="175"/>
        <v>0</v>
      </c>
    </row>
    <row r="2306" spans="5:13" x14ac:dyDescent="0.25">
      <c r="E2306" s="32">
        <f t="shared" si="178"/>
        <v>0</v>
      </c>
      <c r="I2306" s="32">
        <f t="shared" si="179"/>
        <v>0</v>
      </c>
      <c r="K2306" s="31">
        <f t="shared" si="176"/>
        <v>0</v>
      </c>
      <c r="L2306" s="34">
        <f t="shared" si="177"/>
        <v>0</v>
      </c>
      <c r="M2306" s="34">
        <f t="shared" si="175"/>
        <v>0</v>
      </c>
    </row>
    <row r="2307" spans="5:13" x14ac:dyDescent="0.25">
      <c r="E2307" s="32">
        <f t="shared" si="178"/>
        <v>0</v>
      </c>
      <c r="I2307" s="32">
        <f t="shared" si="179"/>
        <v>0</v>
      </c>
      <c r="K2307" s="31">
        <f t="shared" si="176"/>
        <v>0</v>
      </c>
      <c r="L2307" s="34">
        <f t="shared" si="177"/>
        <v>0</v>
      </c>
      <c r="M2307" s="34">
        <f t="shared" si="175"/>
        <v>0</v>
      </c>
    </row>
    <row r="2308" spans="5:13" x14ac:dyDescent="0.25">
      <c r="E2308" s="32">
        <f t="shared" si="178"/>
        <v>0</v>
      </c>
      <c r="I2308" s="32">
        <f t="shared" si="179"/>
        <v>0</v>
      </c>
      <c r="K2308" s="31">
        <f t="shared" si="176"/>
        <v>0</v>
      </c>
      <c r="L2308" s="34">
        <f t="shared" si="177"/>
        <v>0</v>
      </c>
      <c r="M2308" s="34">
        <f t="shared" ref="M2308:M2371" si="180">(L2308/27)*4</f>
        <v>0</v>
      </c>
    </row>
    <row r="2309" spans="5:13" x14ac:dyDescent="0.25">
      <c r="E2309" s="32">
        <f t="shared" si="178"/>
        <v>0</v>
      </c>
      <c r="I2309" s="32">
        <f t="shared" si="179"/>
        <v>0</v>
      </c>
      <c r="K2309" s="31">
        <f t="shared" ref="K2309:K2372" si="181">B2309/30</f>
        <v>0</v>
      </c>
      <c r="L2309" s="34">
        <f t="shared" ref="L2309:L2372" si="182">IF(J2309="S",((I2309*24)*K2309)*2,((I2309*24)*K2309)*1.5)</f>
        <v>0</v>
      </c>
      <c r="M2309" s="34">
        <f t="shared" si="180"/>
        <v>0</v>
      </c>
    </row>
    <row r="2310" spans="5:13" x14ac:dyDescent="0.25">
      <c r="E2310" s="32">
        <f t="shared" ref="E2310:E2373" si="183">D2310-C2310</f>
        <v>0</v>
      </c>
      <c r="I2310" s="32">
        <f t="shared" ref="I2310:I2373" si="184">H2310-G2310</f>
        <v>0</v>
      </c>
      <c r="K2310" s="31">
        <f t="shared" si="181"/>
        <v>0</v>
      </c>
      <c r="L2310" s="34">
        <f t="shared" si="182"/>
        <v>0</v>
      </c>
      <c r="M2310" s="34">
        <f t="shared" si="180"/>
        <v>0</v>
      </c>
    </row>
    <row r="2311" spans="5:13" x14ac:dyDescent="0.25">
      <c r="E2311" s="32">
        <f t="shared" si="183"/>
        <v>0</v>
      </c>
      <c r="I2311" s="32">
        <f t="shared" si="184"/>
        <v>0</v>
      </c>
      <c r="K2311" s="31">
        <f t="shared" si="181"/>
        <v>0</v>
      </c>
      <c r="L2311" s="34">
        <f t="shared" si="182"/>
        <v>0</v>
      </c>
      <c r="M2311" s="34">
        <f t="shared" si="180"/>
        <v>0</v>
      </c>
    </row>
    <row r="2312" spans="5:13" x14ac:dyDescent="0.25">
      <c r="E2312" s="32">
        <f t="shared" si="183"/>
        <v>0</v>
      </c>
      <c r="I2312" s="32">
        <f t="shared" si="184"/>
        <v>0</v>
      </c>
      <c r="K2312" s="31">
        <f t="shared" si="181"/>
        <v>0</v>
      </c>
      <c r="L2312" s="34">
        <f t="shared" si="182"/>
        <v>0</v>
      </c>
      <c r="M2312" s="34">
        <f t="shared" si="180"/>
        <v>0</v>
      </c>
    </row>
    <row r="2313" spans="5:13" x14ac:dyDescent="0.25">
      <c r="E2313" s="32">
        <f t="shared" si="183"/>
        <v>0</v>
      </c>
      <c r="I2313" s="32">
        <f t="shared" si="184"/>
        <v>0</v>
      </c>
      <c r="K2313" s="31">
        <f t="shared" si="181"/>
        <v>0</v>
      </c>
      <c r="L2313" s="34">
        <f t="shared" si="182"/>
        <v>0</v>
      </c>
      <c r="M2313" s="34">
        <f t="shared" si="180"/>
        <v>0</v>
      </c>
    </row>
    <row r="2314" spans="5:13" x14ac:dyDescent="0.25">
      <c r="E2314" s="32">
        <f t="shared" si="183"/>
        <v>0</v>
      </c>
      <c r="I2314" s="32">
        <f t="shared" si="184"/>
        <v>0</v>
      </c>
      <c r="K2314" s="31">
        <f t="shared" si="181"/>
        <v>0</v>
      </c>
      <c r="L2314" s="34">
        <f t="shared" si="182"/>
        <v>0</v>
      </c>
      <c r="M2314" s="34">
        <f t="shared" si="180"/>
        <v>0</v>
      </c>
    </row>
    <row r="2315" spans="5:13" x14ac:dyDescent="0.25">
      <c r="E2315" s="32">
        <f t="shared" si="183"/>
        <v>0</v>
      </c>
      <c r="I2315" s="32">
        <f t="shared" si="184"/>
        <v>0</v>
      </c>
      <c r="K2315" s="31">
        <f t="shared" si="181"/>
        <v>0</v>
      </c>
      <c r="L2315" s="34">
        <f t="shared" si="182"/>
        <v>0</v>
      </c>
      <c r="M2315" s="34">
        <f t="shared" si="180"/>
        <v>0</v>
      </c>
    </row>
    <row r="2316" spans="5:13" x14ac:dyDescent="0.25">
      <c r="E2316" s="32">
        <f t="shared" si="183"/>
        <v>0</v>
      </c>
      <c r="I2316" s="32">
        <f t="shared" si="184"/>
        <v>0</v>
      </c>
      <c r="K2316" s="31">
        <f t="shared" si="181"/>
        <v>0</v>
      </c>
      <c r="L2316" s="34">
        <f t="shared" si="182"/>
        <v>0</v>
      </c>
      <c r="M2316" s="34">
        <f t="shared" si="180"/>
        <v>0</v>
      </c>
    </row>
    <row r="2317" spans="5:13" x14ac:dyDescent="0.25">
      <c r="E2317" s="32">
        <f t="shared" si="183"/>
        <v>0</v>
      </c>
      <c r="I2317" s="32">
        <f t="shared" si="184"/>
        <v>0</v>
      </c>
      <c r="K2317" s="31">
        <f t="shared" si="181"/>
        <v>0</v>
      </c>
      <c r="L2317" s="34">
        <f t="shared" si="182"/>
        <v>0</v>
      </c>
      <c r="M2317" s="34">
        <f t="shared" si="180"/>
        <v>0</v>
      </c>
    </row>
    <row r="2318" spans="5:13" x14ac:dyDescent="0.25">
      <c r="E2318" s="32">
        <f t="shared" si="183"/>
        <v>0</v>
      </c>
      <c r="I2318" s="32">
        <f t="shared" si="184"/>
        <v>0</v>
      </c>
      <c r="K2318" s="31">
        <f t="shared" si="181"/>
        <v>0</v>
      </c>
      <c r="L2318" s="34">
        <f t="shared" si="182"/>
        <v>0</v>
      </c>
      <c r="M2318" s="34">
        <f t="shared" si="180"/>
        <v>0</v>
      </c>
    </row>
    <row r="2319" spans="5:13" x14ac:dyDescent="0.25">
      <c r="E2319" s="32">
        <f t="shared" si="183"/>
        <v>0</v>
      </c>
      <c r="I2319" s="32">
        <f t="shared" si="184"/>
        <v>0</v>
      </c>
      <c r="K2319" s="31">
        <f t="shared" si="181"/>
        <v>0</v>
      </c>
      <c r="L2319" s="34">
        <f t="shared" si="182"/>
        <v>0</v>
      </c>
      <c r="M2319" s="34">
        <f t="shared" si="180"/>
        <v>0</v>
      </c>
    </row>
    <row r="2320" spans="5:13" x14ac:dyDescent="0.25">
      <c r="E2320" s="32">
        <f t="shared" si="183"/>
        <v>0</v>
      </c>
      <c r="I2320" s="32">
        <f t="shared" si="184"/>
        <v>0</v>
      </c>
      <c r="K2320" s="31">
        <f t="shared" si="181"/>
        <v>0</v>
      </c>
      <c r="L2320" s="34">
        <f t="shared" si="182"/>
        <v>0</v>
      </c>
      <c r="M2320" s="34">
        <f t="shared" si="180"/>
        <v>0</v>
      </c>
    </row>
    <row r="2321" spans="5:13" x14ac:dyDescent="0.25">
      <c r="E2321" s="32">
        <f t="shared" si="183"/>
        <v>0</v>
      </c>
      <c r="I2321" s="32">
        <f t="shared" si="184"/>
        <v>0</v>
      </c>
      <c r="K2321" s="31">
        <f t="shared" si="181"/>
        <v>0</v>
      </c>
      <c r="L2321" s="34">
        <f t="shared" si="182"/>
        <v>0</v>
      </c>
      <c r="M2321" s="34">
        <f t="shared" si="180"/>
        <v>0</v>
      </c>
    </row>
    <row r="2322" spans="5:13" x14ac:dyDescent="0.25">
      <c r="E2322" s="32">
        <f t="shared" si="183"/>
        <v>0</v>
      </c>
      <c r="I2322" s="32">
        <f t="shared" si="184"/>
        <v>0</v>
      </c>
      <c r="K2322" s="31">
        <f t="shared" si="181"/>
        <v>0</v>
      </c>
      <c r="L2322" s="34">
        <f t="shared" si="182"/>
        <v>0</v>
      </c>
      <c r="M2322" s="34">
        <f t="shared" si="180"/>
        <v>0</v>
      </c>
    </row>
    <row r="2323" spans="5:13" x14ac:dyDescent="0.25">
      <c r="E2323" s="32">
        <f t="shared" si="183"/>
        <v>0</v>
      </c>
      <c r="I2323" s="32">
        <f t="shared" si="184"/>
        <v>0</v>
      </c>
      <c r="K2323" s="31">
        <f t="shared" si="181"/>
        <v>0</v>
      </c>
      <c r="L2323" s="34">
        <f t="shared" si="182"/>
        <v>0</v>
      </c>
      <c r="M2323" s="34">
        <f t="shared" si="180"/>
        <v>0</v>
      </c>
    </row>
    <row r="2324" spans="5:13" x14ac:dyDescent="0.25">
      <c r="E2324" s="32">
        <f t="shared" si="183"/>
        <v>0</v>
      </c>
      <c r="I2324" s="32">
        <f t="shared" si="184"/>
        <v>0</v>
      </c>
      <c r="K2324" s="31">
        <f t="shared" si="181"/>
        <v>0</v>
      </c>
      <c r="L2324" s="34">
        <f t="shared" si="182"/>
        <v>0</v>
      </c>
      <c r="M2324" s="34">
        <f t="shared" si="180"/>
        <v>0</v>
      </c>
    </row>
    <row r="2325" spans="5:13" x14ac:dyDescent="0.25">
      <c r="E2325" s="32">
        <f t="shared" si="183"/>
        <v>0</v>
      </c>
      <c r="I2325" s="32">
        <f t="shared" si="184"/>
        <v>0</v>
      </c>
      <c r="K2325" s="31">
        <f t="shared" si="181"/>
        <v>0</v>
      </c>
      <c r="L2325" s="34">
        <f t="shared" si="182"/>
        <v>0</v>
      </c>
      <c r="M2325" s="34">
        <f t="shared" si="180"/>
        <v>0</v>
      </c>
    </row>
    <row r="2326" spans="5:13" x14ac:dyDescent="0.25">
      <c r="E2326" s="32">
        <f t="shared" si="183"/>
        <v>0</v>
      </c>
      <c r="I2326" s="32">
        <f t="shared" si="184"/>
        <v>0</v>
      </c>
      <c r="K2326" s="31">
        <f t="shared" si="181"/>
        <v>0</v>
      </c>
      <c r="L2326" s="34">
        <f t="shared" si="182"/>
        <v>0</v>
      </c>
      <c r="M2326" s="34">
        <f t="shared" si="180"/>
        <v>0</v>
      </c>
    </row>
    <row r="2327" spans="5:13" x14ac:dyDescent="0.25">
      <c r="E2327" s="32">
        <f t="shared" si="183"/>
        <v>0</v>
      </c>
      <c r="I2327" s="32">
        <f t="shared" si="184"/>
        <v>0</v>
      </c>
      <c r="K2327" s="31">
        <f t="shared" si="181"/>
        <v>0</v>
      </c>
      <c r="L2327" s="34">
        <f t="shared" si="182"/>
        <v>0</v>
      </c>
      <c r="M2327" s="34">
        <f t="shared" si="180"/>
        <v>0</v>
      </c>
    </row>
    <row r="2328" spans="5:13" x14ac:dyDescent="0.25">
      <c r="E2328" s="32">
        <f t="shared" si="183"/>
        <v>0</v>
      </c>
      <c r="I2328" s="32">
        <f t="shared" si="184"/>
        <v>0</v>
      </c>
      <c r="K2328" s="31">
        <f t="shared" si="181"/>
        <v>0</v>
      </c>
      <c r="L2328" s="34">
        <f t="shared" si="182"/>
        <v>0</v>
      </c>
      <c r="M2328" s="34">
        <f t="shared" si="180"/>
        <v>0</v>
      </c>
    </row>
    <row r="2329" spans="5:13" x14ac:dyDescent="0.25">
      <c r="E2329" s="32">
        <f t="shared" si="183"/>
        <v>0</v>
      </c>
      <c r="I2329" s="32">
        <f t="shared" si="184"/>
        <v>0</v>
      </c>
      <c r="K2329" s="31">
        <f t="shared" si="181"/>
        <v>0</v>
      </c>
      <c r="L2329" s="34">
        <f t="shared" si="182"/>
        <v>0</v>
      </c>
      <c r="M2329" s="34">
        <f t="shared" si="180"/>
        <v>0</v>
      </c>
    </row>
    <row r="2330" spans="5:13" x14ac:dyDescent="0.25">
      <c r="E2330" s="32">
        <f t="shared" si="183"/>
        <v>0</v>
      </c>
      <c r="I2330" s="32">
        <f t="shared" si="184"/>
        <v>0</v>
      </c>
      <c r="K2330" s="31">
        <f t="shared" si="181"/>
        <v>0</v>
      </c>
      <c r="L2330" s="34">
        <f t="shared" si="182"/>
        <v>0</v>
      </c>
      <c r="M2330" s="34">
        <f t="shared" si="180"/>
        <v>0</v>
      </c>
    </row>
    <row r="2331" spans="5:13" x14ac:dyDescent="0.25">
      <c r="E2331" s="32">
        <f t="shared" si="183"/>
        <v>0</v>
      </c>
      <c r="I2331" s="32">
        <f t="shared" si="184"/>
        <v>0</v>
      </c>
      <c r="K2331" s="31">
        <f t="shared" si="181"/>
        <v>0</v>
      </c>
      <c r="L2331" s="34">
        <f t="shared" si="182"/>
        <v>0</v>
      </c>
      <c r="M2331" s="34">
        <f t="shared" si="180"/>
        <v>0</v>
      </c>
    </row>
    <row r="2332" spans="5:13" x14ac:dyDescent="0.25">
      <c r="E2332" s="32">
        <f t="shared" si="183"/>
        <v>0</v>
      </c>
      <c r="I2332" s="32">
        <f t="shared" si="184"/>
        <v>0</v>
      </c>
      <c r="K2332" s="31">
        <f t="shared" si="181"/>
        <v>0</v>
      </c>
      <c r="L2332" s="34">
        <f t="shared" si="182"/>
        <v>0</v>
      </c>
      <c r="M2332" s="34">
        <f t="shared" si="180"/>
        <v>0</v>
      </c>
    </row>
    <row r="2333" spans="5:13" x14ac:dyDescent="0.25">
      <c r="E2333" s="32">
        <f t="shared" si="183"/>
        <v>0</v>
      </c>
      <c r="I2333" s="32">
        <f t="shared" si="184"/>
        <v>0</v>
      </c>
      <c r="K2333" s="31">
        <f t="shared" si="181"/>
        <v>0</v>
      </c>
      <c r="L2333" s="34">
        <f t="shared" si="182"/>
        <v>0</v>
      </c>
      <c r="M2333" s="34">
        <f t="shared" si="180"/>
        <v>0</v>
      </c>
    </row>
    <row r="2334" spans="5:13" x14ac:dyDescent="0.25">
      <c r="E2334" s="32">
        <f t="shared" si="183"/>
        <v>0</v>
      </c>
      <c r="I2334" s="32">
        <f t="shared" si="184"/>
        <v>0</v>
      </c>
      <c r="K2334" s="31">
        <f t="shared" si="181"/>
        <v>0</v>
      </c>
      <c r="L2334" s="34">
        <f t="shared" si="182"/>
        <v>0</v>
      </c>
      <c r="M2334" s="34">
        <f t="shared" si="180"/>
        <v>0</v>
      </c>
    </row>
    <row r="2335" spans="5:13" x14ac:dyDescent="0.25">
      <c r="E2335" s="32">
        <f t="shared" si="183"/>
        <v>0</v>
      </c>
      <c r="I2335" s="32">
        <f t="shared" si="184"/>
        <v>0</v>
      </c>
      <c r="K2335" s="31">
        <f t="shared" si="181"/>
        <v>0</v>
      </c>
      <c r="L2335" s="34">
        <f t="shared" si="182"/>
        <v>0</v>
      </c>
      <c r="M2335" s="34">
        <f t="shared" si="180"/>
        <v>0</v>
      </c>
    </row>
    <row r="2336" spans="5:13" x14ac:dyDescent="0.25">
      <c r="E2336" s="32">
        <f t="shared" si="183"/>
        <v>0</v>
      </c>
      <c r="I2336" s="32">
        <f t="shared" si="184"/>
        <v>0</v>
      </c>
      <c r="K2336" s="31">
        <f t="shared" si="181"/>
        <v>0</v>
      </c>
      <c r="L2336" s="34">
        <f t="shared" si="182"/>
        <v>0</v>
      </c>
      <c r="M2336" s="34">
        <f t="shared" si="180"/>
        <v>0</v>
      </c>
    </row>
    <row r="2337" spans="5:13" x14ac:dyDescent="0.25">
      <c r="E2337" s="32">
        <f t="shared" si="183"/>
        <v>0</v>
      </c>
      <c r="I2337" s="32">
        <f t="shared" si="184"/>
        <v>0</v>
      </c>
      <c r="K2337" s="31">
        <f t="shared" si="181"/>
        <v>0</v>
      </c>
      <c r="L2337" s="34">
        <f t="shared" si="182"/>
        <v>0</v>
      </c>
      <c r="M2337" s="34">
        <f t="shared" si="180"/>
        <v>0</v>
      </c>
    </row>
    <row r="2338" spans="5:13" x14ac:dyDescent="0.25">
      <c r="E2338" s="32">
        <f t="shared" si="183"/>
        <v>0</v>
      </c>
      <c r="I2338" s="32">
        <f t="shared" si="184"/>
        <v>0</v>
      </c>
      <c r="K2338" s="31">
        <f t="shared" si="181"/>
        <v>0</v>
      </c>
      <c r="L2338" s="34">
        <f t="shared" si="182"/>
        <v>0</v>
      </c>
      <c r="M2338" s="34">
        <f t="shared" si="180"/>
        <v>0</v>
      </c>
    </row>
    <row r="2339" spans="5:13" x14ac:dyDescent="0.25">
      <c r="E2339" s="32">
        <f t="shared" si="183"/>
        <v>0</v>
      </c>
      <c r="I2339" s="32">
        <f t="shared" si="184"/>
        <v>0</v>
      </c>
      <c r="K2339" s="31">
        <f t="shared" si="181"/>
        <v>0</v>
      </c>
      <c r="L2339" s="34">
        <f t="shared" si="182"/>
        <v>0</v>
      </c>
      <c r="M2339" s="34">
        <f t="shared" si="180"/>
        <v>0</v>
      </c>
    </row>
    <row r="2340" spans="5:13" x14ac:dyDescent="0.25">
      <c r="E2340" s="32">
        <f t="shared" si="183"/>
        <v>0</v>
      </c>
      <c r="I2340" s="32">
        <f t="shared" si="184"/>
        <v>0</v>
      </c>
      <c r="K2340" s="31">
        <f t="shared" si="181"/>
        <v>0</v>
      </c>
      <c r="L2340" s="34">
        <f t="shared" si="182"/>
        <v>0</v>
      </c>
      <c r="M2340" s="34">
        <f t="shared" si="180"/>
        <v>0</v>
      </c>
    </row>
    <row r="2341" spans="5:13" x14ac:dyDescent="0.25">
      <c r="E2341" s="32">
        <f t="shared" si="183"/>
        <v>0</v>
      </c>
      <c r="I2341" s="32">
        <f t="shared" si="184"/>
        <v>0</v>
      </c>
      <c r="K2341" s="31">
        <f t="shared" si="181"/>
        <v>0</v>
      </c>
      <c r="L2341" s="34">
        <f t="shared" si="182"/>
        <v>0</v>
      </c>
      <c r="M2341" s="34">
        <f t="shared" si="180"/>
        <v>0</v>
      </c>
    </row>
    <row r="2342" spans="5:13" x14ac:dyDescent="0.25">
      <c r="E2342" s="32">
        <f t="shared" si="183"/>
        <v>0</v>
      </c>
      <c r="I2342" s="32">
        <f t="shared" si="184"/>
        <v>0</v>
      </c>
      <c r="K2342" s="31">
        <f t="shared" si="181"/>
        <v>0</v>
      </c>
      <c r="L2342" s="34">
        <f t="shared" si="182"/>
        <v>0</v>
      </c>
      <c r="M2342" s="34">
        <f t="shared" si="180"/>
        <v>0</v>
      </c>
    </row>
    <row r="2343" spans="5:13" x14ac:dyDescent="0.25">
      <c r="E2343" s="32">
        <f t="shared" si="183"/>
        <v>0</v>
      </c>
      <c r="I2343" s="32">
        <f t="shared" si="184"/>
        <v>0</v>
      </c>
      <c r="K2343" s="31">
        <f t="shared" si="181"/>
        <v>0</v>
      </c>
      <c r="L2343" s="34">
        <f t="shared" si="182"/>
        <v>0</v>
      </c>
      <c r="M2343" s="34">
        <f t="shared" si="180"/>
        <v>0</v>
      </c>
    </row>
    <row r="2344" spans="5:13" x14ac:dyDescent="0.25">
      <c r="E2344" s="32">
        <f t="shared" si="183"/>
        <v>0</v>
      </c>
      <c r="I2344" s="32">
        <f t="shared" si="184"/>
        <v>0</v>
      </c>
      <c r="K2344" s="31">
        <f t="shared" si="181"/>
        <v>0</v>
      </c>
      <c r="L2344" s="34">
        <f t="shared" si="182"/>
        <v>0</v>
      </c>
      <c r="M2344" s="34">
        <f t="shared" si="180"/>
        <v>0</v>
      </c>
    </row>
    <row r="2345" spans="5:13" x14ac:dyDescent="0.25">
      <c r="E2345" s="32">
        <f t="shared" si="183"/>
        <v>0</v>
      </c>
      <c r="I2345" s="32">
        <f t="shared" si="184"/>
        <v>0</v>
      </c>
      <c r="K2345" s="31">
        <f t="shared" si="181"/>
        <v>0</v>
      </c>
      <c r="L2345" s="34">
        <f t="shared" si="182"/>
        <v>0</v>
      </c>
      <c r="M2345" s="34">
        <f t="shared" si="180"/>
        <v>0</v>
      </c>
    </row>
    <row r="2346" spans="5:13" x14ac:dyDescent="0.25">
      <c r="E2346" s="32">
        <f t="shared" si="183"/>
        <v>0</v>
      </c>
      <c r="I2346" s="32">
        <f t="shared" si="184"/>
        <v>0</v>
      </c>
      <c r="K2346" s="31">
        <f t="shared" si="181"/>
        <v>0</v>
      </c>
      <c r="L2346" s="34">
        <f t="shared" si="182"/>
        <v>0</v>
      </c>
      <c r="M2346" s="34">
        <f t="shared" si="180"/>
        <v>0</v>
      </c>
    </row>
    <row r="2347" spans="5:13" x14ac:dyDescent="0.25">
      <c r="E2347" s="32">
        <f t="shared" si="183"/>
        <v>0</v>
      </c>
      <c r="I2347" s="32">
        <f t="shared" si="184"/>
        <v>0</v>
      </c>
      <c r="K2347" s="31">
        <f t="shared" si="181"/>
        <v>0</v>
      </c>
      <c r="L2347" s="34">
        <f t="shared" si="182"/>
        <v>0</v>
      </c>
      <c r="M2347" s="34">
        <f t="shared" si="180"/>
        <v>0</v>
      </c>
    </row>
    <row r="2348" spans="5:13" x14ac:dyDescent="0.25">
      <c r="E2348" s="32">
        <f t="shared" si="183"/>
        <v>0</v>
      </c>
      <c r="I2348" s="32">
        <f t="shared" si="184"/>
        <v>0</v>
      </c>
      <c r="K2348" s="31">
        <f t="shared" si="181"/>
        <v>0</v>
      </c>
      <c r="L2348" s="34">
        <f t="shared" si="182"/>
        <v>0</v>
      </c>
      <c r="M2348" s="34">
        <f t="shared" si="180"/>
        <v>0</v>
      </c>
    </row>
    <row r="2349" spans="5:13" x14ac:dyDescent="0.25">
      <c r="E2349" s="32">
        <f t="shared" si="183"/>
        <v>0</v>
      </c>
      <c r="I2349" s="32">
        <f t="shared" si="184"/>
        <v>0</v>
      </c>
      <c r="K2349" s="31">
        <f t="shared" si="181"/>
        <v>0</v>
      </c>
      <c r="L2349" s="34">
        <f t="shared" si="182"/>
        <v>0</v>
      </c>
      <c r="M2349" s="34">
        <f t="shared" si="180"/>
        <v>0</v>
      </c>
    </row>
    <row r="2350" spans="5:13" x14ac:dyDescent="0.25">
      <c r="E2350" s="32">
        <f t="shared" si="183"/>
        <v>0</v>
      </c>
      <c r="I2350" s="32">
        <f t="shared" si="184"/>
        <v>0</v>
      </c>
      <c r="K2350" s="31">
        <f t="shared" si="181"/>
        <v>0</v>
      </c>
      <c r="L2350" s="34">
        <f t="shared" si="182"/>
        <v>0</v>
      </c>
      <c r="M2350" s="34">
        <f t="shared" si="180"/>
        <v>0</v>
      </c>
    </row>
    <row r="2351" spans="5:13" x14ac:dyDescent="0.25">
      <c r="E2351" s="32">
        <f t="shared" si="183"/>
        <v>0</v>
      </c>
      <c r="I2351" s="32">
        <f t="shared" si="184"/>
        <v>0</v>
      </c>
      <c r="K2351" s="31">
        <f t="shared" si="181"/>
        <v>0</v>
      </c>
      <c r="L2351" s="34">
        <f t="shared" si="182"/>
        <v>0</v>
      </c>
      <c r="M2351" s="34">
        <f t="shared" si="180"/>
        <v>0</v>
      </c>
    </row>
    <row r="2352" spans="5:13" x14ac:dyDescent="0.25">
      <c r="E2352" s="32">
        <f t="shared" si="183"/>
        <v>0</v>
      </c>
      <c r="I2352" s="32">
        <f t="shared" si="184"/>
        <v>0</v>
      </c>
      <c r="K2352" s="31">
        <f t="shared" si="181"/>
        <v>0</v>
      </c>
      <c r="L2352" s="34">
        <f t="shared" si="182"/>
        <v>0</v>
      </c>
      <c r="M2352" s="34">
        <f t="shared" si="180"/>
        <v>0</v>
      </c>
    </row>
    <row r="2353" spans="5:13" x14ac:dyDescent="0.25">
      <c r="E2353" s="32">
        <f t="shared" si="183"/>
        <v>0</v>
      </c>
      <c r="I2353" s="32">
        <f t="shared" si="184"/>
        <v>0</v>
      </c>
      <c r="K2353" s="31">
        <f t="shared" si="181"/>
        <v>0</v>
      </c>
      <c r="L2353" s="34">
        <f t="shared" si="182"/>
        <v>0</v>
      </c>
      <c r="M2353" s="34">
        <f t="shared" si="180"/>
        <v>0</v>
      </c>
    </row>
    <row r="2354" spans="5:13" x14ac:dyDescent="0.25">
      <c r="E2354" s="32">
        <f t="shared" si="183"/>
        <v>0</v>
      </c>
      <c r="I2354" s="32">
        <f t="shared" si="184"/>
        <v>0</v>
      </c>
      <c r="K2354" s="31">
        <f t="shared" si="181"/>
        <v>0</v>
      </c>
      <c r="L2354" s="34">
        <f t="shared" si="182"/>
        <v>0</v>
      </c>
      <c r="M2354" s="34">
        <f t="shared" si="180"/>
        <v>0</v>
      </c>
    </row>
    <row r="2355" spans="5:13" x14ac:dyDescent="0.25">
      <c r="E2355" s="32">
        <f t="shared" si="183"/>
        <v>0</v>
      </c>
      <c r="I2355" s="32">
        <f t="shared" si="184"/>
        <v>0</v>
      </c>
      <c r="K2355" s="31">
        <f t="shared" si="181"/>
        <v>0</v>
      </c>
      <c r="L2355" s="34">
        <f t="shared" si="182"/>
        <v>0</v>
      </c>
      <c r="M2355" s="34">
        <f t="shared" si="180"/>
        <v>0</v>
      </c>
    </row>
    <row r="2356" spans="5:13" x14ac:dyDescent="0.25">
      <c r="E2356" s="32">
        <f t="shared" si="183"/>
        <v>0</v>
      </c>
      <c r="I2356" s="32">
        <f t="shared" si="184"/>
        <v>0</v>
      </c>
      <c r="K2356" s="31">
        <f t="shared" si="181"/>
        <v>0</v>
      </c>
      <c r="L2356" s="34">
        <f t="shared" si="182"/>
        <v>0</v>
      </c>
      <c r="M2356" s="34">
        <f t="shared" si="180"/>
        <v>0</v>
      </c>
    </row>
    <row r="2357" spans="5:13" x14ac:dyDescent="0.25">
      <c r="E2357" s="32">
        <f t="shared" si="183"/>
        <v>0</v>
      </c>
      <c r="I2357" s="32">
        <f t="shared" si="184"/>
        <v>0</v>
      </c>
      <c r="K2357" s="31">
        <f t="shared" si="181"/>
        <v>0</v>
      </c>
      <c r="L2357" s="34">
        <f t="shared" si="182"/>
        <v>0</v>
      </c>
      <c r="M2357" s="34">
        <f t="shared" si="180"/>
        <v>0</v>
      </c>
    </row>
    <row r="2358" spans="5:13" x14ac:dyDescent="0.25">
      <c r="E2358" s="32">
        <f t="shared" si="183"/>
        <v>0</v>
      </c>
      <c r="I2358" s="32">
        <f t="shared" si="184"/>
        <v>0</v>
      </c>
      <c r="K2358" s="31">
        <f t="shared" si="181"/>
        <v>0</v>
      </c>
      <c r="L2358" s="34">
        <f t="shared" si="182"/>
        <v>0</v>
      </c>
      <c r="M2358" s="34">
        <f t="shared" si="180"/>
        <v>0</v>
      </c>
    </row>
    <row r="2359" spans="5:13" x14ac:dyDescent="0.25">
      <c r="E2359" s="32">
        <f t="shared" si="183"/>
        <v>0</v>
      </c>
      <c r="I2359" s="32">
        <f t="shared" si="184"/>
        <v>0</v>
      </c>
      <c r="K2359" s="31">
        <f t="shared" si="181"/>
        <v>0</v>
      </c>
      <c r="L2359" s="34">
        <f t="shared" si="182"/>
        <v>0</v>
      </c>
      <c r="M2359" s="34">
        <f t="shared" si="180"/>
        <v>0</v>
      </c>
    </row>
    <row r="2360" spans="5:13" x14ac:dyDescent="0.25">
      <c r="E2360" s="32">
        <f t="shared" si="183"/>
        <v>0</v>
      </c>
      <c r="I2360" s="32">
        <f t="shared" si="184"/>
        <v>0</v>
      </c>
      <c r="K2360" s="31">
        <f t="shared" si="181"/>
        <v>0</v>
      </c>
      <c r="L2360" s="34">
        <f t="shared" si="182"/>
        <v>0</v>
      </c>
      <c r="M2360" s="34">
        <f t="shared" si="180"/>
        <v>0</v>
      </c>
    </row>
    <row r="2361" spans="5:13" x14ac:dyDescent="0.25">
      <c r="E2361" s="32">
        <f t="shared" si="183"/>
        <v>0</v>
      </c>
      <c r="I2361" s="32">
        <f t="shared" si="184"/>
        <v>0</v>
      </c>
      <c r="K2361" s="31">
        <f t="shared" si="181"/>
        <v>0</v>
      </c>
      <c r="L2361" s="34">
        <f t="shared" si="182"/>
        <v>0</v>
      </c>
      <c r="M2361" s="34">
        <f t="shared" si="180"/>
        <v>0</v>
      </c>
    </row>
    <row r="2362" spans="5:13" x14ac:dyDescent="0.25">
      <c r="E2362" s="32">
        <f t="shared" si="183"/>
        <v>0</v>
      </c>
      <c r="I2362" s="32">
        <f t="shared" si="184"/>
        <v>0</v>
      </c>
      <c r="K2362" s="31">
        <f t="shared" si="181"/>
        <v>0</v>
      </c>
      <c r="L2362" s="34">
        <f t="shared" si="182"/>
        <v>0</v>
      </c>
      <c r="M2362" s="34">
        <f t="shared" si="180"/>
        <v>0</v>
      </c>
    </row>
    <row r="2363" spans="5:13" x14ac:dyDescent="0.25">
      <c r="E2363" s="32">
        <f t="shared" si="183"/>
        <v>0</v>
      </c>
      <c r="I2363" s="32">
        <f t="shared" si="184"/>
        <v>0</v>
      </c>
      <c r="K2363" s="31">
        <f t="shared" si="181"/>
        <v>0</v>
      </c>
      <c r="L2363" s="34">
        <f t="shared" si="182"/>
        <v>0</v>
      </c>
      <c r="M2363" s="34">
        <f t="shared" si="180"/>
        <v>0</v>
      </c>
    </row>
    <row r="2364" spans="5:13" x14ac:dyDescent="0.25">
      <c r="E2364" s="32">
        <f t="shared" si="183"/>
        <v>0</v>
      </c>
      <c r="I2364" s="32">
        <f t="shared" si="184"/>
        <v>0</v>
      </c>
      <c r="K2364" s="31">
        <f t="shared" si="181"/>
        <v>0</v>
      </c>
      <c r="L2364" s="34">
        <f t="shared" si="182"/>
        <v>0</v>
      </c>
      <c r="M2364" s="34">
        <f t="shared" si="180"/>
        <v>0</v>
      </c>
    </row>
    <row r="2365" spans="5:13" x14ac:dyDescent="0.25">
      <c r="E2365" s="32">
        <f t="shared" si="183"/>
        <v>0</v>
      </c>
      <c r="I2365" s="32">
        <f t="shared" si="184"/>
        <v>0</v>
      </c>
      <c r="K2365" s="31">
        <f t="shared" si="181"/>
        <v>0</v>
      </c>
      <c r="L2365" s="34">
        <f t="shared" si="182"/>
        <v>0</v>
      </c>
      <c r="M2365" s="34">
        <f t="shared" si="180"/>
        <v>0</v>
      </c>
    </row>
    <row r="2366" spans="5:13" x14ac:dyDescent="0.25">
      <c r="E2366" s="32">
        <f t="shared" si="183"/>
        <v>0</v>
      </c>
      <c r="I2366" s="32">
        <f t="shared" si="184"/>
        <v>0</v>
      </c>
      <c r="K2366" s="31">
        <f t="shared" si="181"/>
        <v>0</v>
      </c>
      <c r="L2366" s="34">
        <f t="shared" si="182"/>
        <v>0</v>
      </c>
      <c r="M2366" s="34">
        <f t="shared" si="180"/>
        <v>0</v>
      </c>
    </row>
    <row r="2367" spans="5:13" x14ac:dyDescent="0.25">
      <c r="E2367" s="32">
        <f t="shared" si="183"/>
        <v>0</v>
      </c>
      <c r="I2367" s="32">
        <f t="shared" si="184"/>
        <v>0</v>
      </c>
      <c r="K2367" s="31">
        <f t="shared" si="181"/>
        <v>0</v>
      </c>
      <c r="L2367" s="34">
        <f t="shared" si="182"/>
        <v>0</v>
      </c>
      <c r="M2367" s="34">
        <f t="shared" si="180"/>
        <v>0</v>
      </c>
    </row>
    <row r="2368" spans="5:13" x14ac:dyDescent="0.25">
      <c r="E2368" s="32">
        <f t="shared" si="183"/>
        <v>0</v>
      </c>
      <c r="I2368" s="32">
        <f t="shared" si="184"/>
        <v>0</v>
      </c>
      <c r="K2368" s="31">
        <f t="shared" si="181"/>
        <v>0</v>
      </c>
      <c r="L2368" s="34">
        <f t="shared" si="182"/>
        <v>0</v>
      </c>
      <c r="M2368" s="34">
        <f t="shared" si="180"/>
        <v>0</v>
      </c>
    </row>
    <row r="2369" spans="5:13" x14ac:dyDescent="0.25">
      <c r="E2369" s="32">
        <f t="shared" si="183"/>
        <v>0</v>
      </c>
      <c r="I2369" s="32">
        <f t="shared" si="184"/>
        <v>0</v>
      </c>
      <c r="K2369" s="31">
        <f t="shared" si="181"/>
        <v>0</v>
      </c>
      <c r="L2369" s="34">
        <f t="shared" si="182"/>
        <v>0</v>
      </c>
      <c r="M2369" s="34">
        <f t="shared" si="180"/>
        <v>0</v>
      </c>
    </row>
    <row r="2370" spans="5:13" x14ac:dyDescent="0.25">
      <c r="E2370" s="32">
        <f t="shared" si="183"/>
        <v>0</v>
      </c>
      <c r="I2370" s="32">
        <f t="shared" si="184"/>
        <v>0</v>
      </c>
      <c r="K2370" s="31">
        <f t="shared" si="181"/>
        <v>0</v>
      </c>
      <c r="L2370" s="34">
        <f t="shared" si="182"/>
        <v>0</v>
      </c>
      <c r="M2370" s="34">
        <f t="shared" si="180"/>
        <v>0</v>
      </c>
    </row>
    <row r="2371" spans="5:13" x14ac:dyDescent="0.25">
      <c r="E2371" s="32">
        <f t="shared" si="183"/>
        <v>0</v>
      </c>
      <c r="I2371" s="32">
        <f t="shared" si="184"/>
        <v>0</v>
      </c>
      <c r="K2371" s="31">
        <f t="shared" si="181"/>
        <v>0</v>
      </c>
      <c r="L2371" s="34">
        <f t="shared" si="182"/>
        <v>0</v>
      </c>
      <c r="M2371" s="34">
        <f t="shared" si="180"/>
        <v>0</v>
      </c>
    </row>
    <row r="2372" spans="5:13" x14ac:dyDescent="0.25">
      <c r="E2372" s="32">
        <f t="shared" si="183"/>
        <v>0</v>
      </c>
      <c r="I2372" s="32">
        <f t="shared" si="184"/>
        <v>0</v>
      </c>
      <c r="K2372" s="31">
        <f t="shared" si="181"/>
        <v>0</v>
      </c>
      <c r="L2372" s="34">
        <f t="shared" si="182"/>
        <v>0</v>
      </c>
      <c r="M2372" s="34">
        <f t="shared" ref="M2372:M2435" si="185">(L2372/27)*4</f>
        <v>0</v>
      </c>
    </row>
    <row r="2373" spans="5:13" x14ac:dyDescent="0.25">
      <c r="E2373" s="32">
        <f t="shared" si="183"/>
        <v>0</v>
      </c>
      <c r="I2373" s="32">
        <f t="shared" si="184"/>
        <v>0</v>
      </c>
      <c r="K2373" s="31">
        <f t="shared" ref="K2373:K2436" si="186">B2373/30</f>
        <v>0</v>
      </c>
      <c r="L2373" s="34">
        <f t="shared" ref="L2373:L2436" si="187">IF(J2373="S",((I2373*24)*K2373)*2,((I2373*24)*K2373)*1.5)</f>
        <v>0</v>
      </c>
      <c r="M2373" s="34">
        <f t="shared" si="185"/>
        <v>0</v>
      </c>
    </row>
    <row r="2374" spans="5:13" x14ac:dyDescent="0.25">
      <c r="E2374" s="32">
        <f t="shared" ref="E2374:E2437" si="188">D2374-C2374</f>
        <v>0</v>
      </c>
      <c r="I2374" s="32">
        <f t="shared" ref="I2374:I2437" si="189">H2374-G2374</f>
        <v>0</v>
      </c>
      <c r="K2374" s="31">
        <f t="shared" si="186"/>
        <v>0</v>
      </c>
      <c r="L2374" s="34">
        <f t="shared" si="187"/>
        <v>0</v>
      </c>
      <c r="M2374" s="34">
        <f t="shared" si="185"/>
        <v>0</v>
      </c>
    </row>
    <row r="2375" spans="5:13" x14ac:dyDescent="0.25">
      <c r="E2375" s="32">
        <f t="shared" si="188"/>
        <v>0</v>
      </c>
      <c r="I2375" s="32">
        <f t="shared" si="189"/>
        <v>0</v>
      </c>
      <c r="K2375" s="31">
        <f t="shared" si="186"/>
        <v>0</v>
      </c>
      <c r="L2375" s="34">
        <f t="shared" si="187"/>
        <v>0</v>
      </c>
      <c r="M2375" s="34">
        <f t="shared" si="185"/>
        <v>0</v>
      </c>
    </row>
    <row r="2376" spans="5:13" x14ac:dyDescent="0.25">
      <c r="E2376" s="32">
        <f t="shared" si="188"/>
        <v>0</v>
      </c>
      <c r="I2376" s="32">
        <f t="shared" si="189"/>
        <v>0</v>
      </c>
      <c r="K2376" s="31">
        <f t="shared" si="186"/>
        <v>0</v>
      </c>
      <c r="L2376" s="34">
        <f t="shared" si="187"/>
        <v>0</v>
      </c>
      <c r="M2376" s="34">
        <f t="shared" si="185"/>
        <v>0</v>
      </c>
    </row>
    <row r="2377" spans="5:13" x14ac:dyDescent="0.25">
      <c r="E2377" s="32">
        <f t="shared" si="188"/>
        <v>0</v>
      </c>
      <c r="I2377" s="32">
        <f t="shared" si="189"/>
        <v>0</v>
      </c>
      <c r="K2377" s="31">
        <f t="shared" si="186"/>
        <v>0</v>
      </c>
      <c r="L2377" s="34">
        <f t="shared" si="187"/>
        <v>0</v>
      </c>
      <c r="M2377" s="34">
        <f t="shared" si="185"/>
        <v>0</v>
      </c>
    </row>
    <row r="2378" spans="5:13" x14ac:dyDescent="0.25">
      <c r="E2378" s="32">
        <f t="shared" si="188"/>
        <v>0</v>
      </c>
      <c r="I2378" s="32">
        <f t="shared" si="189"/>
        <v>0</v>
      </c>
      <c r="K2378" s="31">
        <f t="shared" si="186"/>
        <v>0</v>
      </c>
      <c r="L2378" s="34">
        <f t="shared" si="187"/>
        <v>0</v>
      </c>
      <c r="M2378" s="34">
        <f t="shared" si="185"/>
        <v>0</v>
      </c>
    </row>
    <row r="2379" spans="5:13" x14ac:dyDescent="0.25">
      <c r="E2379" s="32">
        <f t="shared" si="188"/>
        <v>0</v>
      </c>
      <c r="I2379" s="32">
        <f t="shared" si="189"/>
        <v>0</v>
      </c>
      <c r="K2379" s="31">
        <f t="shared" si="186"/>
        <v>0</v>
      </c>
      <c r="L2379" s="34">
        <f t="shared" si="187"/>
        <v>0</v>
      </c>
      <c r="M2379" s="34">
        <f t="shared" si="185"/>
        <v>0</v>
      </c>
    </row>
    <row r="2380" spans="5:13" x14ac:dyDescent="0.25">
      <c r="E2380" s="32">
        <f t="shared" si="188"/>
        <v>0</v>
      </c>
      <c r="I2380" s="32">
        <f t="shared" si="189"/>
        <v>0</v>
      </c>
      <c r="K2380" s="31">
        <f t="shared" si="186"/>
        <v>0</v>
      </c>
      <c r="L2380" s="34">
        <f t="shared" si="187"/>
        <v>0</v>
      </c>
      <c r="M2380" s="34">
        <f t="shared" si="185"/>
        <v>0</v>
      </c>
    </row>
    <row r="2381" spans="5:13" x14ac:dyDescent="0.25">
      <c r="E2381" s="32">
        <f t="shared" si="188"/>
        <v>0</v>
      </c>
      <c r="I2381" s="32">
        <f t="shared" si="189"/>
        <v>0</v>
      </c>
      <c r="K2381" s="31">
        <f t="shared" si="186"/>
        <v>0</v>
      </c>
      <c r="L2381" s="34">
        <f t="shared" si="187"/>
        <v>0</v>
      </c>
      <c r="M2381" s="34">
        <f t="shared" si="185"/>
        <v>0</v>
      </c>
    </row>
    <row r="2382" spans="5:13" x14ac:dyDescent="0.25">
      <c r="E2382" s="32">
        <f t="shared" si="188"/>
        <v>0</v>
      </c>
      <c r="I2382" s="32">
        <f t="shared" si="189"/>
        <v>0</v>
      </c>
      <c r="K2382" s="31">
        <f t="shared" si="186"/>
        <v>0</v>
      </c>
      <c r="L2382" s="34">
        <f t="shared" si="187"/>
        <v>0</v>
      </c>
      <c r="M2382" s="34">
        <f t="shared" si="185"/>
        <v>0</v>
      </c>
    </row>
    <row r="2383" spans="5:13" x14ac:dyDescent="0.25">
      <c r="E2383" s="32">
        <f t="shared" si="188"/>
        <v>0</v>
      </c>
      <c r="I2383" s="32">
        <f t="shared" si="189"/>
        <v>0</v>
      </c>
      <c r="K2383" s="31">
        <f t="shared" si="186"/>
        <v>0</v>
      </c>
      <c r="L2383" s="34">
        <f t="shared" si="187"/>
        <v>0</v>
      </c>
      <c r="M2383" s="34">
        <f t="shared" si="185"/>
        <v>0</v>
      </c>
    </row>
    <row r="2384" spans="5:13" x14ac:dyDescent="0.25">
      <c r="E2384" s="32">
        <f t="shared" si="188"/>
        <v>0</v>
      </c>
      <c r="I2384" s="32">
        <f t="shared" si="189"/>
        <v>0</v>
      </c>
      <c r="K2384" s="31">
        <f t="shared" si="186"/>
        <v>0</v>
      </c>
      <c r="L2384" s="34">
        <f t="shared" si="187"/>
        <v>0</v>
      </c>
      <c r="M2384" s="34">
        <f t="shared" si="185"/>
        <v>0</v>
      </c>
    </row>
    <row r="2385" spans="5:13" x14ac:dyDescent="0.25">
      <c r="E2385" s="32">
        <f t="shared" si="188"/>
        <v>0</v>
      </c>
      <c r="I2385" s="32">
        <f t="shared" si="189"/>
        <v>0</v>
      </c>
      <c r="K2385" s="31">
        <f t="shared" si="186"/>
        <v>0</v>
      </c>
      <c r="L2385" s="34">
        <f t="shared" si="187"/>
        <v>0</v>
      </c>
      <c r="M2385" s="34">
        <f t="shared" si="185"/>
        <v>0</v>
      </c>
    </row>
    <row r="2386" spans="5:13" x14ac:dyDescent="0.25">
      <c r="E2386" s="32">
        <f t="shared" si="188"/>
        <v>0</v>
      </c>
      <c r="I2386" s="32">
        <f t="shared" si="189"/>
        <v>0</v>
      </c>
      <c r="K2386" s="31">
        <f t="shared" si="186"/>
        <v>0</v>
      </c>
      <c r="L2386" s="34">
        <f t="shared" si="187"/>
        <v>0</v>
      </c>
      <c r="M2386" s="34">
        <f t="shared" si="185"/>
        <v>0</v>
      </c>
    </row>
    <row r="2387" spans="5:13" x14ac:dyDescent="0.25">
      <c r="E2387" s="32">
        <f t="shared" si="188"/>
        <v>0</v>
      </c>
      <c r="I2387" s="32">
        <f t="shared" si="189"/>
        <v>0</v>
      </c>
      <c r="K2387" s="31">
        <f t="shared" si="186"/>
        <v>0</v>
      </c>
      <c r="L2387" s="34">
        <f t="shared" si="187"/>
        <v>0</v>
      </c>
      <c r="M2387" s="34">
        <f t="shared" si="185"/>
        <v>0</v>
      </c>
    </row>
    <row r="2388" spans="5:13" x14ac:dyDescent="0.25">
      <c r="E2388" s="32">
        <f t="shared" si="188"/>
        <v>0</v>
      </c>
      <c r="I2388" s="32">
        <f t="shared" si="189"/>
        <v>0</v>
      </c>
      <c r="K2388" s="31">
        <f t="shared" si="186"/>
        <v>0</v>
      </c>
      <c r="L2388" s="34">
        <f t="shared" si="187"/>
        <v>0</v>
      </c>
      <c r="M2388" s="34">
        <f t="shared" si="185"/>
        <v>0</v>
      </c>
    </row>
    <row r="2389" spans="5:13" x14ac:dyDescent="0.25">
      <c r="E2389" s="32">
        <f t="shared" si="188"/>
        <v>0</v>
      </c>
      <c r="I2389" s="32">
        <f t="shared" si="189"/>
        <v>0</v>
      </c>
      <c r="K2389" s="31">
        <f t="shared" si="186"/>
        <v>0</v>
      </c>
      <c r="L2389" s="34">
        <f t="shared" si="187"/>
        <v>0</v>
      </c>
      <c r="M2389" s="34">
        <f t="shared" si="185"/>
        <v>0</v>
      </c>
    </row>
    <row r="2390" spans="5:13" x14ac:dyDescent="0.25">
      <c r="E2390" s="32">
        <f t="shared" si="188"/>
        <v>0</v>
      </c>
      <c r="I2390" s="32">
        <f t="shared" si="189"/>
        <v>0</v>
      </c>
      <c r="K2390" s="31">
        <f t="shared" si="186"/>
        <v>0</v>
      </c>
      <c r="L2390" s="34">
        <f t="shared" si="187"/>
        <v>0</v>
      </c>
      <c r="M2390" s="34">
        <f t="shared" si="185"/>
        <v>0</v>
      </c>
    </row>
    <row r="2391" spans="5:13" x14ac:dyDescent="0.25">
      <c r="E2391" s="32">
        <f t="shared" si="188"/>
        <v>0</v>
      </c>
      <c r="I2391" s="32">
        <f t="shared" si="189"/>
        <v>0</v>
      </c>
      <c r="K2391" s="31">
        <f t="shared" si="186"/>
        <v>0</v>
      </c>
      <c r="L2391" s="34">
        <f t="shared" si="187"/>
        <v>0</v>
      </c>
      <c r="M2391" s="34">
        <f t="shared" si="185"/>
        <v>0</v>
      </c>
    </row>
    <row r="2392" spans="5:13" x14ac:dyDescent="0.25">
      <c r="E2392" s="32">
        <f t="shared" si="188"/>
        <v>0</v>
      </c>
      <c r="I2392" s="32">
        <f t="shared" si="189"/>
        <v>0</v>
      </c>
      <c r="K2392" s="31">
        <f t="shared" si="186"/>
        <v>0</v>
      </c>
      <c r="L2392" s="34">
        <f t="shared" si="187"/>
        <v>0</v>
      </c>
      <c r="M2392" s="34">
        <f t="shared" si="185"/>
        <v>0</v>
      </c>
    </row>
    <row r="2393" spans="5:13" x14ac:dyDescent="0.25">
      <c r="E2393" s="32">
        <f t="shared" si="188"/>
        <v>0</v>
      </c>
      <c r="I2393" s="32">
        <f t="shared" si="189"/>
        <v>0</v>
      </c>
      <c r="K2393" s="31">
        <f t="shared" si="186"/>
        <v>0</v>
      </c>
      <c r="L2393" s="34">
        <f t="shared" si="187"/>
        <v>0</v>
      </c>
      <c r="M2393" s="34">
        <f t="shared" si="185"/>
        <v>0</v>
      </c>
    </row>
    <row r="2394" spans="5:13" x14ac:dyDescent="0.25">
      <c r="E2394" s="32">
        <f t="shared" si="188"/>
        <v>0</v>
      </c>
      <c r="I2394" s="32">
        <f t="shared" si="189"/>
        <v>0</v>
      </c>
      <c r="K2394" s="31">
        <f t="shared" si="186"/>
        <v>0</v>
      </c>
      <c r="L2394" s="34">
        <f t="shared" si="187"/>
        <v>0</v>
      </c>
      <c r="M2394" s="34">
        <f t="shared" si="185"/>
        <v>0</v>
      </c>
    </row>
    <row r="2395" spans="5:13" x14ac:dyDescent="0.25">
      <c r="E2395" s="32">
        <f t="shared" si="188"/>
        <v>0</v>
      </c>
      <c r="I2395" s="32">
        <f t="shared" si="189"/>
        <v>0</v>
      </c>
      <c r="K2395" s="31">
        <f t="shared" si="186"/>
        <v>0</v>
      </c>
      <c r="L2395" s="34">
        <f t="shared" si="187"/>
        <v>0</v>
      </c>
      <c r="M2395" s="34">
        <f t="shared" si="185"/>
        <v>0</v>
      </c>
    </row>
    <row r="2396" spans="5:13" x14ac:dyDescent="0.25">
      <c r="E2396" s="32">
        <f t="shared" si="188"/>
        <v>0</v>
      </c>
      <c r="I2396" s="32">
        <f t="shared" si="189"/>
        <v>0</v>
      </c>
      <c r="K2396" s="31">
        <f t="shared" si="186"/>
        <v>0</v>
      </c>
      <c r="L2396" s="34">
        <f t="shared" si="187"/>
        <v>0</v>
      </c>
      <c r="M2396" s="34">
        <f t="shared" si="185"/>
        <v>0</v>
      </c>
    </row>
    <row r="2397" spans="5:13" x14ac:dyDescent="0.25">
      <c r="E2397" s="32">
        <f t="shared" si="188"/>
        <v>0</v>
      </c>
      <c r="I2397" s="32">
        <f t="shared" si="189"/>
        <v>0</v>
      </c>
      <c r="K2397" s="31">
        <f t="shared" si="186"/>
        <v>0</v>
      </c>
      <c r="L2397" s="34">
        <f t="shared" si="187"/>
        <v>0</v>
      </c>
      <c r="M2397" s="34">
        <f t="shared" si="185"/>
        <v>0</v>
      </c>
    </row>
    <row r="2398" spans="5:13" x14ac:dyDescent="0.25">
      <c r="E2398" s="32">
        <f t="shared" si="188"/>
        <v>0</v>
      </c>
      <c r="I2398" s="32">
        <f t="shared" si="189"/>
        <v>0</v>
      </c>
      <c r="K2398" s="31">
        <f t="shared" si="186"/>
        <v>0</v>
      </c>
      <c r="L2398" s="34">
        <f t="shared" si="187"/>
        <v>0</v>
      </c>
      <c r="M2398" s="34">
        <f t="shared" si="185"/>
        <v>0</v>
      </c>
    </row>
    <row r="2399" spans="5:13" x14ac:dyDescent="0.25">
      <c r="E2399" s="32">
        <f t="shared" si="188"/>
        <v>0</v>
      </c>
      <c r="I2399" s="32">
        <f t="shared" si="189"/>
        <v>0</v>
      </c>
      <c r="K2399" s="31">
        <f t="shared" si="186"/>
        <v>0</v>
      </c>
      <c r="L2399" s="34">
        <f t="shared" si="187"/>
        <v>0</v>
      </c>
      <c r="M2399" s="34">
        <f t="shared" si="185"/>
        <v>0</v>
      </c>
    </row>
    <row r="2400" spans="5:13" x14ac:dyDescent="0.25">
      <c r="E2400" s="32">
        <f t="shared" si="188"/>
        <v>0</v>
      </c>
      <c r="I2400" s="32">
        <f t="shared" si="189"/>
        <v>0</v>
      </c>
      <c r="K2400" s="31">
        <f t="shared" si="186"/>
        <v>0</v>
      </c>
      <c r="L2400" s="34">
        <f t="shared" si="187"/>
        <v>0</v>
      </c>
      <c r="M2400" s="34">
        <f t="shared" si="185"/>
        <v>0</v>
      </c>
    </row>
    <row r="2401" spans="5:13" x14ac:dyDescent="0.25">
      <c r="E2401" s="32">
        <f t="shared" si="188"/>
        <v>0</v>
      </c>
      <c r="I2401" s="32">
        <f t="shared" si="189"/>
        <v>0</v>
      </c>
      <c r="K2401" s="31">
        <f t="shared" si="186"/>
        <v>0</v>
      </c>
      <c r="L2401" s="34">
        <f t="shared" si="187"/>
        <v>0</v>
      </c>
      <c r="M2401" s="34">
        <f t="shared" si="185"/>
        <v>0</v>
      </c>
    </row>
    <row r="2402" spans="5:13" x14ac:dyDescent="0.25">
      <c r="E2402" s="32">
        <f t="shared" si="188"/>
        <v>0</v>
      </c>
      <c r="I2402" s="32">
        <f t="shared" si="189"/>
        <v>0</v>
      </c>
      <c r="K2402" s="31">
        <f t="shared" si="186"/>
        <v>0</v>
      </c>
      <c r="L2402" s="34">
        <f t="shared" si="187"/>
        <v>0</v>
      </c>
      <c r="M2402" s="34">
        <f t="shared" si="185"/>
        <v>0</v>
      </c>
    </row>
    <row r="2403" spans="5:13" x14ac:dyDescent="0.25">
      <c r="E2403" s="32">
        <f t="shared" si="188"/>
        <v>0</v>
      </c>
      <c r="I2403" s="32">
        <f t="shared" si="189"/>
        <v>0</v>
      </c>
      <c r="K2403" s="31">
        <f t="shared" si="186"/>
        <v>0</v>
      </c>
      <c r="L2403" s="34">
        <f t="shared" si="187"/>
        <v>0</v>
      </c>
      <c r="M2403" s="34">
        <f t="shared" si="185"/>
        <v>0</v>
      </c>
    </row>
    <row r="2404" spans="5:13" x14ac:dyDescent="0.25">
      <c r="E2404" s="32">
        <f t="shared" si="188"/>
        <v>0</v>
      </c>
      <c r="I2404" s="32">
        <f t="shared" si="189"/>
        <v>0</v>
      </c>
      <c r="K2404" s="31">
        <f t="shared" si="186"/>
        <v>0</v>
      </c>
      <c r="L2404" s="34">
        <f t="shared" si="187"/>
        <v>0</v>
      </c>
      <c r="M2404" s="34">
        <f t="shared" si="185"/>
        <v>0</v>
      </c>
    </row>
    <row r="2405" spans="5:13" x14ac:dyDescent="0.25">
      <c r="E2405" s="32">
        <f t="shared" si="188"/>
        <v>0</v>
      </c>
      <c r="I2405" s="32">
        <f t="shared" si="189"/>
        <v>0</v>
      </c>
      <c r="K2405" s="31">
        <f t="shared" si="186"/>
        <v>0</v>
      </c>
      <c r="L2405" s="34">
        <f t="shared" si="187"/>
        <v>0</v>
      </c>
      <c r="M2405" s="34">
        <f t="shared" si="185"/>
        <v>0</v>
      </c>
    </row>
    <row r="2406" spans="5:13" x14ac:dyDescent="0.25">
      <c r="E2406" s="32">
        <f t="shared" si="188"/>
        <v>0</v>
      </c>
      <c r="I2406" s="32">
        <f t="shared" si="189"/>
        <v>0</v>
      </c>
      <c r="K2406" s="31">
        <f t="shared" si="186"/>
        <v>0</v>
      </c>
      <c r="L2406" s="34">
        <f t="shared" si="187"/>
        <v>0</v>
      </c>
      <c r="M2406" s="34">
        <f t="shared" si="185"/>
        <v>0</v>
      </c>
    </row>
    <row r="2407" spans="5:13" x14ac:dyDescent="0.25">
      <c r="E2407" s="32">
        <f t="shared" si="188"/>
        <v>0</v>
      </c>
      <c r="I2407" s="32">
        <f t="shared" si="189"/>
        <v>0</v>
      </c>
      <c r="K2407" s="31">
        <f t="shared" si="186"/>
        <v>0</v>
      </c>
      <c r="L2407" s="34">
        <f t="shared" si="187"/>
        <v>0</v>
      </c>
      <c r="M2407" s="34">
        <f t="shared" si="185"/>
        <v>0</v>
      </c>
    </row>
    <row r="2408" spans="5:13" x14ac:dyDescent="0.25">
      <c r="E2408" s="32">
        <f t="shared" si="188"/>
        <v>0</v>
      </c>
      <c r="I2408" s="32">
        <f t="shared" si="189"/>
        <v>0</v>
      </c>
      <c r="K2408" s="31">
        <f t="shared" si="186"/>
        <v>0</v>
      </c>
      <c r="L2408" s="34">
        <f t="shared" si="187"/>
        <v>0</v>
      </c>
      <c r="M2408" s="34">
        <f t="shared" si="185"/>
        <v>0</v>
      </c>
    </row>
    <row r="2409" spans="5:13" x14ac:dyDescent="0.25">
      <c r="E2409" s="32">
        <f t="shared" si="188"/>
        <v>0</v>
      </c>
      <c r="I2409" s="32">
        <f t="shared" si="189"/>
        <v>0</v>
      </c>
      <c r="K2409" s="31">
        <f t="shared" si="186"/>
        <v>0</v>
      </c>
      <c r="L2409" s="34">
        <f t="shared" si="187"/>
        <v>0</v>
      </c>
      <c r="M2409" s="34">
        <f t="shared" si="185"/>
        <v>0</v>
      </c>
    </row>
    <row r="2410" spans="5:13" x14ac:dyDescent="0.25">
      <c r="E2410" s="32">
        <f t="shared" si="188"/>
        <v>0</v>
      </c>
      <c r="I2410" s="32">
        <f t="shared" si="189"/>
        <v>0</v>
      </c>
      <c r="K2410" s="31">
        <f t="shared" si="186"/>
        <v>0</v>
      </c>
      <c r="L2410" s="34">
        <f t="shared" si="187"/>
        <v>0</v>
      </c>
      <c r="M2410" s="34">
        <f t="shared" si="185"/>
        <v>0</v>
      </c>
    </row>
    <row r="2411" spans="5:13" x14ac:dyDescent="0.25">
      <c r="E2411" s="32">
        <f t="shared" si="188"/>
        <v>0</v>
      </c>
      <c r="I2411" s="32">
        <f t="shared" si="189"/>
        <v>0</v>
      </c>
      <c r="K2411" s="31">
        <f t="shared" si="186"/>
        <v>0</v>
      </c>
      <c r="L2411" s="34">
        <f t="shared" si="187"/>
        <v>0</v>
      </c>
      <c r="M2411" s="34">
        <f t="shared" si="185"/>
        <v>0</v>
      </c>
    </row>
    <row r="2412" spans="5:13" x14ac:dyDescent="0.25">
      <c r="E2412" s="32">
        <f t="shared" si="188"/>
        <v>0</v>
      </c>
      <c r="I2412" s="32">
        <f t="shared" si="189"/>
        <v>0</v>
      </c>
      <c r="K2412" s="31">
        <f t="shared" si="186"/>
        <v>0</v>
      </c>
      <c r="L2412" s="34">
        <f t="shared" si="187"/>
        <v>0</v>
      </c>
      <c r="M2412" s="34">
        <f t="shared" si="185"/>
        <v>0</v>
      </c>
    </row>
    <row r="2413" spans="5:13" x14ac:dyDescent="0.25">
      <c r="E2413" s="32">
        <f t="shared" si="188"/>
        <v>0</v>
      </c>
      <c r="I2413" s="32">
        <f t="shared" si="189"/>
        <v>0</v>
      </c>
      <c r="K2413" s="31">
        <f t="shared" si="186"/>
        <v>0</v>
      </c>
      <c r="L2413" s="34">
        <f t="shared" si="187"/>
        <v>0</v>
      </c>
      <c r="M2413" s="34">
        <f t="shared" si="185"/>
        <v>0</v>
      </c>
    </row>
    <row r="2414" spans="5:13" x14ac:dyDescent="0.25">
      <c r="E2414" s="32">
        <f t="shared" si="188"/>
        <v>0</v>
      </c>
      <c r="I2414" s="32">
        <f t="shared" si="189"/>
        <v>0</v>
      </c>
      <c r="K2414" s="31">
        <f t="shared" si="186"/>
        <v>0</v>
      </c>
      <c r="L2414" s="34">
        <f t="shared" si="187"/>
        <v>0</v>
      </c>
      <c r="M2414" s="34">
        <f t="shared" si="185"/>
        <v>0</v>
      </c>
    </row>
    <row r="2415" spans="5:13" x14ac:dyDescent="0.25">
      <c r="E2415" s="32">
        <f t="shared" si="188"/>
        <v>0</v>
      </c>
      <c r="I2415" s="32">
        <f t="shared" si="189"/>
        <v>0</v>
      </c>
      <c r="K2415" s="31">
        <f t="shared" si="186"/>
        <v>0</v>
      </c>
      <c r="L2415" s="34">
        <f t="shared" si="187"/>
        <v>0</v>
      </c>
      <c r="M2415" s="34">
        <f t="shared" si="185"/>
        <v>0</v>
      </c>
    </row>
    <row r="2416" spans="5:13" x14ac:dyDescent="0.25">
      <c r="E2416" s="32">
        <f t="shared" si="188"/>
        <v>0</v>
      </c>
      <c r="I2416" s="32">
        <f t="shared" si="189"/>
        <v>0</v>
      </c>
      <c r="K2416" s="31">
        <f t="shared" si="186"/>
        <v>0</v>
      </c>
      <c r="L2416" s="34">
        <f t="shared" si="187"/>
        <v>0</v>
      </c>
      <c r="M2416" s="34">
        <f t="shared" si="185"/>
        <v>0</v>
      </c>
    </row>
    <row r="2417" spans="5:13" x14ac:dyDescent="0.25">
      <c r="E2417" s="32">
        <f t="shared" si="188"/>
        <v>0</v>
      </c>
      <c r="I2417" s="32">
        <f t="shared" si="189"/>
        <v>0</v>
      </c>
      <c r="K2417" s="31">
        <f t="shared" si="186"/>
        <v>0</v>
      </c>
      <c r="L2417" s="34">
        <f t="shared" si="187"/>
        <v>0</v>
      </c>
      <c r="M2417" s="34">
        <f t="shared" si="185"/>
        <v>0</v>
      </c>
    </row>
    <row r="2418" spans="5:13" x14ac:dyDescent="0.25">
      <c r="E2418" s="32">
        <f t="shared" si="188"/>
        <v>0</v>
      </c>
      <c r="I2418" s="32">
        <f t="shared" si="189"/>
        <v>0</v>
      </c>
      <c r="K2418" s="31">
        <f t="shared" si="186"/>
        <v>0</v>
      </c>
      <c r="L2418" s="34">
        <f t="shared" si="187"/>
        <v>0</v>
      </c>
      <c r="M2418" s="34">
        <f t="shared" si="185"/>
        <v>0</v>
      </c>
    </row>
    <row r="2419" spans="5:13" x14ac:dyDescent="0.25">
      <c r="E2419" s="32">
        <f t="shared" si="188"/>
        <v>0</v>
      </c>
      <c r="I2419" s="32">
        <f t="shared" si="189"/>
        <v>0</v>
      </c>
      <c r="K2419" s="31">
        <f t="shared" si="186"/>
        <v>0</v>
      </c>
      <c r="L2419" s="34">
        <f t="shared" si="187"/>
        <v>0</v>
      </c>
      <c r="M2419" s="34">
        <f t="shared" si="185"/>
        <v>0</v>
      </c>
    </row>
    <row r="2420" spans="5:13" x14ac:dyDescent="0.25">
      <c r="E2420" s="32">
        <f t="shared" si="188"/>
        <v>0</v>
      </c>
      <c r="I2420" s="32">
        <f t="shared" si="189"/>
        <v>0</v>
      </c>
      <c r="K2420" s="31">
        <f t="shared" si="186"/>
        <v>0</v>
      </c>
      <c r="L2420" s="34">
        <f t="shared" si="187"/>
        <v>0</v>
      </c>
      <c r="M2420" s="34">
        <f t="shared" si="185"/>
        <v>0</v>
      </c>
    </row>
    <row r="2421" spans="5:13" x14ac:dyDescent="0.25">
      <c r="E2421" s="32">
        <f t="shared" si="188"/>
        <v>0</v>
      </c>
      <c r="I2421" s="32">
        <f t="shared" si="189"/>
        <v>0</v>
      </c>
      <c r="K2421" s="31">
        <f t="shared" si="186"/>
        <v>0</v>
      </c>
      <c r="L2421" s="34">
        <f t="shared" si="187"/>
        <v>0</v>
      </c>
      <c r="M2421" s="34">
        <f t="shared" si="185"/>
        <v>0</v>
      </c>
    </row>
    <row r="2422" spans="5:13" x14ac:dyDescent="0.25">
      <c r="E2422" s="32">
        <f t="shared" si="188"/>
        <v>0</v>
      </c>
      <c r="I2422" s="32">
        <f t="shared" si="189"/>
        <v>0</v>
      </c>
      <c r="K2422" s="31">
        <f t="shared" si="186"/>
        <v>0</v>
      </c>
      <c r="L2422" s="34">
        <f t="shared" si="187"/>
        <v>0</v>
      </c>
      <c r="M2422" s="34">
        <f t="shared" si="185"/>
        <v>0</v>
      </c>
    </row>
    <row r="2423" spans="5:13" x14ac:dyDescent="0.25">
      <c r="E2423" s="32">
        <f t="shared" si="188"/>
        <v>0</v>
      </c>
      <c r="I2423" s="32">
        <f t="shared" si="189"/>
        <v>0</v>
      </c>
      <c r="K2423" s="31">
        <f t="shared" si="186"/>
        <v>0</v>
      </c>
      <c r="L2423" s="34">
        <f t="shared" si="187"/>
        <v>0</v>
      </c>
      <c r="M2423" s="34">
        <f t="shared" si="185"/>
        <v>0</v>
      </c>
    </row>
    <row r="2424" spans="5:13" x14ac:dyDescent="0.25">
      <c r="E2424" s="32">
        <f t="shared" si="188"/>
        <v>0</v>
      </c>
      <c r="I2424" s="32">
        <f t="shared" si="189"/>
        <v>0</v>
      </c>
      <c r="K2424" s="31">
        <f t="shared" si="186"/>
        <v>0</v>
      </c>
      <c r="L2424" s="34">
        <f t="shared" si="187"/>
        <v>0</v>
      </c>
      <c r="M2424" s="34">
        <f t="shared" si="185"/>
        <v>0</v>
      </c>
    </row>
    <row r="2425" spans="5:13" x14ac:dyDescent="0.25">
      <c r="E2425" s="32">
        <f t="shared" si="188"/>
        <v>0</v>
      </c>
      <c r="I2425" s="32">
        <f t="shared" si="189"/>
        <v>0</v>
      </c>
      <c r="K2425" s="31">
        <f t="shared" si="186"/>
        <v>0</v>
      </c>
      <c r="L2425" s="34">
        <f t="shared" si="187"/>
        <v>0</v>
      </c>
      <c r="M2425" s="34">
        <f t="shared" si="185"/>
        <v>0</v>
      </c>
    </row>
    <row r="2426" spans="5:13" x14ac:dyDescent="0.25">
      <c r="E2426" s="32">
        <f t="shared" si="188"/>
        <v>0</v>
      </c>
      <c r="I2426" s="32">
        <f t="shared" si="189"/>
        <v>0</v>
      </c>
      <c r="K2426" s="31">
        <f t="shared" si="186"/>
        <v>0</v>
      </c>
      <c r="L2426" s="34">
        <f t="shared" si="187"/>
        <v>0</v>
      </c>
      <c r="M2426" s="34">
        <f t="shared" si="185"/>
        <v>0</v>
      </c>
    </row>
    <row r="2427" spans="5:13" x14ac:dyDescent="0.25">
      <c r="E2427" s="32">
        <f t="shared" si="188"/>
        <v>0</v>
      </c>
      <c r="I2427" s="32">
        <f t="shared" si="189"/>
        <v>0</v>
      </c>
      <c r="K2427" s="31">
        <f t="shared" si="186"/>
        <v>0</v>
      </c>
      <c r="L2427" s="34">
        <f t="shared" si="187"/>
        <v>0</v>
      </c>
      <c r="M2427" s="34">
        <f t="shared" si="185"/>
        <v>0</v>
      </c>
    </row>
    <row r="2428" spans="5:13" x14ac:dyDescent="0.25">
      <c r="E2428" s="32">
        <f t="shared" si="188"/>
        <v>0</v>
      </c>
      <c r="I2428" s="32">
        <f t="shared" si="189"/>
        <v>0</v>
      </c>
      <c r="K2428" s="31">
        <f t="shared" si="186"/>
        <v>0</v>
      </c>
      <c r="L2428" s="34">
        <f t="shared" si="187"/>
        <v>0</v>
      </c>
      <c r="M2428" s="34">
        <f t="shared" si="185"/>
        <v>0</v>
      </c>
    </row>
    <row r="2429" spans="5:13" x14ac:dyDescent="0.25">
      <c r="E2429" s="32">
        <f t="shared" si="188"/>
        <v>0</v>
      </c>
      <c r="I2429" s="32">
        <f t="shared" si="189"/>
        <v>0</v>
      </c>
      <c r="K2429" s="31">
        <f t="shared" si="186"/>
        <v>0</v>
      </c>
      <c r="L2429" s="34">
        <f t="shared" si="187"/>
        <v>0</v>
      </c>
      <c r="M2429" s="34">
        <f t="shared" si="185"/>
        <v>0</v>
      </c>
    </row>
    <row r="2430" spans="5:13" x14ac:dyDescent="0.25">
      <c r="E2430" s="32">
        <f t="shared" si="188"/>
        <v>0</v>
      </c>
      <c r="I2430" s="32">
        <f t="shared" si="189"/>
        <v>0</v>
      </c>
      <c r="K2430" s="31">
        <f t="shared" si="186"/>
        <v>0</v>
      </c>
      <c r="L2430" s="34">
        <f t="shared" si="187"/>
        <v>0</v>
      </c>
      <c r="M2430" s="34">
        <f t="shared" si="185"/>
        <v>0</v>
      </c>
    </row>
    <row r="2431" spans="5:13" x14ac:dyDescent="0.25">
      <c r="E2431" s="32">
        <f t="shared" si="188"/>
        <v>0</v>
      </c>
      <c r="I2431" s="32">
        <f t="shared" si="189"/>
        <v>0</v>
      </c>
      <c r="K2431" s="31">
        <f t="shared" si="186"/>
        <v>0</v>
      </c>
      <c r="L2431" s="34">
        <f t="shared" si="187"/>
        <v>0</v>
      </c>
      <c r="M2431" s="34">
        <f t="shared" si="185"/>
        <v>0</v>
      </c>
    </row>
    <row r="2432" spans="5:13" x14ac:dyDescent="0.25">
      <c r="E2432" s="32">
        <f t="shared" si="188"/>
        <v>0</v>
      </c>
      <c r="I2432" s="32">
        <f t="shared" si="189"/>
        <v>0</v>
      </c>
      <c r="K2432" s="31">
        <f t="shared" si="186"/>
        <v>0</v>
      </c>
      <c r="L2432" s="34">
        <f t="shared" si="187"/>
        <v>0</v>
      </c>
      <c r="M2432" s="34">
        <f t="shared" si="185"/>
        <v>0</v>
      </c>
    </row>
    <row r="2433" spans="5:13" x14ac:dyDescent="0.25">
      <c r="E2433" s="32">
        <f t="shared" si="188"/>
        <v>0</v>
      </c>
      <c r="I2433" s="32">
        <f t="shared" si="189"/>
        <v>0</v>
      </c>
      <c r="K2433" s="31">
        <f t="shared" si="186"/>
        <v>0</v>
      </c>
      <c r="L2433" s="34">
        <f t="shared" si="187"/>
        <v>0</v>
      </c>
      <c r="M2433" s="34">
        <f t="shared" si="185"/>
        <v>0</v>
      </c>
    </row>
    <row r="2434" spans="5:13" x14ac:dyDescent="0.25">
      <c r="E2434" s="32">
        <f t="shared" si="188"/>
        <v>0</v>
      </c>
      <c r="I2434" s="32">
        <f t="shared" si="189"/>
        <v>0</v>
      </c>
      <c r="K2434" s="31">
        <f t="shared" si="186"/>
        <v>0</v>
      </c>
      <c r="L2434" s="34">
        <f t="shared" si="187"/>
        <v>0</v>
      </c>
      <c r="M2434" s="34">
        <f t="shared" si="185"/>
        <v>0</v>
      </c>
    </row>
    <row r="2435" spans="5:13" x14ac:dyDescent="0.25">
      <c r="E2435" s="32">
        <f t="shared" si="188"/>
        <v>0</v>
      </c>
      <c r="I2435" s="32">
        <f t="shared" si="189"/>
        <v>0</v>
      </c>
      <c r="K2435" s="31">
        <f t="shared" si="186"/>
        <v>0</v>
      </c>
      <c r="L2435" s="34">
        <f t="shared" si="187"/>
        <v>0</v>
      </c>
      <c r="M2435" s="34">
        <f t="shared" si="185"/>
        <v>0</v>
      </c>
    </row>
    <row r="2436" spans="5:13" x14ac:dyDescent="0.25">
      <c r="E2436" s="32">
        <f t="shared" si="188"/>
        <v>0</v>
      </c>
      <c r="I2436" s="32">
        <f t="shared" si="189"/>
        <v>0</v>
      </c>
      <c r="K2436" s="31">
        <f t="shared" si="186"/>
        <v>0</v>
      </c>
      <c r="L2436" s="34">
        <f t="shared" si="187"/>
        <v>0</v>
      </c>
      <c r="M2436" s="34">
        <f t="shared" ref="M2436:M2499" si="190">(L2436/27)*4</f>
        <v>0</v>
      </c>
    </row>
    <row r="2437" spans="5:13" x14ac:dyDescent="0.25">
      <c r="E2437" s="32">
        <f t="shared" si="188"/>
        <v>0</v>
      </c>
      <c r="I2437" s="32">
        <f t="shared" si="189"/>
        <v>0</v>
      </c>
      <c r="K2437" s="31">
        <f t="shared" ref="K2437:K2500" si="191">B2437/30</f>
        <v>0</v>
      </c>
      <c r="L2437" s="34">
        <f t="shared" ref="L2437:L2500" si="192">IF(J2437="S",((I2437*24)*K2437)*2,((I2437*24)*K2437)*1.5)</f>
        <v>0</v>
      </c>
      <c r="M2437" s="34">
        <f t="shared" si="190"/>
        <v>0</v>
      </c>
    </row>
    <row r="2438" spans="5:13" x14ac:dyDescent="0.25">
      <c r="E2438" s="32">
        <f t="shared" ref="E2438:E2501" si="193">D2438-C2438</f>
        <v>0</v>
      </c>
      <c r="I2438" s="32">
        <f t="shared" ref="I2438:I2501" si="194">H2438-G2438</f>
        <v>0</v>
      </c>
      <c r="K2438" s="31">
        <f t="shared" si="191"/>
        <v>0</v>
      </c>
      <c r="L2438" s="34">
        <f t="shared" si="192"/>
        <v>0</v>
      </c>
      <c r="M2438" s="34">
        <f t="shared" si="190"/>
        <v>0</v>
      </c>
    </row>
    <row r="2439" spans="5:13" x14ac:dyDescent="0.25">
      <c r="E2439" s="32">
        <f t="shared" si="193"/>
        <v>0</v>
      </c>
      <c r="I2439" s="32">
        <f t="shared" si="194"/>
        <v>0</v>
      </c>
      <c r="K2439" s="31">
        <f t="shared" si="191"/>
        <v>0</v>
      </c>
      <c r="L2439" s="34">
        <f t="shared" si="192"/>
        <v>0</v>
      </c>
      <c r="M2439" s="34">
        <f t="shared" si="190"/>
        <v>0</v>
      </c>
    </row>
    <row r="2440" spans="5:13" x14ac:dyDescent="0.25">
      <c r="E2440" s="32">
        <f t="shared" si="193"/>
        <v>0</v>
      </c>
      <c r="I2440" s="32">
        <f t="shared" si="194"/>
        <v>0</v>
      </c>
      <c r="K2440" s="31">
        <f t="shared" si="191"/>
        <v>0</v>
      </c>
      <c r="L2440" s="34">
        <f t="shared" si="192"/>
        <v>0</v>
      </c>
      <c r="M2440" s="34">
        <f t="shared" si="190"/>
        <v>0</v>
      </c>
    </row>
    <row r="2441" spans="5:13" x14ac:dyDescent="0.25">
      <c r="E2441" s="32">
        <f t="shared" si="193"/>
        <v>0</v>
      </c>
      <c r="I2441" s="32">
        <f t="shared" si="194"/>
        <v>0</v>
      </c>
      <c r="K2441" s="31">
        <f t="shared" si="191"/>
        <v>0</v>
      </c>
      <c r="L2441" s="34">
        <f t="shared" si="192"/>
        <v>0</v>
      </c>
      <c r="M2441" s="34">
        <f t="shared" si="190"/>
        <v>0</v>
      </c>
    </row>
    <row r="2442" spans="5:13" x14ac:dyDescent="0.25">
      <c r="E2442" s="32">
        <f t="shared" si="193"/>
        <v>0</v>
      </c>
      <c r="I2442" s="32">
        <f t="shared" si="194"/>
        <v>0</v>
      </c>
      <c r="K2442" s="31">
        <f t="shared" si="191"/>
        <v>0</v>
      </c>
      <c r="L2442" s="34">
        <f t="shared" si="192"/>
        <v>0</v>
      </c>
      <c r="M2442" s="34">
        <f t="shared" si="190"/>
        <v>0</v>
      </c>
    </row>
    <row r="2443" spans="5:13" x14ac:dyDescent="0.25">
      <c r="E2443" s="32">
        <f t="shared" si="193"/>
        <v>0</v>
      </c>
      <c r="I2443" s="32">
        <f t="shared" si="194"/>
        <v>0</v>
      </c>
      <c r="K2443" s="31">
        <f t="shared" si="191"/>
        <v>0</v>
      </c>
      <c r="L2443" s="34">
        <f t="shared" si="192"/>
        <v>0</v>
      </c>
      <c r="M2443" s="34">
        <f t="shared" si="190"/>
        <v>0</v>
      </c>
    </row>
    <row r="2444" spans="5:13" x14ac:dyDescent="0.25">
      <c r="E2444" s="32">
        <f t="shared" si="193"/>
        <v>0</v>
      </c>
      <c r="I2444" s="32">
        <f t="shared" si="194"/>
        <v>0</v>
      </c>
      <c r="K2444" s="31">
        <f t="shared" si="191"/>
        <v>0</v>
      </c>
      <c r="L2444" s="34">
        <f t="shared" si="192"/>
        <v>0</v>
      </c>
      <c r="M2444" s="34">
        <f t="shared" si="190"/>
        <v>0</v>
      </c>
    </row>
    <row r="2445" spans="5:13" x14ac:dyDescent="0.25">
      <c r="E2445" s="32">
        <f t="shared" si="193"/>
        <v>0</v>
      </c>
      <c r="I2445" s="32">
        <f t="shared" si="194"/>
        <v>0</v>
      </c>
      <c r="K2445" s="31">
        <f t="shared" si="191"/>
        <v>0</v>
      </c>
      <c r="L2445" s="34">
        <f t="shared" si="192"/>
        <v>0</v>
      </c>
      <c r="M2445" s="34">
        <f t="shared" si="190"/>
        <v>0</v>
      </c>
    </row>
    <row r="2446" spans="5:13" x14ac:dyDescent="0.25">
      <c r="E2446" s="32">
        <f t="shared" si="193"/>
        <v>0</v>
      </c>
      <c r="I2446" s="32">
        <f t="shared" si="194"/>
        <v>0</v>
      </c>
      <c r="K2446" s="31">
        <f t="shared" si="191"/>
        <v>0</v>
      </c>
      <c r="L2446" s="34">
        <f t="shared" si="192"/>
        <v>0</v>
      </c>
      <c r="M2446" s="34">
        <f t="shared" si="190"/>
        <v>0</v>
      </c>
    </row>
    <row r="2447" spans="5:13" x14ac:dyDescent="0.25">
      <c r="E2447" s="32">
        <f t="shared" si="193"/>
        <v>0</v>
      </c>
      <c r="I2447" s="32">
        <f t="shared" si="194"/>
        <v>0</v>
      </c>
      <c r="K2447" s="31">
        <f t="shared" si="191"/>
        <v>0</v>
      </c>
      <c r="L2447" s="34">
        <f t="shared" si="192"/>
        <v>0</v>
      </c>
      <c r="M2447" s="34">
        <f t="shared" si="190"/>
        <v>0</v>
      </c>
    </row>
    <row r="2448" spans="5:13" x14ac:dyDescent="0.25">
      <c r="E2448" s="32">
        <f t="shared" si="193"/>
        <v>0</v>
      </c>
      <c r="I2448" s="32">
        <f t="shared" si="194"/>
        <v>0</v>
      </c>
      <c r="K2448" s="31">
        <f t="shared" si="191"/>
        <v>0</v>
      </c>
      <c r="L2448" s="34">
        <f t="shared" si="192"/>
        <v>0</v>
      </c>
      <c r="M2448" s="34">
        <f t="shared" si="190"/>
        <v>0</v>
      </c>
    </row>
    <row r="2449" spans="5:13" x14ac:dyDescent="0.25">
      <c r="E2449" s="32">
        <f t="shared" si="193"/>
        <v>0</v>
      </c>
      <c r="I2449" s="32">
        <f t="shared" si="194"/>
        <v>0</v>
      </c>
      <c r="K2449" s="31">
        <f t="shared" si="191"/>
        <v>0</v>
      </c>
      <c r="L2449" s="34">
        <f t="shared" si="192"/>
        <v>0</v>
      </c>
      <c r="M2449" s="34">
        <f t="shared" si="190"/>
        <v>0</v>
      </c>
    </row>
    <row r="2450" spans="5:13" x14ac:dyDescent="0.25">
      <c r="E2450" s="32">
        <f t="shared" si="193"/>
        <v>0</v>
      </c>
      <c r="I2450" s="32">
        <f t="shared" si="194"/>
        <v>0</v>
      </c>
      <c r="K2450" s="31">
        <f t="shared" si="191"/>
        <v>0</v>
      </c>
      <c r="L2450" s="34">
        <f t="shared" si="192"/>
        <v>0</v>
      </c>
      <c r="M2450" s="34">
        <f t="shared" si="190"/>
        <v>0</v>
      </c>
    </row>
    <row r="2451" spans="5:13" x14ac:dyDescent="0.25">
      <c r="E2451" s="32">
        <f t="shared" si="193"/>
        <v>0</v>
      </c>
      <c r="I2451" s="32">
        <f t="shared" si="194"/>
        <v>0</v>
      </c>
      <c r="K2451" s="31">
        <f t="shared" si="191"/>
        <v>0</v>
      </c>
      <c r="L2451" s="34">
        <f t="shared" si="192"/>
        <v>0</v>
      </c>
      <c r="M2451" s="34">
        <f t="shared" si="190"/>
        <v>0</v>
      </c>
    </row>
    <row r="2452" spans="5:13" x14ac:dyDescent="0.25">
      <c r="E2452" s="32">
        <f t="shared" si="193"/>
        <v>0</v>
      </c>
      <c r="I2452" s="32">
        <f t="shared" si="194"/>
        <v>0</v>
      </c>
      <c r="K2452" s="31">
        <f t="shared" si="191"/>
        <v>0</v>
      </c>
      <c r="L2452" s="34">
        <f t="shared" si="192"/>
        <v>0</v>
      </c>
      <c r="M2452" s="34">
        <f t="shared" si="190"/>
        <v>0</v>
      </c>
    </row>
    <row r="2453" spans="5:13" x14ac:dyDescent="0.25">
      <c r="E2453" s="32">
        <f t="shared" si="193"/>
        <v>0</v>
      </c>
      <c r="I2453" s="32">
        <f t="shared" si="194"/>
        <v>0</v>
      </c>
      <c r="K2453" s="31">
        <f t="shared" si="191"/>
        <v>0</v>
      </c>
      <c r="L2453" s="34">
        <f t="shared" si="192"/>
        <v>0</v>
      </c>
      <c r="M2453" s="34">
        <f t="shared" si="190"/>
        <v>0</v>
      </c>
    </row>
    <row r="2454" spans="5:13" x14ac:dyDescent="0.25">
      <c r="E2454" s="32">
        <f t="shared" si="193"/>
        <v>0</v>
      </c>
      <c r="I2454" s="32">
        <f t="shared" si="194"/>
        <v>0</v>
      </c>
      <c r="K2454" s="31">
        <f t="shared" si="191"/>
        <v>0</v>
      </c>
      <c r="L2454" s="34">
        <f t="shared" si="192"/>
        <v>0</v>
      </c>
      <c r="M2454" s="34">
        <f t="shared" si="190"/>
        <v>0</v>
      </c>
    </row>
    <row r="2455" spans="5:13" x14ac:dyDescent="0.25">
      <c r="E2455" s="32">
        <f t="shared" si="193"/>
        <v>0</v>
      </c>
      <c r="I2455" s="32">
        <f t="shared" si="194"/>
        <v>0</v>
      </c>
      <c r="K2455" s="31">
        <f t="shared" si="191"/>
        <v>0</v>
      </c>
      <c r="L2455" s="34">
        <f t="shared" si="192"/>
        <v>0</v>
      </c>
      <c r="M2455" s="34">
        <f t="shared" si="190"/>
        <v>0</v>
      </c>
    </row>
    <row r="2456" spans="5:13" x14ac:dyDescent="0.25">
      <c r="E2456" s="32">
        <f t="shared" si="193"/>
        <v>0</v>
      </c>
      <c r="I2456" s="32">
        <f t="shared" si="194"/>
        <v>0</v>
      </c>
      <c r="K2456" s="31">
        <f t="shared" si="191"/>
        <v>0</v>
      </c>
      <c r="L2456" s="34">
        <f t="shared" si="192"/>
        <v>0</v>
      </c>
      <c r="M2456" s="34">
        <f t="shared" si="190"/>
        <v>0</v>
      </c>
    </row>
    <row r="2457" spans="5:13" x14ac:dyDescent="0.25">
      <c r="E2457" s="32">
        <f t="shared" si="193"/>
        <v>0</v>
      </c>
      <c r="I2457" s="32">
        <f t="shared" si="194"/>
        <v>0</v>
      </c>
      <c r="K2457" s="31">
        <f t="shared" si="191"/>
        <v>0</v>
      </c>
      <c r="L2457" s="34">
        <f t="shared" si="192"/>
        <v>0</v>
      </c>
      <c r="M2457" s="34">
        <f t="shared" si="190"/>
        <v>0</v>
      </c>
    </row>
    <row r="2458" spans="5:13" x14ac:dyDescent="0.25">
      <c r="E2458" s="32">
        <f t="shared" si="193"/>
        <v>0</v>
      </c>
      <c r="I2458" s="32">
        <f t="shared" si="194"/>
        <v>0</v>
      </c>
      <c r="K2458" s="31">
        <f t="shared" si="191"/>
        <v>0</v>
      </c>
      <c r="L2458" s="34">
        <f t="shared" si="192"/>
        <v>0</v>
      </c>
      <c r="M2458" s="34">
        <f t="shared" si="190"/>
        <v>0</v>
      </c>
    </row>
    <row r="2459" spans="5:13" x14ac:dyDescent="0.25">
      <c r="E2459" s="32">
        <f t="shared" si="193"/>
        <v>0</v>
      </c>
      <c r="I2459" s="32">
        <f t="shared" si="194"/>
        <v>0</v>
      </c>
      <c r="K2459" s="31">
        <f t="shared" si="191"/>
        <v>0</v>
      </c>
      <c r="L2459" s="34">
        <f t="shared" si="192"/>
        <v>0</v>
      </c>
      <c r="M2459" s="34">
        <f t="shared" si="190"/>
        <v>0</v>
      </c>
    </row>
    <row r="2460" spans="5:13" x14ac:dyDescent="0.25">
      <c r="E2460" s="32">
        <f t="shared" si="193"/>
        <v>0</v>
      </c>
      <c r="I2460" s="32">
        <f t="shared" si="194"/>
        <v>0</v>
      </c>
      <c r="K2460" s="31">
        <f t="shared" si="191"/>
        <v>0</v>
      </c>
      <c r="L2460" s="34">
        <f t="shared" si="192"/>
        <v>0</v>
      </c>
      <c r="M2460" s="34">
        <f t="shared" si="190"/>
        <v>0</v>
      </c>
    </row>
    <row r="2461" spans="5:13" x14ac:dyDescent="0.25">
      <c r="E2461" s="32">
        <f t="shared" si="193"/>
        <v>0</v>
      </c>
      <c r="I2461" s="32">
        <f t="shared" si="194"/>
        <v>0</v>
      </c>
      <c r="K2461" s="31">
        <f t="shared" si="191"/>
        <v>0</v>
      </c>
      <c r="L2461" s="34">
        <f t="shared" si="192"/>
        <v>0</v>
      </c>
      <c r="M2461" s="34">
        <f t="shared" si="190"/>
        <v>0</v>
      </c>
    </row>
    <row r="2462" spans="5:13" x14ac:dyDescent="0.25">
      <c r="E2462" s="32">
        <f t="shared" si="193"/>
        <v>0</v>
      </c>
      <c r="I2462" s="32">
        <f t="shared" si="194"/>
        <v>0</v>
      </c>
      <c r="K2462" s="31">
        <f t="shared" si="191"/>
        <v>0</v>
      </c>
      <c r="L2462" s="34">
        <f t="shared" si="192"/>
        <v>0</v>
      </c>
      <c r="M2462" s="34">
        <f t="shared" si="190"/>
        <v>0</v>
      </c>
    </row>
    <row r="2463" spans="5:13" x14ac:dyDescent="0.25">
      <c r="E2463" s="32">
        <f t="shared" si="193"/>
        <v>0</v>
      </c>
      <c r="I2463" s="32">
        <f t="shared" si="194"/>
        <v>0</v>
      </c>
      <c r="K2463" s="31">
        <f t="shared" si="191"/>
        <v>0</v>
      </c>
      <c r="L2463" s="34">
        <f t="shared" si="192"/>
        <v>0</v>
      </c>
      <c r="M2463" s="34">
        <f t="shared" si="190"/>
        <v>0</v>
      </c>
    </row>
    <row r="2464" spans="5:13" x14ac:dyDescent="0.25">
      <c r="E2464" s="32">
        <f t="shared" si="193"/>
        <v>0</v>
      </c>
      <c r="I2464" s="32">
        <f t="shared" si="194"/>
        <v>0</v>
      </c>
      <c r="K2464" s="31">
        <f t="shared" si="191"/>
        <v>0</v>
      </c>
      <c r="L2464" s="34">
        <f t="shared" si="192"/>
        <v>0</v>
      </c>
      <c r="M2464" s="34">
        <f t="shared" si="190"/>
        <v>0</v>
      </c>
    </row>
    <row r="2465" spans="5:13" x14ac:dyDescent="0.25">
      <c r="E2465" s="32">
        <f t="shared" si="193"/>
        <v>0</v>
      </c>
      <c r="I2465" s="32">
        <f t="shared" si="194"/>
        <v>0</v>
      </c>
      <c r="K2465" s="31">
        <f t="shared" si="191"/>
        <v>0</v>
      </c>
      <c r="L2465" s="34">
        <f t="shared" si="192"/>
        <v>0</v>
      </c>
      <c r="M2465" s="34">
        <f t="shared" si="190"/>
        <v>0</v>
      </c>
    </row>
    <row r="2466" spans="5:13" x14ac:dyDescent="0.25">
      <c r="E2466" s="32">
        <f t="shared" si="193"/>
        <v>0</v>
      </c>
      <c r="I2466" s="32">
        <f t="shared" si="194"/>
        <v>0</v>
      </c>
      <c r="K2466" s="31">
        <f t="shared" si="191"/>
        <v>0</v>
      </c>
      <c r="L2466" s="34">
        <f t="shared" si="192"/>
        <v>0</v>
      </c>
      <c r="M2466" s="34">
        <f t="shared" si="190"/>
        <v>0</v>
      </c>
    </row>
    <row r="2467" spans="5:13" x14ac:dyDescent="0.25">
      <c r="E2467" s="32">
        <f t="shared" si="193"/>
        <v>0</v>
      </c>
      <c r="I2467" s="32">
        <f t="shared" si="194"/>
        <v>0</v>
      </c>
      <c r="K2467" s="31">
        <f t="shared" si="191"/>
        <v>0</v>
      </c>
      <c r="L2467" s="34">
        <f t="shared" si="192"/>
        <v>0</v>
      </c>
      <c r="M2467" s="34">
        <f t="shared" si="190"/>
        <v>0</v>
      </c>
    </row>
    <row r="2468" spans="5:13" x14ac:dyDescent="0.25">
      <c r="E2468" s="32">
        <f t="shared" si="193"/>
        <v>0</v>
      </c>
      <c r="I2468" s="32">
        <f t="shared" si="194"/>
        <v>0</v>
      </c>
      <c r="K2468" s="31">
        <f t="shared" si="191"/>
        <v>0</v>
      </c>
      <c r="L2468" s="34">
        <f t="shared" si="192"/>
        <v>0</v>
      </c>
      <c r="M2468" s="34">
        <f t="shared" si="190"/>
        <v>0</v>
      </c>
    </row>
    <row r="2469" spans="5:13" x14ac:dyDescent="0.25">
      <c r="E2469" s="32">
        <f t="shared" si="193"/>
        <v>0</v>
      </c>
      <c r="I2469" s="32">
        <f t="shared" si="194"/>
        <v>0</v>
      </c>
      <c r="K2469" s="31">
        <f t="shared" si="191"/>
        <v>0</v>
      </c>
      <c r="L2469" s="34">
        <f t="shared" si="192"/>
        <v>0</v>
      </c>
      <c r="M2469" s="34">
        <f t="shared" si="190"/>
        <v>0</v>
      </c>
    </row>
    <row r="2470" spans="5:13" x14ac:dyDescent="0.25">
      <c r="E2470" s="32">
        <f t="shared" si="193"/>
        <v>0</v>
      </c>
      <c r="I2470" s="32">
        <f t="shared" si="194"/>
        <v>0</v>
      </c>
      <c r="K2470" s="31">
        <f t="shared" si="191"/>
        <v>0</v>
      </c>
      <c r="L2470" s="34">
        <f t="shared" si="192"/>
        <v>0</v>
      </c>
      <c r="M2470" s="34">
        <f t="shared" si="190"/>
        <v>0</v>
      </c>
    </row>
    <row r="2471" spans="5:13" x14ac:dyDescent="0.25">
      <c r="E2471" s="32">
        <f t="shared" si="193"/>
        <v>0</v>
      </c>
      <c r="I2471" s="32">
        <f t="shared" si="194"/>
        <v>0</v>
      </c>
      <c r="K2471" s="31">
        <f t="shared" si="191"/>
        <v>0</v>
      </c>
      <c r="L2471" s="34">
        <f t="shared" si="192"/>
        <v>0</v>
      </c>
      <c r="M2471" s="34">
        <f t="shared" si="190"/>
        <v>0</v>
      </c>
    </row>
    <row r="2472" spans="5:13" x14ac:dyDescent="0.25">
      <c r="E2472" s="32">
        <f t="shared" si="193"/>
        <v>0</v>
      </c>
      <c r="I2472" s="32">
        <f t="shared" si="194"/>
        <v>0</v>
      </c>
      <c r="K2472" s="31">
        <f t="shared" si="191"/>
        <v>0</v>
      </c>
      <c r="L2472" s="34">
        <f t="shared" si="192"/>
        <v>0</v>
      </c>
      <c r="M2472" s="34">
        <f t="shared" si="190"/>
        <v>0</v>
      </c>
    </row>
    <row r="2473" spans="5:13" x14ac:dyDescent="0.25">
      <c r="E2473" s="32">
        <f t="shared" si="193"/>
        <v>0</v>
      </c>
      <c r="I2473" s="32">
        <f t="shared" si="194"/>
        <v>0</v>
      </c>
      <c r="K2473" s="31">
        <f t="shared" si="191"/>
        <v>0</v>
      </c>
      <c r="L2473" s="34">
        <f t="shared" si="192"/>
        <v>0</v>
      </c>
      <c r="M2473" s="34">
        <f t="shared" si="190"/>
        <v>0</v>
      </c>
    </row>
    <row r="2474" spans="5:13" x14ac:dyDescent="0.25">
      <c r="E2474" s="32">
        <f t="shared" si="193"/>
        <v>0</v>
      </c>
      <c r="I2474" s="32">
        <f t="shared" si="194"/>
        <v>0</v>
      </c>
      <c r="K2474" s="31">
        <f t="shared" si="191"/>
        <v>0</v>
      </c>
      <c r="L2474" s="34">
        <f t="shared" si="192"/>
        <v>0</v>
      </c>
      <c r="M2474" s="34">
        <f t="shared" si="190"/>
        <v>0</v>
      </c>
    </row>
    <row r="2475" spans="5:13" x14ac:dyDescent="0.25">
      <c r="E2475" s="32">
        <f t="shared" si="193"/>
        <v>0</v>
      </c>
      <c r="I2475" s="32">
        <f t="shared" si="194"/>
        <v>0</v>
      </c>
      <c r="K2475" s="31">
        <f t="shared" si="191"/>
        <v>0</v>
      </c>
      <c r="L2475" s="34">
        <f t="shared" si="192"/>
        <v>0</v>
      </c>
      <c r="M2475" s="34">
        <f t="shared" si="190"/>
        <v>0</v>
      </c>
    </row>
    <row r="2476" spans="5:13" x14ac:dyDescent="0.25">
      <c r="E2476" s="32">
        <f t="shared" si="193"/>
        <v>0</v>
      </c>
      <c r="I2476" s="32">
        <f t="shared" si="194"/>
        <v>0</v>
      </c>
      <c r="K2476" s="31">
        <f t="shared" si="191"/>
        <v>0</v>
      </c>
      <c r="L2476" s="34">
        <f t="shared" si="192"/>
        <v>0</v>
      </c>
      <c r="M2476" s="34">
        <f t="shared" si="190"/>
        <v>0</v>
      </c>
    </row>
    <row r="2477" spans="5:13" x14ac:dyDescent="0.25">
      <c r="E2477" s="32">
        <f t="shared" si="193"/>
        <v>0</v>
      </c>
      <c r="I2477" s="32">
        <f t="shared" si="194"/>
        <v>0</v>
      </c>
      <c r="K2477" s="31">
        <f t="shared" si="191"/>
        <v>0</v>
      </c>
      <c r="L2477" s="34">
        <f t="shared" si="192"/>
        <v>0</v>
      </c>
      <c r="M2477" s="34">
        <f t="shared" si="190"/>
        <v>0</v>
      </c>
    </row>
    <row r="2478" spans="5:13" x14ac:dyDescent="0.25">
      <c r="E2478" s="32">
        <f t="shared" si="193"/>
        <v>0</v>
      </c>
      <c r="I2478" s="32">
        <f t="shared" si="194"/>
        <v>0</v>
      </c>
      <c r="K2478" s="31">
        <f t="shared" si="191"/>
        <v>0</v>
      </c>
      <c r="L2478" s="34">
        <f t="shared" si="192"/>
        <v>0</v>
      </c>
      <c r="M2478" s="34">
        <f t="shared" si="190"/>
        <v>0</v>
      </c>
    </row>
    <row r="2479" spans="5:13" x14ac:dyDescent="0.25">
      <c r="E2479" s="32">
        <f t="shared" si="193"/>
        <v>0</v>
      </c>
      <c r="I2479" s="32">
        <f t="shared" si="194"/>
        <v>0</v>
      </c>
      <c r="K2479" s="31">
        <f t="shared" si="191"/>
        <v>0</v>
      </c>
      <c r="L2479" s="34">
        <f t="shared" si="192"/>
        <v>0</v>
      </c>
      <c r="M2479" s="34">
        <f t="shared" si="190"/>
        <v>0</v>
      </c>
    </row>
    <row r="2480" spans="5:13" x14ac:dyDescent="0.25">
      <c r="E2480" s="32">
        <f t="shared" si="193"/>
        <v>0</v>
      </c>
      <c r="I2480" s="32">
        <f t="shared" si="194"/>
        <v>0</v>
      </c>
      <c r="K2480" s="31">
        <f t="shared" si="191"/>
        <v>0</v>
      </c>
      <c r="L2480" s="34">
        <f t="shared" si="192"/>
        <v>0</v>
      </c>
      <c r="M2480" s="34">
        <f t="shared" si="190"/>
        <v>0</v>
      </c>
    </row>
    <row r="2481" spans="5:13" x14ac:dyDescent="0.25">
      <c r="E2481" s="32">
        <f t="shared" si="193"/>
        <v>0</v>
      </c>
      <c r="I2481" s="32">
        <f t="shared" si="194"/>
        <v>0</v>
      </c>
      <c r="K2481" s="31">
        <f t="shared" si="191"/>
        <v>0</v>
      </c>
      <c r="L2481" s="34">
        <f t="shared" si="192"/>
        <v>0</v>
      </c>
      <c r="M2481" s="34">
        <f t="shared" si="190"/>
        <v>0</v>
      </c>
    </row>
    <row r="2482" spans="5:13" x14ac:dyDescent="0.25">
      <c r="E2482" s="32">
        <f t="shared" si="193"/>
        <v>0</v>
      </c>
      <c r="I2482" s="32">
        <f t="shared" si="194"/>
        <v>0</v>
      </c>
      <c r="K2482" s="31">
        <f t="shared" si="191"/>
        <v>0</v>
      </c>
      <c r="L2482" s="34">
        <f t="shared" si="192"/>
        <v>0</v>
      </c>
      <c r="M2482" s="34">
        <f t="shared" si="190"/>
        <v>0</v>
      </c>
    </row>
    <row r="2483" spans="5:13" x14ac:dyDescent="0.25">
      <c r="E2483" s="32">
        <f t="shared" si="193"/>
        <v>0</v>
      </c>
      <c r="I2483" s="32">
        <f t="shared" si="194"/>
        <v>0</v>
      </c>
      <c r="K2483" s="31">
        <f t="shared" si="191"/>
        <v>0</v>
      </c>
      <c r="L2483" s="34">
        <f t="shared" si="192"/>
        <v>0</v>
      </c>
      <c r="M2483" s="34">
        <f t="shared" si="190"/>
        <v>0</v>
      </c>
    </row>
    <row r="2484" spans="5:13" x14ac:dyDescent="0.25">
      <c r="E2484" s="32">
        <f t="shared" si="193"/>
        <v>0</v>
      </c>
      <c r="I2484" s="32">
        <f t="shared" si="194"/>
        <v>0</v>
      </c>
      <c r="K2484" s="31">
        <f t="shared" si="191"/>
        <v>0</v>
      </c>
      <c r="L2484" s="34">
        <f t="shared" si="192"/>
        <v>0</v>
      </c>
      <c r="M2484" s="34">
        <f t="shared" si="190"/>
        <v>0</v>
      </c>
    </row>
    <row r="2485" spans="5:13" x14ac:dyDescent="0.25">
      <c r="E2485" s="32">
        <f t="shared" si="193"/>
        <v>0</v>
      </c>
      <c r="I2485" s="32">
        <f t="shared" si="194"/>
        <v>0</v>
      </c>
      <c r="K2485" s="31">
        <f t="shared" si="191"/>
        <v>0</v>
      </c>
      <c r="L2485" s="34">
        <f t="shared" si="192"/>
        <v>0</v>
      </c>
      <c r="M2485" s="34">
        <f t="shared" si="190"/>
        <v>0</v>
      </c>
    </row>
    <row r="2486" spans="5:13" x14ac:dyDescent="0.25">
      <c r="E2486" s="32">
        <f t="shared" si="193"/>
        <v>0</v>
      </c>
      <c r="I2486" s="32">
        <f t="shared" si="194"/>
        <v>0</v>
      </c>
      <c r="K2486" s="31">
        <f t="shared" si="191"/>
        <v>0</v>
      </c>
      <c r="L2486" s="34">
        <f t="shared" si="192"/>
        <v>0</v>
      </c>
      <c r="M2486" s="34">
        <f t="shared" si="190"/>
        <v>0</v>
      </c>
    </row>
    <row r="2487" spans="5:13" x14ac:dyDescent="0.25">
      <c r="E2487" s="32">
        <f t="shared" si="193"/>
        <v>0</v>
      </c>
      <c r="I2487" s="32">
        <f t="shared" si="194"/>
        <v>0</v>
      </c>
      <c r="K2487" s="31">
        <f t="shared" si="191"/>
        <v>0</v>
      </c>
      <c r="L2487" s="34">
        <f t="shared" si="192"/>
        <v>0</v>
      </c>
      <c r="M2487" s="34">
        <f t="shared" si="190"/>
        <v>0</v>
      </c>
    </row>
    <row r="2488" spans="5:13" x14ac:dyDescent="0.25">
      <c r="E2488" s="32">
        <f t="shared" si="193"/>
        <v>0</v>
      </c>
      <c r="I2488" s="32">
        <f t="shared" si="194"/>
        <v>0</v>
      </c>
      <c r="K2488" s="31">
        <f t="shared" si="191"/>
        <v>0</v>
      </c>
      <c r="L2488" s="34">
        <f t="shared" si="192"/>
        <v>0</v>
      </c>
      <c r="M2488" s="34">
        <f t="shared" si="190"/>
        <v>0</v>
      </c>
    </row>
    <row r="2489" spans="5:13" x14ac:dyDescent="0.25">
      <c r="E2489" s="32">
        <f t="shared" si="193"/>
        <v>0</v>
      </c>
      <c r="I2489" s="32">
        <f t="shared" si="194"/>
        <v>0</v>
      </c>
      <c r="K2489" s="31">
        <f t="shared" si="191"/>
        <v>0</v>
      </c>
      <c r="L2489" s="34">
        <f t="shared" si="192"/>
        <v>0</v>
      </c>
      <c r="M2489" s="34">
        <f t="shared" si="190"/>
        <v>0</v>
      </c>
    </row>
    <row r="2490" spans="5:13" x14ac:dyDescent="0.25">
      <c r="E2490" s="32">
        <f t="shared" si="193"/>
        <v>0</v>
      </c>
      <c r="I2490" s="32">
        <f t="shared" si="194"/>
        <v>0</v>
      </c>
      <c r="K2490" s="31">
        <f t="shared" si="191"/>
        <v>0</v>
      </c>
      <c r="L2490" s="34">
        <f t="shared" si="192"/>
        <v>0</v>
      </c>
      <c r="M2490" s="34">
        <f t="shared" si="190"/>
        <v>0</v>
      </c>
    </row>
    <row r="2491" spans="5:13" x14ac:dyDescent="0.25">
      <c r="E2491" s="32">
        <f t="shared" si="193"/>
        <v>0</v>
      </c>
      <c r="I2491" s="32">
        <f t="shared" si="194"/>
        <v>0</v>
      </c>
      <c r="K2491" s="31">
        <f t="shared" si="191"/>
        <v>0</v>
      </c>
      <c r="L2491" s="34">
        <f t="shared" si="192"/>
        <v>0</v>
      </c>
      <c r="M2491" s="34">
        <f t="shared" si="190"/>
        <v>0</v>
      </c>
    </row>
    <row r="2492" spans="5:13" x14ac:dyDescent="0.25">
      <c r="E2492" s="32">
        <f t="shared" si="193"/>
        <v>0</v>
      </c>
      <c r="I2492" s="32">
        <f t="shared" si="194"/>
        <v>0</v>
      </c>
      <c r="K2492" s="31">
        <f t="shared" si="191"/>
        <v>0</v>
      </c>
      <c r="L2492" s="34">
        <f t="shared" si="192"/>
        <v>0</v>
      </c>
      <c r="M2492" s="34">
        <f t="shared" si="190"/>
        <v>0</v>
      </c>
    </row>
    <row r="2493" spans="5:13" x14ac:dyDescent="0.25">
      <c r="E2493" s="32">
        <f t="shared" si="193"/>
        <v>0</v>
      </c>
      <c r="I2493" s="32">
        <f t="shared" si="194"/>
        <v>0</v>
      </c>
      <c r="K2493" s="31">
        <f t="shared" si="191"/>
        <v>0</v>
      </c>
      <c r="L2493" s="34">
        <f t="shared" si="192"/>
        <v>0</v>
      </c>
      <c r="M2493" s="34">
        <f t="shared" si="190"/>
        <v>0</v>
      </c>
    </row>
    <row r="2494" spans="5:13" x14ac:dyDescent="0.25">
      <c r="E2494" s="32">
        <f t="shared" si="193"/>
        <v>0</v>
      </c>
      <c r="I2494" s="32">
        <f t="shared" si="194"/>
        <v>0</v>
      </c>
      <c r="K2494" s="31">
        <f t="shared" si="191"/>
        <v>0</v>
      </c>
      <c r="L2494" s="34">
        <f t="shared" si="192"/>
        <v>0</v>
      </c>
      <c r="M2494" s="34">
        <f t="shared" si="190"/>
        <v>0</v>
      </c>
    </row>
    <row r="2495" spans="5:13" x14ac:dyDescent="0.25">
      <c r="E2495" s="32">
        <f t="shared" si="193"/>
        <v>0</v>
      </c>
      <c r="I2495" s="32">
        <f t="shared" si="194"/>
        <v>0</v>
      </c>
      <c r="K2495" s="31">
        <f t="shared" si="191"/>
        <v>0</v>
      </c>
      <c r="L2495" s="34">
        <f t="shared" si="192"/>
        <v>0</v>
      </c>
      <c r="M2495" s="34">
        <f t="shared" si="190"/>
        <v>0</v>
      </c>
    </row>
    <row r="2496" spans="5:13" x14ac:dyDescent="0.25">
      <c r="E2496" s="32">
        <f t="shared" si="193"/>
        <v>0</v>
      </c>
      <c r="I2496" s="32">
        <f t="shared" si="194"/>
        <v>0</v>
      </c>
      <c r="K2496" s="31">
        <f t="shared" si="191"/>
        <v>0</v>
      </c>
      <c r="L2496" s="34">
        <f t="shared" si="192"/>
        <v>0</v>
      </c>
      <c r="M2496" s="34">
        <f t="shared" si="190"/>
        <v>0</v>
      </c>
    </row>
    <row r="2497" spans="5:13" x14ac:dyDescent="0.25">
      <c r="E2497" s="32">
        <f t="shared" si="193"/>
        <v>0</v>
      </c>
      <c r="I2497" s="32">
        <f t="shared" si="194"/>
        <v>0</v>
      </c>
      <c r="K2497" s="31">
        <f t="shared" si="191"/>
        <v>0</v>
      </c>
      <c r="L2497" s="34">
        <f t="shared" si="192"/>
        <v>0</v>
      </c>
      <c r="M2497" s="34">
        <f t="shared" si="190"/>
        <v>0</v>
      </c>
    </row>
    <row r="2498" spans="5:13" x14ac:dyDescent="0.25">
      <c r="E2498" s="32">
        <f t="shared" si="193"/>
        <v>0</v>
      </c>
      <c r="I2498" s="32">
        <f t="shared" si="194"/>
        <v>0</v>
      </c>
      <c r="K2498" s="31">
        <f t="shared" si="191"/>
        <v>0</v>
      </c>
      <c r="L2498" s="34">
        <f t="shared" si="192"/>
        <v>0</v>
      </c>
      <c r="M2498" s="34">
        <f t="shared" si="190"/>
        <v>0</v>
      </c>
    </row>
    <row r="2499" spans="5:13" x14ac:dyDescent="0.25">
      <c r="E2499" s="32">
        <f t="shared" si="193"/>
        <v>0</v>
      </c>
      <c r="I2499" s="32">
        <f t="shared" si="194"/>
        <v>0</v>
      </c>
      <c r="K2499" s="31">
        <f t="shared" si="191"/>
        <v>0</v>
      </c>
      <c r="L2499" s="34">
        <f t="shared" si="192"/>
        <v>0</v>
      </c>
      <c r="M2499" s="34">
        <f t="shared" si="190"/>
        <v>0</v>
      </c>
    </row>
    <row r="2500" spans="5:13" x14ac:dyDescent="0.25">
      <c r="E2500" s="32">
        <f t="shared" si="193"/>
        <v>0</v>
      </c>
      <c r="I2500" s="32">
        <f t="shared" si="194"/>
        <v>0</v>
      </c>
      <c r="K2500" s="31">
        <f t="shared" si="191"/>
        <v>0</v>
      </c>
      <c r="L2500" s="34">
        <f t="shared" si="192"/>
        <v>0</v>
      </c>
      <c r="M2500" s="34">
        <f t="shared" ref="M2500:M2522" si="195">(L2500/27)*4</f>
        <v>0</v>
      </c>
    </row>
    <row r="2501" spans="5:13" x14ac:dyDescent="0.25">
      <c r="E2501" s="32">
        <f t="shared" si="193"/>
        <v>0</v>
      </c>
      <c r="I2501" s="32">
        <f t="shared" si="194"/>
        <v>0</v>
      </c>
      <c r="K2501" s="31">
        <f t="shared" ref="K2501:K2522" si="196">B2501/30</f>
        <v>0</v>
      </c>
      <c r="L2501" s="34">
        <f t="shared" ref="L2501:L2522" si="197">IF(J2501="S",((I2501*24)*K2501)*2,((I2501*24)*K2501)*1.5)</f>
        <v>0</v>
      </c>
      <c r="M2501" s="34">
        <f t="shared" si="195"/>
        <v>0</v>
      </c>
    </row>
    <row r="2502" spans="5:13" x14ac:dyDescent="0.25">
      <c r="E2502" s="32">
        <f t="shared" ref="E2502:E2522" si="198">D2502-C2502</f>
        <v>0</v>
      </c>
      <c r="I2502" s="32">
        <f t="shared" ref="I2502:I2522" si="199">H2502-G2502</f>
        <v>0</v>
      </c>
      <c r="K2502" s="31">
        <f t="shared" si="196"/>
        <v>0</v>
      </c>
      <c r="L2502" s="34">
        <f t="shared" si="197"/>
        <v>0</v>
      </c>
      <c r="M2502" s="34">
        <f t="shared" si="195"/>
        <v>0</v>
      </c>
    </row>
    <row r="2503" spans="5:13" x14ac:dyDescent="0.25">
      <c r="E2503" s="32">
        <f t="shared" si="198"/>
        <v>0</v>
      </c>
      <c r="I2503" s="32">
        <f t="shared" si="199"/>
        <v>0</v>
      </c>
      <c r="K2503" s="31">
        <f t="shared" si="196"/>
        <v>0</v>
      </c>
      <c r="L2503" s="34">
        <f t="shared" si="197"/>
        <v>0</v>
      </c>
      <c r="M2503" s="34">
        <f t="shared" si="195"/>
        <v>0</v>
      </c>
    </row>
    <row r="2504" spans="5:13" x14ac:dyDescent="0.25">
      <c r="E2504" s="32">
        <f t="shared" si="198"/>
        <v>0</v>
      </c>
      <c r="I2504" s="32">
        <f t="shared" si="199"/>
        <v>0</v>
      </c>
      <c r="K2504" s="31">
        <f t="shared" si="196"/>
        <v>0</v>
      </c>
      <c r="L2504" s="34">
        <f t="shared" si="197"/>
        <v>0</v>
      </c>
      <c r="M2504" s="34">
        <f t="shared" si="195"/>
        <v>0</v>
      </c>
    </row>
    <row r="2505" spans="5:13" x14ac:dyDescent="0.25">
      <c r="E2505" s="32">
        <f t="shared" si="198"/>
        <v>0</v>
      </c>
      <c r="I2505" s="32">
        <f t="shared" si="199"/>
        <v>0</v>
      </c>
      <c r="K2505" s="31">
        <f t="shared" si="196"/>
        <v>0</v>
      </c>
      <c r="L2505" s="34">
        <f t="shared" si="197"/>
        <v>0</v>
      </c>
      <c r="M2505" s="34">
        <f t="shared" si="195"/>
        <v>0</v>
      </c>
    </row>
    <row r="2506" spans="5:13" x14ac:dyDescent="0.25">
      <c r="E2506" s="32">
        <f t="shared" si="198"/>
        <v>0</v>
      </c>
      <c r="I2506" s="32">
        <f t="shared" si="199"/>
        <v>0</v>
      </c>
      <c r="K2506" s="31">
        <f t="shared" si="196"/>
        <v>0</v>
      </c>
      <c r="L2506" s="34">
        <f t="shared" si="197"/>
        <v>0</v>
      </c>
      <c r="M2506" s="34">
        <f t="shared" si="195"/>
        <v>0</v>
      </c>
    </row>
    <row r="2507" spans="5:13" x14ac:dyDescent="0.25">
      <c r="E2507" s="32">
        <f t="shared" si="198"/>
        <v>0</v>
      </c>
      <c r="I2507" s="32">
        <f t="shared" si="199"/>
        <v>0</v>
      </c>
      <c r="K2507" s="31">
        <f t="shared" si="196"/>
        <v>0</v>
      </c>
      <c r="L2507" s="34">
        <f t="shared" si="197"/>
        <v>0</v>
      </c>
      <c r="M2507" s="34">
        <f t="shared" si="195"/>
        <v>0</v>
      </c>
    </row>
    <row r="2508" spans="5:13" x14ac:dyDescent="0.25">
      <c r="E2508" s="32">
        <f t="shared" si="198"/>
        <v>0</v>
      </c>
      <c r="I2508" s="32">
        <f t="shared" si="199"/>
        <v>0</v>
      </c>
      <c r="K2508" s="31">
        <f t="shared" si="196"/>
        <v>0</v>
      </c>
      <c r="L2508" s="34">
        <f t="shared" si="197"/>
        <v>0</v>
      </c>
      <c r="M2508" s="34">
        <f t="shared" si="195"/>
        <v>0</v>
      </c>
    </row>
    <row r="2509" spans="5:13" x14ac:dyDescent="0.25">
      <c r="E2509" s="32">
        <f t="shared" si="198"/>
        <v>0</v>
      </c>
      <c r="I2509" s="32">
        <f t="shared" si="199"/>
        <v>0</v>
      </c>
      <c r="K2509" s="31">
        <f t="shared" si="196"/>
        <v>0</v>
      </c>
      <c r="L2509" s="34">
        <f t="shared" si="197"/>
        <v>0</v>
      </c>
      <c r="M2509" s="34">
        <f t="shared" si="195"/>
        <v>0</v>
      </c>
    </row>
    <row r="2510" spans="5:13" x14ac:dyDescent="0.25">
      <c r="E2510" s="32">
        <f t="shared" si="198"/>
        <v>0</v>
      </c>
      <c r="I2510" s="32">
        <f t="shared" si="199"/>
        <v>0</v>
      </c>
      <c r="K2510" s="31">
        <f t="shared" si="196"/>
        <v>0</v>
      </c>
      <c r="L2510" s="34">
        <f t="shared" si="197"/>
        <v>0</v>
      </c>
      <c r="M2510" s="34">
        <f t="shared" si="195"/>
        <v>0</v>
      </c>
    </row>
    <row r="2511" spans="5:13" x14ac:dyDescent="0.25">
      <c r="E2511" s="32">
        <f t="shared" si="198"/>
        <v>0</v>
      </c>
      <c r="I2511" s="32">
        <f t="shared" si="199"/>
        <v>0</v>
      </c>
      <c r="K2511" s="31">
        <f t="shared" si="196"/>
        <v>0</v>
      </c>
      <c r="L2511" s="34">
        <f t="shared" si="197"/>
        <v>0</v>
      </c>
      <c r="M2511" s="34">
        <f t="shared" si="195"/>
        <v>0</v>
      </c>
    </row>
    <row r="2512" spans="5:13" x14ac:dyDescent="0.25">
      <c r="E2512" s="32">
        <f t="shared" si="198"/>
        <v>0</v>
      </c>
      <c r="I2512" s="32">
        <f t="shared" si="199"/>
        <v>0</v>
      </c>
      <c r="K2512" s="31">
        <f t="shared" si="196"/>
        <v>0</v>
      </c>
      <c r="L2512" s="34">
        <f t="shared" si="197"/>
        <v>0</v>
      </c>
      <c r="M2512" s="34">
        <f t="shared" si="195"/>
        <v>0</v>
      </c>
    </row>
    <row r="2513" spans="5:13" x14ac:dyDescent="0.25">
      <c r="E2513" s="32">
        <f t="shared" si="198"/>
        <v>0</v>
      </c>
      <c r="I2513" s="32">
        <f t="shared" si="199"/>
        <v>0</v>
      </c>
      <c r="K2513" s="31">
        <f t="shared" si="196"/>
        <v>0</v>
      </c>
      <c r="L2513" s="34">
        <f t="shared" si="197"/>
        <v>0</v>
      </c>
      <c r="M2513" s="34">
        <f t="shared" si="195"/>
        <v>0</v>
      </c>
    </row>
    <row r="2514" spans="5:13" x14ac:dyDescent="0.25">
      <c r="E2514" s="32">
        <f t="shared" si="198"/>
        <v>0</v>
      </c>
      <c r="I2514" s="32">
        <f t="shared" si="199"/>
        <v>0</v>
      </c>
      <c r="K2514" s="31">
        <f t="shared" si="196"/>
        <v>0</v>
      </c>
      <c r="L2514" s="34">
        <f t="shared" si="197"/>
        <v>0</v>
      </c>
      <c r="M2514" s="34">
        <f t="shared" si="195"/>
        <v>0</v>
      </c>
    </row>
    <row r="2515" spans="5:13" x14ac:dyDescent="0.25">
      <c r="E2515" s="32">
        <f t="shared" si="198"/>
        <v>0</v>
      </c>
      <c r="I2515" s="32">
        <f t="shared" si="199"/>
        <v>0</v>
      </c>
      <c r="K2515" s="31">
        <f t="shared" si="196"/>
        <v>0</v>
      </c>
      <c r="L2515" s="34">
        <f t="shared" si="197"/>
        <v>0</v>
      </c>
      <c r="M2515" s="34">
        <f t="shared" si="195"/>
        <v>0</v>
      </c>
    </row>
    <row r="2516" spans="5:13" x14ac:dyDescent="0.25">
      <c r="E2516" s="32">
        <f t="shared" si="198"/>
        <v>0</v>
      </c>
      <c r="I2516" s="32">
        <f t="shared" si="199"/>
        <v>0</v>
      </c>
      <c r="K2516" s="31">
        <f t="shared" si="196"/>
        <v>0</v>
      </c>
      <c r="L2516" s="34">
        <f t="shared" si="197"/>
        <v>0</v>
      </c>
      <c r="M2516" s="34">
        <f t="shared" si="195"/>
        <v>0</v>
      </c>
    </row>
    <row r="2517" spans="5:13" x14ac:dyDescent="0.25">
      <c r="E2517" s="32">
        <f t="shared" si="198"/>
        <v>0</v>
      </c>
      <c r="I2517" s="32">
        <f t="shared" si="199"/>
        <v>0</v>
      </c>
      <c r="K2517" s="31">
        <f t="shared" si="196"/>
        <v>0</v>
      </c>
      <c r="L2517" s="34">
        <f t="shared" si="197"/>
        <v>0</v>
      </c>
      <c r="M2517" s="34">
        <f t="shared" si="195"/>
        <v>0</v>
      </c>
    </row>
    <row r="2518" spans="5:13" x14ac:dyDescent="0.25">
      <c r="E2518" s="32">
        <f t="shared" si="198"/>
        <v>0</v>
      </c>
      <c r="I2518" s="32">
        <f t="shared" si="199"/>
        <v>0</v>
      </c>
      <c r="K2518" s="31">
        <f t="shared" si="196"/>
        <v>0</v>
      </c>
      <c r="L2518" s="34">
        <f t="shared" si="197"/>
        <v>0</v>
      </c>
      <c r="M2518" s="34">
        <f t="shared" si="195"/>
        <v>0</v>
      </c>
    </row>
    <row r="2519" spans="5:13" x14ac:dyDescent="0.25">
      <c r="E2519" s="32">
        <f t="shared" si="198"/>
        <v>0</v>
      </c>
      <c r="I2519" s="32">
        <f t="shared" si="199"/>
        <v>0</v>
      </c>
      <c r="K2519" s="31">
        <f t="shared" si="196"/>
        <v>0</v>
      </c>
      <c r="L2519" s="34">
        <f t="shared" si="197"/>
        <v>0</v>
      </c>
      <c r="M2519" s="34">
        <f t="shared" si="195"/>
        <v>0</v>
      </c>
    </row>
    <row r="2520" spans="5:13" x14ac:dyDescent="0.25">
      <c r="E2520" s="32">
        <f t="shared" si="198"/>
        <v>0</v>
      </c>
      <c r="I2520" s="32">
        <f t="shared" si="199"/>
        <v>0</v>
      </c>
      <c r="K2520" s="31">
        <f t="shared" si="196"/>
        <v>0</v>
      </c>
      <c r="L2520" s="34">
        <f t="shared" si="197"/>
        <v>0</v>
      </c>
      <c r="M2520" s="34">
        <f t="shared" si="195"/>
        <v>0</v>
      </c>
    </row>
    <row r="2521" spans="5:13" x14ac:dyDescent="0.25">
      <c r="E2521" s="32">
        <f t="shared" si="198"/>
        <v>0</v>
      </c>
      <c r="I2521" s="32">
        <f t="shared" si="199"/>
        <v>0</v>
      </c>
      <c r="K2521" s="31">
        <f t="shared" si="196"/>
        <v>0</v>
      </c>
      <c r="L2521" s="34">
        <f t="shared" si="197"/>
        <v>0</v>
      </c>
      <c r="M2521" s="34">
        <f t="shared" si="195"/>
        <v>0</v>
      </c>
    </row>
    <row r="2522" spans="5:13" x14ac:dyDescent="0.25">
      <c r="E2522" s="32">
        <f t="shared" si="198"/>
        <v>0</v>
      </c>
      <c r="I2522" s="32">
        <f t="shared" si="199"/>
        <v>0</v>
      </c>
      <c r="K2522" s="31">
        <f t="shared" si="196"/>
        <v>0</v>
      </c>
      <c r="L2522" s="34">
        <f t="shared" si="197"/>
        <v>0</v>
      </c>
      <c r="M2522" s="34">
        <f t="shared" si="195"/>
        <v>0</v>
      </c>
    </row>
  </sheetData>
  <mergeCells count="11">
    <mergeCell ref="M1:M2"/>
    <mergeCell ref="A1:A2"/>
    <mergeCell ref="B1:B2"/>
    <mergeCell ref="K1:K2"/>
    <mergeCell ref="L1:L2"/>
    <mergeCell ref="C1:D1"/>
    <mergeCell ref="G1:H1"/>
    <mergeCell ref="J1:J2"/>
    <mergeCell ref="I1:I2"/>
    <mergeCell ref="F1:F1048576"/>
    <mergeCell ref="E1:E2"/>
  </mergeCells>
  <dataValidations count="1">
    <dataValidation type="list" allowBlank="1" showInputMessage="1" showErrorMessage="1" sqref="J3:J2337">
      <formula1>$AI$2:$AI$3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Calculo de 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</dc:creator>
  <cp:lastModifiedBy>Junior Santos</cp:lastModifiedBy>
  <cp:lastPrinted>2013-09-13T12:02:28Z</cp:lastPrinted>
  <dcterms:created xsi:type="dcterms:W3CDTF">2010-09-20T19:46:40Z</dcterms:created>
  <dcterms:modified xsi:type="dcterms:W3CDTF">2016-06-08T11:46:13Z</dcterms:modified>
</cp:coreProperties>
</file>