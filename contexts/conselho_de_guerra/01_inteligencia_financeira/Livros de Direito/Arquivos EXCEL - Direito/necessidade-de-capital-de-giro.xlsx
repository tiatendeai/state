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50" windowWidth="19155" windowHeight="7965" tabRatio="387"/>
  </bookViews>
  <sheets>
    <sheet name="Início" sheetId="1" r:id="rId1"/>
    <sheet name="Análise" sheetId="2" r:id="rId2"/>
    <sheet name="Panorama" sheetId="5" r:id="rId3"/>
  </sheets>
  <calcPr calcId="145621" concurrentCalc="0"/>
</workbook>
</file>

<file path=xl/calcChain.xml><?xml version="1.0" encoding="utf-8"?>
<calcChain xmlns="http://schemas.openxmlformats.org/spreadsheetml/2006/main">
  <c r="F45" i="2" l="1"/>
  <c r="K45" i="2"/>
  <c r="E4" i="2"/>
  <c r="F4" i="2"/>
  <c r="G9" i="5"/>
  <c r="F8" i="5"/>
  <c r="G8" i="5"/>
  <c r="F7" i="5"/>
  <c r="E9" i="5"/>
  <c r="E8" i="5"/>
  <c r="G6" i="5"/>
  <c r="E6" i="5"/>
  <c r="G7" i="5"/>
  <c r="E7" i="5"/>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13" i="2"/>
</calcChain>
</file>

<file path=xl/sharedStrings.xml><?xml version="1.0" encoding="utf-8"?>
<sst xmlns="http://schemas.openxmlformats.org/spreadsheetml/2006/main" count="19" uniqueCount="15">
  <si>
    <t>NOME DA FATURA</t>
  </si>
  <si>
    <t>VALOR TOTAL</t>
  </si>
  <si>
    <t>Nº PARCELAS</t>
  </si>
  <si>
    <t>INÍCIO DAS PARCELAS</t>
  </si>
  <si>
    <t xml:space="preserve">TOTAL:   </t>
  </si>
  <si>
    <t>TOTAL:</t>
  </si>
  <si>
    <t xml:space="preserve">SALDO DISPONÍVEL:       </t>
  </si>
  <si>
    <t>Valores</t>
  </si>
  <si>
    <t>Auxiliar</t>
  </si>
  <si>
    <t xml:space="preserve">NECESSIDADE DE CAPITAL DE GIRO </t>
  </si>
  <si>
    <t xml:space="preserve">FATURAS A RECEBER   </t>
  </si>
  <si>
    <t xml:space="preserve">FATURAS A PAGAR   </t>
  </si>
  <si>
    <r>
      <rPr>
        <b/>
        <i/>
        <sz val="18"/>
        <color theme="0"/>
        <rFont val="Calibri"/>
        <family val="2"/>
        <scheme val="minor"/>
      </rPr>
      <t xml:space="preserve">NECESSIDADE DE CAPITAL DE GIRO </t>
    </r>
    <r>
      <rPr>
        <i/>
        <sz val="16"/>
        <color theme="0"/>
        <rFont val="Calibri"/>
        <family val="2"/>
        <scheme val="minor"/>
      </rPr>
      <t>- INÍCIO</t>
    </r>
  </si>
  <si>
    <r>
      <rPr>
        <b/>
        <i/>
        <sz val="18"/>
        <color theme="0"/>
        <rFont val="Calibri"/>
        <family val="2"/>
        <scheme val="minor"/>
      </rPr>
      <t xml:space="preserve">NECESSIDADE DE CAPITAL DE GIRO </t>
    </r>
    <r>
      <rPr>
        <i/>
        <sz val="16"/>
        <color theme="0"/>
        <rFont val="Calibri"/>
        <family val="2"/>
        <scheme val="minor"/>
      </rPr>
      <t>- ANÁLISE</t>
    </r>
  </si>
  <si>
    <r>
      <rPr>
        <b/>
        <i/>
        <sz val="18"/>
        <color theme="0"/>
        <rFont val="Calibri"/>
        <family val="2"/>
        <scheme val="minor"/>
      </rPr>
      <t xml:space="preserve">NECESSIDADE DE CAPITAL DE GIRO </t>
    </r>
    <r>
      <rPr>
        <i/>
        <sz val="16"/>
        <color theme="0"/>
        <rFont val="Calibri"/>
        <family val="2"/>
        <scheme val="minor"/>
      </rPr>
      <t>- PANORAMA</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</si>
</sst>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R$&quot;\ * #,##0.00_-;\-&quot;R$&quot;\ * #,##0.00_-;_-&quot;R$&quot;\ * &quot;-&quot;??_-;_-@_-"/>
    <numFmt numFmtId="43" formatCode="_-* #,##0.00_-;\-* #,##0.00_-;_-* &quot;-&quot;??_-;_-@_-"/>
    <numFmt numFmtId="164" formatCode="_-* #,##0.00\ &quot;R$&quot;_-;\-* #,##0.00\ &quot;R$&quot;_-;_-* &quot;-&quot;??\ &quot;R$&quot;_-;_-@_-"/>
  </numFmts>
  <fonts count="16" x14ac:knownFonts="1">
    <font>
      <sz val="11"/>
      <color theme="1"/>
      <name val="Calibri"/>
      <family val="2"/>
      <scheme val="minor"/>
    </font>
    <font>
      <sz val="11"/>
      <color theme="1"/>
      <name val="Calibri"/>
      <family val="2"/>
      <scheme val="minor"/>
    </font>
    <font>
      <sz val="11"/>
      <color theme="0"/>
      <name val="Calibri"/>
      <family val="2"/>
      <scheme val="minor"/>
    </font>
    <font>
      <sz val="20"/>
      <color theme="1"/>
      <name val="Arabic Typesetting"/>
      <family val="4"/>
    </font>
    <font>
      <b/>
      <sz val="20"/>
      <color theme="1"/>
      <name val="Arabic Typesetting"/>
      <family val="4"/>
    </font>
    <font>
      <b/>
      <sz val="20"/>
      <name val="Arabic Typesetting"/>
      <family val="4"/>
    </font>
    <font>
      <sz val="20"/>
      <color theme="0"/>
      <name val="Arabic Typesetting"/>
      <family val="4"/>
    </font>
    <font>
      <b/>
      <sz val="14"/>
      <color theme="0"/>
      <name val="Calibri"/>
      <family val="2"/>
      <scheme val="minor"/>
    </font>
    <font>
      <b/>
      <sz val="16"/>
      <color theme="1"/>
      <name val="Calibri"/>
      <family val="2"/>
      <scheme val="minor"/>
    </font>
    <font>
      <b/>
      <sz val="22"/>
      <color theme="5" tint="-0.499984740745262"/>
      <name val="Calibri"/>
      <family val="2"/>
      <scheme val="minor"/>
    </font>
    <font>
      <b/>
      <sz val="20"/>
      <color theme="5" tint="0.79998168889431442"/>
      <name val="Calibri"/>
      <family val="2"/>
      <scheme val="minor"/>
    </font>
    <font>
      <sz val="11"/>
      <name val="Calibri"/>
      <family val="2"/>
      <scheme val="minor"/>
    </font>
    <font>
      <b/>
      <i/>
      <sz val="22"/>
      <color theme="0"/>
      <name val="Calibri"/>
      <family val="2"/>
      <scheme val="minor"/>
    </font>
    <font>
      <b/>
      <i/>
      <sz val="18"/>
      <color theme="0"/>
      <name val="Calibri"/>
      <family val="2"/>
      <scheme val="minor"/>
    </font>
    <font>
      <i/>
      <sz val="16"/>
      <color theme="0"/>
      <name val="Calibri"/>
      <family val="2"/>
      <scheme val="minor"/>
    </font>
    <font>
      <b/>
      <sz val="22"/>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theme="5" tint="0.39997558519241921"/>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rgb="FF008080"/>
        <bgColor indexed="64"/>
      </patternFill>
    </fill>
  </fills>
  <borders count="18">
    <border>
      <left/>
      <right/>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bottom style="thin">
        <color theme="0" tint="-0.34998626667073579"/>
      </bottom>
      <diagonal/>
    </border>
    <border>
      <left/>
      <right style="thin">
        <color theme="0" tint="-0.499984740745262"/>
      </right>
      <top/>
      <bottom style="thin">
        <color theme="0" tint="-0.34998626667073579"/>
      </bottom>
      <diagonal/>
    </border>
    <border>
      <left style="thin">
        <color theme="0" tint="-0.34998626667073579"/>
      </left>
      <right style="thin">
        <color theme="0" tint="-0.499984740745262"/>
      </right>
      <top style="thin">
        <color theme="0" tint="-0.34998626667073579"/>
      </top>
      <bottom style="thin">
        <color theme="0" tint="-0.34998626667073579"/>
      </bottom>
      <diagonal/>
    </border>
    <border>
      <left/>
      <right/>
      <top style="double">
        <color theme="1" tint="0.249977111117893"/>
      </top>
      <bottom style="double">
        <color theme="1" tint="0.249977111117893"/>
      </bottom>
      <diagonal/>
    </border>
    <border>
      <left/>
      <right style="thin">
        <color theme="0" tint="-0.499984740745262"/>
      </right>
      <top style="double">
        <color theme="1" tint="0.249977111117893"/>
      </top>
      <bottom style="thin">
        <color theme="0" tint="-0.499984740745262"/>
      </bottom>
      <diagonal/>
    </border>
    <border>
      <left style="thin">
        <color theme="0" tint="-0.499984740745262"/>
      </left>
      <right style="thin">
        <color theme="0" tint="-0.499984740745262"/>
      </right>
      <top style="double">
        <color theme="1" tint="0.249977111117893"/>
      </top>
      <bottom style="thin">
        <color theme="0" tint="-0.499984740745262"/>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right style="medium">
        <color theme="0"/>
      </right>
      <top/>
      <bottom/>
      <diagonal/>
    </border>
    <border>
      <left style="medium">
        <color theme="0"/>
      </left>
      <right style="medium">
        <color theme="0"/>
      </right>
      <top/>
      <bottom/>
      <diagonal/>
    </border>
    <border>
      <left style="thin">
        <color theme="0" tint="-0.499984740745262"/>
      </left>
      <right/>
      <top style="double">
        <color theme="1" tint="0.249977111117893"/>
      </top>
      <bottom style="thin">
        <color theme="0" tint="-0.499984740745262"/>
      </bottom>
      <diagonal/>
    </border>
    <border>
      <left style="medium">
        <color theme="0"/>
      </left>
      <right/>
      <top/>
      <bottom/>
      <diagonal/>
    </border>
    <border>
      <left style="medium">
        <color indexed="64"/>
      </left>
      <right/>
      <top style="medium">
        <color indexed="64"/>
      </top>
      <bottom style="dashed">
        <color theme="6" tint="-0.499984740745262"/>
      </bottom>
      <diagonal/>
    </border>
    <border>
      <left/>
      <right/>
      <top style="medium">
        <color indexed="64"/>
      </top>
      <bottom style="dashed">
        <color theme="6" tint="-0.499984740745262"/>
      </bottom>
      <diagonal/>
    </border>
    <border>
      <left/>
      <right/>
      <top/>
      <bottom style="dashed">
        <color theme="6" tint="-0.499984740745262"/>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52">
    <xf numFmtId="0" fontId="0" fillId="0" borderId="0" xfId="0"/>
    <xf numFmtId="0" fontId="0" fillId="2" borderId="0" xfId="0" applyFill="1"/>
    <xf numFmtId="0" fontId="0" fillId="0" borderId="0" xfId="0" applyBorder="1"/>
    <xf numFmtId="0" fontId="2" fillId="0" borderId="0" xfId="0" applyFont="1"/>
    <xf numFmtId="0" fontId="3" fillId="0" borderId="0" xfId="0" applyFont="1"/>
    <xf numFmtId="0" fontId="3" fillId="0" borderId="1" xfId="0" applyFont="1" applyBorder="1" applyAlignment="1">
      <alignment horizontal="right"/>
    </xf>
    <xf numFmtId="0" fontId="3" fillId="0" borderId="0" xfId="0" applyFont="1" applyBorder="1"/>
    <xf numFmtId="44" fontId="3" fillId="0" borderId="2" xfId="3" applyFont="1" applyBorder="1"/>
    <xf numFmtId="9" fontId="6" fillId="0" borderId="0" xfId="2" applyFont="1" applyBorder="1"/>
    <xf numFmtId="0" fontId="2" fillId="0" borderId="0" xfId="0" applyFont="1" applyBorder="1"/>
    <xf numFmtId="0" fontId="0" fillId="0" borderId="0" xfId="0" applyAlignment="1">
      <alignment horizontal="center"/>
    </xf>
    <xf numFmtId="44" fontId="3" fillId="0" borderId="3" xfId="3" applyFont="1" applyBorder="1"/>
    <xf numFmtId="0" fontId="3" fillId="0" borderId="4" xfId="0" applyFont="1" applyBorder="1" applyAlignment="1">
      <alignment horizontal="right"/>
    </xf>
    <xf numFmtId="44" fontId="3" fillId="0" borderId="4" xfId="3" applyFont="1" applyBorder="1"/>
    <xf numFmtId="44" fontId="3" fillId="0" borderId="5" xfId="3" applyFont="1" applyBorder="1"/>
    <xf numFmtId="0" fontId="0" fillId="0" borderId="0" xfId="0" applyBorder="1" applyAlignment="1">
      <alignment horizontal="center"/>
    </xf>
    <xf numFmtId="44" fontId="5" fillId="0" borderId="0" xfId="3" applyFont="1" applyBorder="1" applyAlignment="1">
      <alignment horizontal="center"/>
    </xf>
    <xf numFmtId="1" fontId="3" fillId="0" borderId="4" xfId="1" applyNumberFormat="1" applyFont="1" applyBorder="1" applyAlignment="1">
      <alignment horizontal="center"/>
    </xf>
    <xf numFmtId="1" fontId="3" fillId="0" borderId="5" xfId="1" applyNumberFormat="1" applyFont="1" applyBorder="1" applyAlignment="1">
      <alignment horizontal="center"/>
    </xf>
    <xf numFmtId="17" fontId="3" fillId="0" borderId="4" xfId="3" applyNumberFormat="1" applyFont="1" applyBorder="1" applyAlignment="1">
      <alignment horizontal="center"/>
    </xf>
    <xf numFmtId="0" fontId="3" fillId="0" borderId="0" xfId="0" applyFont="1" applyAlignment="1">
      <alignment horizontal="center"/>
    </xf>
    <xf numFmtId="0" fontId="4" fillId="3" borderId="7" xfId="0" applyFont="1" applyFill="1" applyBorder="1" applyAlignment="1">
      <alignment horizontal="right"/>
    </xf>
    <xf numFmtId="0" fontId="4" fillId="3" borderId="8" xfId="0" applyFont="1" applyFill="1" applyBorder="1" applyAlignment="1">
      <alignment horizontal="center"/>
    </xf>
    <xf numFmtId="0" fontId="4" fillId="3" borderId="8" xfId="0" applyFont="1" applyFill="1" applyBorder="1" applyAlignment="1">
      <alignment horizontal="right"/>
    </xf>
    <xf numFmtId="0" fontId="3" fillId="0" borderId="0" xfId="0" applyFont="1" applyAlignment="1">
      <alignment horizontal="right"/>
    </xf>
    <xf numFmtId="0" fontId="4" fillId="3" borderId="13" xfId="0" applyFont="1" applyFill="1" applyBorder="1" applyAlignment="1">
      <alignment horizontal="right"/>
    </xf>
    <xf numFmtId="0" fontId="6" fillId="0" borderId="0" xfId="0" applyFont="1" applyBorder="1"/>
    <xf numFmtId="9" fontId="6" fillId="0" borderId="0" xfId="2" applyFont="1"/>
    <xf numFmtId="0" fontId="6" fillId="0" borderId="0" xfId="0" applyFont="1"/>
    <xf numFmtId="0" fontId="2" fillId="0" borderId="0" xfId="0" applyFont="1" applyAlignment="1"/>
    <xf numFmtId="44" fontId="2" fillId="0" borderId="0" xfId="3" applyFont="1"/>
    <xf numFmtId="164" fontId="2" fillId="0" borderId="0" xfId="0" applyNumberFormat="1" applyFont="1"/>
    <xf numFmtId="0" fontId="11" fillId="0" borderId="0" xfId="0" applyFont="1"/>
    <xf numFmtId="0" fontId="15" fillId="9" borderId="16" xfId="0" applyFont="1" applyFill="1" applyBorder="1" applyAlignment="1">
      <alignment vertical="center"/>
    </xf>
    <xf numFmtId="0" fontId="2" fillId="9" borderId="17" xfId="0" applyFont="1" applyFill="1" applyBorder="1"/>
    <xf numFmtId="0" fontId="12" fillId="9" borderId="16" xfId="0" applyFont="1" applyFill="1" applyBorder="1" applyAlignment="1">
      <alignment vertical="center"/>
    </xf>
    <xf numFmtId="0" fontId="12" fillId="9" borderId="0" xfId="0" applyFont="1" applyFill="1" applyBorder="1" applyAlignment="1">
      <alignment vertical="center"/>
    </xf>
    <xf numFmtId="0" fontId="12" fillId="9" borderId="15" xfId="0" applyFont="1" applyFill="1" applyBorder="1" applyAlignment="1">
      <alignment horizontal="center" vertical="center"/>
    </xf>
    <xf numFmtId="0" fontId="12" fillId="9" borderId="16" xfId="0" applyFont="1" applyFill="1" applyBorder="1" applyAlignment="1">
      <alignment horizontal="center" vertical="center"/>
    </xf>
    <xf numFmtId="0" fontId="12" fillId="9" borderId="0" xfId="0" applyFont="1" applyFill="1" applyBorder="1" applyAlignment="1">
      <alignment horizontal="center" vertical="center"/>
    </xf>
    <xf numFmtId="0" fontId="4" fillId="3" borderId="6" xfId="0" applyFont="1" applyFill="1" applyBorder="1" applyAlignment="1">
      <alignment horizontal="right"/>
    </xf>
    <xf numFmtId="0" fontId="7" fillId="5" borderId="0" xfId="0" applyFont="1" applyFill="1" applyBorder="1" applyAlignment="1">
      <alignment horizontal="right" vertical="center"/>
    </xf>
    <xf numFmtId="0" fontId="7" fillId="5" borderId="11" xfId="0" applyFont="1" applyFill="1" applyBorder="1" applyAlignment="1">
      <alignment horizontal="right" vertical="center"/>
    </xf>
    <xf numFmtId="44" fontId="8" fillId="4" borderId="9" xfId="3" applyFont="1" applyFill="1" applyBorder="1" applyAlignment="1">
      <alignment horizontal="center" vertical="center"/>
    </xf>
    <xf numFmtId="44" fontId="8" fillId="4" borderId="10" xfId="3" applyFont="1" applyFill="1" applyBorder="1" applyAlignment="1">
      <alignment horizontal="center" vertical="center"/>
    </xf>
    <xf numFmtId="0" fontId="10" fillId="7" borderId="0" xfId="0" applyFont="1" applyFill="1" applyBorder="1" applyAlignment="1">
      <alignment horizontal="right" vertical="center"/>
    </xf>
    <xf numFmtId="0" fontId="10" fillId="7" borderId="11" xfId="0" applyFont="1" applyFill="1" applyBorder="1" applyAlignment="1">
      <alignment horizontal="right" vertical="center"/>
    </xf>
    <xf numFmtId="44" fontId="9" fillId="6" borderId="9" xfId="0" applyNumberFormat="1" applyFont="1" applyFill="1" applyBorder="1" applyAlignment="1">
      <alignment horizontal="center" vertical="center"/>
    </xf>
    <xf numFmtId="0" fontId="9" fillId="6" borderId="12" xfId="0" applyFont="1" applyFill="1" applyBorder="1" applyAlignment="1">
      <alignment horizontal="center" vertical="center"/>
    </xf>
    <xf numFmtId="0" fontId="9" fillId="6" borderId="10" xfId="0" applyFont="1" applyFill="1" applyBorder="1" applyAlignment="1">
      <alignment horizontal="center" vertical="center"/>
    </xf>
    <xf numFmtId="0" fontId="0" fillId="8" borderId="14" xfId="0" applyFill="1" applyBorder="1" applyAlignment="1">
      <alignment horizontal="center" vertical="center" wrapText="1"/>
    </xf>
    <xf numFmtId="0" fontId="0" fillId="8" borderId="0" xfId="0" applyFill="1" applyBorder="1" applyAlignment="1">
      <alignment horizontal="center" vertical="center" wrapText="1"/>
    </xf>
  </cellXfs>
  <cellStyles count="4">
    <cellStyle name="Moeda" xfId="3" builtinId="4"/>
    <cellStyle name="Normal" xfId="0" builtinId="0"/>
    <cellStyle name="Porcentagem" xfId="2" builtinId="5"/>
    <cellStyle name="Vírgula" xfId="1" builtinId="3"/>
  </cellStyles>
  <dxfs count="1">
    <dxf>
      <font>
        <color rgb="FF006100"/>
      </font>
      <fill>
        <patternFill>
          <bgColor rgb="FFC6EFCE"/>
        </patternFill>
      </fill>
    </dxf>
  </dxfs>
  <tableStyles count="0" defaultTableStyle="TableStyleMedium9" defaultPivotStyle="PivotStyleLight16"/>
  <colors>
    <mruColors>
      <color rgb="FF339933"/>
      <color rgb="FF008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pt-BR"/>
              <a:t>A</a:t>
            </a:r>
            <a:r>
              <a:rPr lang="pt-BR" baseline="0"/>
              <a:t> RECEBER</a:t>
            </a:r>
            <a:endParaRPr lang="pt-BR"/>
          </a:p>
        </c:rich>
      </c:tx>
      <c:layout>
        <c:manualLayout>
          <c:xMode val="edge"/>
          <c:yMode val="edge"/>
          <c:x val="0.40004579932095652"/>
          <c:y val="9.7338403041825103E-2"/>
        </c:manualLayout>
      </c:layout>
      <c:overlay val="0"/>
    </c:title>
    <c:autoTitleDeleted val="0"/>
    <c:view3D>
      <c:rotX val="15"/>
      <c:rotY val="0"/>
      <c:rAngAx val="0"/>
      <c:perspective val="30"/>
    </c:view3D>
    <c:floor>
      <c:thickness val="0"/>
    </c:floor>
    <c:sideWall>
      <c:thickness val="0"/>
    </c:sideWall>
    <c:backWall>
      <c:thickness val="0"/>
    </c:backWall>
    <c:plotArea>
      <c:layout>
        <c:manualLayout>
          <c:layoutTarget val="inner"/>
          <c:xMode val="edge"/>
          <c:yMode val="edge"/>
          <c:x val="0"/>
          <c:y val="0"/>
          <c:w val="1"/>
          <c:h val="1"/>
        </c:manualLayout>
      </c:layout>
      <c:pie3DChart>
        <c:varyColors val="1"/>
        <c:ser>
          <c:idx val="0"/>
          <c:order val="0"/>
          <c:explosion val="25"/>
          <c:dLbls>
            <c:showLegendKey val="0"/>
            <c:showVal val="0"/>
            <c:showCatName val="0"/>
            <c:showSerName val="0"/>
            <c:showPercent val="1"/>
            <c:showBubbleSize val="0"/>
            <c:showLeaderLines val="1"/>
          </c:dLbls>
          <c:cat>
            <c:numRef>
              <c:f>Análise!$C$13:$C$44</c:f>
              <c:numCache>
                <c:formatCode>General</c:formatCode>
                <c:ptCount val="32"/>
              </c:numCache>
            </c:numRef>
          </c:cat>
          <c:val>
            <c:numRef>
              <c:f>Análise!$G$13:$G$44</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ser>
        <c:dLbls>
          <c:showLegendKey val="0"/>
          <c:showVal val="0"/>
          <c:showCatName val="0"/>
          <c:showSerName val="0"/>
          <c:showPercent val="1"/>
          <c:showBubbleSize val="0"/>
          <c:showLeaderLines val="1"/>
        </c:dLbls>
      </c:pie3DChart>
    </c:plotArea>
    <c:legend>
      <c:legendPos val="b"/>
      <c:layout>
        <c:manualLayout>
          <c:xMode val="edge"/>
          <c:yMode val="edge"/>
          <c:x val="2.2750273225177003E-2"/>
          <c:y val="0.72289632046944718"/>
          <c:w val="0.9158543241099415"/>
          <c:h val="0.22186521361635878"/>
        </c:manualLayout>
      </c:layout>
      <c:overlay val="0"/>
    </c:legend>
    <c:plotVisOnly val="1"/>
    <c:dispBlanksAs val="gap"/>
    <c:showDLblsOverMax val="0"/>
  </c:chart>
  <c:spPr>
    <a:solidFill>
      <a:schemeClr val="tx1">
        <a:lumMod val="65000"/>
        <a:lumOff val="35000"/>
      </a:schemeClr>
    </a:solidFill>
  </c:spPr>
  <c:printSettings>
    <c:headerFooter/>
    <c:pageMargins b="0.78740157499999996" l="0.511811024" r="0.511811024" t="0.78740157499999996" header="0.31496062000000302" footer="0.314960620000003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pt-BR"/>
              <a:t>A</a:t>
            </a:r>
            <a:r>
              <a:rPr lang="pt-BR" baseline="0"/>
              <a:t> PAGAR</a:t>
            </a:r>
            <a:endParaRPr lang="pt-BR"/>
          </a:p>
        </c:rich>
      </c:tx>
      <c:layout>
        <c:manualLayout>
          <c:xMode val="edge"/>
          <c:yMode val="edge"/>
          <c:x val="0.40004579932095663"/>
          <c:y val="9.7338403041825103E-2"/>
        </c:manualLayout>
      </c:layout>
      <c:overlay val="0"/>
    </c:title>
    <c:autoTitleDeleted val="0"/>
    <c:view3D>
      <c:rotX val="15"/>
      <c:rotY val="0"/>
      <c:rAngAx val="0"/>
      <c:perspective val="30"/>
    </c:view3D>
    <c:floor>
      <c:thickness val="0"/>
    </c:floor>
    <c:sideWall>
      <c:thickness val="0"/>
    </c:sideWall>
    <c:backWall>
      <c:thickness val="0"/>
    </c:backWall>
    <c:plotArea>
      <c:layout>
        <c:manualLayout>
          <c:layoutTarget val="inner"/>
          <c:xMode val="edge"/>
          <c:yMode val="edge"/>
          <c:x val="0"/>
          <c:y val="0"/>
          <c:w val="1"/>
          <c:h val="1"/>
        </c:manualLayout>
      </c:layout>
      <c:pie3DChart>
        <c:varyColors val="1"/>
        <c:ser>
          <c:idx val="0"/>
          <c:order val="0"/>
          <c:explosion val="25"/>
          <c:dLbls>
            <c:showLegendKey val="0"/>
            <c:showVal val="0"/>
            <c:showCatName val="0"/>
            <c:showSerName val="0"/>
            <c:showPercent val="1"/>
            <c:showBubbleSize val="0"/>
            <c:showLeaderLines val="1"/>
          </c:dLbls>
          <c:cat>
            <c:numRef>
              <c:f>Análise!$H$13:$H$44</c:f>
              <c:numCache>
                <c:formatCode>General</c:formatCode>
                <c:ptCount val="32"/>
              </c:numCache>
            </c:numRef>
          </c:cat>
          <c:val>
            <c:numRef>
              <c:f>Análise!$L$13:$L$44</c:f>
              <c:numCache>
                <c:formatCode>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ser>
        <c:dLbls>
          <c:showLegendKey val="0"/>
          <c:showVal val="0"/>
          <c:showCatName val="0"/>
          <c:showSerName val="0"/>
          <c:showPercent val="1"/>
          <c:showBubbleSize val="0"/>
          <c:showLeaderLines val="1"/>
        </c:dLbls>
      </c:pie3DChart>
    </c:plotArea>
    <c:legend>
      <c:legendPos val="b"/>
      <c:layout>
        <c:manualLayout>
          <c:xMode val="edge"/>
          <c:yMode val="edge"/>
          <c:x val="2.2750273225177014E-2"/>
          <c:y val="0.72289632046944741"/>
          <c:w val="0.9158543241099415"/>
          <c:h val="0.22186521361635878"/>
        </c:manualLayout>
      </c:layout>
      <c:overlay val="0"/>
    </c:legend>
    <c:plotVisOnly val="1"/>
    <c:dispBlanksAs val="gap"/>
    <c:showDLblsOverMax val="0"/>
  </c:chart>
  <c:spPr>
    <a:solidFill>
      <a:schemeClr val="tx1">
        <a:lumMod val="65000"/>
        <a:lumOff val="35000"/>
      </a:schemeClr>
    </a:solidFill>
  </c:spPr>
  <c:printSettings>
    <c:headerFooter/>
    <c:pageMargins b="0.78740157499999996" l="0.511811024" r="0.511811024" t="0.78740157499999996" header="0.31496062000000313" footer="0.3149606200000031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a:t>Análise dos</a:t>
            </a:r>
            <a:r>
              <a:rPr lang="pt-BR" baseline="0"/>
              <a:t> Valores e Necessidade de Capital de Giro</a:t>
            </a:r>
            <a:endParaRPr lang="pt-BR"/>
          </a:p>
        </c:rich>
      </c:tx>
      <c:layout/>
      <c:overlay val="0"/>
    </c:title>
    <c:autoTitleDeleted val="0"/>
    <c:plotArea>
      <c:layout/>
      <c:barChart>
        <c:barDir val="col"/>
        <c:grouping val="stacked"/>
        <c:varyColors val="0"/>
        <c:ser>
          <c:idx val="0"/>
          <c:order val="0"/>
          <c:spPr>
            <a:noFill/>
          </c:spPr>
          <c:invertIfNegative val="0"/>
          <c:cat>
            <c:strRef>
              <c:f>Panorama!$E$6:$E$9</c:f>
              <c:strCache>
                <c:ptCount val="4"/>
                <c:pt idx="0">
                  <c:v>FATURAS A PAGAR   </c:v>
                </c:pt>
                <c:pt idx="1">
                  <c:v>FATURAS A RECEBER   </c:v>
                </c:pt>
                <c:pt idx="2">
                  <c:v>SALDO DISPONÍVEL:       </c:v>
                </c:pt>
                <c:pt idx="3">
                  <c:v>NECESSIDADE DE CAPITAL DE GIRO </c:v>
                </c:pt>
              </c:strCache>
            </c:strRef>
          </c:cat>
          <c:val>
            <c:numRef>
              <c:f>Panorama!$F$6:$F$9</c:f>
              <c:numCache>
                <c:formatCode>_-* #,##0.00\ "R$"_-;\-* #,##0.00\ "R$"_-;_-* "-"??\ "R$"_-;_-@_-</c:formatCode>
                <c:ptCount val="4"/>
                <c:pt idx="0" formatCode="General">
                  <c:v>0</c:v>
                </c:pt>
                <c:pt idx="1">
                  <c:v>0</c:v>
                </c:pt>
                <c:pt idx="2">
                  <c:v>0</c:v>
                </c:pt>
                <c:pt idx="3" formatCode="General">
                  <c:v>0</c:v>
                </c:pt>
              </c:numCache>
            </c:numRef>
          </c:val>
        </c:ser>
        <c:ser>
          <c:idx val="1"/>
          <c:order val="1"/>
          <c:spPr>
            <a:solidFill>
              <a:srgbClr val="00B050"/>
            </a:solidFill>
          </c:spPr>
          <c:invertIfNegative val="0"/>
          <c:dPt>
            <c:idx val="0"/>
            <c:invertIfNegative val="0"/>
            <c:bubble3D val="0"/>
            <c:spPr>
              <a:solidFill>
                <a:schemeClr val="accent2"/>
              </a:solidFill>
            </c:spPr>
          </c:dPt>
          <c:dPt>
            <c:idx val="3"/>
            <c:invertIfNegative val="0"/>
            <c:bubble3D val="0"/>
            <c:spPr>
              <a:solidFill>
                <a:schemeClr val="accent6">
                  <a:lumMod val="60000"/>
                  <a:lumOff val="40000"/>
                </a:schemeClr>
              </a:solidFill>
            </c:spPr>
          </c:dPt>
          <c:dLbls>
            <c:numFmt formatCode="#,##0" sourceLinked="0"/>
            <c:txPr>
              <a:bodyPr/>
              <a:lstStyle/>
              <a:p>
                <a:pPr>
                  <a:defRPr sz="1400" b="1"/>
                </a:pPr>
                <a:endParaRPr lang="pt-BR"/>
              </a:p>
            </c:txPr>
            <c:showLegendKey val="0"/>
            <c:showVal val="1"/>
            <c:showCatName val="0"/>
            <c:showSerName val="0"/>
            <c:showPercent val="0"/>
            <c:showBubbleSize val="0"/>
            <c:showLeaderLines val="0"/>
          </c:dLbls>
          <c:cat>
            <c:strRef>
              <c:f>Panorama!$E$6:$E$9</c:f>
              <c:strCache>
                <c:ptCount val="4"/>
                <c:pt idx="0">
                  <c:v>FATURAS A PAGAR   </c:v>
                </c:pt>
                <c:pt idx="1">
                  <c:v>FATURAS A RECEBER   </c:v>
                </c:pt>
                <c:pt idx="2">
                  <c:v>SALDO DISPONÍVEL:       </c:v>
                </c:pt>
                <c:pt idx="3">
                  <c:v>NECESSIDADE DE CAPITAL DE GIRO </c:v>
                </c:pt>
              </c:strCache>
            </c:strRef>
          </c:cat>
          <c:val>
            <c:numRef>
              <c:f>Panorama!$G$6:$G$9</c:f>
              <c:numCache>
                <c:formatCode>_("R$"* #,##0.00_);_("R$"* \(#,##0.00\);_("R$"* "-"??_);_(@_)</c:formatCode>
                <c:ptCount val="4"/>
                <c:pt idx="0">
                  <c:v>0</c:v>
                </c:pt>
                <c:pt idx="1">
                  <c:v>0</c:v>
                </c:pt>
                <c:pt idx="2">
                  <c:v>0</c:v>
                </c:pt>
                <c:pt idx="3">
                  <c:v>0</c:v>
                </c:pt>
              </c:numCache>
            </c:numRef>
          </c:val>
        </c:ser>
        <c:dLbls>
          <c:showLegendKey val="0"/>
          <c:showVal val="0"/>
          <c:showCatName val="0"/>
          <c:showSerName val="0"/>
          <c:showPercent val="0"/>
          <c:showBubbleSize val="0"/>
        </c:dLbls>
        <c:gapWidth val="150"/>
        <c:overlap val="100"/>
        <c:axId val="150618880"/>
        <c:axId val="150620416"/>
      </c:barChart>
      <c:catAx>
        <c:axId val="150618880"/>
        <c:scaling>
          <c:orientation val="minMax"/>
        </c:scaling>
        <c:delete val="0"/>
        <c:axPos val="b"/>
        <c:majorTickMark val="out"/>
        <c:minorTickMark val="none"/>
        <c:tickLblPos val="nextTo"/>
        <c:crossAx val="150620416"/>
        <c:crosses val="autoZero"/>
        <c:auto val="1"/>
        <c:lblAlgn val="ctr"/>
        <c:lblOffset val="100"/>
        <c:noMultiLvlLbl val="0"/>
      </c:catAx>
      <c:valAx>
        <c:axId val="150620416"/>
        <c:scaling>
          <c:orientation val="minMax"/>
        </c:scaling>
        <c:delete val="1"/>
        <c:axPos val="l"/>
        <c:numFmt formatCode="General" sourceLinked="1"/>
        <c:majorTickMark val="out"/>
        <c:minorTickMark val="none"/>
        <c:tickLblPos val="nextTo"/>
        <c:crossAx val="150618880"/>
        <c:crosses val="autoZero"/>
        <c:crossBetween val="between"/>
      </c:valAx>
    </c:plotArea>
    <c:plotVisOnly val="1"/>
    <c:dispBlanksAs val="gap"/>
    <c:showDLblsOverMax val="0"/>
  </c:chart>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An&#225;lise!A1"/><Relationship Id="rId2" Type="http://schemas.openxmlformats.org/officeDocument/2006/relationships/image" Target="../media/image1.png"/><Relationship Id="rId1" Type="http://schemas.openxmlformats.org/officeDocument/2006/relationships/hyperlink" Target="http://www.acelere.vc" TargetMode="External"/><Relationship Id="rId6" Type="http://schemas.openxmlformats.org/officeDocument/2006/relationships/hyperlink" Target="#Panorama!A1"/><Relationship Id="rId5" Type="http://schemas.openxmlformats.org/officeDocument/2006/relationships/hyperlink" Target="#'Fatores Internos'!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In&#237;cio!A1"/><Relationship Id="rId2" Type="http://schemas.openxmlformats.org/officeDocument/2006/relationships/image" Target="../media/image1.png"/><Relationship Id="rId1" Type="http://schemas.openxmlformats.org/officeDocument/2006/relationships/hyperlink" Target="http://www.acelere.vc" TargetMode="Externa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237;cio!A1"/><Relationship Id="rId5" Type="http://schemas.openxmlformats.org/officeDocument/2006/relationships/image" Target="../media/image1.png"/><Relationship Id="rId4" Type="http://schemas.openxmlformats.org/officeDocument/2006/relationships/hyperlink" Target="http://www.acelere.vc" TargetMode="External"/></Relationships>
</file>

<file path=xl/drawings/drawing1.xml><?xml version="1.0" encoding="utf-8"?>
<xdr:wsDr xmlns:xdr="http://schemas.openxmlformats.org/drawingml/2006/spreadsheetDrawing" xmlns:a="http://schemas.openxmlformats.org/drawingml/2006/main">
  <xdr:twoCellAnchor editAs="oneCell">
    <xdr:from>
      <xdr:col>18</xdr:col>
      <xdr:colOff>409575</xdr:colOff>
      <xdr:row>0</xdr:row>
      <xdr:rowOff>0</xdr:rowOff>
    </xdr:from>
    <xdr:to>
      <xdr:col>20</xdr:col>
      <xdr:colOff>390525</xdr:colOff>
      <xdr:row>1</xdr:row>
      <xdr:rowOff>22779</xdr:rowOff>
    </xdr:to>
    <xdr:pic>
      <xdr:nvPicPr>
        <xdr:cNvPr id="8" name="Imagem 7">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82375" y="0"/>
          <a:ext cx="1200150" cy="479979"/>
        </a:xfrm>
        <a:prstGeom prst="rect">
          <a:avLst/>
        </a:prstGeom>
      </xdr:spPr>
    </xdr:pic>
    <xdr:clientData/>
  </xdr:twoCellAnchor>
  <xdr:twoCellAnchor>
    <xdr:from>
      <xdr:col>5</xdr:col>
      <xdr:colOff>457200</xdr:colOff>
      <xdr:row>10</xdr:row>
      <xdr:rowOff>19050</xdr:rowOff>
    </xdr:from>
    <xdr:to>
      <xdr:col>8</xdr:col>
      <xdr:colOff>523875</xdr:colOff>
      <xdr:row>12</xdr:row>
      <xdr:rowOff>177088</xdr:rowOff>
    </xdr:to>
    <xdr:grpSp>
      <xdr:nvGrpSpPr>
        <xdr:cNvPr id="9" name="Grupo 8">
          <a:hlinkClick xmlns:r="http://schemas.openxmlformats.org/officeDocument/2006/relationships" r:id="rId3"/>
        </xdr:cNvPr>
        <xdr:cNvGrpSpPr/>
      </xdr:nvGrpSpPr>
      <xdr:grpSpPr>
        <a:xfrm>
          <a:off x="3505200" y="2190750"/>
          <a:ext cx="1895475" cy="539038"/>
          <a:chOff x="285750" y="2400300"/>
          <a:chExt cx="1895475" cy="539038"/>
        </a:xfrm>
      </xdr:grpSpPr>
      <xdr:pic>
        <xdr:nvPicPr>
          <xdr:cNvPr id="10" name="Imagem 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5750" y="2400300"/>
            <a:ext cx="1895475" cy="53903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CaixaDeTexto 10">
            <a:hlinkClick xmlns:r="http://schemas.openxmlformats.org/officeDocument/2006/relationships" r:id="rId3"/>
          </xdr:cNvPr>
          <xdr:cNvSpPr txBox="1"/>
        </xdr:nvSpPr>
        <xdr:spPr>
          <a:xfrm>
            <a:off x="542925" y="2524125"/>
            <a:ext cx="139064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300" i="1" u="sng">
                <a:solidFill>
                  <a:schemeClr val="bg1"/>
                </a:solidFill>
              </a:rPr>
              <a:t>ANÁLISE</a:t>
            </a:r>
          </a:p>
        </xdr:txBody>
      </xdr:sp>
    </xdr:grpSp>
    <xdr:clientData/>
  </xdr:twoCellAnchor>
  <xdr:twoCellAnchor>
    <xdr:from>
      <xdr:col>10</xdr:col>
      <xdr:colOff>219075</xdr:colOff>
      <xdr:row>10</xdr:row>
      <xdr:rowOff>19050</xdr:rowOff>
    </xdr:from>
    <xdr:to>
      <xdr:col>13</xdr:col>
      <xdr:colOff>285750</xdr:colOff>
      <xdr:row>12</xdr:row>
      <xdr:rowOff>177088</xdr:rowOff>
    </xdr:to>
    <xdr:grpSp>
      <xdr:nvGrpSpPr>
        <xdr:cNvPr id="12" name="Grupo 11">
          <a:hlinkClick xmlns:r="http://schemas.openxmlformats.org/officeDocument/2006/relationships" r:id="rId5"/>
        </xdr:cNvPr>
        <xdr:cNvGrpSpPr/>
      </xdr:nvGrpSpPr>
      <xdr:grpSpPr>
        <a:xfrm>
          <a:off x="6315075" y="2190750"/>
          <a:ext cx="1895475" cy="539038"/>
          <a:chOff x="285750" y="2400300"/>
          <a:chExt cx="1895475" cy="539038"/>
        </a:xfrm>
      </xdr:grpSpPr>
      <xdr:pic>
        <xdr:nvPicPr>
          <xdr:cNvPr id="13" name="Imagem 12"/>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5750" y="2400300"/>
            <a:ext cx="1895475" cy="539038"/>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CaixaDeTexto 13">
            <a:hlinkClick xmlns:r="http://schemas.openxmlformats.org/officeDocument/2006/relationships" r:id="rId6"/>
          </xdr:cNvPr>
          <xdr:cNvSpPr txBox="1"/>
        </xdr:nvSpPr>
        <xdr:spPr>
          <a:xfrm>
            <a:off x="419100" y="2524125"/>
            <a:ext cx="16382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pt-BR" sz="1300" i="1" u="sng">
                <a:solidFill>
                  <a:schemeClr val="bg1"/>
                </a:solidFill>
              </a:rPr>
              <a:t>PANORAMA</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2038350</xdr:colOff>
      <xdr:row>0</xdr:row>
      <xdr:rowOff>0</xdr:rowOff>
    </xdr:from>
    <xdr:to>
      <xdr:col>8</xdr:col>
      <xdr:colOff>190500</xdr:colOff>
      <xdr:row>1</xdr:row>
      <xdr:rowOff>22779</xdr:rowOff>
    </xdr:to>
    <xdr:pic>
      <xdr:nvPicPr>
        <xdr:cNvPr id="8" name="Imagem 7">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06175" y="0"/>
          <a:ext cx="1200150" cy="479979"/>
        </a:xfrm>
        <a:prstGeom prst="rect">
          <a:avLst/>
        </a:prstGeom>
      </xdr:spPr>
    </xdr:pic>
    <xdr:clientData/>
  </xdr:twoCellAnchor>
  <xdr:twoCellAnchor editAs="oneCell">
    <xdr:from>
      <xdr:col>0</xdr:col>
      <xdr:colOff>38100</xdr:colOff>
      <xdr:row>0</xdr:row>
      <xdr:rowOff>66675</xdr:rowOff>
    </xdr:from>
    <xdr:to>
      <xdr:col>2</xdr:col>
      <xdr:colOff>209550</xdr:colOff>
      <xdr:row>0</xdr:row>
      <xdr:rowOff>396724</xdr:rowOff>
    </xdr:to>
    <xdr:pic>
      <xdr:nvPicPr>
        <xdr:cNvPr id="9" name="Imagem 8">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100" y="66675"/>
          <a:ext cx="561975" cy="3300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587375</xdr:colOff>
      <xdr:row>24</xdr:row>
      <xdr:rowOff>174626</xdr:rowOff>
    </xdr:from>
    <xdr:to>
      <xdr:col>13</xdr:col>
      <xdr:colOff>263647</xdr:colOff>
      <xdr:row>62</xdr:row>
      <xdr:rowOff>155370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63499</xdr:colOff>
      <xdr:row>24</xdr:row>
      <xdr:rowOff>176068</xdr:rowOff>
    </xdr:from>
    <xdr:to>
      <xdr:col>27</xdr:col>
      <xdr:colOff>588818</xdr:colOff>
      <xdr:row>62</xdr:row>
      <xdr:rowOff>184005</xdr:rowOff>
    </xdr:to>
    <xdr:graphicFrame macro="">
      <xdr:nvGraphicFramePr>
        <xdr:cNvPr id="9" name="Gráfico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56028</xdr:colOff>
      <xdr:row>3</xdr:row>
      <xdr:rowOff>100854</xdr:rowOff>
    </xdr:from>
    <xdr:to>
      <xdr:col>13</xdr:col>
      <xdr:colOff>168088</xdr:colOff>
      <xdr:row>24</xdr:row>
      <xdr:rowOff>33618</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600075</xdr:colOff>
      <xdr:row>0</xdr:row>
      <xdr:rowOff>0</xdr:rowOff>
    </xdr:from>
    <xdr:to>
      <xdr:col>17</xdr:col>
      <xdr:colOff>581025</xdr:colOff>
      <xdr:row>1</xdr:row>
      <xdr:rowOff>22779</xdr:rowOff>
    </xdr:to>
    <xdr:pic>
      <xdr:nvPicPr>
        <xdr:cNvPr id="13" name="Imagem 12">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353800" y="0"/>
          <a:ext cx="1200150" cy="479979"/>
        </a:xfrm>
        <a:prstGeom prst="rect">
          <a:avLst/>
        </a:prstGeom>
      </xdr:spPr>
    </xdr:pic>
    <xdr:clientData/>
  </xdr:twoCellAnchor>
  <xdr:twoCellAnchor editAs="oneCell">
    <xdr:from>
      <xdr:col>0</xdr:col>
      <xdr:colOff>85725</xdr:colOff>
      <xdr:row>0</xdr:row>
      <xdr:rowOff>66675</xdr:rowOff>
    </xdr:from>
    <xdr:to>
      <xdr:col>1</xdr:col>
      <xdr:colOff>38100</xdr:colOff>
      <xdr:row>0</xdr:row>
      <xdr:rowOff>396724</xdr:rowOff>
    </xdr:to>
    <xdr:pic>
      <xdr:nvPicPr>
        <xdr:cNvPr id="14" name="Imagem 13">
          <a:hlinkClick xmlns:r="http://schemas.openxmlformats.org/officeDocument/2006/relationships" r:id="rId6"/>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725" y="66675"/>
          <a:ext cx="561975" cy="330049"/>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
  <sheetViews>
    <sheetView tabSelected="1" workbookViewId="0">
      <selection activeCell="A4" sqref="A4"/>
    </sheetView>
  </sheetViews>
  <sheetFormatPr defaultRowHeight="15" x14ac:dyDescent="0.25"/>
  <cols>
    <col min="1" max="16384" width="9.140625" style="1"/>
  </cols>
  <sheetData>
    <row r="1" spans="1:25" s="34" customFormat="1" ht="36" customHeight="1" x14ac:dyDescent="0.25">
      <c r="A1" s="37" t="s">
        <v>12</v>
      </c>
      <c r="B1" s="38"/>
      <c r="C1" s="38"/>
      <c r="D1" s="38"/>
      <c r="E1" s="38"/>
      <c r="F1" s="38"/>
      <c r="G1" s="38"/>
      <c r="H1" s="38"/>
      <c r="I1" s="38"/>
      <c r="J1" s="38"/>
      <c r="K1" s="38"/>
      <c r="L1" s="38"/>
      <c r="M1" s="38"/>
      <c r="N1" s="38"/>
      <c r="O1" s="38"/>
      <c r="P1" s="38"/>
      <c r="Q1" s="38"/>
      <c r="R1" s="38"/>
      <c r="S1" s="38"/>
      <c r="T1" s="38"/>
      <c r="U1" s="38"/>
      <c r="V1" s="33"/>
      <c r="W1" s="33"/>
      <c r="X1" s="33"/>
      <c r="Y1" s="33"/>
    </row>
  </sheetData>
  <mergeCells count="1">
    <mergeCell ref="A1:U1"/>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7"/>
  <sheetViews>
    <sheetView showGridLines="0" zoomScaleNormal="100" workbookViewId="0">
      <selection activeCell="E8" sqref="E8:E9"/>
    </sheetView>
  </sheetViews>
  <sheetFormatPr defaultRowHeight="15" x14ac:dyDescent="0.25"/>
  <cols>
    <col min="1" max="1" width="2.85546875" customWidth="1"/>
    <col min="2" max="2" width="3" customWidth="1"/>
    <col min="3" max="3" width="49.42578125" customWidth="1"/>
    <col min="4" max="4" width="20.28515625" style="10" bestFit="1" customWidth="1"/>
    <col min="5" max="5" width="33.28515625" style="10" bestFit="1" customWidth="1"/>
    <col min="6" max="6" width="26.5703125" customWidth="1"/>
    <col min="7" max="7" width="3.5703125" style="3" customWidth="1"/>
    <col min="8" max="8" width="45.7109375" bestFit="1" customWidth="1"/>
    <col min="9" max="9" width="20.28515625" style="10" bestFit="1" customWidth="1"/>
    <col min="10" max="10" width="33.28515625" style="10" bestFit="1" customWidth="1"/>
    <col min="11" max="11" width="26.5703125" customWidth="1"/>
    <col min="12" max="12" width="9.140625" style="3"/>
  </cols>
  <sheetData>
    <row r="1" spans="1:25" s="34" customFormat="1" ht="36" customHeight="1" x14ac:dyDescent="0.25">
      <c r="A1" s="39" t="s">
        <v>13</v>
      </c>
      <c r="B1" s="39"/>
      <c r="C1" s="39"/>
      <c r="D1" s="39"/>
      <c r="E1" s="39"/>
      <c r="F1" s="39"/>
      <c r="G1" s="39"/>
      <c r="H1" s="39"/>
      <c r="I1" s="36"/>
      <c r="J1" s="36"/>
      <c r="K1" s="36"/>
      <c r="L1" s="36"/>
      <c r="M1" s="36"/>
      <c r="N1" s="36"/>
      <c r="O1" s="36"/>
      <c r="P1" s="36"/>
      <c r="Q1" s="35"/>
      <c r="R1" s="35"/>
      <c r="S1" s="35"/>
      <c r="T1" s="35"/>
      <c r="U1" s="35"/>
      <c r="V1" s="33"/>
      <c r="W1" s="33"/>
      <c r="X1" s="33"/>
      <c r="Y1" s="33"/>
    </row>
    <row r="2" spans="1:25" x14ac:dyDescent="0.25">
      <c r="C2" s="2"/>
      <c r="D2" s="15"/>
      <c r="E2" s="15"/>
      <c r="F2" s="2"/>
      <c r="H2" s="2"/>
      <c r="I2" s="15"/>
      <c r="J2" s="15"/>
      <c r="K2" s="2"/>
    </row>
    <row r="3" spans="1:25" ht="15.75" thickBot="1" x14ac:dyDescent="0.3">
      <c r="C3" s="2"/>
      <c r="D3" s="15"/>
      <c r="E3" s="15"/>
      <c r="F3" s="2"/>
      <c r="H3" s="2"/>
      <c r="I3" s="15"/>
      <c r="J3" s="15"/>
      <c r="K3" s="2"/>
    </row>
    <row r="4" spans="1:25" ht="15" customHeight="1" x14ac:dyDescent="0.25">
      <c r="C4" s="45" t="s">
        <v>9</v>
      </c>
      <c r="D4" s="46"/>
      <c r="E4" s="47">
        <f>(E8+F45-K45)</f>
        <v>0</v>
      </c>
      <c r="F4" s="50" t="str">
        <f>IF(E4&lt;0,"A empresa deve analisar fontes para levantar fundos e financiar suas operações de curto prazo, sendo que existe uma necessidade de Capital de Giro.","A empresa não necessita de Capital de Giro, pois ela consegue sanar as obrigações de curto prazo, dados os valores inseridos. Caso isso se repita rotineiramente, uma alternativa a manter o dinheiro em caixa, seria investir esse valor em outras fontes")</f>
        <v>A empresa não necessita de Capital de Giro, pois ela consegue sanar as obrigações de curto prazo, dados os valores inseridos. Caso isso se repita rotineiramente, uma alternativa a manter o dinheiro em caixa, seria investir esse valor em outras fontes</v>
      </c>
      <c r="G4" s="51"/>
      <c r="H4" s="51"/>
      <c r="I4" s="51"/>
      <c r="J4" s="15"/>
      <c r="K4" s="2"/>
    </row>
    <row r="5" spans="1:25" x14ac:dyDescent="0.25">
      <c r="C5" s="45"/>
      <c r="D5" s="46"/>
      <c r="E5" s="48"/>
      <c r="F5" s="50"/>
      <c r="G5" s="51"/>
      <c r="H5" s="51"/>
      <c r="I5" s="51"/>
      <c r="J5" s="15"/>
      <c r="K5" s="2"/>
    </row>
    <row r="6" spans="1:25" ht="15.75" thickBot="1" x14ac:dyDescent="0.3">
      <c r="C6" s="45"/>
      <c r="D6" s="46"/>
      <c r="E6" s="49"/>
      <c r="F6" s="50"/>
      <c r="G6" s="51"/>
      <c r="H6" s="51"/>
      <c r="I6" s="51"/>
      <c r="J6" s="15"/>
      <c r="K6" s="2"/>
    </row>
    <row r="7" spans="1:25" ht="15.75" thickBot="1" x14ac:dyDescent="0.3">
      <c r="C7" s="2"/>
      <c r="D7" s="15"/>
      <c r="E7" s="15"/>
      <c r="F7" s="2"/>
      <c r="H7" s="2"/>
      <c r="I7" s="15"/>
      <c r="J7" s="15"/>
      <c r="K7" s="2"/>
    </row>
    <row r="8" spans="1:25" x14ac:dyDescent="0.25">
      <c r="C8" s="41" t="s">
        <v>6</v>
      </c>
      <c r="D8" s="42"/>
      <c r="E8" s="43"/>
      <c r="F8" s="2"/>
      <c r="H8" s="2"/>
      <c r="I8" s="15"/>
      <c r="J8" s="15"/>
      <c r="K8" s="2"/>
    </row>
    <row r="9" spans="1:25" ht="15.75" thickBot="1" x14ac:dyDescent="0.3">
      <c r="C9" s="41"/>
      <c r="D9" s="42"/>
      <c r="E9" s="44"/>
      <c r="F9" s="2"/>
      <c r="H9" s="2"/>
      <c r="I9" s="15"/>
      <c r="J9" s="15"/>
      <c r="K9" s="2"/>
    </row>
    <row r="10" spans="1:25" ht="27" customHeight="1" thickBot="1" x14ac:dyDescent="0.3">
      <c r="C10" s="2"/>
      <c r="D10" s="15"/>
      <c r="E10" s="15"/>
      <c r="F10" s="2"/>
      <c r="G10" s="9"/>
      <c r="H10" s="2"/>
      <c r="I10" s="15"/>
      <c r="J10" s="15"/>
      <c r="K10" s="2"/>
    </row>
    <row r="11" spans="1:25" ht="31.5" thickTop="1" thickBot="1" x14ac:dyDescent="0.7">
      <c r="A11" s="2"/>
      <c r="B11" s="2"/>
      <c r="C11" s="40" t="s">
        <v>10</v>
      </c>
      <c r="D11" s="40"/>
      <c r="E11" s="40"/>
      <c r="F11" s="40"/>
      <c r="G11" s="9"/>
      <c r="H11" s="40" t="s">
        <v>11</v>
      </c>
      <c r="I11" s="40"/>
      <c r="J11" s="40"/>
      <c r="K11" s="40"/>
    </row>
    <row r="12" spans="1:25" ht="30.75" thickTop="1" x14ac:dyDescent="0.65">
      <c r="A12" s="2"/>
      <c r="B12" s="2"/>
      <c r="C12" s="21" t="s">
        <v>0</v>
      </c>
      <c r="D12" s="22" t="s">
        <v>2</v>
      </c>
      <c r="E12" s="22" t="s">
        <v>3</v>
      </c>
      <c r="F12" s="25" t="s">
        <v>1</v>
      </c>
      <c r="G12" s="9"/>
      <c r="H12" s="21" t="s">
        <v>0</v>
      </c>
      <c r="I12" s="22" t="s">
        <v>2</v>
      </c>
      <c r="J12" s="22" t="s">
        <v>3</v>
      </c>
      <c r="K12" s="23" t="s">
        <v>1</v>
      </c>
    </row>
    <row r="13" spans="1:25" s="4" customFormat="1" ht="23.25" customHeight="1" x14ac:dyDescent="0.65">
      <c r="A13" s="6"/>
      <c r="B13" s="6"/>
      <c r="C13" s="12"/>
      <c r="D13" s="17"/>
      <c r="E13" s="19"/>
      <c r="F13" s="11"/>
      <c r="G13" s="8" t="e">
        <f t="shared" ref="G13:G44" si="0">F13/$F$45</f>
        <v>#DIV/0!</v>
      </c>
      <c r="H13" s="12"/>
      <c r="I13" s="17"/>
      <c r="J13" s="19"/>
      <c r="K13" s="13"/>
      <c r="L13" s="27" t="e">
        <f t="shared" ref="L13:L44" si="1">K13/$K$45</f>
        <v>#DIV/0!</v>
      </c>
    </row>
    <row r="14" spans="1:25" s="4" customFormat="1" ht="23.25" customHeight="1" x14ac:dyDescent="0.65">
      <c r="A14" s="6"/>
      <c r="B14" s="6"/>
      <c r="C14" s="12"/>
      <c r="D14" s="18"/>
      <c r="E14" s="19"/>
      <c r="F14" s="7"/>
      <c r="G14" s="8" t="e">
        <f t="shared" si="0"/>
        <v>#DIV/0!</v>
      </c>
      <c r="H14" s="5"/>
      <c r="I14" s="18"/>
      <c r="J14" s="19"/>
      <c r="K14" s="14"/>
      <c r="L14" s="27" t="e">
        <f t="shared" si="1"/>
        <v>#DIV/0!</v>
      </c>
    </row>
    <row r="15" spans="1:25" s="4" customFormat="1" ht="23.25" customHeight="1" x14ac:dyDescent="0.65">
      <c r="A15" s="6"/>
      <c r="B15" s="6"/>
      <c r="C15" s="12"/>
      <c r="D15" s="18"/>
      <c r="E15" s="19"/>
      <c r="F15" s="7"/>
      <c r="G15" s="8" t="e">
        <f t="shared" si="0"/>
        <v>#DIV/0!</v>
      </c>
      <c r="H15" s="5"/>
      <c r="I15" s="18"/>
      <c r="J15" s="19"/>
      <c r="K15" s="14"/>
      <c r="L15" s="27" t="e">
        <f t="shared" si="1"/>
        <v>#DIV/0!</v>
      </c>
    </row>
    <row r="16" spans="1:25" s="4" customFormat="1" ht="23.25" customHeight="1" x14ac:dyDescent="0.65">
      <c r="A16" s="6"/>
      <c r="B16" s="6"/>
      <c r="C16" s="12"/>
      <c r="D16" s="18"/>
      <c r="E16" s="19"/>
      <c r="F16" s="7"/>
      <c r="G16" s="8" t="e">
        <f t="shared" si="0"/>
        <v>#DIV/0!</v>
      </c>
      <c r="H16" s="5"/>
      <c r="I16" s="18"/>
      <c r="J16" s="19"/>
      <c r="K16" s="14"/>
      <c r="L16" s="27" t="e">
        <f t="shared" si="1"/>
        <v>#DIV/0!</v>
      </c>
    </row>
    <row r="17" spans="1:12" s="4" customFormat="1" ht="23.25" customHeight="1" x14ac:dyDescent="0.65">
      <c r="A17" s="6"/>
      <c r="B17" s="6"/>
      <c r="C17" s="12"/>
      <c r="D17" s="18"/>
      <c r="E17" s="19"/>
      <c r="F17" s="7"/>
      <c r="G17" s="8" t="e">
        <f t="shared" si="0"/>
        <v>#DIV/0!</v>
      </c>
      <c r="H17" s="5"/>
      <c r="I17" s="18"/>
      <c r="J17" s="19"/>
      <c r="K17" s="14"/>
      <c r="L17" s="27" t="e">
        <f t="shared" si="1"/>
        <v>#DIV/0!</v>
      </c>
    </row>
    <row r="18" spans="1:12" s="4" customFormat="1" ht="23.25" customHeight="1" x14ac:dyDescent="0.65">
      <c r="A18" s="6"/>
      <c r="B18" s="6"/>
      <c r="C18" s="12"/>
      <c r="D18" s="18"/>
      <c r="E18" s="19"/>
      <c r="F18" s="7"/>
      <c r="G18" s="8" t="e">
        <f t="shared" si="0"/>
        <v>#DIV/0!</v>
      </c>
      <c r="H18" s="5"/>
      <c r="I18" s="18"/>
      <c r="J18" s="19"/>
      <c r="K18" s="14"/>
      <c r="L18" s="27" t="e">
        <f t="shared" si="1"/>
        <v>#DIV/0!</v>
      </c>
    </row>
    <row r="19" spans="1:12" s="4" customFormat="1" ht="23.25" customHeight="1" x14ac:dyDescent="0.65">
      <c r="A19" s="6"/>
      <c r="B19" s="6"/>
      <c r="C19" s="12"/>
      <c r="D19" s="18"/>
      <c r="E19" s="19"/>
      <c r="F19" s="7"/>
      <c r="G19" s="8" t="e">
        <f t="shared" si="0"/>
        <v>#DIV/0!</v>
      </c>
      <c r="H19" s="5"/>
      <c r="I19" s="18"/>
      <c r="J19" s="19"/>
      <c r="K19" s="14"/>
      <c r="L19" s="27" t="e">
        <f t="shared" si="1"/>
        <v>#DIV/0!</v>
      </c>
    </row>
    <row r="20" spans="1:12" s="4" customFormat="1" ht="23.25" customHeight="1" x14ac:dyDescent="0.65">
      <c r="A20" s="6"/>
      <c r="B20" s="6"/>
      <c r="C20" s="12"/>
      <c r="D20" s="18"/>
      <c r="E20" s="19"/>
      <c r="F20" s="7"/>
      <c r="G20" s="8" t="e">
        <f t="shared" si="0"/>
        <v>#DIV/0!</v>
      </c>
      <c r="H20" s="5"/>
      <c r="I20" s="18"/>
      <c r="J20" s="19"/>
      <c r="K20" s="14"/>
      <c r="L20" s="27" t="e">
        <f t="shared" si="1"/>
        <v>#DIV/0!</v>
      </c>
    </row>
    <row r="21" spans="1:12" s="4" customFormat="1" ht="23.25" customHeight="1" x14ac:dyDescent="0.65">
      <c r="A21" s="6"/>
      <c r="B21" s="6"/>
      <c r="C21" s="5"/>
      <c r="D21" s="18"/>
      <c r="E21" s="19"/>
      <c r="F21" s="7"/>
      <c r="G21" s="8" t="e">
        <f t="shared" si="0"/>
        <v>#DIV/0!</v>
      </c>
      <c r="H21" s="5"/>
      <c r="I21" s="18"/>
      <c r="J21" s="19"/>
      <c r="K21" s="14"/>
      <c r="L21" s="27" t="e">
        <f t="shared" si="1"/>
        <v>#DIV/0!</v>
      </c>
    </row>
    <row r="22" spans="1:12" s="4" customFormat="1" ht="23.25" customHeight="1" x14ac:dyDescent="0.65">
      <c r="A22" s="6"/>
      <c r="B22" s="6"/>
      <c r="C22" s="5"/>
      <c r="D22" s="18"/>
      <c r="E22" s="19"/>
      <c r="F22" s="7"/>
      <c r="G22" s="8" t="e">
        <f t="shared" si="0"/>
        <v>#DIV/0!</v>
      </c>
      <c r="H22" s="5"/>
      <c r="I22" s="18"/>
      <c r="J22" s="19"/>
      <c r="K22" s="14"/>
      <c r="L22" s="27" t="e">
        <f t="shared" si="1"/>
        <v>#DIV/0!</v>
      </c>
    </row>
    <row r="23" spans="1:12" s="4" customFormat="1" ht="23.25" customHeight="1" x14ac:dyDescent="0.65">
      <c r="A23" s="6"/>
      <c r="B23" s="6"/>
      <c r="C23" s="5"/>
      <c r="D23" s="18"/>
      <c r="E23" s="19"/>
      <c r="F23" s="7"/>
      <c r="G23" s="8" t="e">
        <f t="shared" si="0"/>
        <v>#DIV/0!</v>
      </c>
      <c r="H23" s="5"/>
      <c r="I23" s="18"/>
      <c r="J23" s="19"/>
      <c r="K23" s="14"/>
      <c r="L23" s="27" t="e">
        <f t="shared" si="1"/>
        <v>#DIV/0!</v>
      </c>
    </row>
    <row r="24" spans="1:12" s="4" customFormat="1" ht="23.25" customHeight="1" x14ac:dyDescent="0.65">
      <c r="A24" s="6"/>
      <c r="B24" s="6"/>
      <c r="C24" s="5"/>
      <c r="D24" s="18"/>
      <c r="E24" s="19"/>
      <c r="F24" s="7"/>
      <c r="G24" s="8" t="e">
        <f t="shared" si="0"/>
        <v>#DIV/0!</v>
      </c>
      <c r="H24" s="5"/>
      <c r="I24" s="18"/>
      <c r="J24" s="19"/>
      <c r="K24" s="14"/>
      <c r="L24" s="27" t="e">
        <f t="shared" si="1"/>
        <v>#DIV/0!</v>
      </c>
    </row>
    <row r="25" spans="1:12" s="4" customFormat="1" ht="23.25" customHeight="1" x14ac:dyDescent="0.65">
      <c r="A25" s="6"/>
      <c r="B25" s="6"/>
      <c r="C25" s="5"/>
      <c r="D25" s="18"/>
      <c r="E25" s="19"/>
      <c r="F25" s="7"/>
      <c r="G25" s="8" t="e">
        <f t="shared" si="0"/>
        <v>#DIV/0!</v>
      </c>
      <c r="H25" s="5"/>
      <c r="I25" s="18"/>
      <c r="J25" s="19"/>
      <c r="K25" s="14"/>
      <c r="L25" s="27" t="e">
        <f t="shared" si="1"/>
        <v>#DIV/0!</v>
      </c>
    </row>
    <row r="26" spans="1:12" s="4" customFormat="1" ht="23.25" customHeight="1" x14ac:dyDescent="0.65">
      <c r="A26" s="6"/>
      <c r="B26" s="6"/>
      <c r="C26" s="5"/>
      <c r="D26" s="18"/>
      <c r="E26" s="19"/>
      <c r="F26" s="7"/>
      <c r="G26" s="8" t="e">
        <f t="shared" si="0"/>
        <v>#DIV/0!</v>
      </c>
      <c r="H26" s="5"/>
      <c r="I26" s="18"/>
      <c r="J26" s="19"/>
      <c r="K26" s="14"/>
      <c r="L26" s="27" t="e">
        <f t="shared" si="1"/>
        <v>#DIV/0!</v>
      </c>
    </row>
    <row r="27" spans="1:12" s="4" customFormat="1" ht="23.25" customHeight="1" x14ac:dyDescent="0.65">
      <c r="A27" s="6"/>
      <c r="B27" s="6"/>
      <c r="C27" s="5"/>
      <c r="D27" s="18"/>
      <c r="E27" s="19"/>
      <c r="F27" s="7"/>
      <c r="G27" s="8" t="e">
        <f t="shared" si="0"/>
        <v>#DIV/0!</v>
      </c>
      <c r="H27" s="5"/>
      <c r="I27" s="18"/>
      <c r="J27" s="19"/>
      <c r="K27" s="14"/>
      <c r="L27" s="27" t="e">
        <f t="shared" si="1"/>
        <v>#DIV/0!</v>
      </c>
    </row>
    <row r="28" spans="1:12" s="4" customFormat="1" ht="23.25" customHeight="1" x14ac:dyDescent="0.65">
      <c r="A28" s="6"/>
      <c r="B28" s="6"/>
      <c r="C28" s="5"/>
      <c r="D28" s="18"/>
      <c r="E28" s="19"/>
      <c r="F28" s="7"/>
      <c r="G28" s="8" t="e">
        <f t="shared" si="0"/>
        <v>#DIV/0!</v>
      </c>
      <c r="H28" s="5"/>
      <c r="I28" s="18"/>
      <c r="J28" s="19"/>
      <c r="K28" s="14"/>
      <c r="L28" s="27" t="e">
        <f t="shared" si="1"/>
        <v>#DIV/0!</v>
      </c>
    </row>
    <row r="29" spans="1:12" s="4" customFormat="1" ht="23.25" customHeight="1" x14ac:dyDescent="0.65">
      <c r="A29" s="6"/>
      <c r="B29" s="6"/>
      <c r="C29" s="5"/>
      <c r="D29" s="18"/>
      <c r="E29" s="19"/>
      <c r="F29" s="7"/>
      <c r="G29" s="8" t="e">
        <f t="shared" si="0"/>
        <v>#DIV/0!</v>
      </c>
      <c r="H29" s="5"/>
      <c r="I29" s="18"/>
      <c r="J29" s="19"/>
      <c r="K29" s="14"/>
      <c r="L29" s="27" t="e">
        <f t="shared" si="1"/>
        <v>#DIV/0!</v>
      </c>
    </row>
    <row r="30" spans="1:12" s="4" customFormat="1" ht="23.25" customHeight="1" x14ac:dyDescent="0.65">
      <c r="A30" s="6"/>
      <c r="B30" s="6"/>
      <c r="C30" s="5"/>
      <c r="D30" s="18"/>
      <c r="E30" s="19"/>
      <c r="F30" s="7"/>
      <c r="G30" s="8" t="e">
        <f t="shared" si="0"/>
        <v>#DIV/0!</v>
      </c>
      <c r="H30" s="5"/>
      <c r="I30" s="18"/>
      <c r="J30" s="19"/>
      <c r="K30" s="14"/>
      <c r="L30" s="27" t="e">
        <f t="shared" si="1"/>
        <v>#DIV/0!</v>
      </c>
    </row>
    <row r="31" spans="1:12" s="4" customFormat="1" ht="23.25" customHeight="1" x14ac:dyDescent="0.65">
      <c r="A31" s="6"/>
      <c r="B31" s="6"/>
      <c r="C31" s="5"/>
      <c r="D31" s="18"/>
      <c r="E31" s="19"/>
      <c r="F31" s="7"/>
      <c r="G31" s="8" t="e">
        <f t="shared" si="0"/>
        <v>#DIV/0!</v>
      </c>
      <c r="H31" s="5"/>
      <c r="I31" s="18"/>
      <c r="J31" s="19"/>
      <c r="K31" s="14"/>
      <c r="L31" s="27" t="e">
        <f t="shared" si="1"/>
        <v>#DIV/0!</v>
      </c>
    </row>
    <row r="32" spans="1:12" s="4" customFormat="1" ht="23.25" customHeight="1" x14ac:dyDescent="0.65">
      <c r="A32" s="6"/>
      <c r="B32" s="6"/>
      <c r="C32" s="5"/>
      <c r="D32" s="18"/>
      <c r="E32" s="19"/>
      <c r="F32" s="7"/>
      <c r="G32" s="8" t="e">
        <f t="shared" si="0"/>
        <v>#DIV/0!</v>
      </c>
      <c r="H32" s="5"/>
      <c r="I32" s="18"/>
      <c r="J32" s="19"/>
      <c r="K32" s="14"/>
      <c r="L32" s="27" t="e">
        <f t="shared" si="1"/>
        <v>#DIV/0!</v>
      </c>
    </row>
    <row r="33" spans="1:12" s="4" customFormat="1" ht="23.25" customHeight="1" x14ac:dyDescent="0.65">
      <c r="A33" s="6"/>
      <c r="B33" s="6"/>
      <c r="C33" s="5"/>
      <c r="D33" s="18"/>
      <c r="E33" s="19"/>
      <c r="F33" s="7"/>
      <c r="G33" s="8" t="e">
        <f t="shared" si="0"/>
        <v>#DIV/0!</v>
      </c>
      <c r="H33" s="5"/>
      <c r="I33" s="18"/>
      <c r="J33" s="19"/>
      <c r="K33" s="14"/>
      <c r="L33" s="27" t="e">
        <f t="shared" si="1"/>
        <v>#DIV/0!</v>
      </c>
    </row>
    <row r="34" spans="1:12" s="4" customFormat="1" ht="23.25" customHeight="1" x14ac:dyDescent="0.65">
      <c r="A34" s="6"/>
      <c r="B34" s="6"/>
      <c r="C34" s="5"/>
      <c r="D34" s="18"/>
      <c r="E34" s="19"/>
      <c r="F34" s="7"/>
      <c r="G34" s="8" t="e">
        <f t="shared" si="0"/>
        <v>#DIV/0!</v>
      </c>
      <c r="H34" s="5"/>
      <c r="I34" s="18"/>
      <c r="J34" s="19"/>
      <c r="K34" s="14"/>
      <c r="L34" s="27" t="e">
        <f t="shared" si="1"/>
        <v>#DIV/0!</v>
      </c>
    </row>
    <row r="35" spans="1:12" s="4" customFormat="1" ht="23.25" customHeight="1" x14ac:dyDescent="0.65">
      <c r="A35" s="6"/>
      <c r="B35" s="6"/>
      <c r="C35" s="5"/>
      <c r="D35" s="18"/>
      <c r="E35" s="19"/>
      <c r="F35" s="7"/>
      <c r="G35" s="8" t="e">
        <f t="shared" si="0"/>
        <v>#DIV/0!</v>
      </c>
      <c r="H35" s="5"/>
      <c r="I35" s="18"/>
      <c r="J35" s="19"/>
      <c r="K35" s="14"/>
      <c r="L35" s="27" t="e">
        <f t="shared" si="1"/>
        <v>#DIV/0!</v>
      </c>
    </row>
    <row r="36" spans="1:12" s="4" customFormat="1" ht="23.25" customHeight="1" x14ac:dyDescent="0.65">
      <c r="A36" s="6"/>
      <c r="B36" s="6"/>
      <c r="C36" s="5"/>
      <c r="D36" s="18"/>
      <c r="E36" s="19"/>
      <c r="F36" s="7"/>
      <c r="G36" s="8" t="e">
        <f t="shared" si="0"/>
        <v>#DIV/0!</v>
      </c>
      <c r="H36" s="5"/>
      <c r="I36" s="18"/>
      <c r="J36" s="19"/>
      <c r="K36" s="14"/>
      <c r="L36" s="27" t="e">
        <f t="shared" si="1"/>
        <v>#DIV/0!</v>
      </c>
    </row>
    <row r="37" spans="1:12" s="4" customFormat="1" ht="23.25" customHeight="1" x14ac:dyDescent="0.65">
      <c r="A37" s="6"/>
      <c r="B37" s="6"/>
      <c r="C37" s="5"/>
      <c r="D37" s="18"/>
      <c r="E37" s="19"/>
      <c r="F37" s="7"/>
      <c r="G37" s="8" t="e">
        <f t="shared" si="0"/>
        <v>#DIV/0!</v>
      </c>
      <c r="H37" s="5"/>
      <c r="I37" s="18"/>
      <c r="J37" s="19"/>
      <c r="K37" s="14"/>
      <c r="L37" s="27" t="e">
        <f t="shared" si="1"/>
        <v>#DIV/0!</v>
      </c>
    </row>
    <row r="38" spans="1:12" s="4" customFormat="1" ht="23.25" customHeight="1" x14ac:dyDescent="0.65">
      <c r="A38" s="6"/>
      <c r="B38" s="6"/>
      <c r="C38" s="5"/>
      <c r="D38" s="18"/>
      <c r="E38" s="19"/>
      <c r="F38" s="7"/>
      <c r="G38" s="8" t="e">
        <f t="shared" si="0"/>
        <v>#DIV/0!</v>
      </c>
      <c r="H38" s="5"/>
      <c r="I38" s="18"/>
      <c r="J38" s="19"/>
      <c r="K38" s="14"/>
      <c r="L38" s="27" t="e">
        <f t="shared" si="1"/>
        <v>#DIV/0!</v>
      </c>
    </row>
    <row r="39" spans="1:12" s="4" customFormat="1" ht="23.25" customHeight="1" x14ac:dyDescent="0.65">
      <c r="A39" s="6"/>
      <c r="B39" s="6"/>
      <c r="C39" s="5"/>
      <c r="D39" s="18"/>
      <c r="E39" s="19"/>
      <c r="F39" s="7"/>
      <c r="G39" s="8" t="e">
        <f t="shared" si="0"/>
        <v>#DIV/0!</v>
      </c>
      <c r="H39" s="5"/>
      <c r="I39" s="18"/>
      <c r="J39" s="19"/>
      <c r="K39" s="14"/>
      <c r="L39" s="27" t="e">
        <f t="shared" si="1"/>
        <v>#DIV/0!</v>
      </c>
    </row>
    <row r="40" spans="1:12" s="4" customFormat="1" ht="23.25" customHeight="1" x14ac:dyDescent="0.65">
      <c r="A40" s="6"/>
      <c r="B40" s="6"/>
      <c r="C40" s="5"/>
      <c r="D40" s="18"/>
      <c r="E40" s="19"/>
      <c r="F40" s="7"/>
      <c r="G40" s="8" t="e">
        <f t="shared" si="0"/>
        <v>#DIV/0!</v>
      </c>
      <c r="H40" s="5"/>
      <c r="I40" s="18"/>
      <c r="J40" s="19"/>
      <c r="K40" s="14"/>
      <c r="L40" s="27" t="e">
        <f t="shared" si="1"/>
        <v>#DIV/0!</v>
      </c>
    </row>
    <row r="41" spans="1:12" s="4" customFormat="1" ht="23.25" customHeight="1" x14ac:dyDescent="0.65">
      <c r="A41" s="6"/>
      <c r="B41" s="6"/>
      <c r="C41" s="5"/>
      <c r="D41" s="18"/>
      <c r="E41" s="19"/>
      <c r="F41" s="7"/>
      <c r="G41" s="8" t="e">
        <f t="shared" si="0"/>
        <v>#DIV/0!</v>
      </c>
      <c r="H41" s="5"/>
      <c r="I41" s="18"/>
      <c r="J41" s="19"/>
      <c r="K41" s="14"/>
      <c r="L41" s="27" t="e">
        <f t="shared" si="1"/>
        <v>#DIV/0!</v>
      </c>
    </row>
    <row r="42" spans="1:12" s="4" customFormat="1" ht="23.25" customHeight="1" x14ac:dyDescent="0.65">
      <c r="A42" s="6"/>
      <c r="B42" s="6"/>
      <c r="C42" s="5"/>
      <c r="D42" s="18"/>
      <c r="E42" s="19"/>
      <c r="F42" s="7"/>
      <c r="G42" s="8" t="e">
        <f t="shared" si="0"/>
        <v>#DIV/0!</v>
      </c>
      <c r="H42" s="5"/>
      <c r="I42" s="18"/>
      <c r="J42" s="19"/>
      <c r="K42" s="14"/>
      <c r="L42" s="27" t="e">
        <f t="shared" si="1"/>
        <v>#DIV/0!</v>
      </c>
    </row>
    <row r="43" spans="1:12" s="4" customFormat="1" ht="23.25" customHeight="1" x14ac:dyDescent="0.65">
      <c r="A43" s="6"/>
      <c r="B43" s="6"/>
      <c r="C43" s="5"/>
      <c r="D43" s="18"/>
      <c r="E43" s="19"/>
      <c r="F43" s="7"/>
      <c r="G43" s="8" t="e">
        <f t="shared" si="0"/>
        <v>#DIV/0!</v>
      </c>
      <c r="H43" s="5"/>
      <c r="I43" s="18"/>
      <c r="J43" s="19"/>
      <c r="K43" s="14"/>
      <c r="L43" s="27" t="e">
        <f t="shared" si="1"/>
        <v>#DIV/0!</v>
      </c>
    </row>
    <row r="44" spans="1:12" s="4" customFormat="1" ht="23.25" customHeight="1" x14ac:dyDescent="0.65">
      <c r="A44" s="6"/>
      <c r="B44" s="6"/>
      <c r="C44" s="5"/>
      <c r="D44" s="18"/>
      <c r="E44" s="19"/>
      <c r="F44" s="7"/>
      <c r="G44" s="8" t="e">
        <f t="shared" si="0"/>
        <v>#DIV/0!</v>
      </c>
      <c r="H44" s="5"/>
      <c r="I44" s="18"/>
      <c r="J44" s="19"/>
      <c r="K44" s="14"/>
      <c r="L44" s="27" t="e">
        <f t="shared" si="1"/>
        <v>#DIV/0!</v>
      </c>
    </row>
    <row r="45" spans="1:12" s="4" customFormat="1" ht="23.25" customHeight="1" x14ac:dyDescent="0.65">
      <c r="A45" s="6"/>
      <c r="B45" s="6"/>
      <c r="E45" s="20" t="s">
        <v>5</v>
      </c>
      <c r="F45" s="16">
        <f>SUM(F13:F44)</f>
        <v>0</v>
      </c>
      <c r="G45" s="26"/>
      <c r="J45" s="24" t="s">
        <v>4</v>
      </c>
      <c r="K45" s="16">
        <f>SUM(K13:K44)</f>
        <v>0</v>
      </c>
      <c r="L45" s="28"/>
    </row>
    <row r="46" spans="1:12" x14ac:dyDescent="0.25">
      <c r="G46" s="9"/>
    </row>
    <row r="47" spans="1:12" x14ac:dyDescent="0.25">
      <c r="G47" s="9"/>
    </row>
  </sheetData>
  <mergeCells count="8">
    <mergeCell ref="A1:H1"/>
    <mergeCell ref="C11:F11"/>
    <mergeCell ref="H11:K11"/>
    <mergeCell ref="C8:D9"/>
    <mergeCell ref="E8:E9"/>
    <mergeCell ref="C4:D6"/>
    <mergeCell ref="E4:E6"/>
    <mergeCell ref="F4:I6"/>
  </mergeCells>
  <conditionalFormatting sqref="E4:E6">
    <cfRule type="cellIs" dxfId="0" priority="1" operator="greaterThan">
      <formula>0</formula>
    </cfRule>
  </conditionalFormatting>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
  <sheetViews>
    <sheetView showGridLines="0" zoomScaleNormal="100" workbookViewId="0">
      <selection sqref="A1:R1"/>
    </sheetView>
  </sheetViews>
  <sheetFormatPr defaultRowHeight="15" x14ac:dyDescent="0.25"/>
  <cols>
    <col min="5" max="5" width="12.140625" customWidth="1"/>
    <col min="6" max="7" width="14.42578125" bestFit="1" customWidth="1"/>
    <col min="9" max="10" width="14.42578125" bestFit="1" customWidth="1"/>
  </cols>
  <sheetData>
    <row r="1" spans="1:25" s="34" customFormat="1" ht="36" customHeight="1" x14ac:dyDescent="0.25">
      <c r="A1" s="37" t="s">
        <v>14</v>
      </c>
      <c r="B1" s="38"/>
      <c r="C1" s="38"/>
      <c r="D1" s="38"/>
      <c r="E1" s="38"/>
      <c r="F1" s="38"/>
      <c r="G1" s="38"/>
      <c r="H1" s="38"/>
      <c r="I1" s="38"/>
      <c r="J1" s="38"/>
      <c r="K1" s="38"/>
      <c r="L1" s="38"/>
      <c r="M1" s="38"/>
      <c r="N1" s="38"/>
      <c r="O1" s="38"/>
      <c r="P1" s="38"/>
      <c r="Q1" s="38"/>
      <c r="R1" s="38"/>
      <c r="S1" s="35"/>
      <c r="T1" s="35"/>
      <c r="U1" s="35"/>
      <c r="V1" s="33"/>
      <c r="W1" s="33"/>
      <c r="X1" s="33"/>
      <c r="Y1" s="33"/>
    </row>
    <row r="4" spans="1:25" x14ac:dyDescent="0.25">
      <c r="D4" s="3"/>
      <c r="E4" s="3"/>
      <c r="F4" s="3"/>
      <c r="G4" s="3"/>
      <c r="H4" s="3"/>
    </row>
    <row r="5" spans="1:25" x14ac:dyDescent="0.25">
      <c r="C5" s="32"/>
      <c r="D5" s="32"/>
      <c r="E5" s="3"/>
      <c r="F5" s="3" t="s">
        <v>8</v>
      </c>
      <c r="G5" s="3" t="s">
        <v>7</v>
      </c>
      <c r="H5" s="3"/>
      <c r="I5" s="32"/>
      <c r="J5" s="32"/>
    </row>
    <row r="6" spans="1:25" x14ac:dyDescent="0.25">
      <c r="C6" s="32"/>
      <c r="D6" s="32"/>
      <c r="E6" s="29" t="str">
        <f>Análise!H11</f>
        <v xml:space="preserve">FATURAS A PAGAR   </v>
      </c>
      <c r="F6" s="3">
        <v>0</v>
      </c>
      <c r="G6" s="30">
        <f>Análise!K45</f>
        <v>0</v>
      </c>
      <c r="H6" s="29"/>
      <c r="I6" s="32"/>
      <c r="J6" s="32"/>
    </row>
    <row r="7" spans="1:25" x14ac:dyDescent="0.25">
      <c r="C7" s="32"/>
      <c r="D7" s="32"/>
      <c r="E7" s="29" t="str">
        <f>Análise!C11</f>
        <v xml:space="preserve">FATURAS A RECEBER   </v>
      </c>
      <c r="F7" s="31">
        <f>F8+G8</f>
        <v>0</v>
      </c>
      <c r="G7" s="30">
        <f>Análise!F45</f>
        <v>0</v>
      </c>
      <c r="H7" s="29"/>
      <c r="I7" s="32"/>
      <c r="J7" s="32"/>
    </row>
    <row r="8" spans="1:25" x14ac:dyDescent="0.25">
      <c r="C8" s="32"/>
      <c r="D8" s="32"/>
      <c r="E8" s="29" t="str">
        <f>Análise!C8</f>
        <v xml:space="preserve">SALDO DISPONÍVEL:       </v>
      </c>
      <c r="F8" s="31">
        <f>F9+G9</f>
        <v>0</v>
      </c>
      <c r="G8" s="30">
        <f>Análise!E8</f>
        <v>0</v>
      </c>
      <c r="H8" s="29"/>
      <c r="I8" s="32"/>
      <c r="J8" s="32"/>
    </row>
    <row r="9" spans="1:25" x14ac:dyDescent="0.25">
      <c r="C9" s="32"/>
      <c r="D9" s="32"/>
      <c r="E9" s="29" t="str">
        <f>Análise!C4</f>
        <v xml:space="preserve">NECESSIDADE DE CAPITAL DE GIRO </v>
      </c>
      <c r="F9" s="3">
        <v>0</v>
      </c>
      <c r="G9" s="30">
        <f>IF((Análise!E4)&lt;0,ABS(Análise!E4),0)</f>
        <v>0</v>
      </c>
      <c r="H9" s="29"/>
      <c r="I9" s="32"/>
      <c r="J9" s="32"/>
    </row>
    <row r="10" spans="1:25" x14ac:dyDescent="0.25">
      <c r="C10" s="32"/>
      <c r="D10" s="32"/>
      <c r="E10" s="3"/>
      <c r="F10" s="3"/>
      <c r="G10" s="3"/>
      <c r="H10" s="3"/>
      <c r="I10" s="32"/>
      <c r="J10" s="32"/>
    </row>
    <row r="11" spans="1:25" x14ac:dyDescent="0.25">
      <c r="C11" s="32"/>
      <c r="D11" s="32"/>
      <c r="E11" s="3"/>
      <c r="F11" s="3"/>
      <c r="G11" s="3"/>
      <c r="H11" s="3"/>
      <c r="I11" s="32"/>
      <c r="J11" s="32"/>
    </row>
    <row r="12" spans="1:25" x14ac:dyDescent="0.25">
      <c r="C12" s="32"/>
      <c r="D12" s="32"/>
      <c r="E12" s="32"/>
      <c r="F12" s="32"/>
      <c r="G12" s="32"/>
      <c r="H12" s="32"/>
      <c r="I12" s="32"/>
      <c r="J12" s="32"/>
    </row>
    <row r="13" spans="1:25" x14ac:dyDescent="0.25">
      <c r="C13" s="32"/>
      <c r="D13" s="32"/>
      <c r="E13" s="32"/>
      <c r="F13" s="32"/>
      <c r="G13" s="32"/>
      <c r="H13" s="32"/>
      <c r="I13" s="32"/>
      <c r="J13" s="32"/>
    </row>
    <row r="14" spans="1:25" x14ac:dyDescent="0.25">
      <c r="C14" s="32"/>
      <c r="D14" s="32"/>
      <c r="E14" s="32"/>
      <c r="F14" s="32"/>
      <c r="G14" s="32"/>
      <c r="H14" s="32"/>
      <c r="I14" s="32"/>
      <c r="J14" s="32"/>
    </row>
    <row r="15" spans="1:25" x14ac:dyDescent="0.25">
      <c r="C15" s="32"/>
      <c r="D15" s="32"/>
      <c r="E15" s="32"/>
      <c r="F15" s="32"/>
      <c r="G15" s="32"/>
      <c r="H15" s="32"/>
      <c r="I15" s="32"/>
      <c r="J15" s="32"/>
    </row>
  </sheetData>
  <mergeCells count="1">
    <mergeCell ref="A1:R1"/>
  </mergeCell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Início</vt:lpstr>
      <vt:lpstr>Análise</vt:lpstr>
      <vt:lpstr>Panorama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Acelere.vc</dc:creator>
  <cp:lastModifiedBy>Pedro</cp:lastModifiedBy>
  <dcterms:created xsi:type="dcterms:W3CDTF">2013-11-09T12:17:33Z</dcterms:created>
  <dcterms:modified xsi:type="dcterms:W3CDTF">2014-06-01T02:22:49Z</dcterms:modified>
</cp:coreProperties>
</file>