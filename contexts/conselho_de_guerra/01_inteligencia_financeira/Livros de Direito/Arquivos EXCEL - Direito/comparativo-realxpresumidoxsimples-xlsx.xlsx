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b23\AC\Temp\"/>
    </mc:Choice>
  </mc:AlternateContent>
  <xr:revisionPtr revIDLastSave="0" documentId="8_{1F4452D5-61D5-414F-968B-1F6F841A4B27}" xr6:coauthVersionLast="20" xr6:coauthVersionMax="20" xr10:uidLastSave="{00000000-0000-0000-0000-000000000000}"/>
  <bookViews>
    <workbookView xWindow="120" yWindow="105" windowWidth="31815" windowHeight="21240" activeTab="4" xr2:uid="{00000000-000D-0000-FFFF-FFFF00000000}"/>
  </bookViews>
  <sheets>
    <sheet name="Comércio" sheetId="1" r:id="rId1"/>
    <sheet name="Anexo 1" sheetId="2" r:id="rId2"/>
    <sheet name="Serviços (III)" sheetId="3" r:id="rId3"/>
    <sheet name="Anexo III" sheetId="5" r:id="rId4"/>
    <sheet name="Serviços IV" sheetId="6" r:id="rId5"/>
    <sheet name="Anexo IV" sheetId="7" r:id="rId6"/>
  </sheets>
  <definedNames>
    <definedName name="_xlnm.Print_Area" localSheetId="0">Comércio!$A$1:$V$43</definedName>
    <definedName name="Icms">'Anexo 1'!$L$33:$L$35</definedName>
  </definedNames>
  <calcPr calcId="171026"/>
</workbook>
</file>

<file path=xl/calcChain.xml><?xml version="1.0" encoding="utf-8"?>
<calcChain xmlns="http://schemas.openxmlformats.org/spreadsheetml/2006/main">
  <c r="G7" i="1" l="1"/>
  <c r="J7" i="1"/>
  <c r="D8" i="1"/>
  <c r="F8" i="1"/>
  <c r="G8" i="1"/>
  <c r="J8" i="1"/>
  <c r="D13" i="1"/>
  <c r="D9" i="1"/>
  <c r="F9" i="1"/>
  <c r="G9" i="1"/>
  <c r="D10" i="1"/>
  <c r="G10" i="1"/>
  <c r="J10" i="1"/>
  <c r="D11" i="1"/>
  <c r="G11" i="1"/>
  <c r="D12" i="1"/>
  <c r="G12" i="1"/>
  <c r="F13" i="1"/>
  <c r="G13" i="1"/>
  <c r="I13" i="1"/>
  <c r="J13" i="1"/>
  <c r="D14" i="1"/>
  <c r="F14" i="1"/>
  <c r="G14" i="1"/>
  <c r="D15" i="1"/>
  <c r="F15" i="1"/>
  <c r="G15" i="1"/>
  <c r="I15" i="1"/>
  <c r="J15" i="1"/>
  <c r="D16" i="1"/>
  <c r="F16" i="1"/>
  <c r="G16" i="1"/>
  <c r="D17" i="1"/>
  <c r="F17" i="1"/>
  <c r="G17" i="1"/>
  <c r="I17" i="1"/>
  <c r="J17" i="1"/>
  <c r="D18" i="1"/>
  <c r="G18" i="1"/>
  <c r="D19" i="1"/>
  <c r="G20" i="1"/>
  <c r="D21" i="1"/>
  <c r="G21" i="1"/>
  <c r="D23" i="1"/>
  <c r="G23" i="1"/>
  <c r="B13" i="2"/>
  <c r="A14" i="2"/>
  <c r="B18" i="2"/>
  <c r="A19" i="2"/>
  <c r="B21" i="2"/>
  <c r="A22" i="2"/>
  <c r="A23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4" i="2"/>
  <c r="A15" i="2"/>
  <c r="B15" i="2"/>
  <c r="A16" i="2"/>
  <c r="B16" i="2"/>
  <c r="A17" i="2"/>
  <c r="B17" i="2"/>
  <c r="A18" i="2"/>
  <c r="B19" i="2"/>
  <c r="A20" i="2"/>
  <c r="B20" i="2"/>
  <c r="A21" i="2"/>
  <c r="B22" i="2"/>
  <c r="A24" i="2"/>
  <c r="M33" i="2"/>
  <c r="I23" i="1"/>
  <c r="J23" i="1"/>
  <c r="D24" i="1"/>
  <c r="F24" i="1"/>
  <c r="G24" i="1"/>
  <c r="G25" i="1"/>
  <c r="D26" i="1"/>
  <c r="G26" i="1"/>
  <c r="J26" i="1"/>
  <c r="C29" i="1"/>
  <c r="C30" i="1"/>
  <c r="F29" i="1"/>
  <c r="C31" i="1"/>
  <c r="F31" i="1"/>
  <c r="I29" i="1"/>
  <c r="F30" i="1"/>
  <c r="I30" i="1"/>
  <c r="I31" i="1"/>
  <c r="C33" i="1"/>
  <c r="F33" i="1"/>
  <c r="I33" i="1"/>
  <c r="C34" i="1"/>
  <c r="F34" i="1"/>
  <c r="I34" i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M34" i="2"/>
  <c r="M35" i="2"/>
  <c r="G9" i="3"/>
  <c r="J9" i="3"/>
  <c r="D10" i="3"/>
  <c r="F10" i="3"/>
  <c r="G10" i="3"/>
  <c r="J10" i="3"/>
  <c r="D11" i="3"/>
  <c r="G11" i="3"/>
  <c r="D12" i="3"/>
  <c r="G12" i="3"/>
  <c r="D13" i="3"/>
  <c r="G13" i="3"/>
  <c r="D14" i="3"/>
  <c r="F14" i="3"/>
  <c r="G14" i="3"/>
  <c r="I14" i="3"/>
  <c r="J14" i="3"/>
  <c r="D15" i="3"/>
  <c r="G15" i="3"/>
  <c r="D16" i="3"/>
  <c r="F16" i="3"/>
  <c r="G16" i="3"/>
  <c r="I16" i="3"/>
  <c r="J16" i="3"/>
  <c r="D17" i="3"/>
  <c r="F17" i="3"/>
  <c r="G17" i="3"/>
  <c r="D18" i="3"/>
  <c r="F18" i="3"/>
  <c r="G18" i="3"/>
  <c r="I18" i="3"/>
  <c r="J18" i="3"/>
  <c r="D19" i="3"/>
  <c r="G19" i="3"/>
  <c r="D20" i="3"/>
  <c r="G21" i="3"/>
  <c r="D22" i="3"/>
  <c r="G22" i="3"/>
  <c r="D24" i="3"/>
  <c r="G24" i="3"/>
  <c r="B13" i="5"/>
  <c r="A14" i="5"/>
  <c r="B18" i="5"/>
  <c r="A19" i="5"/>
  <c r="B21" i="5"/>
  <c r="A22" i="5"/>
  <c r="A23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4" i="5"/>
  <c r="A15" i="5"/>
  <c r="B15" i="5"/>
  <c r="A16" i="5"/>
  <c r="B16" i="5"/>
  <c r="A17" i="5"/>
  <c r="B17" i="5"/>
  <c r="A18" i="5"/>
  <c r="B19" i="5"/>
  <c r="A20" i="5"/>
  <c r="B20" i="5"/>
  <c r="A21" i="5"/>
  <c r="B22" i="5"/>
  <c r="A24" i="5"/>
  <c r="I24" i="3"/>
  <c r="J24" i="3"/>
  <c r="D25" i="3"/>
  <c r="F25" i="3"/>
  <c r="G25" i="3"/>
  <c r="G26" i="3"/>
  <c r="D28" i="3"/>
  <c r="G28" i="3"/>
  <c r="J28" i="3"/>
  <c r="C31" i="3"/>
  <c r="F31" i="3"/>
  <c r="I31" i="3"/>
  <c r="C32" i="3"/>
  <c r="F32" i="3"/>
  <c r="I32" i="3"/>
  <c r="C33" i="3"/>
  <c r="F33" i="3"/>
  <c r="I33" i="3"/>
  <c r="C35" i="3"/>
  <c r="F35" i="3"/>
  <c r="I35" i="3"/>
  <c r="C36" i="3"/>
  <c r="F36" i="3"/>
  <c r="I36" i="3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G9" i="6"/>
  <c r="J9" i="6"/>
  <c r="D10" i="6"/>
  <c r="F10" i="6"/>
  <c r="G10" i="6"/>
  <c r="J10" i="6"/>
  <c r="D11" i="6"/>
  <c r="G11" i="6"/>
  <c r="D12" i="6"/>
  <c r="G12" i="6"/>
  <c r="D13" i="6"/>
  <c r="G13" i="6"/>
  <c r="D14" i="6"/>
  <c r="F14" i="6"/>
  <c r="G14" i="6"/>
  <c r="I14" i="6"/>
  <c r="J14" i="6"/>
  <c r="D15" i="6"/>
  <c r="G15" i="6"/>
  <c r="D16" i="6"/>
  <c r="F16" i="6"/>
  <c r="G16" i="6"/>
  <c r="I16" i="6"/>
  <c r="J16" i="6"/>
  <c r="D17" i="6"/>
  <c r="F17" i="6"/>
  <c r="G17" i="6"/>
  <c r="D18" i="6"/>
  <c r="F18" i="6"/>
  <c r="G18" i="6"/>
  <c r="I18" i="6"/>
  <c r="J18" i="6"/>
  <c r="D19" i="6"/>
  <c r="G19" i="6"/>
  <c r="D20" i="6"/>
  <c r="I20" i="6"/>
  <c r="J20" i="6"/>
  <c r="G21" i="6"/>
  <c r="D22" i="6"/>
  <c r="G22" i="6"/>
  <c r="D24" i="6"/>
  <c r="G24" i="6"/>
  <c r="B13" i="7"/>
  <c r="A14" i="7"/>
  <c r="B18" i="7"/>
  <c r="A19" i="7"/>
  <c r="B21" i="7"/>
  <c r="A22" i="7"/>
  <c r="A23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4" i="7"/>
  <c r="A15" i="7"/>
  <c r="B15" i="7"/>
  <c r="A16" i="7"/>
  <c r="B16" i="7"/>
  <c r="A17" i="7"/>
  <c r="B17" i="7"/>
  <c r="A18" i="7"/>
  <c r="B19" i="7"/>
  <c r="A20" i="7"/>
  <c r="B20" i="7"/>
  <c r="A21" i="7"/>
  <c r="B22" i="7"/>
  <c r="A24" i="7"/>
  <c r="I24" i="6"/>
  <c r="J24" i="6"/>
  <c r="D25" i="6"/>
  <c r="F25" i="6"/>
  <c r="G25" i="6"/>
  <c r="G26" i="6"/>
  <c r="D28" i="6"/>
  <c r="G28" i="6"/>
  <c r="J28" i="6"/>
  <c r="C31" i="6"/>
  <c r="F31" i="6"/>
  <c r="I31" i="6"/>
  <c r="C32" i="6"/>
  <c r="F32" i="6"/>
  <c r="I32" i="6"/>
  <c r="C33" i="6"/>
  <c r="F33" i="6"/>
  <c r="I33" i="6"/>
  <c r="C35" i="6"/>
  <c r="F35" i="6"/>
  <c r="I35" i="6"/>
  <c r="C36" i="6"/>
  <c r="F36" i="6"/>
  <c r="I36" i="6"/>
</calcChain>
</file>

<file path=xl/sharedStrings.xml><?xml version="1.0" encoding="utf-8"?>
<sst xmlns="http://schemas.openxmlformats.org/spreadsheetml/2006/main" count="125" uniqueCount="52">
  <si>
    <t>-</t>
  </si>
  <si>
    <t>=</t>
  </si>
  <si>
    <t>ICMS</t>
  </si>
  <si>
    <t>COFINS</t>
  </si>
  <si>
    <t>Receita Bruta</t>
  </si>
  <si>
    <t>Receita Líquida</t>
  </si>
  <si>
    <t>Resultado operacional</t>
  </si>
  <si>
    <t>Lucro Real</t>
  </si>
  <si>
    <t>Lucro Líquido</t>
  </si>
  <si>
    <t>Digite nas células em amarelo</t>
  </si>
  <si>
    <t>LALUR</t>
  </si>
  <si>
    <t>Lucro Presumido</t>
  </si>
  <si>
    <t>Base de cálculo do Lucro Presumido IR</t>
  </si>
  <si>
    <t>Base de cálculo do Lucro Presumido CSLL</t>
  </si>
  <si>
    <t>LUCRO REAL</t>
  </si>
  <si>
    <t>LUCRO PRESUMIDO</t>
  </si>
  <si>
    <t>SIMPLES NACIONAL</t>
  </si>
  <si>
    <t>Anexo I - Partilha do Simples Nacional – Comércio</t>
  </si>
  <si>
    <t>Receita Anual</t>
  </si>
  <si>
    <t>IRPJ</t>
  </si>
  <si>
    <t>CSLL</t>
  </si>
  <si>
    <t>PIS/PASEP</t>
  </si>
  <si>
    <t>CPP</t>
  </si>
  <si>
    <t>TOTAL</t>
  </si>
  <si>
    <t>Lucro - Simples</t>
  </si>
  <si>
    <t>COMPARAÇÃO LUCRO REAL X LUCRO PRESUMIDO X SIMPLES NACIONAL NO COMÉRCIO</t>
  </si>
  <si>
    <t>Em 12 meses</t>
  </si>
  <si>
    <t>Margem Bruta</t>
  </si>
  <si>
    <t>Substituição Tributária</t>
  </si>
  <si>
    <t>ICMS - Simples</t>
  </si>
  <si>
    <t>Isenção</t>
  </si>
  <si>
    <t>Receita Mensal</t>
  </si>
  <si>
    <t>ISS</t>
  </si>
  <si>
    <t xml:space="preserve">Anexo III - Partilha do Simples Nacional – Serviços e Locação de Bens Móveis </t>
  </si>
  <si>
    <t xml:space="preserve">COMPARAÇÃO LUCRO REAL X LUCRO PRESUMIDO X SIMPLES NACIONAL  - Serviços e Locação (Anexo III) </t>
  </si>
  <si>
    <t>COMPARAÇÃO LUCRO REAL X LUCRO PRESUMIDO X SIMPLES NACIONAL  - Serviços (Anexo IV)</t>
  </si>
  <si>
    <t xml:space="preserve">Anexo IV - Serviços </t>
  </si>
  <si>
    <t>Ajuda &gt;</t>
  </si>
  <si>
    <t>Atividades &gt;</t>
  </si>
  <si>
    <t xml:space="preserve">Atividades &gt; </t>
  </si>
  <si>
    <t>Atacadista &gt;</t>
  </si>
  <si>
    <t>Para simulação: Digite nas células em amarelo</t>
  </si>
  <si>
    <t>Receita Bruta (Mensal)</t>
  </si>
  <si>
    <t>Em 12 meses (anual)</t>
  </si>
  <si>
    <t>Total</t>
  </si>
  <si>
    <t>TOTAL (*)</t>
  </si>
  <si>
    <t>(*) sem ICMS</t>
  </si>
  <si>
    <t>Encargos Fiscais (anexo I do Simples)</t>
  </si>
  <si>
    <t>Lucro: Simples</t>
  </si>
  <si>
    <t>Encargos Fiscais (Anexo III)</t>
  </si>
  <si>
    <t>Encargos Fiscais (Anexo IV)</t>
  </si>
  <si>
    <t>Receita Bruta Mensal (limite de 200 mil + 20%)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</si>
</sst>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164" formatCode="&quot;R$ &quot;#,##0.00"/>
    <numFmt numFmtId="165" formatCode="&quot;PIS de&quot;\ 0.00%"/>
    <numFmt numFmtId="166" formatCode="&quot;Cofins de&quot;\ 0%"/>
    <numFmt numFmtId="167" formatCode="&quot;Folha Salarial de&quot;\ 0%"/>
    <numFmt numFmtId="168" formatCode="&quot;IR de&quot;\ 0%"/>
    <numFmt numFmtId="169" formatCode="&quot;CSLL de&quot;\ 0%"/>
    <numFmt numFmtId="170" formatCode="&quot;Comércio &gt;&quot;\ 0%"/>
    <numFmt numFmtId="171" formatCode="&quot;Alíquota da CSLL de&quot;\ 0%"/>
    <numFmt numFmtId="172" formatCode="&quot;Alíquota do IR de&quot;\ 0%"/>
    <numFmt numFmtId="173" formatCode="&quot;Redução de Base de cálculo do ICMS =&quot;\ 0.00%"/>
    <numFmt numFmtId="174" formatCode="&quot;Alíquota de&quot;\ 0.00%"/>
    <numFmt numFmtId="175" formatCode="&quot;Adicional de IR se &gt; 20 mil reais&quot;\ 0%"/>
    <numFmt numFmtId="176" formatCode="&quot;ISS de&quot;\ 0%"/>
    <numFmt numFmtId="177" formatCode="&quot;folha salarial =&quot;\ 0.0%"/>
    <numFmt numFmtId="178" formatCode="&quot;encargos sociais = &quot;\ 0.0%"/>
    <numFmt numFmtId="179" formatCode="&quot;despesas diversas =&quot;\ 0.0%"/>
    <numFmt numFmtId="180" formatCode="&quot;Serviços &gt;&quot;\ 0%"/>
    <numFmt numFmtId="181" formatCode="&quot;Custo do Serviço =&quot;\ 0.0%"/>
    <numFmt numFmtId="182" formatCode="&quot;Custo do Serviço  =&quot;\ 0.0%"/>
    <numFmt numFmtId="183" formatCode="&quot;Carga Tributária - Lucro Real&quot;\ &quot;R$ &quot;#,##0.00"/>
    <numFmt numFmtId="184" formatCode="&quot;Carga Tributária- Simples&quot;\ &quot;R$ &quot;#,##0.00"/>
    <numFmt numFmtId="185" formatCode="&quot;Carga Tributária - Lucro Presumido&quot;\ &quot;R$ &quot;#,##0.00"/>
    <numFmt numFmtId="186" formatCode="&quot;Lucro Presumido&quot;\ &quot;R$ &quot;#,##0.00"/>
    <numFmt numFmtId="187" formatCode="&quot;Lucro no Simples&quot;\ &quot;R$ &quot;#,##0.00"/>
    <numFmt numFmtId="188" formatCode="&quot;Lucro Real&quot;\ &quot;R$ &quot;#,##0.00"/>
    <numFmt numFmtId="189" formatCode="&quot;Custo da Mercadoria Vendida =&quot;\ 0.0%"/>
    <numFmt numFmtId="190" formatCode="&quot;Folha pagamento s/ Receita Bruta =&quot;\ 0.0%"/>
    <numFmt numFmtId="191" formatCode="&quot;Despesas diversas s/ Receita Bruta =&quot;\ 0.0%"/>
    <numFmt numFmtId="192" formatCode="&quot;Carga Tributária:  Lucro Real&quot;\ &quot;R$ &quot;#,##0.00"/>
    <numFmt numFmtId="193" formatCode="&quot;Carga Tributária: Lucro Presumido&quot;\ &quot;R$ &quot;#,##0.00"/>
    <numFmt numFmtId="194" formatCode="&quot;Carga Tributária: Simples&quot;\ &quot;R$ &quot;#,##0.00"/>
    <numFmt numFmtId="195" formatCode="&quot;Lucro: no Simples&quot;\ &quot;R$ &quot;#,##0.00"/>
    <numFmt numFmtId="196" formatCode="&quot;Lucro: no Lucro Presumido&quot;\ &quot;R$ &quot;#,##0.00"/>
    <numFmt numFmtId="197" formatCode="&quot;ICMS: Crédito sobre Compras&quot;\ 0%"/>
    <numFmt numFmtId="198" formatCode="&quot;Encargos sociais sobre folha = &quot;\ 0.0%"/>
    <numFmt numFmtId="199" formatCode="&quot;Carga Tributária: Lucro Real&quot;\ &quot;R$ &quot;#,##0.00"/>
    <numFmt numFmtId="200" formatCode="&quot;Carga Tributária:  Lucro Presumido&quot;\ &quot;R$ &quot;#,##0.00"/>
    <numFmt numFmtId="201" formatCode="&quot;Lucro: no Lucro Real&quot;\ &quot;R$ &quot;#,##0.00"/>
    <numFmt numFmtId="202" formatCode="&quot;ICMS sobre Vendas&quot;\ 0%"/>
    <numFmt numFmtId="203" formatCode="&quot;folha salarial = &quot;\ 0.0%"/>
  </numFmts>
  <fonts count="1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8"/>
      <color indexed="10"/>
      <name val="Arial"/>
      <family val="2"/>
    </font>
    <font>
      <b/>
      <sz val="16"/>
      <color indexed="17"/>
      <name val="Arial"/>
      <family val="2"/>
    </font>
    <font>
      <b/>
      <sz val="14"/>
      <color indexed="8"/>
      <name val="Arial"/>
      <family val="2"/>
    </font>
    <font>
      <sz val="7.5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165" fontId="6" fillId="2" borderId="0" xfId="0" applyNumberFormat="1" applyFont="1" applyFill="1" applyBorder="1"/>
    <xf numFmtId="166" fontId="6" fillId="2" borderId="0" xfId="0" applyNumberFormat="1" applyFont="1" applyFill="1" applyBorder="1"/>
    <xf numFmtId="0" fontId="1" fillId="2" borderId="0" xfId="0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/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left"/>
    </xf>
    <xf numFmtId="0" fontId="5" fillId="2" borderId="0" xfId="0" applyFont="1" applyFill="1" applyBorder="1"/>
    <xf numFmtId="0" fontId="0" fillId="2" borderId="0" xfId="0" applyFill="1" applyBorder="1"/>
    <xf numFmtId="0" fontId="7" fillId="2" borderId="0" xfId="0" applyFont="1" applyFill="1" applyBorder="1" applyAlignment="1">
      <alignment horizontal="left"/>
    </xf>
    <xf numFmtId="0" fontId="6" fillId="2" borderId="0" xfId="0" applyFont="1" applyFill="1" applyBorder="1"/>
    <xf numFmtId="164" fontId="6" fillId="2" borderId="0" xfId="0" applyNumberFormat="1" applyFont="1" applyFill="1" applyBorder="1"/>
    <xf numFmtId="0" fontId="6" fillId="2" borderId="0" xfId="0" applyFont="1" applyFill="1" applyBorder="1" applyAlignment="1">
      <alignment horizontal="center"/>
    </xf>
    <xf numFmtId="0" fontId="8" fillId="2" borderId="0" xfId="0" applyFont="1" applyFill="1" applyBorder="1"/>
    <xf numFmtId="164" fontId="6" fillId="2" borderId="0" xfId="0" applyNumberFormat="1" applyFont="1" applyFill="1" applyBorder="1" applyAlignment="1">
      <alignment horizontal="right"/>
    </xf>
    <xf numFmtId="169" fontId="6" fillId="2" borderId="0" xfId="0" applyNumberFormat="1" applyFont="1" applyFill="1" applyBorder="1"/>
    <xf numFmtId="0" fontId="6" fillId="2" borderId="0" xfId="0" applyFont="1" applyFill="1" applyBorder="1" applyAlignment="1">
      <alignment horizontal="right"/>
    </xf>
    <xf numFmtId="168" fontId="6" fillId="2" borderId="0" xfId="0" applyNumberFormat="1" applyFont="1" applyFill="1" applyBorder="1"/>
    <xf numFmtId="0" fontId="8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3" xfId="0" applyNumberFormat="1" applyFont="1" applyFill="1" applyBorder="1"/>
    <xf numFmtId="166" fontId="6" fillId="2" borderId="3" xfId="0" applyNumberFormat="1" applyFont="1" applyFill="1" applyBorder="1"/>
    <xf numFmtId="167" fontId="6" fillId="2" borderId="3" xfId="0" applyNumberFormat="1" applyFont="1" applyFill="1" applyBorder="1"/>
    <xf numFmtId="10" fontId="8" fillId="2" borderId="3" xfId="0" applyNumberFormat="1" applyFont="1" applyFill="1" applyBorder="1"/>
    <xf numFmtId="170" fontId="6" fillId="2" borderId="3" xfId="0" applyNumberFormat="1" applyFont="1" applyFill="1" applyBorder="1"/>
    <xf numFmtId="171" fontId="6" fillId="2" borderId="3" xfId="0" applyNumberFormat="1" applyFont="1" applyFill="1" applyBorder="1"/>
    <xf numFmtId="172" fontId="6" fillId="2" borderId="3" xfId="0" applyNumberFormat="1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8" fillId="2" borderId="1" xfId="0" applyFont="1" applyFill="1" applyBorder="1" applyAlignment="1">
      <alignment horizontal="left"/>
    </xf>
    <xf numFmtId="0" fontId="8" fillId="2" borderId="7" xfId="0" applyFont="1" applyFill="1" applyBorder="1"/>
    <xf numFmtId="164" fontId="6" fillId="2" borderId="2" xfId="0" applyNumberFormat="1" applyFont="1" applyFill="1" applyBorder="1"/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8" xfId="0" applyFont="1" applyFill="1" applyBorder="1"/>
    <xf numFmtId="164" fontId="6" fillId="2" borderId="6" xfId="0" applyNumberFormat="1" applyFont="1" applyFill="1" applyBorder="1"/>
    <xf numFmtId="0" fontId="8" fillId="2" borderId="3" xfId="0" applyFont="1" applyFill="1" applyBorder="1"/>
    <xf numFmtId="174" fontId="6" fillId="2" borderId="3" xfId="0" applyNumberFormat="1" applyFont="1" applyFill="1" applyBorder="1"/>
    <xf numFmtId="164" fontId="9" fillId="2" borderId="0" xfId="0" applyNumberFormat="1" applyFont="1" applyFill="1" applyBorder="1" applyAlignment="1">
      <alignment horizontal="left"/>
    </xf>
    <xf numFmtId="164" fontId="6" fillId="3" borderId="9" xfId="0" applyNumberFormat="1" applyFont="1" applyFill="1" applyBorder="1" applyProtection="1">
      <protection locked="0"/>
    </xf>
    <xf numFmtId="164" fontId="8" fillId="2" borderId="4" xfId="0" applyNumberFormat="1" applyFont="1" applyFill="1" applyBorder="1"/>
    <xf numFmtId="175" fontId="6" fillId="2" borderId="3" xfId="0" applyNumberFormat="1" applyFont="1" applyFill="1" applyBorder="1"/>
    <xf numFmtId="0" fontId="6" fillId="3" borderId="9" xfId="0" applyFont="1" applyFill="1" applyBorder="1" applyProtection="1">
      <protection locked="0"/>
    </xf>
    <xf numFmtId="176" fontId="6" fillId="3" borderId="9" xfId="0" applyNumberFormat="1" applyFont="1" applyFill="1" applyBorder="1" applyProtection="1">
      <protection locked="0"/>
    </xf>
    <xf numFmtId="176" fontId="6" fillId="2" borderId="3" xfId="0" applyNumberFormat="1" applyFont="1" applyFill="1" applyBorder="1"/>
    <xf numFmtId="175" fontId="6" fillId="2" borderId="0" xfId="0" applyNumberFormat="1" applyFont="1" applyFill="1" applyBorder="1"/>
    <xf numFmtId="10" fontId="1" fillId="2" borderId="0" xfId="0" applyNumberFormat="1" applyFont="1" applyFill="1" applyBorder="1"/>
    <xf numFmtId="177" fontId="6" fillId="3" borderId="9" xfId="0" applyNumberFormat="1" applyFont="1" applyFill="1" applyBorder="1" applyProtection="1">
      <protection locked="0"/>
    </xf>
    <xf numFmtId="178" fontId="6" fillId="3" borderId="9" xfId="0" applyNumberFormat="1" applyFont="1" applyFill="1" applyBorder="1" applyProtection="1">
      <protection locked="0"/>
    </xf>
    <xf numFmtId="179" fontId="6" fillId="3" borderId="9" xfId="0" applyNumberFormat="1" applyFont="1" applyFill="1" applyBorder="1" applyAlignment="1" applyProtection="1">
      <alignment horizontal="right"/>
      <protection locked="0"/>
    </xf>
    <xf numFmtId="177" fontId="6" fillId="2" borderId="3" xfId="0" applyNumberFormat="1" applyFont="1" applyFill="1" applyBorder="1"/>
    <xf numFmtId="178" fontId="6" fillId="2" borderId="3" xfId="0" applyNumberFormat="1" applyFont="1" applyFill="1" applyBorder="1"/>
    <xf numFmtId="179" fontId="6" fillId="2" borderId="3" xfId="0" applyNumberFormat="1" applyFont="1" applyFill="1" applyBorder="1" applyAlignment="1">
      <alignment horizontal="right"/>
    </xf>
    <xf numFmtId="164" fontId="10" fillId="2" borderId="0" xfId="0" applyNumberFormat="1" applyFont="1" applyFill="1" applyBorder="1" applyAlignment="1">
      <alignment horizontal="left"/>
    </xf>
    <xf numFmtId="180" fontId="6" fillId="2" borderId="3" xfId="0" applyNumberFormat="1" applyFont="1" applyFill="1" applyBorder="1"/>
    <xf numFmtId="0" fontId="11" fillId="2" borderId="0" xfId="0" applyFont="1" applyFill="1" applyBorder="1"/>
    <xf numFmtId="181" fontId="6" fillId="3" borderId="9" xfId="0" applyNumberFormat="1" applyFont="1" applyFill="1" applyBorder="1" applyProtection="1">
      <protection locked="0"/>
    </xf>
    <xf numFmtId="182" fontId="6" fillId="3" borderId="9" xfId="0" applyNumberFormat="1" applyFont="1" applyFill="1" applyBorder="1" applyProtection="1">
      <protection locked="0"/>
    </xf>
    <xf numFmtId="183" fontId="6" fillId="2" borderId="10" xfId="0" applyNumberFormat="1" applyFont="1" applyFill="1" applyBorder="1"/>
    <xf numFmtId="185" fontId="6" fillId="2" borderId="11" xfId="0" applyNumberFormat="1" applyFont="1" applyFill="1" applyBorder="1"/>
    <xf numFmtId="184" fontId="6" fillId="2" borderId="12" xfId="0" applyNumberFormat="1" applyFont="1" applyFill="1" applyBorder="1"/>
    <xf numFmtId="186" fontId="6" fillId="2" borderId="10" xfId="0" applyNumberFormat="1" applyFont="1" applyFill="1" applyBorder="1"/>
    <xf numFmtId="187" fontId="6" fillId="2" borderId="12" xfId="0" applyNumberFormat="1" applyFont="1" applyFill="1" applyBorder="1"/>
    <xf numFmtId="188" fontId="6" fillId="2" borderId="10" xfId="0" applyNumberFormat="1" applyFont="1" applyFill="1" applyBorder="1"/>
    <xf numFmtId="188" fontId="6" fillId="2" borderId="12" xfId="0" applyNumberFormat="1" applyFont="1" applyFill="1" applyBorder="1"/>
    <xf numFmtId="181" fontId="6" fillId="2" borderId="3" xfId="0" applyNumberFormat="1" applyFont="1" applyFill="1" applyBorder="1"/>
    <xf numFmtId="49" fontId="7" fillId="2" borderId="0" xfId="0" applyNumberFormat="1" applyFont="1" applyFill="1" applyBorder="1" applyAlignment="1">
      <alignment horizontal="left"/>
    </xf>
    <xf numFmtId="189" fontId="6" fillId="3" borderId="9" xfId="0" applyNumberFormat="1" applyFont="1" applyFill="1" applyBorder="1" applyProtection="1">
      <protection locked="0"/>
    </xf>
    <xf numFmtId="190" fontId="6" fillId="3" borderId="9" xfId="0" applyNumberFormat="1" applyFont="1" applyFill="1" applyBorder="1" applyProtection="1">
      <protection locked="0"/>
    </xf>
    <xf numFmtId="191" fontId="6" fillId="3" borderId="9" xfId="0" applyNumberFormat="1" applyFont="1" applyFill="1" applyBorder="1" applyAlignment="1" applyProtection="1">
      <alignment horizontal="right"/>
      <protection locked="0"/>
    </xf>
    <xf numFmtId="197" fontId="6" fillId="3" borderId="9" xfId="0" applyNumberFormat="1" applyFont="1" applyFill="1" applyBorder="1" applyProtection="1">
      <protection locked="0"/>
    </xf>
    <xf numFmtId="198" fontId="6" fillId="3" borderId="9" xfId="0" applyNumberFormat="1" applyFont="1" applyFill="1" applyBorder="1" applyProtection="1">
      <protection locked="0"/>
    </xf>
    <xf numFmtId="190" fontId="6" fillId="2" borderId="3" xfId="0" applyNumberFormat="1" applyFont="1" applyFill="1" applyBorder="1"/>
    <xf numFmtId="198" fontId="6" fillId="2" borderId="3" xfId="0" applyNumberFormat="1" applyFont="1" applyFill="1" applyBorder="1" applyAlignment="1">
      <alignment wrapText="1"/>
    </xf>
    <xf numFmtId="191" fontId="6" fillId="2" borderId="3" xfId="0" applyNumberFormat="1" applyFont="1" applyFill="1" applyBorder="1" applyAlignment="1">
      <alignment horizontal="right"/>
    </xf>
    <xf numFmtId="189" fontId="6" fillId="2" borderId="3" xfId="0" applyNumberFormat="1" applyFont="1" applyFill="1" applyBorder="1"/>
    <xf numFmtId="202" fontId="6" fillId="2" borderId="3" xfId="0" applyNumberFormat="1" applyFont="1" applyFill="1" applyBorder="1"/>
    <xf numFmtId="202" fontId="6" fillId="3" borderId="9" xfId="0" applyNumberFormat="1" applyFont="1" applyFill="1" applyBorder="1" applyProtection="1">
      <protection locked="0"/>
    </xf>
    <xf numFmtId="197" fontId="6" fillId="2" borderId="3" xfId="0" applyNumberFormat="1" applyFont="1" applyFill="1" applyBorder="1"/>
    <xf numFmtId="164" fontId="2" fillId="2" borderId="9" xfId="0" applyNumberFormat="1" applyFont="1" applyFill="1" applyBorder="1" applyAlignment="1">
      <alignment horizontal="left"/>
    </xf>
    <xf numFmtId="0" fontId="1" fillId="2" borderId="9" xfId="1" applyFont="1" applyFill="1" applyBorder="1" applyAlignment="1" applyProtection="1">
      <alignment horizontal="center" wrapText="1"/>
    </xf>
    <xf numFmtId="10" fontId="1" fillId="2" borderId="9" xfId="0" applyNumberFormat="1" applyFont="1" applyFill="1" applyBorder="1" applyAlignment="1">
      <alignment horizontal="center"/>
    </xf>
    <xf numFmtId="10" fontId="2" fillId="2" borderId="9" xfId="0" applyNumberFormat="1" applyFont="1" applyFill="1" applyBorder="1"/>
    <xf numFmtId="10" fontId="2" fillId="2" borderId="9" xfId="1" applyNumberFormat="1" applyFont="1" applyFill="1" applyBorder="1" applyAlignment="1" applyProtection="1">
      <alignment horizontal="center" wrapText="1"/>
    </xf>
    <xf numFmtId="164" fontId="2" fillId="2" borderId="9" xfId="0" applyNumberFormat="1" applyFont="1" applyFill="1" applyBorder="1" applyAlignment="1">
      <alignment horizontal="center"/>
    </xf>
    <xf numFmtId="194" fontId="6" fillId="2" borderId="9" xfId="0" applyNumberFormat="1" applyFont="1" applyFill="1" applyBorder="1"/>
    <xf numFmtId="199" fontId="6" fillId="2" borderId="9" xfId="0" applyNumberFormat="1" applyFont="1" applyFill="1" applyBorder="1"/>
    <xf numFmtId="193" fontId="6" fillId="2" borderId="9" xfId="0" applyNumberFormat="1" applyFont="1" applyFill="1" applyBorder="1"/>
    <xf numFmtId="196" fontId="6" fillId="2" borderId="9" xfId="0" applyNumberFormat="1" applyFont="1" applyFill="1" applyBorder="1"/>
    <xf numFmtId="201" fontId="6" fillId="2" borderId="9" xfId="0" applyNumberFormat="1" applyFont="1" applyFill="1" applyBorder="1"/>
    <xf numFmtId="200" fontId="8" fillId="2" borderId="9" xfId="0" applyNumberFormat="1" applyFont="1" applyFill="1" applyBorder="1"/>
    <xf numFmtId="192" fontId="6" fillId="2" borderId="9" xfId="0" applyNumberFormat="1" applyFont="1" applyFill="1" applyBorder="1"/>
    <xf numFmtId="194" fontId="8" fillId="2" borderId="9" xfId="0" applyNumberFormat="1" applyFont="1" applyFill="1" applyBorder="1"/>
    <xf numFmtId="195" fontId="6" fillId="2" borderId="9" xfId="0" applyNumberFormat="1" applyFont="1" applyFill="1" applyBorder="1"/>
    <xf numFmtId="192" fontId="8" fillId="2" borderId="9" xfId="0" applyNumberFormat="1" applyFont="1" applyFill="1" applyBorder="1"/>
    <xf numFmtId="183" fontId="8" fillId="2" borderId="10" xfId="0" applyNumberFormat="1" applyFont="1" applyFill="1" applyBorder="1"/>
    <xf numFmtId="185" fontId="8" fillId="2" borderId="11" xfId="0" applyNumberFormat="1" applyFont="1" applyFill="1" applyBorder="1"/>
    <xf numFmtId="184" fontId="8" fillId="2" borderId="12" xfId="0" applyNumberFormat="1" applyFont="1" applyFill="1" applyBorder="1"/>
    <xf numFmtId="164" fontId="1" fillId="2" borderId="9" xfId="0" applyNumberFormat="1" applyFont="1" applyFill="1" applyBorder="1" applyAlignment="1">
      <alignment horizontal="left"/>
    </xf>
    <xf numFmtId="0" fontId="1" fillId="2" borderId="9" xfId="0" applyFont="1" applyFill="1" applyBorder="1"/>
    <xf numFmtId="0" fontId="2" fillId="2" borderId="9" xfId="0" applyFont="1" applyFill="1" applyBorder="1"/>
    <xf numFmtId="0" fontId="1" fillId="2" borderId="9" xfId="0" applyFont="1" applyFill="1" applyBorder="1" applyAlignment="1">
      <alignment horizontal="center"/>
    </xf>
    <xf numFmtId="10" fontId="1" fillId="2" borderId="9" xfId="0" applyNumberFormat="1" applyFont="1" applyFill="1" applyBorder="1"/>
    <xf numFmtId="10" fontId="0" fillId="0" borderId="0" xfId="0" applyNumberFormat="1"/>
    <xf numFmtId="10" fontId="12" fillId="0" borderId="13" xfId="0" applyNumberFormat="1" applyFont="1" applyBorder="1" applyAlignment="1">
      <alignment horizontal="center" wrapText="1"/>
    </xf>
    <xf numFmtId="203" fontId="6" fillId="2" borderId="3" xfId="0" applyNumberFormat="1" applyFont="1" applyFill="1" applyBorder="1"/>
    <xf numFmtId="173" fontId="1" fillId="2" borderId="9" xfId="0" applyNumberFormat="1" applyFont="1" applyFill="1" applyBorder="1" applyAlignment="1">
      <alignment horizontal="left"/>
    </xf>
    <xf numFmtId="0" fontId="3" fillId="0" borderId="9" xfId="0" applyFont="1" applyBorder="1" applyAlignme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 /><Relationship Id="rId1" Type="http://schemas.openxmlformats.org/officeDocument/2006/relationships/image" Target="../media/image1.emf" 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 /><Relationship Id="rId1" Type="http://schemas.openxmlformats.org/officeDocument/2006/relationships/image" Target="../media/image3.emf" 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 /><Relationship Id="rId1" Type="http://schemas.openxmlformats.org/officeDocument/2006/relationships/image" Target="../media/image4.emf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847725</xdr:colOff>
          <xdr:row>2</xdr:row>
          <xdr:rowOff>0</xdr:rowOff>
        </xdr:from>
        <xdr:to>
          <xdr:col>5</xdr:col>
          <xdr:colOff>1152525</xdr:colOff>
          <xdr:row>3</xdr:row>
          <xdr:rowOff>38100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98001898-8181-48CE-BB1A-CD4905BAA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685800</xdr:colOff>
          <xdr:row>1</xdr:row>
          <xdr:rowOff>123825</xdr:rowOff>
        </xdr:from>
        <xdr:to>
          <xdr:col>9</xdr:col>
          <xdr:colOff>1019175</xdr:colOff>
          <xdr:row>2</xdr:row>
          <xdr:rowOff>180975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C6F1D956-AA78-402F-A35E-89541AB935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4</xdr:row>
          <xdr:rowOff>0</xdr:rowOff>
        </xdr:from>
        <xdr:to>
          <xdr:col>7</xdr:col>
          <xdr:colOff>38100</xdr:colOff>
          <xdr:row>5</xdr:row>
          <xdr:rowOff>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B94801EE-A3DF-45DA-8778-7BCF147E4B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733425</xdr:colOff>
          <xdr:row>3</xdr:row>
          <xdr:rowOff>123825</xdr:rowOff>
        </xdr:from>
        <xdr:to>
          <xdr:col>9</xdr:col>
          <xdr:colOff>1066800</xdr:colOff>
          <xdr:row>4</xdr:row>
          <xdr:rowOff>180975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9D260E6B-D9AD-403E-B7EB-85017AD7D4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781050</xdr:colOff>
          <xdr:row>3</xdr:row>
          <xdr:rowOff>180975</xdr:rowOff>
        </xdr:from>
        <xdr:to>
          <xdr:col>7</xdr:col>
          <xdr:colOff>57150</xdr:colOff>
          <xdr:row>4</xdr:row>
          <xdr:rowOff>180975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96257BB7-DBE2-46A3-A3AF-BBFB3837B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771525</xdr:colOff>
          <xdr:row>3</xdr:row>
          <xdr:rowOff>142875</xdr:rowOff>
        </xdr:from>
        <xdr:to>
          <xdr:col>9</xdr:col>
          <xdr:colOff>1104900</xdr:colOff>
          <xdr:row>5</xdr:row>
          <xdr:rowOff>9525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33747891-1C65-432F-B759-083A5ABC78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 /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Relationship Id="rId6" Type="http://schemas.openxmlformats.org/officeDocument/2006/relationships/image" Target="../media/image2.emf" /><Relationship Id="rId5" Type="http://schemas.openxmlformats.org/officeDocument/2006/relationships/oleObject" Target="../embeddings/oleObject2.bin" /><Relationship Id="rId4" Type="http://schemas.openxmlformats.org/officeDocument/2006/relationships/image" Target="../media/image1.emf" 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planalto.gov.br/ccivil_03/Leis/LCP/Lcp128.htm" TargetMode="External" /><Relationship Id="rId117" Type="http://schemas.openxmlformats.org/officeDocument/2006/relationships/hyperlink" Target="http://www.planalto.gov.br/ccivil_03/Leis/LCP/Lcp128.htm" TargetMode="External" /><Relationship Id="rId21" Type="http://schemas.openxmlformats.org/officeDocument/2006/relationships/hyperlink" Target="http://www.planalto.gov.br/ccivil_03/Leis/LCP/Lcp128.htm" TargetMode="External" /><Relationship Id="rId42" Type="http://schemas.openxmlformats.org/officeDocument/2006/relationships/hyperlink" Target="http://www.planalto.gov.br/ccivil_03/Leis/LCP/Lcp128.htm" TargetMode="External" /><Relationship Id="rId47" Type="http://schemas.openxmlformats.org/officeDocument/2006/relationships/hyperlink" Target="http://www.planalto.gov.br/ccivil_03/Leis/LCP/Lcp128.htm" TargetMode="External" /><Relationship Id="rId63" Type="http://schemas.openxmlformats.org/officeDocument/2006/relationships/hyperlink" Target="http://www.planalto.gov.br/ccivil_03/Leis/LCP/Lcp128.htm" TargetMode="External" /><Relationship Id="rId68" Type="http://schemas.openxmlformats.org/officeDocument/2006/relationships/hyperlink" Target="http://www.planalto.gov.br/ccivil_03/Leis/LCP/Lcp128.htm" TargetMode="External" /><Relationship Id="rId84" Type="http://schemas.openxmlformats.org/officeDocument/2006/relationships/hyperlink" Target="http://www.planalto.gov.br/ccivil_03/Leis/LCP/Lcp128.htm" TargetMode="External" /><Relationship Id="rId89" Type="http://schemas.openxmlformats.org/officeDocument/2006/relationships/hyperlink" Target="http://www.planalto.gov.br/ccivil_03/Leis/LCP/Lcp128.htm" TargetMode="External" /><Relationship Id="rId112" Type="http://schemas.openxmlformats.org/officeDocument/2006/relationships/hyperlink" Target="http://www.planalto.gov.br/ccivil_03/Leis/LCP/Lcp128.htm" TargetMode="External" /><Relationship Id="rId16" Type="http://schemas.openxmlformats.org/officeDocument/2006/relationships/hyperlink" Target="http://www.planalto.gov.br/ccivil_03/Leis/LCP/Lcp128.htm" TargetMode="External" /><Relationship Id="rId107" Type="http://schemas.openxmlformats.org/officeDocument/2006/relationships/hyperlink" Target="http://www.planalto.gov.br/ccivil_03/Leis/LCP/Lcp128.htm" TargetMode="External" /><Relationship Id="rId11" Type="http://schemas.openxmlformats.org/officeDocument/2006/relationships/hyperlink" Target="http://www.planalto.gov.br/ccivil_03/Leis/LCP/Lcp128.htm" TargetMode="External" /><Relationship Id="rId32" Type="http://schemas.openxmlformats.org/officeDocument/2006/relationships/hyperlink" Target="http://www.planalto.gov.br/ccivil_03/Leis/LCP/Lcp128.htm" TargetMode="External" /><Relationship Id="rId37" Type="http://schemas.openxmlformats.org/officeDocument/2006/relationships/hyperlink" Target="http://www.planalto.gov.br/ccivil_03/Leis/LCP/Lcp128.htm" TargetMode="External" /><Relationship Id="rId53" Type="http://schemas.openxmlformats.org/officeDocument/2006/relationships/hyperlink" Target="http://www.planalto.gov.br/ccivil_03/Leis/LCP/Lcp128.htm" TargetMode="External" /><Relationship Id="rId58" Type="http://schemas.openxmlformats.org/officeDocument/2006/relationships/hyperlink" Target="http://www.planalto.gov.br/ccivil_03/Leis/LCP/Lcp128.htm" TargetMode="External" /><Relationship Id="rId74" Type="http://schemas.openxmlformats.org/officeDocument/2006/relationships/hyperlink" Target="http://www.planalto.gov.br/ccivil_03/Leis/LCP/Lcp128.htm" TargetMode="External" /><Relationship Id="rId79" Type="http://schemas.openxmlformats.org/officeDocument/2006/relationships/hyperlink" Target="http://www.planalto.gov.br/ccivil_03/Leis/LCP/Lcp128.htm" TargetMode="External" /><Relationship Id="rId102" Type="http://schemas.openxmlformats.org/officeDocument/2006/relationships/hyperlink" Target="http://www.planalto.gov.br/ccivil_03/Leis/LCP/Lcp128.htm" TargetMode="External" /><Relationship Id="rId123" Type="http://schemas.openxmlformats.org/officeDocument/2006/relationships/hyperlink" Target="http://www.planalto.gov.br/ccivil_03/Leis/LCP/Lcp128.htm" TargetMode="External" /><Relationship Id="rId5" Type="http://schemas.openxmlformats.org/officeDocument/2006/relationships/hyperlink" Target="http://www.planalto.gov.br/ccivil_03/Leis/LCP/Lcp128.htm" TargetMode="External" /><Relationship Id="rId61" Type="http://schemas.openxmlformats.org/officeDocument/2006/relationships/hyperlink" Target="http://www.planalto.gov.br/ccivil_03/Leis/LCP/Lcp128.htm" TargetMode="External" /><Relationship Id="rId82" Type="http://schemas.openxmlformats.org/officeDocument/2006/relationships/hyperlink" Target="http://www.planalto.gov.br/ccivil_03/Leis/LCP/Lcp128.htm" TargetMode="External" /><Relationship Id="rId90" Type="http://schemas.openxmlformats.org/officeDocument/2006/relationships/hyperlink" Target="http://www.planalto.gov.br/ccivil_03/Leis/LCP/Lcp128.htm" TargetMode="External" /><Relationship Id="rId95" Type="http://schemas.openxmlformats.org/officeDocument/2006/relationships/hyperlink" Target="http://www.planalto.gov.br/ccivil_03/Leis/LCP/Lcp128.htm" TargetMode="External" /><Relationship Id="rId19" Type="http://schemas.openxmlformats.org/officeDocument/2006/relationships/hyperlink" Target="http://www.planalto.gov.br/ccivil_03/Leis/LCP/Lcp128.htm" TargetMode="External" /><Relationship Id="rId14" Type="http://schemas.openxmlformats.org/officeDocument/2006/relationships/hyperlink" Target="http://www.planalto.gov.br/ccivil_03/Leis/LCP/Lcp128.htm" TargetMode="External" /><Relationship Id="rId22" Type="http://schemas.openxmlformats.org/officeDocument/2006/relationships/hyperlink" Target="http://www.planalto.gov.br/ccivil_03/Leis/LCP/Lcp128.htm" TargetMode="External" /><Relationship Id="rId27" Type="http://schemas.openxmlformats.org/officeDocument/2006/relationships/hyperlink" Target="http://www.planalto.gov.br/ccivil_03/Leis/LCP/Lcp128.htm" TargetMode="External" /><Relationship Id="rId30" Type="http://schemas.openxmlformats.org/officeDocument/2006/relationships/hyperlink" Target="http://www.planalto.gov.br/ccivil_03/Leis/LCP/Lcp128.htm" TargetMode="External" /><Relationship Id="rId35" Type="http://schemas.openxmlformats.org/officeDocument/2006/relationships/hyperlink" Target="http://www.planalto.gov.br/ccivil_03/Leis/LCP/Lcp128.htm" TargetMode="External" /><Relationship Id="rId43" Type="http://schemas.openxmlformats.org/officeDocument/2006/relationships/hyperlink" Target="http://www.planalto.gov.br/ccivil_03/Leis/LCP/Lcp128.htm" TargetMode="External" /><Relationship Id="rId48" Type="http://schemas.openxmlformats.org/officeDocument/2006/relationships/hyperlink" Target="http://www.planalto.gov.br/ccivil_03/Leis/LCP/Lcp128.htm" TargetMode="External" /><Relationship Id="rId56" Type="http://schemas.openxmlformats.org/officeDocument/2006/relationships/hyperlink" Target="http://www.planalto.gov.br/ccivil_03/Leis/LCP/Lcp128.htm" TargetMode="External" /><Relationship Id="rId64" Type="http://schemas.openxmlformats.org/officeDocument/2006/relationships/hyperlink" Target="http://www.planalto.gov.br/ccivil_03/Leis/LCP/Lcp128.htm" TargetMode="External" /><Relationship Id="rId69" Type="http://schemas.openxmlformats.org/officeDocument/2006/relationships/hyperlink" Target="http://www.planalto.gov.br/ccivil_03/Leis/LCP/Lcp128.htm" TargetMode="External" /><Relationship Id="rId77" Type="http://schemas.openxmlformats.org/officeDocument/2006/relationships/hyperlink" Target="http://www.planalto.gov.br/ccivil_03/Leis/LCP/Lcp128.htm" TargetMode="External" /><Relationship Id="rId100" Type="http://schemas.openxmlformats.org/officeDocument/2006/relationships/hyperlink" Target="http://www.planalto.gov.br/ccivil_03/Leis/LCP/Lcp128.htm" TargetMode="External" /><Relationship Id="rId105" Type="http://schemas.openxmlformats.org/officeDocument/2006/relationships/hyperlink" Target="http://www.planalto.gov.br/ccivil_03/Leis/LCP/Lcp128.htm" TargetMode="External" /><Relationship Id="rId113" Type="http://schemas.openxmlformats.org/officeDocument/2006/relationships/hyperlink" Target="http://www.planalto.gov.br/ccivil_03/Leis/LCP/Lcp128.htm" TargetMode="External" /><Relationship Id="rId118" Type="http://schemas.openxmlformats.org/officeDocument/2006/relationships/hyperlink" Target="http://www.planalto.gov.br/ccivil_03/Leis/LCP/Lcp128.htm" TargetMode="External" /><Relationship Id="rId126" Type="http://schemas.openxmlformats.org/officeDocument/2006/relationships/hyperlink" Target="http://www.planalto.gov.br/ccivil_03/Leis/LCP/Lcp128.htm" TargetMode="External" /><Relationship Id="rId8" Type="http://schemas.openxmlformats.org/officeDocument/2006/relationships/hyperlink" Target="http://www.planalto.gov.br/ccivil_03/Leis/LCP/Lcp128.htm" TargetMode="External" /><Relationship Id="rId51" Type="http://schemas.openxmlformats.org/officeDocument/2006/relationships/hyperlink" Target="http://www.planalto.gov.br/ccivil_03/Leis/LCP/Lcp128.htm" TargetMode="External" /><Relationship Id="rId72" Type="http://schemas.openxmlformats.org/officeDocument/2006/relationships/hyperlink" Target="http://www.planalto.gov.br/ccivil_03/Leis/LCP/Lcp128.htm" TargetMode="External" /><Relationship Id="rId80" Type="http://schemas.openxmlformats.org/officeDocument/2006/relationships/hyperlink" Target="http://www.planalto.gov.br/ccivil_03/Leis/LCP/Lcp128.htm" TargetMode="External" /><Relationship Id="rId85" Type="http://schemas.openxmlformats.org/officeDocument/2006/relationships/hyperlink" Target="http://www.planalto.gov.br/ccivil_03/Leis/LCP/Lcp128.htm" TargetMode="External" /><Relationship Id="rId93" Type="http://schemas.openxmlformats.org/officeDocument/2006/relationships/hyperlink" Target="http://www.planalto.gov.br/ccivil_03/Leis/LCP/Lcp128.htm" TargetMode="External" /><Relationship Id="rId98" Type="http://schemas.openxmlformats.org/officeDocument/2006/relationships/hyperlink" Target="http://www.planalto.gov.br/ccivil_03/Leis/LCP/Lcp128.htm" TargetMode="External" /><Relationship Id="rId121" Type="http://schemas.openxmlformats.org/officeDocument/2006/relationships/hyperlink" Target="http://www.planalto.gov.br/ccivil_03/Leis/LCP/Lcp128.htm" TargetMode="External" /><Relationship Id="rId3" Type="http://schemas.openxmlformats.org/officeDocument/2006/relationships/hyperlink" Target="http://www.planalto.gov.br/ccivil_03/Leis/LCP/Lcp128.htm" TargetMode="External" /><Relationship Id="rId12" Type="http://schemas.openxmlformats.org/officeDocument/2006/relationships/hyperlink" Target="http://www.planalto.gov.br/ccivil_03/Leis/LCP/Lcp128.htm" TargetMode="External" /><Relationship Id="rId17" Type="http://schemas.openxmlformats.org/officeDocument/2006/relationships/hyperlink" Target="http://www.planalto.gov.br/ccivil_03/Leis/LCP/Lcp128.htm" TargetMode="External" /><Relationship Id="rId25" Type="http://schemas.openxmlformats.org/officeDocument/2006/relationships/hyperlink" Target="http://www.planalto.gov.br/ccivil_03/Leis/LCP/Lcp128.htm" TargetMode="External" /><Relationship Id="rId33" Type="http://schemas.openxmlformats.org/officeDocument/2006/relationships/hyperlink" Target="http://www.planalto.gov.br/ccivil_03/Leis/LCP/Lcp128.htm" TargetMode="External" /><Relationship Id="rId38" Type="http://schemas.openxmlformats.org/officeDocument/2006/relationships/hyperlink" Target="http://www.planalto.gov.br/ccivil_03/Leis/LCP/Lcp128.htm" TargetMode="External" /><Relationship Id="rId46" Type="http://schemas.openxmlformats.org/officeDocument/2006/relationships/hyperlink" Target="http://www.planalto.gov.br/ccivil_03/Leis/LCP/Lcp128.htm" TargetMode="External" /><Relationship Id="rId59" Type="http://schemas.openxmlformats.org/officeDocument/2006/relationships/hyperlink" Target="http://www.planalto.gov.br/ccivil_03/Leis/LCP/Lcp128.htm" TargetMode="External" /><Relationship Id="rId67" Type="http://schemas.openxmlformats.org/officeDocument/2006/relationships/hyperlink" Target="http://www.planalto.gov.br/ccivil_03/Leis/LCP/Lcp128.htm" TargetMode="External" /><Relationship Id="rId103" Type="http://schemas.openxmlformats.org/officeDocument/2006/relationships/hyperlink" Target="http://www.planalto.gov.br/ccivil_03/Leis/LCP/Lcp128.htm" TargetMode="External" /><Relationship Id="rId108" Type="http://schemas.openxmlformats.org/officeDocument/2006/relationships/hyperlink" Target="http://www.planalto.gov.br/ccivil_03/Leis/LCP/Lcp128.htm" TargetMode="External" /><Relationship Id="rId116" Type="http://schemas.openxmlformats.org/officeDocument/2006/relationships/hyperlink" Target="http://www.planalto.gov.br/ccivil_03/Leis/LCP/Lcp128.htm" TargetMode="External" /><Relationship Id="rId124" Type="http://schemas.openxmlformats.org/officeDocument/2006/relationships/hyperlink" Target="http://www.planalto.gov.br/ccivil_03/Leis/LCP/Lcp128.htm" TargetMode="External" /><Relationship Id="rId20" Type="http://schemas.openxmlformats.org/officeDocument/2006/relationships/hyperlink" Target="http://www.planalto.gov.br/ccivil_03/Leis/LCP/Lcp128.htm" TargetMode="External" /><Relationship Id="rId41" Type="http://schemas.openxmlformats.org/officeDocument/2006/relationships/hyperlink" Target="http://www.planalto.gov.br/ccivil_03/Leis/LCP/Lcp128.htm" TargetMode="External" /><Relationship Id="rId54" Type="http://schemas.openxmlformats.org/officeDocument/2006/relationships/hyperlink" Target="http://www.planalto.gov.br/ccivil_03/Leis/LCP/Lcp128.htm" TargetMode="External" /><Relationship Id="rId62" Type="http://schemas.openxmlformats.org/officeDocument/2006/relationships/hyperlink" Target="http://www.planalto.gov.br/ccivil_03/Leis/LCP/Lcp128.htm" TargetMode="External" /><Relationship Id="rId70" Type="http://schemas.openxmlformats.org/officeDocument/2006/relationships/hyperlink" Target="http://www.planalto.gov.br/ccivil_03/Leis/LCP/Lcp128.htm" TargetMode="External" /><Relationship Id="rId75" Type="http://schemas.openxmlformats.org/officeDocument/2006/relationships/hyperlink" Target="http://www.planalto.gov.br/ccivil_03/Leis/LCP/Lcp128.htm" TargetMode="External" /><Relationship Id="rId83" Type="http://schemas.openxmlformats.org/officeDocument/2006/relationships/hyperlink" Target="http://www.planalto.gov.br/ccivil_03/Leis/LCP/Lcp128.htm" TargetMode="External" /><Relationship Id="rId88" Type="http://schemas.openxmlformats.org/officeDocument/2006/relationships/hyperlink" Target="http://www.planalto.gov.br/ccivil_03/Leis/LCP/Lcp128.htm" TargetMode="External" /><Relationship Id="rId91" Type="http://schemas.openxmlformats.org/officeDocument/2006/relationships/hyperlink" Target="http://www.planalto.gov.br/ccivil_03/Leis/LCP/Lcp128.htm" TargetMode="External" /><Relationship Id="rId96" Type="http://schemas.openxmlformats.org/officeDocument/2006/relationships/hyperlink" Target="http://www.planalto.gov.br/ccivil_03/Leis/LCP/Lcp128.htm" TargetMode="External" /><Relationship Id="rId111" Type="http://schemas.openxmlformats.org/officeDocument/2006/relationships/hyperlink" Target="http://www.planalto.gov.br/ccivil_03/Leis/LCP/Lcp128.htm" TargetMode="External" /><Relationship Id="rId1" Type="http://schemas.openxmlformats.org/officeDocument/2006/relationships/hyperlink" Target="http://www.planalto.gov.br/ccivil_03/Leis/LCP/Lcp128.htm" TargetMode="External" /><Relationship Id="rId6" Type="http://schemas.openxmlformats.org/officeDocument/2006/relationships/hyperlink" Target="http://www.planalto.gov.br/ccivil_03/Leis/LCP/Lcp128.htm" TargetMode="External" /><Relationship Id="rId15" Type="http://schemas.openxmlformats.org/officeDocument/2006/relationships/hyperlink" Target="http://www.planalto.gov.br/ccivil_03/Leis/LCP/Lcp128.htm" TargetMode="External" /><Relationship Id="rId23" Type="http://schemas.openxmlformats.org/officeDocument/2006/relationships/hyperlink" Target="http://www.planalto.gov.br/ccivil_03/Leis/LCP/Lcp128.htm" TargetMode="External" /><Relationship Id="rId28" Type="http://schemas.openxmlformats.org/officeDocument/2006/relationships/hyperlink" Target="http://www.planalto.gov.br/ccivil_03/Leis/LCP/Lcp128.htm" TargetMode="External" /><Relationship Id="rId36" Type="http://schemas.openxmlformats.org/officeDocument/2006/relationships/hyperlink" Target="http://www.planalto.gov.br/ccivil_03/Leis/LCP/Lcp128.htm" TargetMode="External" /><Relationship Id="rId49" Type="http://schemas.openxmlformats.org/officeDocument/2006/relationships/hyperlink" Target="http://www.planalto.gov.br/ccivil_03/Leis/LCP/Lcp128.htm" TargetMode="External" /><Relationship Id="rId57" Type="http://schemas.openxmlformats.org/officeDocument/2006/relationships/hyperlink" Target="http://www.planalto.gov.br/ccivil_03/Leis/LCP/Lcp128.htm" TargetMode="External" /><Relationship Id="rId106" Type="http://schemas.openxmlformats.org/officeDocument/2006/relationships/hyperlink" Target="http://www.planalto.gov.br/ccivil_03/Leis/LCP/Lcp128.htm" TargetMode="External" /><Relationship Id="rId114" Type="http://schemas.openxmlformats.org/officeDocument/2006/relationships/hyperlink" Target="http://www.planalto.gov.br/ccivil_03/Leis/LCP/Lcp128.htm" TargetMode="External" /><Relationship Id="rId119" Type="http://schemas.openxmlformats.org/officeDocument/2006/relationships/hyperlink" Target="http://www.planalto.gov.br/ccivil_03/Leis/LCP/Lcp128.htm" TargetMode="External" /><Relationship Id="rId10" Type="http://schemas.openxmlformats.org/officeDocument/2006/relationships/hyperlink" Target="http://www.planalto.gov.br/ccivil_03/Leis/LCP/Lcp128.htm" TargetMode="External" /><Relationship Id="rId31" Type="http://schemas.openxmlformats.org/officeDocument/2006/relationships/hyperlink" Target="http://www.planalto.gov.br/ccivil_03/Leis/LCP/Lcp128.htm" TargetMode="External" /><Relationship Id="rId44" Type="http://schemas.openxmlformats.org/officeDocument/2006/relationships/hyperlink" Target="http://www.planalto.gov.br/ccivil_03/Leis/LCP/Lcp128.htm" TargetMode="External" /><Relationship Id="rId52" Type="http://schemas.openxmlformats.org/officeDocument/2006/relationships/hyperlink" Target="http://www.planalto.gov.br/ccivil_03/Leis/LCP/Lcp128.htm" TargetMode="External" /><Relationship Id="rId60" Type="http://schemas.openxmlformats.org/officeDocument/2006/relationships/hyperlink" Target="http://www.planalto.gov.br/ccivil_03/Leis/LCP/Lcp128.htm" TargetMode="External" /><Relationship Id="rId65" Type="http://schemas.openxmlformats.org/officeDocument/2006/relationships/hyperlink" Target="http://www.planalto.gov.br/ccivil_03/Leis/LCP/Lcp128.htm" TargetMode="External" /><Relationship Id="rId73" Type="http://schemas.openxmlformats.org/officeDocument/2006/relationships/hyperlink" Target="http://www.planalto.gov.br/ccivil_03/Leis/LCP/Lcp128.htm" TargetMode="External" /><Relationship Id="rId78" Type="http://schemas.openxmlformats.org/officeDocument/2006/relationships/hyperlink" Target="http://www.planalto.gov.br/ccivil_03/Leis/LCP/Lcp128.htm" TargetMode="External" /><Relationship Id="rId81" Type="http://schemas.openxmlformats.org/officeDocument/2006/relationships/hyperlink" Target="http://www.planalto.gov.br/ccivil_03/Leis/LCP/Lcp128.htm" TargetMode="External" /><Relationship Id="rId86" Type="http://schemas.openxmlformats.org/officeDocument/2006/relationships/hyperlink" Target="http://www.planalto.gov.br/ccivil_03/Leis/LCP/Lcp128.htm" TargetMode="External" /><Relationship Id="rId94" Type="http://schemas.openxmlformats.org/officeDocument/2006/relationships/hyperlink" Target="http://www.planalto.gov.br/ccivil_03/Leis/LCP/Lcp128.htm" TargetMode="External" /><Relationship Id="rId99" Type="http://schemas.openxmlformats.org/officeDocument/2006/relationships/hyperlink" Target="http://www.planalto.gov.br/ccivil_03/Leis/LCP/Lcp128.htm" TargetMode="External" /><Relationship Id="rId101" Type="http://schemas.openxmlformats.org/officeDocument/2006/relationships/hyperlink" Target="http://www.planalto.gov.br/ccivil_03/Leis/LCP/Lcp128.htm" TargetMode="External" /><Relationship Id="rId122" Type="http://schemas.openxmlformats.org/officeDocument/2006/relationships/hyperlink" Target="http://www.planalto.gov.br/ccivil_03/Leis/LCP/Lcp128.htm" TargetMode="External" /><Relationship Id="rId4" Type="http://schemas.openxmlformats.org/officeDocument/2006/relationships/hyperlink" Target="http://www.planalto.gov.br/ccivil_03/Leis/LCP/Lcp128.htm" TargetMode="External" /><Relationship Id="rId9" Type="http://schemas.openxmlformats.org/officeDocument/2006/relationships/hyperlink" Target="http://www.planalto.gov.br/ccivil_03/Leis/LCP/Lcp128.htm" TargetMode="External" /><Relationship Id="rId13" Type="http://schemas.openxmlformats.org/officeDocument/2006/relationships/hyperlink" Target="http://www.planalto.gov.br/ccivil_03/Leis/LCP/Lcp128.htm" TargetMode="External" /><Relationship Id="rId18" Type="http://schemas.openxmlformats.org/officeDocument/2006/relationships/hyperlink" Target="http://www.planalto.gov.br/ccivil_03/Leis/LCP/Lcp128.htm" TargetMode="External" /><Relationship Id="rId39" Type="http://schemas.openxmlformats.org/officeDocument/2006/relationships/hyperlink" Target="http://www.planalto.gov.br/ccivil_03/Leis/LCP/Lcp128.htm" TargetMode="External" /><Relationship Id="rId109" Type="http://schemas.openxmlformats.org/officeDocument/2006/relationships/hyperlink" Target="http://www.planalto.gov.br/ccivil_03/Leis/LCP/Lcp128.htm" TargetMode="External" /><Relationship Id="rId34" Type="http://schemas.openxmlformats.org/officeDocument/2006/relationships/hyperlink" Target="http://www.planalto.gov.br/ccivil_03/Leis/LCP/Lcp128.htm" TargetMode="External" /><Relationship Id="rId50" Type="http://schemas.openxmlformats.org/officeDocument/2006/relationships/hyperlink" Target="http://www.planalto.gov.br/ccivil_03/Leis/LCP/Lcp128.htm" TargetMode="External" /><Relationship Id="rId55" Type="http://schemas.openxmlformats.org/officeDocument/2006/relationships/hyperlink" Target="http://www.planalto.gov.br/ccivil_03/Leis/LCP/Lcp128.htm" TargetMode="External" /><Relationship Id="rId76" Type="http://schemas.openxmlformats.org/officeDocument/2006/relationships/hyperlink" Target="http://www.planalto.gov.br/ccivil_03/Leis/LCP/Lcp128.htm" TargetMode="External" /><Relationship Id="rId97" Type="http://schemas.openxmlformats.org/officeDocument/2006/relationships/hyperlink" Target="http://www.planalto.gov.br/ccivil_03/Leis/LCP/Lcp128.htm" TargetMode="External" /><Relationship Id="rId104" Type="http://schemas.openxmlformats.org/officeDocument/2006/relationships/hyperlink" Target="http://www.planalto.gov.br/ccivil_03/Leis/LCP/Lcp128.htm" TargetMode="External" /><Relationship Id="rId120" Type="http://schemas.openxmlformats.org/officeDocument/2006/relationships/hyperlink" Target="http://www.planalto.gov.br/ccivil_03/Leis/LCP/Lcp128.htm" TargetMode="External" /><Relationship Id="rId125" Type="http://schemas.openxmlformats.org/officeDocument/2006/relationships/hyperlink" Target="http://www.planalto.gov.br/ccivil_03/Leis/LCP/Lcp128.htm" TargetMode="External" /><Relationship Id="rId7" Type="http://schemas.openxmlformats.org/officeDocument/2006/relationships/hyperlink" Target="http://www.planalto.gov.br/ccivil_03/Leis/LCP/Lcp128.htm" TargetMode="External" /><Relationship Id="rId71" Type="http://schemas.openxmlformats.org/officeDocument/2006/relationships/hyperlink" Target="http://www.planalto.gov.br/ccivil_03/Leis/LCP/Lcp128.htm" TargetMode="External" /><Relationship Id="rId92" Type="http://schemas.openxmlformats.org/officeDocument/2006/relationships/hyperlink" Target="http://www.planalto.gov.br/ccivil_03/Leis/LCP/Lcp128.htm" TargetMode="External" /><Relationship Id="rId2" Type="http://schemas.openxmlformats.org/officeDocument/2006/relationships/hyperlink" Target="http://www.planalto.gov.br/ccivil_03/Leis/LCP/Lcp128.htm" TargetMode="External" /><Relationship Id="rId29" Type="http://schemas.openxmlformats.org/officeDocument/2006/relationships/hyperlink" Target="http://www.planalto.gov.br/ccivil_03/Leis/LCP/Lcp128.htm" TargetMode="External" /><Relationship Id="rId24" Type="http://schemas.openxmlformats.org/officeDocument/2006/relationships/hyperlink" Target="http://www.planalto.gov.br/ccivil_03/Leis/LCP/Lcp128.htm" TargetMode="External" /><Relationship Id="rId40" Type="http://schemas.openxmlformats.org/officeDocument/2006/relationships/hyperlink" Target="http://www.planalto.gov.br/ccivil_03/Leis/LCP/Lcp128.htm" TargetMode="External" /><Relationship Id="rId45" Type="http://schemas.openxmlformats.org/officeDocument/2006/relationships/hyperlink" Target="http://www.planalto.gov.br/ccivil_03/Leis/LCP/Lcp128.htm" TargetMode="External" /><Relationship Id="rId66" Type="http://schemas.openxmlformats.org/officeDocument/2006/relationships/hyperlink" Target="http://www.planalto.gov.br/ccivil_03/Leis/LCP/Lcp128.htm" TargetMode="External" /><Relationship Id="rId87" Type="http://schemas.openxmlformats.org/officeDocument/2006/relationships/hyperlink" Target="http://www.planalto.gov.br/ccivil_03/Leis/LCP/Lcp128.htm" TargetMode="External" /><Relationship Id="rId110" Type="http://schemas.openxmlformats.org/officeDocument/2006/relationships/hyperlink" Target="http://www.planalto.gov.br/ccivil_03/Leis/LCP/Lcp128.htm" TargetMode="External" /><Relationship Id="rId115" Type="http://schemas.openxmlformats.org/officeDocument/2006/relationships/hyperlink" Target="http://www.planalto.gov.br/ccivil_03/Leis/LCP/Lcp128.htm" TargetMode="External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 /><Relationship Id="rId2" Type="http://schemas.openxmlformats.org/officeDocument/2006/relationships/vmlDrawing" Target="../drawings/vmlDrawing2.vml" /><Relationship Id="rId1" Type="http://schemas.openxmlformats.org/officeDocument/2006/relationships/drawing" Target="../drawings/drawing2.xml" /><Relationship Id="rId6" Type="http://schemas.openxmlformats.org/officeDocument/2006/relationships/image" Target="../media/image2.emf" /><Relationship Id="rId5" Type="http://schemas.openxmlformats.org/officeDocument/2006/relationships/oleObject" Target="../embeddings/oleObject4.bin" /><Relationship Id="rId4" Type="http://schemas.openxmlformats.org/officeDocument/2006/relationships/image" Target="../media/image3.emf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lanalto.gov.br/ccivil_03/Leis/LCP/Lcp128.htm" TargetMode="External" /><Relationship Id="rId2" Type="http://schemas.openxmlformats.org/officeDocument/2006/relationships/hyperlink" Target="http://www.planalto.gov.br/ccivil_03/Leis/LCP/Lcp128.htm" TargetMode="External" /><Relationship Id="rId1" Type="http://schemas.openxmlformats.org/officeDocument/2006/relationships/hyperlink" Target="http://www.planalto.gov.br/ccivil_03/Leis/LCP/Lcp128.htm" TargetMode="External" /><Relationship Id="rId5" Type="http://schemas.openxmlformats.org/officeDocument/2006/relationships/hyperlink" Target="http://www.planalto.gov.br/ccivil_03/Leis/LCP/Lcp128.htm" TargetMode="External" /><Relationship Id="rId4" Type="http://schemas.openxmlformats.org/officeDocument/2006/relationships/hyperlink" Target="http://www.planalto.gov.br/ccivil_03/Leis/LCP/Lcp128.htm" TargetMode="Externa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.bin" /><Relationship Id="rId2" Type="http://schemas.openxmlformats.org/officeDocument/2006/relationships/vmlDrawing" Target="../drawings/vmlDrawing3.vml" /><Relationship Id="rId1" Type="http://schemas.openxmlformats.org/officeDocument/2006/relationships/drawing" Target="../drawings/drawing3.xml" /><Relationship Id="rId6" Type="http://schemas.openxmlformats.org/officeDocument/2006/relationships/image" Target="../media/image2.emf" /><Relationship Id="rId5" Type="http://schemas.openxmlformats.org/officeDocument/2006/relationships/oleObject" Target="../embeddings/oleObject6.bin" /><Relationship Id="rId4" Type="http://schemas.openxmlformats.org/officeDocument/2006/relationships/image" Target="../media/image4.emf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lanalto.gov.br/ccivil_03/Leis/LCP/Lcp128.htm" TargetMode="External" /><Relationship Id="rId2" Type="http://schemas.openxmlformats.org/officeDocument/2006/relationships/hyperlink" Target="http://www.planalto.gov.br/ccivil_03/Leis/LCP/Lcp128.htm" TargetMode="External" /><Relationship Id="rId1" Type="http://schemas.openxmlformats.org/officeDocument/2006/relationships/hyperlink" Target="http://www.planalto.gov.br/ccivil_03/Leis/LCP/Lcp128.htm" TargetMode="External" /><Relationship Id="rId5" Type="http://schemas.openxmlformats.org/officeDocument/2006/relationships/hyperlink" Target="http://www.planalto.gov.br/ccivil_03/Leis/LCP/Lcp128.htm" TargetMode="External" /><Relationship Id="rId4" Type="http://schemas.openxmlformats.org/officeDocument/2006/relationships/hyperlink" Target="http://www.planalto.gov.br/ccivil_03/Leis/LCP/Lcp128.ht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4"/>
  <sheetViews>
    <sheetView zoomScaleNormal="100" zoomScaleSheetLayoutView="100" workbookViewId="0" xr3:uid="{AEA406A1-0E4B-5B11-9CD5-51D6E497D94C}">
      <selection activeCell="D7" sqref="D7"/>
    </sheetView>
  </sheetViews>
  <sheetFormatPr defaultColWidth="9.14453125" defaultRowHeight="15" customHeight="1" x14ac:dyDescent="0.15"/>
  <cols>
    <col min="1" max="1" width="2.6875" style="12" customWidth="1"/>
    <col min="2" max="2" width="3.09375" style="14" customWidth="1"/>
    <col min="3" max="3" width="43.8515625" style="12" customWidth="1"/>
    <col min="4" max="4" width="22.328125" style="13" customWidth="1"/>
    <col min="5" max="5" width="2.15234375" style="14" customWidth="1"/>
    <col min="6" max="6" width="49.90625" style="12" customWidth="1"/>
    <col min="7" max="7" width="16.94921875" style="12" bestFit="1" customWidth="1"/>
    <col min="8" max="8" width="2.41796875" style="12" customWidth="1"/>
    <col min="9" max="9" width="45.0625" style="12" bestFit="1" customWidth="1"/>
    <col min="10" max="10" width="18.4296875" style="12" customWidth="1"/>
    <col min="11" max="11" width="39.68359375" style="12" bestFit="1" customWidth="1"/>
    <col min="12" max="256" width="11.43359375" style="12" customWidth="1"/>
    <col min="257" max="16384" width="9.14453125" style="12"/>
  </cols>
  <sheetData>
    <row r="1" spans="2:10" ht="26.25" customHeight="1" x14ac:dyDescent="0.25">
      <c r="C1" s="43" t="s">
        <v>25</v>
      </c>
      <c r="D1" s="12"/>
    </row>
    <row r="3" spans="2:10" ht="15" customHeight="1" x14ac:dyDescent="0.25">
      <c r="B3" s="71" t="s">
        <v>41</v>
      </c>
      <c r="F3" s="12" t="s">
        <v>40</v>
      </c>
      <c r="J3" s="60" t="s">
        <v>37</v>
      </c>
    </row>
    <row r="5" spans="2:10" ht="15" customHeight="1" x14ac:dyDescent="0.15">
      <c r="B5" s="34"/>
      <c r="C5" s="35" t="s">
        <v>14</v>
      </c>
      <c r="D5" s="36"/>
      <c r="F5" s="20" t="s">
        <v>15</v>
      </c>
      <c r="G5" s="21"/>
      <c r="I5" s="20" t="s">
        <v>16</v>
      </c>
      <c r="J5" s="21"/>
    </row>
    <row r="6" spans="2:10" ht="15" customHeight="1" x14ac:dyDescent="0.15">
      <c r="B6" s="37"/>
      <c r="D6" s="24"/>
      <c r="F6" s="22"/>
      <c r="G6" s="23"/>
      <c r="I6" s="22"/>
      <c r="J6" s="23"/>
    </row>
    <row r="7" spans="2:10" ht="15" customHeight="1" x14ac:dyDescent="0.15">
      <c r="B7" s="37"/>
      <c r="C7" s="12" t="s">
        <v>42</v>
      </c>
      <c r="D7" s="44">
        <v>500000</v>
      </c>
      <c r="F7" s="22" t="s">
        <v>42</v>
      </c>
      <c r="G7" s="24">
        <f>D7</f>
        <v>500000</v>
      </c>
      <c r="I7" s="22" t="s">
        <v>51</v>
      </c>
      <c r="J7" s="24">
        <f>G7</f>
        <v>500000</v>
      </c>
    </row>
    <row r="8" spans="2:10" ht="15" customHeight="1" x14ac:dyDescent="0.15">
      <c r="B8" s="37"/>
      <c r="C8" s="82">
        <v>0.18</v>
      </c>
      <c r="D8" s="24">
        <f>(D7*C8)</f>
        <v>90000</v>
      </c>
      <c r="F8" s="81">
        <f>C8</f>
        <v>0.18</v>
      </c>
      <c r="G8" s="24">
        <f>D8</f>
        <v>90000</v>
      </c>
      <c r="I8" s="22" t="s">
        <v>43</v>
      </c>
      <c r="J8" s="24">
        <f>G7*12</f>
        <v>6000000</v>
      </c>
    </row>
    <row r="9" spans="2:10" ht="15" customHeight="1" x14ac:dyDescent="0.15">
      <c r="B9" s="37"/>
      <c r="C9" s="75">
        <v>7.0000000000000007E-2</v>
      </c>
      <c r="D9" s="24">
        <f>(D13*C9)</f>
        <v>17500</v>
      </c>
      <c r="F9" s="83">
        <f>C9</f>
        <v>7.0000000000000007E-2</v>
      </c>
      <c r="G9" s="24">
        <f>D9</f>
        <v>17500</v>
      </c>
      <c r="I9" s="22"/>
      <c r="J9" s="24"/>
    </row>
    <row r="10" spans="2:10" ht="15" customHeight="1" x14ac:dyDescent="0.15">
      <c r="B10" s="37"/>
      <c r="C10" s="1">
        <v>6.4999999999999997E-3</v>
      </c>
      <c r="D10" s="24">
        <f>D7*C10</f>
        <v>3250</v>
      </c>
      <c r="F10" s="25">
        <v>6.4999999999999997E-3</v>
      </c>
      <c r="G10" s="24">
        <f>G7*F10</f>
        <v>3250</v>
      </c>
      <c r="I10" s="47" t="s">
        <v>29</v>
      </c>
      <c r="J10" s="24">
        <f>IF(I10="Substituição Tributária",G8-G9,0)</f>
        <v>0</v>
      </c>
    </row>
    <row r="11" spans="2:10" ht="15" customHeight="1" x14ac:dyDescent="0.15">
      <c r="B11" s="37"/>
      <c r="C11" s="2">
        <v>0.03</v>
      </c>
      <c r="D11" s="24">
        <f>D7*C11</f>
        <v>15000</v>
      </c>
      <c r="F11" s="26">
        <v>0.03</v>
      </c>
      <c r="G11" s="24">
        <f>G7*F11</f>
        <v>15000</v>
      </c>
      <c r="I11" s="22"/>
      <c r="J11" s="23"/>
    </row>
    <row r="12" spans="2:10" ht="15" customHeight="1" x14ac:dyDescent="0.15">
      <c r="B12" s="37" t="s">
        <v>1</v>
      </c>
      <c r="C12" s="12" t="s">
        <v>5</v>
      </c>
      <c r="D12" s="24">
        <f>D7-D8+D9-D10-D11</f>
        <v>409250</v>
      </c>
      <c r="F12" s="22" t="s">
        <v>5</v>
      </c>
      <c r="G12" s="24">
        <f>G7-G8+G9-G10-G11</f>
        <v>409250</v>
      </c>
      <c r="I12" s="22"/>
      <c r="J12" s="23"/>
    </row>
    <row r="13" spans="2:10" ht="15" customHeight="1" x14ac:dyDescent="0.15">
      <c r="B13" s="37" t="s">
        <v>0</v>
      </c>
      <c r="C13" s="72">
        <v>0.5</v>
      </c>
      <c r="D13" s="24">
        <f>D7*C13</f>
        <v>250000</v>
      </c>
      <c r="F13" s="80">
        <f>C13</f>
        <v>0.5</v>
      </c>
      <c r="G13" s="24">
        <f>G7*F13</f>
        <v>250000</v>
      </c>
      <c r="I13" s="80">
        <f>C13</f>
        <v>0.5</v>
      </c>
      <c r="J13" s="24">
        <f>J7*I13</f>
        <v>250000</v>
      </c>
    </row>
    <row r="14" spans="2:10" ht="15" customHeight="1" x14ac:dyDescent="0.15">
      <c r="B14" s="37" t="s">
        <v>1</v>
      </c>
      <c r="C14" s="12" t="s">
        <v>27</v>
      </c>
      <c r="D14" s="24">
        <f>D12-D13</f>
        <v>159250</v>
      </c>
      <c r="F14" s="22" t="str">
        <f>C14</f>
        <v>Margem Bruta</v>
      </c>
      <c r="G14" s="24">
        <f>G12-G13</f>
        <v>159250</v>
      </c>
      <c r="I14" s="22"/>
      <c r="J14" s="23"/>
    </row>
    <row r="15" spans="2:10" ht="15" customHeight="1" x14ac:dyDescent="0.15">
      <c r="B15" s="37" t="s">
        <v>0</v>
      </c>
      <c r="C15" s="73">
        <v>0.1</v>
      </c>
      <c r="D15" s="24">
        <f>D7*C15</f>
        <v>50000</v>
      </c>
      <c r="F15" s="77">
        <f>C15</f>
        <v>0.1</v>
      </c>
      <c r="G15" s="24">
        <f>G7*F15</f>
        <v>50000</v>
      </c>
      <c r="I15" s="77">
        <f>C15</f>
        <v>0.1</v>
      </c>
      <c r="J15" s="24">
        <f>J7*I15</f>
        <v>50000</v>
      </c>
    </row>
    <row r="16" spans="2:10" ht="15" customHeight="1" x14ac:dyDescent="0.15">
      <c r="B16" s="37" t="s">
        <v>0</v>
      </c>
      <c r="C16" s="76">
        <v>0.27500000000000002</v>
      </c>
      <c r="D16" s="24">
        <f>D15*C16</f>
        <v>13750.000000000002</v>
      </c>
      <c r="F16" s="78">
        <f>C16</f>
        <v>0.27500000000000002</v>
      </c>
      <c r="G16" s="24">
        <f>D16</f>
        <v>13750.000000000002</v>
      </c>
      <c r="I16" s="27"/>
      <c r="J16" s="24"/>
    </row>
    <row r="17" spans="2:10" ht="15" customHeight="1" x14ac:dyDescent="0.15">
      <c r="B17" s="37" t="s">
        <v>0</v>
      </c>
      <c r="C17" s="74">
        <v>0.02</v>
      </c>
      <c r="D17" s="24">
        <f>D7*C17</f>
        <v>10000</v>
      </c>
      <c r="F17" s="79">
        <f>C17</f>
        <v>0.02</v>
      </c>
      <c r="G17" s="24">
        <f>D17</f>
        <v>10000</v>
      </c>
      <c r="I17" s="79">
        <f>C17</f>
        <v>0.02</v>
      </c>
      <c r="J17" s="24">
        <f>J7*I17</f>
        <v>10000</v>
      </c>
    </row>
    <row r="18" spans="2:10" ht="15" customHeight="1" x14ac:dyDescent="0.15">
      <c r="B18" s="37" t="s">
        <v>1</v>
      </c>
      <c r="C18" s="16" t="s">
        <v>8</v>
      </c>
      <c r="D18" s="45">
        <f>D14-D15-D16-D17</f>
        <v>85500</v>
      </c>
      <c r="F18" s="22" t="s">
        <v>8</v>
      </c>
      <c r="G18" s="45">
        <f>D18</f>
        <v>85500</v>
      </c>
      <c r="I18" s="22"/>
      <c r="J18" s="23"/>
    </row>
    <row r="19" spans="2:10" ht="15" customHeight="1" x14ac:dyDescent="0.15">
      <c r="B19" s="37"/>
      <c r="C19" s="17">
        <v>0.09</v>
      </c>
      <c r="D19" s="24">
        <f>D18*C19</f>
        <v>7695</v>
      </c>
      <c r="F19" s="28" t="s">
        <v>13</v>
      </c>
      <c r="G19" s="23"/>
      <c r="I19" s="22"/>
      <c r="J19" s="23"/>
    </row>
    <row r="20" spans="2:10" ht="15" customHeight="1" x14ac:dyDescent="0.15">
      <c r="B20" s="37"/>
      <c r="C20" s="18" t="s">
        <v>10</v>
      </c>
      <c r="D20" s="24"/>
      <c r="F20" s="29">
        <v>0.12</v>
      </c>
      <c r="G20" s="24">
        <f>G7*F20</f>
        <v>60000</v>
      </c>
      <c r="I20" s="22"/>
      <c r="J20" s="23"/>
    </row>
    <row r="21" spans="2:10" ht="15" customHeight="1" x14ac:dyDescent="0.15">
      <c r="B21" s="37"/>
      <c r="C21" s="19">
        <v>0.15</v>
      </c>
      <c r="D21" s="24">
        <f>D18*C21</f>
        <v>12825</v>
      </c>
      <c r="F21" s="30">
        <v>0.09</v>
      </c>
      <c r="G21" s="24">
        <f>G20*F21</f>
        <v>5400</v>
      </c>
      <c r="I21" s="22"/>
      <c r="J21" s="23"/>
    </row>
    <row r="22" spans="2:10" ht="15" customHeight="1" x14ac:dyDescent="0.15">
      <c r="B22" s="37"/>
      <c r="D22" s="24"/>
      <c r="F22" s="28" t="s">
        <v>12</v>
      </c>
      <c r="G22" s="23"/>
      <c r="I22" s="41" t="s">
        <v>47</v>
      </c>
      <c r="J22" s="23"/>
    </row>
    <row r="23" spans="2:10" ht="15" customHeight="1" x14ac:dyDescent="0.15">
      <c r="B23" s="37"/>
      <c r="D23" s="45">
        <f>D18-D19-D21</f>
        <v>64980</v>
      </c>
      <c r="F23" s="29">
        <v>0.08</v>
      </c>
      <c r="G23" s="24">
        <f>G7*F23</f>
        <v>40000</v>
      </c>
      <c r="I23" s="42">
        <f>VLOOKUP(I10,'Anexo 1'!L33:M34,2)</f>
        <v>0.11609999999999999</v>
      </c>
      <c r="J23" s="24">
        <f>J7*I23</f>
        <v>58050</v>
      </c>
    </row>
    <row r="24" spans="2:10" ht="15" customHeight="1" x14ac:dyDescent="0.15">
      <c r="B24" s="37"/>
      <c r="C24" s="50">
        <v>0.1</v>
      </c>
      <c r="D24" s="24">
        <f>IF(D23&gt;20000,(D23-20000)*C24,0)</f>
        <v>4498</v>
      </c>
      <c r="F24" s="31">
        <f>C21</f>
        <v>0.15</v>
      </c>
      <c r="G24" s="24">
        <f>G23*F24</f>
        <v>6000</v>
      </c>
      <c r="I24" s="22"/>
      <c r="J24" s="23"/>
    </row>
    <row r="25" spans="2:10" ht="15" customHeight="1" x14ac:dyDescent="0.15">
      <c r="B25" s="37"/>
      <c r="D25" s="24"/>
      <c r="F25" s="46">
        <v>0.1</v>
      </c>
      <c r="G25" s="24">
        <f>IF(G23&gt;20000,(G23-20000)*F25,0)</f>
        <v>2000</v>
      </c>
      <c r="I25" s="22"/>
      <c r="J25" s="23"/>
    </row>
    <row r="26" spans="2:10" ht="15" customHeight="1" x14ac:dyDescent="0.15">
      <c r="B26" s="37"/>
      <c r="C26" s="15" t="s">
        <v>7</v>
      </c>
      <c r="D26" s="45">
        <f>D23-D24</f>
        <v>60482</v>
      </c>
      <c r="F26" s="41" t="s">
        <v>11</v>
      </c>
      <c r="G26" s="45">
        <f>G18-G21-G24-G25</f>
        <v>72100</v>
      </c>
      <c r="I26" s="41" t="s">
        <v>48</v>
      </c>
      <c r="J26" s="45">
        <f>J7-J10-J13-J15-J17-J23</f>
        <v>131950</v>
      </c>
    </row>
    <row r="27" spans="2:10" ht="15" customHeight="1" x14ac:dyDescent="0.15">
      <c r="B27" s="38"/>
      <c r="C27" s="39"/>
      <c r="D27" s="40"/>
      <c r="F27" s="32"/>
      <c r="G27" s="33"/>
      <c r="I27" s="32"/>
      <c r="J27" s="33"/>
    </row>
    <row r="29" spans="2:10" ht="15" customHeight="1" x14ac:dyDescent="0.15">
      <c r="C29" s="99">
        <f>D8-D9+D10+D11+D16+D19+D21+D24</f>
        <v>129518</v>
      </c>
      <c r="F29" s="95">
        <f>C30</f>
        <v>135400</v>
      </c>
      <c r="I29" s="97">
        <f>F31</f>
        <v>58050</v>
      </c>
    </row>
    <row r="30" spans="2:10" ht="15" customHeight="1" x14ac:dyDescent="0.15">
      <c r="C30" s="92">
        <f>G8+G10+G11+G16+G21+G24+G25</f>
        <v>135400</v>
      </c>
      <c r="F30" s="96">
        <f>C29</f>
        <v>129518</v>
      </c>
      <c r="I30" s="91">
        <f>C29</f>
        <v>129518</v>
      </c>
    </row>
    <row r="31" spans="2:10" ht="15" customHeight="1" x14ac:dyDescent="0.15">
      <c r="C31" s="90">
        <f>J10+J23</f>
        <v>58050</v>
      </c>
      <c r="F31" s="90">
        <f>C31</f>
        <v>58050</v>
      </c>
      <c r="I31" s="92">
        <f>C30</f>
        <v>135400</v>
      </c>
    </row>
    <row r="32" spans="2:10" ht="15" customHeight="1" x14ac:dyDescent="0.15">
      <c r="G32" s="13"/>
      <c r="J32" s="13"/>
    </row>
    <row r="33" spans="3:9" ht="15" customHeight="1" x14ac:dyDescent="0.15">
      <c r="C33" s="93">
        <f>G26</f>
        <v>72100</v>
      </c>
      <c r="F33" s="94">
        <f>D26</f>
        <v>60482</v>
      </c>
      <c r="G33" s="13"/>
      <c r="I33" s="93">
        <f>C33</f>
        <v>72100</v>
      </c>
    </row>
    <row r="34" spans="3:9" ht="15" customHeight="1" x14ac:dyDescent="0.15">
      <c r="C34" s="98">
        <f>J26</f>
        <v>131950</v>
      </c>
      <c r="F34" s="98">
        <f>C34</f>
        <v>131950</v>
      </c>
      <c r="I34" s="94">
        <f>F33</f>
        <v>60482</v>
      </c>
    </row>
  </sheetData>
  <phoneticPr fontId="0" type="noConversion"/>
  <dataValidations count="1">
    <dataValidation type="list" allowBlank="1" showInputMessage="1" showErrorMessage="1" sqref="I10" xr:uid="{00000000-0002-0000-0000-000000000000}">
      <formula1>Icms</formula1>
    </dataValidation>
  </dataValidations>
  <pageMargins left="0.7" right="0.7" top="0.75" bottom="0.75" header="0.3" footer="0.3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Apresentação" dvAspect="DVASPECT_ICON" shapeId="1037" r:id="rId3">
          <objectPr locked="0" defaultSize="0" autoPict="0" r:id="rId4">
            <anchor moveWithCells="1">
              <from>
                <xdr:col>5</xdr:col>
                <xdr:colOff>847725</xdr:colOff>
                <xdr:row>2</xdr:row>
                <xdr:rowOff>0</xdr:rowOff>
              </from>
              <to>
                <xdr:col>5</xdr:col>
                <xdr:colOff>1152525</xdr:colOff>
                <xdr:row>3</xdr:row>
                <xdr:rowOff>38100</xdr:rowOff>
              </to>
            </anchor>
          </objectPr>
        </oleObject>
      </mc:Choice>
      <mc:Fallback>
        <oleObject progId="Apresentação" dvAspect="DVASPECT_ICON" shapeId="1037" r:id="rId3"/>
      </mc:Fallback>
    </mc:AlternateContent>
    <mc:AlternateContent xmlns:mc="http://schemas.openxmlformats.org/markup-compatibility/2006">
      <mc:Choice Requires="x14">
        <oleObject progId="Apresentação" dvAspect="DVASPECT_ICON" shapeId="1052" r:id="rId5">
          <objectPr locked="0" defaultSize="0" autoPict="0" r:id="rId6">
            <anchor moveWithCells="1">
              <from>
                <xdr:col>9</xdr:col>
                <xdr:colOff>685800</xdr:colOff>
                <xdr:row>1</xdr:row>
                <xdr:rowOff>123825</xdr:rowOff>
              </from>
              <to>
                <xdr:col>9</xdr:col>
                <xdr:colOff>1019175</xdr:colOff>
                <xdr:row>2</xdr:row>
                <xdr:rowOff>180975</xdr:rowOff>
              </to>
            </anchor>
          </objectPr>
        </oleObject>
      </mc:Choice>
      <mc:Fallback>
        <oleObject progId="Apresentação" dvAspect="DVASPECT_ICON" shapeId="1052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5"/>
  <sheetViews>
    <sheetView workbookViewId="0" xr3:uid="{958C4451-9541-5A59-BF78-D2F731DF1C81}">
      <selection activeCell="E26" sqref="E26:E27"/>
    </sheetView>
  </sheetViews>
  <sheetFormatPr defaultColWidth="8.609375" defaultRowHeight="15" x14ac:dyDescent="0.2"/>
  <cols>
    <col min="1" max="1" width="14.2578125" customWidth="1"/>
    <col min="2" max="2" width="12.23828125" bestFit="1" customWidth="1"/>
    <col min="12" max="12" width="21.7890625" bestFit="1" customWidth="1"/>
  </cols>
  <sheetData>
    <row r="1" spans="1:11" x14ac:dyDescent="0.2">
      <c r="A1" s="3" t="s">
        <v>17</v>
      </c>
      <c r="B1" s="4"/>
      <c r="C1" s="4"/>
      <c r="D1" s="4"/>
      <c r="E1" s="4"/>
      <c r="F1" s="5"/>
      <c r="G1" s="4"/>
      <c r="H1" s="5"/>
      <c r="I1" s="4"/>
      <c r="J1" s="4"/>
      <c r="K1" s="5"/>
    </row>
    <row r="2" spans="1:11" x14ac:dyDescent="0.2">
      <c r="A2" s="3"/>
      <c r="B2" s="4"/>
      <c r="C2" s="6"/>
      <c r="D2" s="4"/>
      <c r="E2" s="4"/>
      <c r="F2" s="7"/>
      <c r="G2" s="4"/>
      <c r="H2" s="5"/>
      <c r="I2" s="4"/>
      <c r="J2" s="4"/>
      <c r="K2" s="7"/>
    </row>
    <row r="3" spans="1:11" x14ac:dyDescent="0.2">
      <c r="A3" s="111" t="s">
        <v>18</v>
      </c>
      <c r="B3" s="112"/>
      <c r="C3" s="89" t="s">
        <v>44</v>
      </c>
      <c r="D3" s="85" t="s">
        <v>19</v>
      </c>
      <c r="E3" s="85" t="s">
        <v>20</v>
      </c>
      <c r="F3" s="85" t="s">
        <v>3</v>
      </c>
      <c r="G3" s="85" t="s">
        <v>21</v>
      </c>
      <c r="H3" s="85" t="s">
        <v>22</v>
      </c>
      <c r="I3" s="85" t="s">
        <v>2</v>
      </c>
      <c r="J3" s="85"/>
      <c r="K3" s="86" t="s">
        <v>45</v>
      </c>
    </row>
    <row r="4" spans="1:11" x14ac:dyDescent="0.2">
      <c r="A4" s="84">
        <v>0</v>
      </c>
      <c r="B4" s="84">
        <f>120000</f>
        <v>120000</v>
      </c>
      <c r="C4" s="87">
        <v>0.04</v>
      </c>
      <c r="D4" s="88">
        <v>0</v>
      </c>
      <c r="E4" s="88">
        <v>0</v>
      </c>
      <c r="F4" s="88">
        <v>0</v>
      </c>
      <c r="G4" s="88">
        <v>0</v>
      </c>
      <c r="H4" s="88">
        <v>2.75E-2</v>
      </c>
      <c r="I4" s="88">
        <v>1.2500000000000001E-2</v>
      </c>
      <c r="J4" s="88"/>
      <c r="K4" s="87">
        <f>SUM(D4:J4)-I4</f>
        <v>2.75E-2</v>
      </c>
    </row>
    <row r="5" spans="1:11" x14ac:dyDescent="0.2">
      <c r="A5" s="84">
        <f>B4+0.01</f>
        <v>120000.01</v>
      </c>
      <c r="B5" s="84">
        <f>240000</f>
        <v>240000</v>
      </c>
      <c r="C5" s="87">
        <v>5.4699999999999999E-2</v>
      </c>
      <c r="D5" s="88">
        <v>0</v>
      </c>
      <c r="E5" s="88">
        <v>0</v>
      </c>
      <c r="F5" s="88">
        <v>8.6E-3</v>
      </c>
      <c r="G5" s="88">
        <v>0</v>
      </c>
      <c r="H5" s="88">
        <v>2.75E-2</v>
      </c>
      <c r="I5" s="88">
        <v>1.8599999999999998E-2</v>
      </c>
      <c r="J5" s="88"/>
      <c r="K5" s="87">
        <f t="shared" ref="K5:K23" si="0">SUM(D5:J5)-I5</f>
        <v>3.61E-2</v>
      </c>
    </row>
    <row r="6" spans="1:11" x14ac:dyDescent="0.2">
      <c r="A6" s="84">
        <f t="shared" ref="A6:A22" si="1">B5+0.01</f>
        <v>240000.01</v>
      </c>
      <c r="B6" s="84">
        <f>360000</f>
        <v>360000</v>
      </c>
      <c r="C6" s="87">
        <v>6.8400000000000002E-2</v>
      </c>
      <c r="D6" s="88">
        <v>2.7000000000000001E-3</v>
      </c>
      <c r="E6" s="88">
        <v>3.0999999999999999E-3</v>
      </c>
      <c r="F6" s="88">
        <v>9.4999999999999998E-3</v>
      </c>
      <c r="G6" s="88">
        <v>2.3E-3</v>
      </c>
      <c r="H6" s="88">
        <v>2.75E-2</v>
      </c>
      <c r="I6" s="88">
        <v>2.3300000000000001E-2</v>
      </c>
      <c r="J6" s="88"/>
      <c r="K6" s="87">
        <f t="shared" si="0"/>
        <v>4.5100000000000001E-2</v>
      </c>
    </row>
    <row r="7" spans="1:11" x14ac:dyDescent="0.2">
      <c r="A7" s="84">
        <f t="shared" si="1"/>
        <v>360000.01</v>
      </c>
      <c r="B7" s="84">
        <f>480000</f>
        <v>480000</v>
      </c>
      <c r="C7" s="87">
        <v>7.5399999999999995E-2</v>
      </c>
      <c r="D7" s="88">
        <v>3.5000000000000001E-3</v>
      </c>
      <c r="E7" s="88">
        <v>3.5000000000000001E-3</v>
      </c>
      <c r="F7" s="88">
        <v>1.04E-2</v>
      </c>
      <c r="G7" s="88">
        <v>2.5000000000000001E-3</v>
      </c>
      <c r="H7" s="88">
        <v>2.9899999999999999E-2</v>
      </c>
      <c r="I7" s="88">
        <v>2.5600000000000001E-2</v>
      </c>
      <c r="J7" s="88"/>
      <c r="K7" s="87">
        <f t="shared" si="0"/>
        <v>4.9799999999999997E-2</v>
      </c>
    </row>
    <row r="8" spans="1:11" x14ac:dyDescent="0.2">
      <c r="A8" s="84">
        <f t="shared" si="1"/>
        <v>480000.01</v>
      </c>
      <c r="B8" s="84">
        <f>600000</f>
        <v>600000</v>
      </c>
      <c r="C8" s="87">
        <v>7.5999999999999998E-2</v>
      </c>
      <c r="D8" s="88">
        <v>3.5000000000000001E-3</v>
      </c>
      <c r="E8" s="88">
        <v>3.5000000000000001E-3</v>
      </c>
      <c r="F8" s="88">
        <v>1.0500000000000001E-2</v>
      </c>
      <c r="G8" s="88">
        <v>2.5000000000000001E-3</v>
      </c>
      <c r="H8" s="88">
        <v>3.0200000000000001E-2</v>
      </c>
      <c r="I8" s="88">
        <v>2.58E-2</v>
      </c>
      <c r="J8" s="88"/>
      <c r="K8" s="87">
        <f t="shared" si="0"/>
        <v>5.0199999999999995E-2</v>
      </c>
    </row>
    <row r="9" spans="1:11" x14ac:dyDescent="0.2">
      <c r="A9" s="84">
        <f t="shared" si="1"/>
        <v>600000.01</v>
      </c>
      <c r="B9" s="84">
        <f>720000</f>
        <v>720000</v>
      </c>
      <c r="C9" s="87">
        <v>8.2799999999999999E-2</v>
      </c>
      <c r="D9" s="88">
        <v>3.8E-3</v>
      </c>
      <c r="E9" s="88">
        <v>3.8E-3</v>
      </c>
      <c r="F9" s="88">
        <v>1.15E-2</v>
      </c>
      <c r="G9" s="88">
        <v>2.7000000000000001E-3</v>
      </c>
      <c r="H9" s="88">
        <v>3.2800000000000003E-2</v>
      </c>
      <c r="I9" s="88">
        <v>2.8199999999999999E-2</v>
      </c>
      <c r="J9" s="88"/>
      <c r="K9" s="87">
        <f t="shared" si="0"/>
        <v>5.4599999999999996E-2</v>
      </c>
    </row>
    <row r="10" spans="1:11" x14ac:dyDescent="0.2">
      <c r="A10" s="84">
        <f t="shared" si="1"/>
        <v>720000.01</v>
      </c>
      <c r="B10" s="84">
        <f>840000</f>
        <v>840000</v>
      </c>
      <c r="C10" s="87">
        <v>8.3599999999999994E-2</v>
      </c>
      <c r="D10" s="88">
        <v>3.8999999999999998E-3</v>
      </c>
      <c r="E10" s="88">
        <v>3.8999999999999998E-3</v>
      </c>
      <c r="F10" s="88">
        <v>1.1599999999999999E-2</v>
      </c>
      <c r="G10" s="88">
        <v>2.8E-3</v>
      </c>
      <c r="H10" s="88">
        <v>3.3000000000000002E-2</v>
      </c>
      <c r="I10" s="88">
        <v>2.8400000000000002E-2</v>
      </c>
      <c r="J10" s="88"/>
      <c r="K10" s="87">
        <f t="shared" si="0"/>
        <v>5.5200000000000006E-2</v>
      </c>
    </row>
    <row r="11" spans="1:11" x14ac:dyDescent="0.2">
      <c r="A11" s="84">
        <f t="shared" si="1"/>
        <v>840000.01</v>
      </c>
      <c r="B11" s="84">
        <f>960000</f>
        <v>960000</v>
      </c>
      <c r="C11" s="87">
        <v>8.4500000000000006E-2</v>
      </c>
      <c r="D11" s="88">
        <v>3.8999999999999998E-3</v>
      </c>
      <c r="E11" s="88">
        <v>3.8999999999999998E-3</v>
      </c>
      <c r="F11" s="88">
        <v>1.17E-2</v>
      </c>
      <c r="G11" s="88">
        <v>2.8E-3</v>
      </c>
      <c r="H11" s="88">
        <v>3.3500000000000002E-2</v>
      </c>
      <c r="I11" s="88">
        <v>2.87E-2</v>
      </c>
      <c r="J11" s="88"/>
      <c r="K11" s="87">
        <f t="shared" si="0"/>
        <v>5.5800000000000002E-2</v>
      </c>
    </row>
    <row r="12" spans="1:11" x14ac:dyDescent="0.2">
      <c r="A12" s="84">
        <f t="shared" si="1"/>
        <v>960000.01</v>
      </c>
      <c r="B12" s="84">
        <f>1080000</f>
        <v>1080000</v>
      </c>
      <c r="C12" s="87">
        <v>9.0300000000000005E-2</v>
      </c>
      <c r="D12" s="88">
        <v>4.1999999999999997E-3</v>
      </c>
      <c r="E12" s="88">
        <v>4.1999999999999997E-3</v>
      </c>
      <c r="F12" s="88">
        <v>1.2500000000000001E-2</v>
      </c>
      <c r="G12" s="88">
        <v>3.0000000000000001E-3</v>
      </c>
      <c r="H12" s="88">
        <v>3.5700000000000003E-2</v>
      </c>
      <c r="I12" s="88">
        <v>3.0700000000000002E-2</v>
      </c>
      <c r="J12" s="88"/>
      <c r="K12" s="87">
        <f t="shared" si="0"/>
        <v>5.96E-2</v>
      </c>
    </row>
    <row r="13" spans="1:11" x14ac:dyDescent="0.2">
      <c r="A13" s="84">
        <f t="shared" si="1"/>
        <v>1080000.01</v>
      </c>
      <c r="B13" s="84">
        <f>1200000</f>
        <v>1200000</v>
      </c>
      <c r="C13" s="87">
        <v>9.1200000000000003E-2</v>
      </c>
      <c r="D13" s="88">
        <v>4.3E-3</v>
      </c>
      <c r="E13" s="88">
        <v>4.3E-3</v>
      </c>
      <c r="F13" s="88">
        <v>1.26E-2</v>
      </c>
      <c r="G13" s="88">
        <v>3.0000000000000001E-3</v>
      </c>
      <c r="H13" s="88">
        <v>3.5999999999999997E-2</v>
      </c>
      <c r="I13" s="88">
        <v>3.1E-2</v>
      </c>
      <c r="J13" s="88"/>
      <c r="K13" s="87">
        <f t="shared" si="0"/>
        <v>6.0200000000000004E-2</v>
      </c>
    </row>
    <row r="14" spans="1:11" x14ac:dyDescent="0.2">
      <c r="A14" s="84">
        <f t="shared" si="1"/>
        <v>1200000.01</v>
      </c>
      <c r="B14" s="84">
        <f>1320000</f>
        <v>1320000</v>
      </c>
      <c r="C14" s="87">
        <v>9.9500000000000005E-2</v>
      </c>
      <c r="D14" s="88">
        <v>4.5999999999999999E-3</v>
      </c>
      <c r="E14" s="88">
        <v>4.5999999999999999E-3</v>
      </c>
      <c r="F14" s="88">
        <v>1.38E-2</v>
      </c>
      <c r="G14" s="88">
        <v>3.3E-3</v>
      </c>
      <c r="H14" s="88">
        <v>3.9399999999999998E-2</v>
      </c>
      <c r="I14" s="88">
        <v>3.3799999999999997E-2</v>
      </c>
      <c r="J14" s="88"/>
      <c r="K14" s="87">
        <f t="shared" si="0"/>
        <v>6.5699999999999995E-2</v>
      </c>
    </row>
    <row r="15" spans="1:11" x14ac:dyDescent="0.2">
      <c r="A15" s="84">
        <f t="shared" si="1"/>
        <v>1320000.01</v>
      </c>
      <c r="B15" s="84">
        <f>1440000/1</f>
        <v>1440000</v>
      </c>
      <c r="C15" s="87">
        <v>0.1004</v>
      </c>
      <c r="D15" s="88">
        <v>4.5999999999999999E-3</v>
      </c>
      <c r="E15" s="88">
        <v>4.5999999999999999E-3</v>
      </c>
      <c r="F15" s="88">
        <v>1.3899999999999999E-2</v>
      </c>
      <c r="G15" s="88">
        <v>3.3E-3</v>
      </c>
      <c r="H15" s="88">
        <v>3.9899999999999998E-2</v>
      </c>
      <c r="I15" s="88">
        <v>3.4099999999999998E-2</v>
      </c>
      <c r="J15" s="88"/>
      <c r="K15" s="87">
        <f t="shared" si="0"/>
        <v>6.6299999999999998E-2</v>
      </c>
    </row>
    <row r="16" spans="1:11" x14ac:dyDescent="0.2">
      <c r="A16" s="84">
        <f t="shared" si="1"/>
        <v>1440000.01</v>
      </c>
      <c r="B16" s="84">
        <f>1560000</f>
        <v>1560000</v>
      </c>
      <c r="C16" s="87">
        <v>0.1013</v>
      </c>
      <c r="D16" s="88">
        <v>4.7000000000000002E-3</v>
      </c>
      <c r="E16" s="88">
        <v>4.7000000000000002E-3</v>
      </c>
      <c r="F16" s="88">
        <v>1.4E-2</v>
      </c>
      <c r="G16" s="88">
        <v>3.3E-3</v>
      </c>
      <c r="H16" s="88">
        <v>4.0099999999999997E-2</v>
      </c>
      <c r="I16" s="88">
        <v>3.4500000000000003E-2</v>
      </c>
      <c r="J16" s="88"/>
      <c r="K16" s="87">
        <f t="shared" si="0"/>
        <v>6.6799999999999998E-2</v>
      </c>
    </row>
    <row r="17" spans="1:11" x14ac:dyDescent="0.2">
      <c r="A17" s="84">
        <f t="shared" si="1"/>
        <v>1560000.01</v>
      </c>
      <c r="B17" s="84">
        <f>1680000</f>
        <v>1680000</v>
      </c>
      <c r="C17" s="87">
        <v>0.1023</v>
      </c>
      <c r="D17" s="88">
        <v>4.7000000000000002E-3</v>
      </c>
      <c r="E17" s="88">
        <v>4.7000000000000002E-3</v>
      </c>
      <c r="F17" s="88">
        <v>1.4200000000000001E-2</v>
      </c>
      <c r="G17" s="88">
        <v>3.3999999999999998E-3</v>
      </c>
      <c r="H17" s="88">
        <v>4.0500000000000001E-2</v>
      </c>
      <c r="I17" s="88">
        <v>3.4799999999999998E-2</v>
      </c>
      <c r="J17" s="88"/>
      <c r="K17" s="87">
        <f t="shared" si="0"/>
        <v>6.7500000000000004E-2</v>
      </c>
    </row>
    <row r="18" spans="1:11" x14ac:dyDescent="0.2">
      <c r="A18" s="84">
        <f t="shared" si="1"/>
        <v>1680000.01</v>
      </c>
      <c r="B18" s="84">
        <f>1800000</f>
        <v>1800000</v>
      </c>
      <c r="C18" s="87">
        <v>0.1032</v>
      </c>
      <c r="D18" s="88">
        <v>4.7999999999999996E-3</v>
      </c>
      <c r="E18" s="88">
        <v>4.7999999999999996E-3</v>
      </c>
      <c r="F18" s="88">
        <v>1.43E-2</v>
      </c>
      <c r="G18" s="88">
        <v>3.3999999999999998E-3</v>
      </c>
      <c r="H18" s="88">
        <v>4.0800000000000003E-2</v>
      </c>
      <c r="I18" s="88">
        <v>3.5099999999999999E-2</v>
      </c>
      <c r="J18" s="88"/>
      <c r="K18" s="87">
        <f t="shared" si="0"/>
        <v>6.8099999999999994E-2</v>
      </c>
    </row>
    <row r="19" spans="1:11" x14ac:dyDescent="0.2">
      <c r="A19" s="84">
        <f t="shared" si="1"/>
        <v>1800000.01</v>
      </c>
      <c r="B19" s="84">
        <f>1920000</f>
        <v>1920000</v>
      </c>
      <c r="C19" s="87">
        <v>0.1123</v>
      </c>
      <c r="D19" s="88">
        <v>5.1999999999999998E-3</v>
      </c>
      <c r="E19" s="88">
        <v>5.1999999999999998E-3</v>
      </c>
      <c r="F19" s="88">
        <v>1.5599999999999999E-2</v>
      </c>
      <c r="G19" s="88">
        <v>3.7000000000000002E-3</v>
      </c>
      <c r="H19" s="88">
        <v>4.4400000000000002E-2</v>
      </c>
      <c r="I19" s="88">
        <v>3.8199999999999998E-2</v>
      </c>
      <c r="J19" s="88"/>
      <c r="K19" s="87">
        <f t="shared" si="0"/>
        <v>7.4099999999999999E-2</v>
      </c>
    </row>
    <row r="20" spans="1:11" x14ac:dyDescent="0.2">
      <c r="A20" s="84">
        <f t="shared" si="1"/>
        <v>1920000.01</v>
      </c>
      <c r="B20" s="84">
        <f>2040000</f>
        <v>2040000</v>
      </c>
      <c r="C20" s="87">
        <v>0.1132</v>
      </c>
      <c r="D20" s="88">
        <v>5.1999999999999998E-3</v>
      </c>
      <c r="E20" s="88">
        <v>5.1999999999999998E-3</v>
      </c>
      <c r="F20" s="88">
        <v>1.5699999999999999E-2</v>
      </c>
      <c r="G20" s="88">
        <v>3.7000000000000002E-3</v>
      </c>
      <c r="H20" s="88">
        <v>4.4900000000000002E-2</v>
      </c>
      <c r="I20" s="88">
        <v>3.85E-2</v>
      </c>
      <c r="J20" s="88"/>
      <c r="K20" s="87">
        <f t="shared" si="0"/>
        <v>7.4699999999999989E-2</v>
      </c>
    </row>
    <row r="21" spans="1:11" x14ac:dyDescent="0.2">
      <c r="A21" s="84">
        <f t="shared" si="1"/>
        <v>2040000.01</v>
      </c>
      <c r="B21" s="84">
        <f>2160000</f>
        <v>2160000</v>
      </c>
      <c r="C21" s="87">
        <v>0.1142</v>
      </c>
      <c r="D21" s="88">
        <v>5.3E-3</v>
      </c>
      <c r="E21" s="88">
        <v>5.3E-3</v>
      </c>
      <c r="F21" s="88">
        <v>1.5800000000000002E-2</v>
      </c>
      <c r="G21" s="88">
        <v>3.8E-3</v>
      </c>
      <c r="H21" s="88">
        <v>4.5199999999999997E-2</v>
      </c>
      <c r="I21" s="88">
        <v>3.8800000000000001E-2</v>
      </c>
      <c r="J21" s="88"/>
      <c r="K21" s="87">
        <f t="shared" si="0"/>
        <v>7.5399999999999995E-2</v>
      </c>
    </row>
    <row r="22" spans="1:11" x14ac:dyDescent="0.2">
      <c r="A22" s="84">
        <f t="shared" si="1"/>
        <v>2160000.0099999998</v>
      </c>
      <c r="B22" s="84">
        <f>2280000</f>
        <v>2280000</v>
      </c>
      <c r="C22" s="87">
        <v>0.11509999999999999</v>
      </c>
      <c r="D22" s="88">
        <v>5.3E-3</v>
      </c>
      <c r="E22" s="88">
        <v>5.3E-3</v>
      </c>
      <c r="F22" s="88">
        <v>1.6E-2</v>
      </c>
      <c r="G22" s="88">
        <v>3.8E-3</v>
      </c>
      <c r="H22" s="88">
        <v>4.5600000000000002E-2</v>
      </c>
      <c r="I22" s="88">
        <v>3.9100000000000003E-2</v>
      </c>
      <c r="J22" s="88"/>
      <c r="K22" s="87">
        <f t="shared" si="0"/>
        <v>7.6000000000000012E-2</v>
      </c>
    </row>
    <row r="23" spans="1:11" x14ac:dyDescent="0.2">
      <c r="A23" s="84">
        <f>2280000.01</f>
        <v>2280000.0099999998</v>
      </c>
      <c r="B23" s="84">
        <v>2400000</v>
      </c>
      <c r="C23" s="87">
        <v>0.11609999999999999</v>
      </c>
      <c r="D23" s="88">
        <v>5.4000000000000003E-3</v>
      </c>
      <c r="E23" s="88">
        <v>5.4000000000000003E-3</v>
      </c>
      <c r="F23" s="88">
        <v>1.6E-2</v>
      </c>
      <c r="G23" s="88">
        <v>3.8E-3</v>
      </c>
      <c r="H23" s="88">
        <v>4.5999999999999999E-2</v>
      </c>
      <c r="I23" s="88">
        <v>3.95E-2</v>
      </c>
      <c r="J23" s="88"/>
      <c r="K23" s="87">
        <f t="shared" si="0"/>
        <v>7.6600000000000001E-2</v>
      </c>
    </row>
    <row r="24" spans="1:11" x14ac:dyDescent="0.2">
      <c r="A24" s="8">
        <f>2400000*1.2</f>
        <v>2880000</v>
      </c>
      <c r="B24" s="8"/>
      <c r="C24" s="87">
        <v>0.11609999999999999</v>
      </c>
      <c r="D24" s="9"/>
      <c r="E24" s="10"/>
      <c r="F24" s="10"/>
      <c r="G24" s="10"/>
      <c r="H24" s="10"/>
      <c r="I24" s="10"/>
      <c r="K24" s="87">
        <f>SUM(D23:J23)-I23</f>
        <v>7.6600000000000001E-2</v>
      </c>
    </row>
    <row r="25" spans="1:11" x14ac:dyDescent="0.2">
      <c r="J25" s="10" t="s">
        <v>46</v>
      </c>
    </row>
    <row r="33" spans="12:13" x14ac:dyDescent="0.2">
      <c r="L33" t="s">
        <v>29</v>
      </c>
      <c r="M33">
        <f>VLOOKUP(Comércio!J8,A4:C24,3)</f>
        <v>0.11609999999999999</v>
      </c>
    </row>
    <row r="34" spans="12:13" x14ac:dyDescent="0.2">
      <c r="L34" t="s">
        <v>30</v>
      </c>
      <c r="M34">
        <f>VLOOKUP(Comércio!J8,A4:K24,11)</f>
        <v>7.6600000000000001E-2</v>
      </c>
    </row>
    <row r="35" spans="12:13" x14ac:dyDescent="0.2">
      <c r="L35" t="s">
        <v>28</v>
      </c>
      <c r="M35">
        <f>VLOOKUP(Comércio!J8,A4:K24,11)</f>
        <v>7.6600000000000001E-2</v>
      </c>
    </row>
  </sheetData>
  <sheetProtection sheet="1"/>
  <mergeCells count="1">
    <mergeCell ref="A3:B3"/>
  </mergeCells>
  <phoneticPr fontId="0" type="noConversion"/>
  <hyperlinks>
    <hyperlink ref="D3" r:id="rId1" display="http://www.planalto.gov.br/ccivil_03/Leis/LCP/Lcp128.htm" xr:uid="{00000000-0004-0000-0100-000000000000}"/>
    <hyperlink ref="E3" r:id="rId2" display="http://www.planalto.gov.br/ccivil_03/Leis/LCP/Lcp128.htm" xr:uid="{00000000-0004-0000-0100-000001000000}"/>
    <hyperlink ref="F3" r:id="rId3" display="http://www.planalto.gov.br/ccivil_03/Leis/LCP/Lcp128.htm" xr:uid="{00000000-0004-0000-0100-000002000000}"/>
    <hyperlink ref="G3" r:id="rId4" display="http://www.planalto.gov.br/ccivil_03/Leis/LCP/Lcp128.htm" xr:uid="{00000000-0004-0000-0100-000003000000}"/>
    <hyperlink ref="H3" r:id="rId5" display="http://www.planalto.gov.br/ccivil_03/Leis/LCP/Lcp128.htm" xr:uid="{00000000-0004-0000-0100-000004000000}"/>
    <hyperlink ref="I3" r:id="rId6" display="http://www.planalto.gov.br/ccivil_03/Leis/LCP/Lcp128.htm" xr:uid="{00000000-0004-0000-0100-000005000000}"/>
    <hyperlink ref="D4" r:id="rId7" display="http://www.planalto.gov.br/ccivil_03/Leis/LCP/Lcp128.htm" xr:uid="{00000000-0004-0000-0100-000006000000}"/>
    <hyperlink ref="E4" r:id="rId8" display="http://www.planalto.gov.br/ccivil_03/Leis/LCP/Lcp128.htm" xr:uid="{00000000-0004-0000-0100-000007000000}"/>
    <hyperlink ref="F4" r:id="rId9" display="http://www.planalto.gov.br/ccivil_03/Leis/LCP/Lcp128.htm" xr:uid="{00000000-0004-0000-0100-000008000000}"/>
    <hyperlink ref="G4" r:id="rId10" display="http://www.planalto.gov.br/ccivil_03/Leis/LCP/Lcp128.htm" xr:uid="{00000000-0004-0000-0100-000009000000}"/>
    <hyperlink ref="H4" r:id="rId11" display="http://www.planalto.gov.br/ccivil_03/Leis/LCP/Lcp128.htm" xr:uid="{00000000-0004-0000-0100-00000A000000}"/>
    <hyperlink ref="I4" r:id="rId12" display="http://www.planalto.gov.br/ccivil_03/Leis/LCP/Lcp128.htm" xr:uid="{00000000-0004-0000-0100-00000B000000}"/>
    <hyperlink ref="D5" r:id="rId13" display="http://www.planalto.gov.br/ccivil_03/Leis/LCP/Lcp128.htm" xr:uid="{00000000-0004-0000-0100-00000C000000}"/>
    <hyperlink ref="E5" r:id="rId14" display="http://www.planalto.gov.br/ccivil_03/Leis/LCP/Lcp128.htm" xr:uid="{00000000-0004-0000-0100-00000D000000}"/>
    <hyperlink ref="F5" r:id="rId15" display="http://www.planalto.gov.br/ccivil_03/Leis/LCP/Lcp128.htm" xr:uid="{00000000-0004-0000-0100-00000E000000}"/>
    <hyperlink ref="G5" r:id="rId16" display="http://www.planalto.gov.br/ccivil_03/Leis/LCP/Lcp128.htm" xr:uid="{00000000-0004-0000-0100-00000F000000}"/>
    <hyperlink ref="H5" r:id="rId17" display="http://www.planalto.gov.br/ccivil_03/Leis/LCP/Lcp128.htm" xr:uid="{00000000-0004-0000-0100-000010000000}"/>
    <hyperlink ref="I5" r:id="rId18" display="http://www.planalto.gov.br/ccivil_03/Leis/LCP/Lcp128.htm" xr:uid="{00000000-0004-0000-0100-000011000000}"/>
    <hyperlink ref="D6" r:id="rId19" display="http://www.planalto.gov.br/ccivil_03/Leis/LCP/Lcp128.htm" xr:uid="{00000000-0004-0000-0100-000012000000}"/>
    <hyperlink ref="E6" r:id="rId20" display="http://www.planalto.gov.br/ccivil_03/Leis/LCP/Lcp128.htm" xr:uid="{00000000-0004-0000-0100-000013000000}"/>
    <hyperlink ref="F6" r:id="rId21" display="http://www.planalto.gov.br/ccivil_03/Leis/LCP/Lcp128.htm" xr:uid="{00000000-0004-0000-0100-000014000000}"/>
    <hyperlink ref="G6" r:id="rId22" display="http://www.planalto.gov.br/ccivil_03/Leis/LCP/Lcp128.htm" xr:uid="{00000000-0004-0000-0100-000015000000}"/>
    <hyperlink ref="H6" r:id="rId23" display="http://www.planalto.gov.br/ccivil_03/Leis/LCP/Lcp128.htm" xr:uid="{00000000-0004-0000-0100-000016000000}"/>
    <hyperlink ref="I6" r:id="rId24" display="http://www.planalto.gov.br/ccivil_03/Leis/LCP/Lcp128.htm" xr:uid="{00000000-0004-0000-0100-000017000000}"/>
    <hyperlink ref="D7" r:id="rId25" display="http://www.planalto.gov.br/ccivil_03/Leis/LCP/Lcp128.htm" xr:uid="{00000000-0004-0000-0100-000018000000}"/>
    <hyperlink ref="E7" r:id="rId26" display="http://www.planalto.gov.br/ccivil_03/Leis/LCP/Lcp128.htm" xr:uid="{00000000-0004-0000-0100-000019000000}"/>
    <hyperlink ref="F7" r:id="rId27" display="http://www.planalto.gov.br/ccivil_03/Leis/LCP/Lcp128.htm" xr:uid="{00000000-0004-0000-0100-00001A000000}"/>
    <hyperlink ref="G7" r:id="rId28" display="http://www.planalto.gov.br/ccivil_03/Leis/LCP/Lcp128.htm" xr:uid="{00000000-0004-0000-0100-00001B000000}"/>
    <hyperlink ref="H7" r:id="rId29" display="http://www.planalto.gov.br/ccivil_03/Leis/LCP/Lcp128.htm" xr:uid="{00000000-0004-0000-0100-00001C000000}"/>
    <hyperlink ref="I7" r:id="rId30" display="http://www.planalto.gov.br/ccivil_03/Leis/LCP/Lcp128.htm" xr:uid="{00000000-0004-0000-0100-00001D000000}"/>
    <hyperlink ref="D8" r:id="rId31" display="http://www.planalto.gov.br/ccivil_03/Leis/LCP/Lcp128.htm" xr:uid="{00000000-0004-0000-0100-00001E000000}"/>
    <hyperlink ref="E8" r:id="rId32" display="http://www.planalto.gov.br/ccivil_03/Leis/LCP/Lcp128.htm" xr:uid="{00000000-0004-0000-0100-00001F000000}"/>
    <hyperlink ref="F8" r:id="rId33" display="http://www.planalto.gov.br/ccivil_03/Leis/LCP/Lcp128.htm" xr:uid="{00000000-0004-0000-0100-000020000000}"/>
    <hyperlink ref="G8" r:id="rId34" display="http://www.planalto.gov.br/ccivil_03/Leis/LCP/Lcp128.htm" xr:uid="{00000000-0004-0000-0100-000021000000}"/>
    <hyperlink ref="H8" r:id="rId35" display="http://www.planalto.gov.br/ccivil_03/Leis/LCP/Lcp128.htm" xr:uid="{00000000-0004-0000-0100-000022000000}"/>
    <hyperlink ref="I8" r:id="rId36" display="http://www.planalto.gov.br/ccivil_03/Leis/LCP/Lcp128.htm" xr:uid="{00000000-0004-0000-0100-000023000000}"/>
    <hyperlink ref="D9" r:id="rId37" display="http://www.planalto.gov.br/ccivil_03/Leis/LCP/Lcp128.htm" xr:uid="{00000000-0004-0000-0100-000024000000}"/>
    <hyperlink ref="E9" r:id="rId38" display="http://www.planalto.gov.br/ccivil_03/Leis/LCP/Lcp128.htm" xr:uid="{00000000-0004-0000-0100-000025000000}"/>
    <hyperlink ref="F9" r:id="rId39" display="http://www.planalto.gov.br/ccivil_03/Leis/LCP/Lcp128.htm" xr:uid="{00000000-0004-0000-0100-000026000000}"/>
    <hyperlink ref="G9" r:id="rId40" display="http://www.planalto.gov.br/ccivil_03/Leis/LCP/Lcp128.htm" xr:uid="{00000000-0004-0000-0100-000027000000}"/>
    <hyperlink ref="H9" r:id="rId41" display="http://www.planalto.gov.br/ccivil_03/Leis/LCP/Lcp128.htm" xr:uid="{00000000-0004-0000-0100-000028000000}"/>
    <hyperlink ref="I9" r:id="rId42" display="http://www.planalto.gov.br/ccivil_03/Leis/LCP/Lcp128.htm" xr:uid="{00000000-0004-0000-0100-000029000000}"/>
    <hyperlink ref="D10" r:id="rId43" display="http://www.planalto.gov.br/ccivil_03/Leis/LCP/Lcp128.htm" xr:uid="{00000000-0004-0000-0100-00002A000000}"/>
    <hyperlink ref="E10" r:id="rId44" display="http://www.planalto.gov.br/ccivil_03/Leis/LCP/Lcp128.htm" xr:uid="{00000000-0004-0000-0100-00002B000000}"/>
    <hyperlink ref="F10" r:id="rId45" display="http://www.planalto.gov.br/ccivil_03/Leis/LCP/Lcp128.htm" xr:uid="{00000000-0004-0000-0100-00002C000000}"/>
    <hyperlink ref="G10" r:id="rId46" display="http://www.planalto.gov.br/ccivil_03/Leis/LCP/Lcp128.htm" xr:uid="{00000000-0004-0000-0100-00002D000000}"/>
    <hyperlink ref="H10" r:id="rId47" display="http://www.planalto.gov.br/ccivil_03/Leis/LCP/Lcp128.htm" xr:uid="{00000000-0004-0000-0100-00002E000000}"/>
    <hyperlink ref="I10" r:id="rId48" display="http://www.planalto.gov.br/ccivil_03/Leis/LCP/Lcp128.htm" xr:uid="{00000000-0004-0000-0100-00002F000000}"/>
    <hyperlink ref="D11" r:id="rId49" display="http://www.planalto.gov.br/ccivil_03/Leis/LCP/Lcp128.htm" xr:uid="{00000000-0004-0000-0100-000030000000}"/>
    <hyperlink ref="E11" r:id="rId50" display="http://www.planalto.gov.br/ccivil_03/Leis/LCP/Lcp128.htm" xr:uid="{00000000-0004-0000-0100-000031000000}"/>
    <hyperlink ref="F11" r:id="rId51" display="http://www.planalto.gov.br/ccivil_03/Leis/LCP/Lcp128.htm" xr:uid="{00000000-0004-0000-0100-000032000000}"/>
    <hyperlink ref="G11" r:id="rId52" display="http://www.planalto.gov.br/ccivil_03/Leis/LCP/Lcp128.htm" xr:uid="{00000000-0004-0000-0100-000033000000}"/>
    <hyperlink ref="H11" r:id="rId53" display="http://www.planalto.gov.br/ccivil_03/Leis/LCP/Lcp128.htm" xr:uid="{00000000-0004-0000-0100-000034000000}"/>
    <hyperlink ref="I11" r:id="rId54" display="http://www.planalto.gov.br/ccivil_03/Leis/LCP/Lcp128.htm" xr:uid="{00000000-0004-0000-0100-000035000000}"/>
    <hyperlink ref="D12" r:id="rId55" display="http://www.planalto.gov.br/ccivil_03/Leis/LCP/Lcp128.htm" xr:uid="{00000000-0004-0000-0100-000036000000}"/>
    <hyperlink ref="E12" r:id="rId56" display="http://www.planalto.gov.br/ccivil_03/Leis/LCP/Lcp128.htm" xr:uid="{00000000-0004-0000-0100-000037000000}"/>
    <hyperlink ref="F12" r:id="rId57" display="http://www.planalto.gov.br/ccivil_03/Leis/LCP/Lcp128.htm" xr:uid="{00000000-0004-0000-0100-000038000000}"/>
    <hyperlink ref="G12" r:id="rId58" display="http://www.planalto.gov.br/ccivil_03/Leis/LCP/Lcp128.htm" xr:uid="{00000000-0004-0000-0100-000039000000}"/>
    <hyperlink ref="H12" r:id="rId59" display="http://www.planalto.gov.br/ccivil_03/Leis/LCP/Lcp128.htm" xr:uid="{00000000-0004-0000-0100-00003A000000}"/>
    <hyperlink ref="I12" r:id="rId60" display="http://www.planalto.gov.br/ccivil_03/Leis/LCP/Lcp128.htm" xr:uid="{00000000-0004-0000-0100-00003B000000}"/>
    <hyperlink ref="D13" r:id="rId61" display="http://www.planalto.gov.br/ccivil_03/Leis/LCP/Lcp128.htm" xr:uid="{00000000-0004-0000-0100-00003C000000}"/>
    <hyperlink ref="E13" r:id="rId62" display="http://www.planalto.gov.br/ccivil_03/Leis/LCP/Lcp128.htm" xr:uid="{00000000-0004-0000-0100-00003D000000}"/>
    <hyperlink ref="F13" r:id="rId63" display="http://www.planalto.gov.br/ccivil_03/Leis/LCP/Lcp128.htm" xr:uid="{00000000-0004-0000-0100-00003E000000}"/>
    <hyperlink ref="G13" r:id="rId64" display="http://www.planalto.gov.br/ccivil_03/Leis/LCP/Lcp128.htm" xr:uid="{00000000-0004-0000-0100-00003F000000}"/>
    <hyperlink ref="H13" r:id="rId65" display="http://www.planalto.gov.br/ccivil_03/Leis/LCP/Lcp128.htm" xr:uid="{00000000-0004-0000-0100-000040000000}"/>
    <hyperlink ref="I13" r:id="rId66" display="http://www.planalto.gov.br/ccivil_03/Leis/LCP/Lcp128.htm" xr:uid="{00000000-0004-0000-0100-000041000000}"/>
    <hyperlink ref="D14" r:id="rId67" display="http://www.planalto.gov.br/ccivil_03/Leis/LCP/Lcp128.htm" xr:uid="{00000000-0004-0000-0100-000042000000}"/>
    <hyperlink ref="E14" r:id="rId68" display="http://www.planalto.gov.br/ccivil_03/Leis/LCP/Lcp128.htm" xr:uid="{00000000-0004-0000-0100-000043000000}"/>
    <hyperlink ref="F14" r:id="rId69" display="http://www.planalto.gov.br/ccivil_03/Leis/LCP/Lcp128.htm" xr:uid="{00000000-0004-0000-0100-000044000000}"/>
    <hyperlink ref="G14" r:id="rId70" display="http://www.planalto.gov.br/ccivil_03/Leis/LCP/Lcp128.htm" xr:uid="{00000000-0004-0000-0100-000045000000}"/>
    <hyperlink ref="H14" r:id="rId71" display="http://www.planalto.gov.br/ccivil_03/Leis/LCP/Lcp128.htm" xr:uid="{00000000-0004-0000-0100-000046000000}"/>
    <hyperlink ref="I14" r:id="rId72" display="http://www.planalto.gov.br/ccivil_03/Leis/LCP/Lcp128.htm" xr:uid="{00000000-0004-0000-0100-000047000000}"/>
    <hyperlink ref="D15" r:id="rId73" display="http://www.planalto.gov.br/ccivil_03/Leis/LCP/Lcp128.htm" xr:uid="{00000000-0004-0000-0100-000048000000}"/>
    <hyperlink ref="E15" r:id="rId74" display="http://www.planalto.gov.br/ccivil_03/Leis/LCP/Lcp128.htm" xr:uid="{00000000-0004-0000-0100-000049000000}"/>
    <hyperlink ref="F15" r:id="rId75" display="http://www.planalto.gov.br/ccivil_03/Leis/LCP/Lcp128.htm" xr:uid="{00000000-0004-0000-0100-00004A000000}"/>
    <hyperlink ref="G15" r:id="rId76" display="http://www.planalto.gov.br/ccivil_03/Leis/LCP/Lcp128.htm" xr:uid="{00000000-0004-0000-0100-00004B000000}"/>
    <hyperlink ref="H15" r:id="rId77" display="http://www.planalto.gov.br/ccivil_03/Leis/LCP/Lcp128.htm" xr:uid="{00000000-0004-0000-0100-00004C000000}"/>
    <hyperlink ref="I15" r:id="rId78" display="http://www.planalto.gov.br/ccivil_03/Leis/LCP/Lcp128.htm" xr:uid="{00000000-0004-0000-0100-00004D000000}"/>
    <hyperlink ref="D16" r:id="rId79" display="http://www.planalto.gov.br/ccivil_03/Leis/LCP/Lcp128.htm" xr:uid="{00000000-0004-0000-0100-00004E000000}"/>
    <hyperlink ref="E16" r:id="rId80" display="http://www.planalto.gov.br/ccivil_03/Leis/LCP/Lcp128.htm" xr:uid="{00000000-0004-0000-0100-00004F000000}"/>
    <hyperlink ref="F16" r:id="rId81" display="http://www.planalto.gov.br/ccivil_03/Leis/LCP/Lcp128.htm" xr:uid="{00000000-0004-0000-0100-000050000000}"/>
    <hyperlink ref="G16" r:id="rId82" display="http://www.planalto.gov.br/ccivil_03/Leis/LCP/Lcp128.htm" xr:uid="{00000000-0004-0000-0100-000051000000}"/>
    <hyperlink ref="H16" r:id="rId83" display="http://www.planalto.gov.br/ccivil_03/Leis/LCP/Lcp128.htm" xr:uid="{00000000-0004-0000-0100-000052000000}"/>
    <hyperlink ref="I16" r:id="rId84" display="http://www.planalto.gov.br/ccivil_03/Leis/LCP/Lcp128.htm" xr:uid="{00000000-0004-0000-0100-000053000000}"/>
    <hyperlink ref="D17" r:id="rId85" display="http://www.planalto.gov.br/ccivil_03/Leis/LCP/Lcp128.htm" xr:uid="{00000000-0004-0000-0100-000054000000}"/>
    <hyperlink ref="E17" r:id="rId86" display="http://www.planalto.gov.br/ccivil_03/Leis/LCP/Lcp128.htm" xr:uid="{00000000-0004-0000-0100-000055000000}"/>
    <hyperlink ref="F17" r:id="rId87" display="http://www.planalto.gov.br/ccivil_03/Leis/LCP/Lcp128.htm" xr:uid="{00000000-0004-0000-0100-000056000000}"/>
    <hyperlink ref="G17" r:id="rId88" display="http://www.planalto.gov.br/ccivil_03/Leis/LCP/Lcp128.htm" xr:uid="{00000000-0004-0000-0100-000057000000}"/>
    <hyperlink ref="H17" r:id="rId89" display="http://www.planalto.gov.br/ccivil_03/Leis/LCP/Lcp128.htm" xr:uid="{00000000-0004-0000-0100-000058000000}"/>
    <hyperlink ref="I17" r:id="rId90" display="http://www.planalto.gov.br/ccivil_03/Leis/LCP/Lcp128.htm" xr:uid="{00000000-0004-0000-0100-000059000000}"/>
    <hyperlink ref="D18" r:id="rId91" display="http://www.planalto.gov.br/ccivil_03/Leis/LCP/Lcp128.htm" xr:uid="{00000000-0004-0000-0100-00005A000000}"/>
    <hyperlink ref="E18" r:id="rId92" display="http://www.planalto.gov.br/ccivil_03/Leis/LCP/Lcp128.htm" xr:uid="{00000000-0004-0000-0100-00005B000000}"/>
    <hyperlink ref="F18" r:id="rId93" display="http://www.planalto.gov.br/ccivil_03/Leis/LCP/Lcp128.htm" xr:uid="{00000000-0004-0000-0100-00005C000000}"/>
    <hyperlink ref="G18" r:id="rId94" display="http://www.planalto.gov.br/ccivil_03/Leis/LCP/Lcp128.htm" xr:uid="{00000000-0004-0000-0100-00005D000000}"/>
    <hyperlink ref="H18" r:id="rId95" display="http://www.planalto.gov.br/ccivil_03/Leis/LCP/Lcp128.htm" xr:uid="{00000000-0004-0000-0100-00005E000000}"/>
    <hyperlink ref="I18" r:id="rId96" display="http://www.planalto.gov.br/ccivil_03/Leis/LCP/Lcp128.htm" xr:uid="{00000000-0004-0000-0100-00005F000000}"/>
    <hyperlink ref="D19" r:id="rId97" display="http://www.planalto.gov.br/ccivil_03/Leis/LCP/Lcp128.htm" xr:uid="{00000000-0004-0000-0100-000060000000}"/>
    <hyperlink ref="E19" r:id="rId98" display="http://www.planalto.gov.br/ccivil_03/Leis/LCP/Lcp128.htm" xr:uid="{00000000-0004-0000-0100-000061000000}"/>
    <hyperlink ref="F19" r:id="rId99" display="http://www.planalto.gov.br/ccivil_03/Leis/LCP/Lcp128.htm" xr:uid="{00000000-0004-0000-0100-000062000000}"/>
    <hyperlink ref="G19" r:id="rId100" display="http://www.planalto.gov.br/ccivil_03/Leis/LCP/Lcp128.htm" xr:uid="{00000000-0004-0000-0100-000063000000}"/>
    <hyperlink ref="H19" r:id="rId101" display="http://www.planalto.gov.br/ccivil_03/Leis/LCP/Lcp128.htm" xr:uid="{00000000-0004-0000-0100-000064000000}"/>
    <hyperlink ref="I19" r:id="rId102" display="http://www.planalto.gov.br/ccivil_03/Leis/LCP/Lcp128.htm" xr:uid="{00000000-0004-0000-0100-000065000000}"/>
    <hyperlink ref="D20" r:id="rId103" display="http://www.planalto.gov.br/ccivil_03/Leis/LCP/Lcp128.htm" xr:uid="{00000000-0004-0000-0100-000066000000}"/>
    <hyperlink ref="E20" r:id="rId104" display="http://www.planalto.gov.br/ccivil_03/Leis/LCP/Lcp128.htm" xr:uid="{00000000-0004-0000-0100-000067000000}"/>
    <hyperlink ref="F20" r:id="rId105" display="http://www.planalto.gov.br/ccivil_03/Leis/LCP/Lcp128.htm" xr:uid="{00000000-0004-0000-0100-000068000000}"/>
    <hyperlink ref="G20" r:id="rId106" display="http://www.planalto.gov.br/ccivil_03/Leis/LCP/Lcp128.htm" xr:uid="{00000000-0004-0000-0100-000069000000}"/>
    <hyperlink ref="H20" r:id="rId107" display="http://www.planalto.gov.br/ccivil_03/Leis/LCP/Lcp128.htm" xr:uid="{00000000-0004-0000-0100-00006A000000}"/>
    <hyperlink ref="I20" r:id="rId108" display="http://www.planalto.gov.br/ccivil_03/Leis/LCP/Lcp128.htm" xr:uid="{00000000-0004-0000-0100-00006B000000}"/>
    <hyperlink ref="D21" r:id="rId109" display="http://www.planalto.gov.br/ccivil_03/Leis/LCP/Lcp128.htm" xr:uid="{00000000-0004-0000-0100-00006C000000}"/>
    <hyperlink ref="E21" r:id="rId110" display="http://www.planalto.gov.br/ccivil_03/Leis/LCP/Lcp128.htm" xr:uid="{00000000-0004-0000-0100-00006D000000}"/>
    <hyperlink ref="F21" r:id="rId111" display="http://www.planalto.gov.br/ccivil_03/Leis/LCP/Lcp128.htm" xr:uid="{00000000-0004-0000-0100-00006E000000}"/>
    <hyperlink ref="G21" r:id="rId112" display="http://www.planalto.gov.br/ccivil_03/Leis/LCP/Lcp128.htm" xr:uid="{00000000-0004-0000-0100-00006F000000}"/>
    <hyperlink ref="H21" r:id="rId113" display="http://www.planalto.gov.br/ccivil_03/Leis/LCP/Lcp128.htm" xr:uid="{00000000-0004-0000-0100-000070000000}"/>
    <hyperlink ref="I21" r:id="rId114" display="http://www.planalto.gov.br/ccivil_03/Leis/LCP/Lcp128.htm" xr:uid="{00000000-0004-0000-0100-000071000000}"/>
    <hyperlink ref="D22" r:id="rId115" display="http://www.planalto.gov.br/ccivil_03/Leis/LCP/Lcp128.htm" xr:uid="{00000000-0004-0000-0100-000072000000}"/>
    <hyperlink ref="E22" r:id="rId116" display="http://www.planalto.gov.br/ccivil_03/Leis/LCP/Lcp128.htm" xr:uid="{00000000-0004-0000-0100-000073000000}"/>
    <hyperlink ref="F22" r:id="rId117" display="http://www.planalto.gov.br/ccivil_03/Leis/LCP/Lcp128.htm" xr:uid="{00000000-0004-0000-0100-000074000000}"/>
    <hyperlink ref="G22" r:id="rId118" display="http://www.planalto.gov.br/ccivil_03/Leis/LCP/Lcp128.htm" xr:uid="{00000000-0004-0000-0100-000075000000}"/>
    <hyperlink ref="H22" r:id="rId119" display="http://www.planalto.gov.br/ccivil_03/Leis/LCP/Lcp128.htm" xr:uid="{00000000-0004-0000-0100-000076000000}"/>
    <hyperlink ref="I22" r:id="rId120" display="http://www.planalto.gov.br/ccivil_03/Leis/LCP/Lcp128.htm" xr:uid="{00000000-0004-0000-0100-000077000000}"/>
    <hyperlink ref="D23" r:id="rId121" display="http://www.planalto.gov.br/ccivil_03/Leis/LCP/Lcp128.htm" xr:uid="{00000000-0004-0000-0100-000078000000}"/>
    <hyperlink ref="E23" r:id="rId122" display="http://www.planalto.gov.br/ccivil_03/Leis/LCP/Lcp128.htm" xr:uid="{00000000-0004-0000-0100-000079000000}"/>
    <hyperlink ref="F23" r:id="rId123" display="http://www.planalto.gov.br/ccivil_03/Leis/LCP/Lcp128.htm" xr:uid="{00000000-0004-0000-0100-00007A000000}"/>
    <hyperlink ref="G23" r:id="rId124" display="http://www.planalto.gov.br/ccivil_03/Leis/LCP/Lcp128.htm" xr:uid="{00000000-0004-0000-0100-00007B000000}"/>
    <hyperlink ref="H23" r:id="rId125" display="http://www.planalto.gov.br/ccivil_03/Leis/LCP/Lcp128.htm" xr:uid="{00000000-0004-0000-0100-00007C000000}"/>
    <hyperlink ref="I23" r:id="rId126" display="http://www.planalto.gov.br/ccivil_03/Leis/LCP/Lcp128.htm" xr:uid="{00000000-0004-0000-0100-00007D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6"/>
  <sheetViews>
    <sheetView zoomScaleNormal="100" workbookViewId="0" xr3:uid="{842E5F09-E766-5B8D-85AF-A39847EA96FD}">
      <selection activeCell="I16" sqref="I16"/>
    </sheetView>
  </sheetViews>
  <sheetFormatPr defaultColWidth="9.14453125" defaultRowHeight="15" customHeight="1" x14ac:dyDescent="0.15"/>
  <cols>
    <col min="1" max="1" width="2.6875" style="12" customWidth="1"/>
    <col min="2" max="2" width="3.09375" style="14" customWidth="1"/>
    <col min="3" max="3" width="42.23828125" style="12" customWidth="1"/>
    <col min="4" max="4" width="14.66015625" style="13" bestFit="1" customWidth="1"/>
    <col min="5" max="5" width="2.15234375" style="14" customWidth="1"/>
    <col min="6" max="6" width="46.140625" style="12" customWidth="1"/>
    <col min="7" max="7" width="14.66015625" style="12" bestFit="1" customWidth="1"/>
    <col min="8" max="8" width="2.015625" style="12" customWidth="1"/>
    <col min="9" max="9" width="41.69921875" style="12" customWidth="1"/>
    <col min="10" max="10" width="17.484375" style="12" customWidth="1"/>
    <col min="11" max="256" width="11.43359375" style="12" customWidth="1"/>
    <col min="257" max="16384" width="9.14453125" style="12"/>
  </cols>
  <sheetData>
    <row r="2" spans="2:10" ht="26.25" customHeight="1" x14ac:dyDescent="0.25">
      <c r="C2" s="58" t="s">
        <v>34</v>
      </c>
      <c r="D2" s="12"/>
    </row>
    <row r="5" spans="2:10" ht="15" customHeight="1" x14ac:dyDescent="0.25">
      <c r="B5" s="11" t="s">
        <v>9</v>
      </c>
      <c r="G5" s="12" t="s">
        <v>38</v>
      </c>
      <c r="J5" s="60" t="s">
        <v>37</v>
      </c>
    </row>
    <row r="7" spans="2:10" ht="15" customHeight="1" x14ac:dyDescent="0.15">
      <c r="B7" s="34"/>
      <c r="C7" s="35" t="s">
        <v>14</v>
      </c>
      <c r="D7" s="36"/>
      <c r="F7" s="20" t="s">
        <v>15</v>
      </c>
      <c r="G7" s="21"/>
      <c r="I7" s="20" t="s">
        <v>16</v>
      </c>
      <c r="J7" s="21"/>
    </row>
    <row r="8" spans="2:10" ht="15" customHeight="1" x14ac:dyDescent="0.15">
      <c r="B8" s="37"/>
      <c r="D8" s="24"/>
      <c r="F8" s="22"/>
      <c r="G8" s="23"/>
      <c r="I8" s="22"/>
      <c r="J8" s="23"/>
    </row>
    <row r="9" spans="2:10" ht="15" customHeight="1" x14ac:dyDescent="0.15">
      <c r="B9" s="37"/>
      <c r="C9" s="12" t="s">
        <v>4</v>
      </c>
      <c r="D9" s="44">
        <v>300000</v>
      </c>
      <c r="F9" s="22" t="s">
        <v>4</v>
      </c>
      <c r="G9" s="24">
        <f>D9</f>
        <v>300000</v>
      </c>
      <c r="I9" s="22" t="s">
        <v>51</v>
      </c>
      <c r="J9" s="24">
        <f>G9</f>
        <v>300000</v>
      </c>
    </row>
    <row r="10" spans="2:10" ht="15" customHeight="1" x14ac:dyDescent="0.15">
      <c r="B10" s="37"/>
      <c r="C10" s="48">
        <v>0.05</v>
      </c>
      <c r="D10" s="24">
        <f>(D9*C10)</f>
        <v>15000</v>
      </c>
      <c r="F10" s="49">
        <f>C10</f>
        <v>0.05</v>
      </c>
      <c r="G10" s="24">
        <f>D10</f>
        <v>15000</v>
      </c>
      <c r="I10" s="22" t="s">
        <v>26</v>
      </c>
      <c r="J10" s="24">
        <f>G9*12</f>
        <v>3600000</v>
      </c>
    </row>
    <row r="11" spans="2:10" ht="15" customHeight="1" x14ac:dyDescent="0.15">
      <c r="B11" s="37"/>
      <c r="C11" s="1">
        <v>6.4999999999999997E-3</v>
      </c>
      <c r="D11" s="24">
        <f>D9*C11</f>
        <v>1950</v>
      </c>
      <c r="F11" s="25">
        <v>6.4999999999999997E-3</v>
      </c>
      <c r="G11" s="24">
        <f>G9*F11</f>
        <v>1950</v>
      </c>
      <c r="I11" s="22"/>
      <c r="J11" s="24"/>
    </row>
    <row r="12" spans="2:10" ht="15" customHeight="1" x14ac:dyDescent="0.15">
      <c r="B12" s="37"/>
      <c r="C12" s="2">
        <v>0.03</v>
      </c>
      <c r="D12" s="24">
        <f>D9*C12</f>
        <v>9000</v>
      </c>
      <c r="F12" s="26">
        <v>0.03</v>
      </c>
      <c r="G12" s="24">
        <f>G9*F12</f>
        <v>9000</v>
      </c>
      <c r="I12" s="22"/>
      <c r="J12" s="23"/>
    </row>
    <row r="13" spans="2:10" ht="15" customHeight="1" x14ac:dyDescent="0.15">
      <c r="B13" s="37" t="s">
        <v>1</v>
      </c>
      <c r="C13" s="12" t="s">
        <v>5</v>
      </c>
      <c r="D13" s="24">
        <f>D9-D10-D11-D12</f>
        <v>274050</v>
      </c>
      <c r="F13" s="22" t="s">
        <v>5</v>
      </c>
      <c r="G13" s="24">
        <f>G9-G10-G11-G12</f>
        <v>274050</v>
      </c>
      <c r="I13" s="22"/>
      <c r="J13" s="23"/>
    </row>
    <row r="14" spans="2:10" ht="15" customHeight="1" x14ac:dyDescent="0.15">
      <c r="B14" s="37" t="s">
        <v>0</v>
      </c>
      <c r="C14" s="61">
        <v>0.57999999999999996</v>
      </c>
      <c r="D14" s="24">
        <f>D9*C14</f>
        <v>174000</v>
      </c>
      <c r="F14" s="70">
        <f>C14</f>
        <v>0.57999999999999996</v>
      </c>
      <c r="G14" s="24">
        <f>G9*F14</f>
        <v>174000</v>
      </c>
      <c r="I14" s="70">
        <f>C14</f>
        <v>0.57999999999999996</v>
      </c>
      <c r="J14" s="24">
        <f>J9*I14</f>
        <v>174000</v>
      </c>
    </row>
    <row r="15" spans="2:10" ht="15" customHeight="1" x14ac:dyDescent="0.15">
      <c r="B15" s="37" t="s">
        <v>1</v>
      </c>
      <c r="C15" s="12" t="s">
        <v>27</v>
      </c>
      <c r="D15" s="24">
        <f>D13-D14</f>
        <v>100050</v>
      </c>
      <c r="F15" s="22" t="s">
        <v>6</v>
      </c>
      <c r="G15" s="24">
        <f>G13-G14</f>
        <v>100050</v>
      </c>
      <c r="I15" s="22"/>
      <c r="J15" s="23"/>
    </row>
    <row r="16" spans="2:10" ht="15" customHeight="1" x14ac:dyDescent="0.15">
      <c r="B16" s="37" t="s">
        <v>0</v>
      </c>
      <c r="C16" s="52">
        <v>0.03</v>
      </c>
      <c r="D16" s="24">
        <f>D9*C16</f>
        <v>9000</v>
      </c>
      <c r="F16" s="55">
        <f>C16</f>
        <v>0.03</v>
      </c>
      <c r="G16" s="24">
        <f>G9*F16</f>
        <v>9000</v>
      </c>
      <c r="I16" s="110">
        <f>C16</f>
        <v>0.03</v>
      </c>
      <c r="J16" s="24">
        <f>J9*I16</f>
        <v>9000</v>
      </c>
    </row>
    <row r="17" spans="2:10" ht="15" customHeight="1" x14ac:dyDescent="0.15">
      <c r="B17" s="37" t="s">
        <v>0</v>
      </c>
      <c r="C17" s="53">
        <v>0.2</v>
      </c>
      <c r="D17" s="24">
        <f>D16*C17</f>
        <v>1800</v>
      </c>
      <c r="F17" s="56">
        <f>C17</f>
        <v>0.2</v>
      </c>
      <c r="G17" s="24">
        <f>D17</f>
        <v>1800</v>
      </c>
      <c r="I17" s="27"/>
      <c r="J17" s="24"/>
    </row>
    <row r="18" spans="2:10" ht="15" customHeight="1" x14ac:dyDescent="0.15">
      <c r="B18" s="37" t="s">
        <v>0</v>
      </c>
      <c r="C18" s="54">
        <v>0</v>
      </c>
      <c r="D18" s="24">
        <f>D9*C18</f>
        <v>0</v>
      </c>
      <c r="F18" s="57">
        <f>C18</f>
        <v>0</v>
      </c>
      <c r="G18" s="24">
        <f>D18</f>
        <v>0</v>
      </c>
      <c r="I18" s="57">
        <f>C18</f>
        <v>0</v>
      </c>
      <c r="J18" s="24">
        <f>J9*I18</f>
        <v>0</v>
      </c>
    </row>
    <row r="19" spans="2:10" ht="15" customHeight="1" x14ac:dyDescent="0.15">
      <c r="B19" s="37" t="s">
        <v>1</v>
      </c>
      <c r="C19" s="16" t="s">
        <v>8</v>
      </c>
      <c r="D19" s="45">
        <f>D15-D16-D17-D18</f>
        <v>89250</v>
      </c>
      <c r="F19" s="22" t="s">
        <v>8</v>
      </c>
      <c r="G19" s="45">
        <f>D19</f>
        <v>89250</v>
      </c>
      <c r="I19" s="22"/>
      <c r="J19" s="23"/>
    </row>
    <row r="20" spans="2:10" ht="15" customHeight="1" x14ac:dyDescent="0.15">
      <c r="B20" s="37"/>
      <c r="C20" s="17">
        <v>0.09</v>
      </c>
      <c r="D20" s="24">
        <f>D19*C20</f>
        <v>8032.5</v>
      </c>
      <c r="F20" s="28" t="s">
        <v>13</v>
      </c>
      <c r="G20" s="23"/>
      <c r="I20" s="22"/>
      <c r="J20" s="23"/>
    </row>
    <row r="21" spans="2:10" ht="15" customHeight="1" x14ac:dyDescent="0.15">
      <c r="B21" s="37"/>
      <c r="C21" s="18" t="s">
        <v>10</v>
      </c>
      <c r="D21" s="24"/>
      <c r="F21" s="59">
        <v>0.12</v>
      </c>
      <c r="G21" s="24">
        <f>G9*F21</f>
        <v>36000</v>
      </c>
      <c r="I21" s="22"/>
      <c r="J21" s="23"/>
    </row>
    <row r="22" spans="2:10" ht="15" customHeight="1" x14ac:dyDescent="0.15">
      <c r="B22" s="37"/>
      <c r="C22" s="19">
        <v>0.15</v>
      </c>
      <c r="D22" s="24">
        <f>D19*C22</f>
        <v>13387.5</v>
      </c>
      <c r="F22" s="30">
        <v>0.09</v>
      </c>
      <c r="G22" s="24">
        <f>G21*F22</f>
        <v>3240</v>
      </c>
      <c r="I22" s="22"/>
      <c r="J22" s="23"/>
    </row>
    <row r="23" spans="2:10" ht="15" customHeight="1" x14ac:dyDescent="0.15">
      <c r="B23" s="37"/>
      <c r="D23" s="24"/>
      <c r="F23" s="28" t="s">
        <v>12</v>
      </c>
      <c r="G23" s="23"/>
      <c r="I23" s="41" t="s">
        <v>49</v>
      </c>
      <c r="J23" s="23"/>
    </row>
    <row r="24" spans="2:10" ht="15" customHeight="1" x14ac:dyDescent="0.15">
      <c r="B24" s="37"/>
      <c r="D24" s="45">
        <f>D19-D20-D22</f>
        <v>67830</v>
      </c>
      <c r="F24" s="59">
        <v>0.32</v>
      </c>
      <c r="G24" s="24">
        <f>G9*F24</f>
        <v>96000</v>
      </c>
      <c r="I24" s="42">
        <f>VLOOKUP(J10,'Anexo III'!A4:C24,3)</f>
        <v>0.17419999999999999</v>
      </c>
      <c r="J24" s="24">
        <f>J9*I24</f>
        <v>52260</v>
      </c>
    </row>
    <row r="25" spans="2:10" ht="15" customHeight="1" x14ac:dyDescent="0.15">
      <c r="B25" s="37"/>
      <c r="C25" s="50">
        <v>0.1</v>
      </c>
      <c r="D25" s="24">
        <f>IF(D24&gt;20000,(D24-20000)*C25,0)</f>
        <v>4783</v>
      </c>
      <c r="F25" s="31">
        <f>C22</f>
        <v>0.15</v>
      </c>
      <c r="G25" s="24">
        <f>G24*F25</f>
        <v>14400</v>
      </c>
      <c r="I25" s="22"/>
      <c r="J25" s="23"/>
    </row>
    <row r="26" spans="2:10" ht="15" customHeight="1" x14ac:dyDescent="0.15">
      <c r="B26" s="37"/>
      <c r="D26" s="24"/>
      <c r="F26" s="46">
        <v>0.1</v>
      </c>
      <c r="G26" s="24">
        <f>IF(G24&gt;20000,(G24-20000)*F26,0)</f>
        <v>7600</v>
      </c>
      <c r="I26" s="22"/>
      <c r="J26" s="23"/>
    </row>
    <row r="27" spans="2:10" ht="15" customHeight="1" x14ac:dyDescent="0.15">
      <c r="B27" s="37"/>
      <c r="D27" s="24"/>
      <c r="F27" s="22"/>
      <c r="G27" s="23"/>
      <c r="I27" s="22"/>
      <c r="J27" s="23"/>
    </row>
    <row r="28" spans="2:10" ht="15" customHeight="1" x14ac:dyDescent="0.15">
      <c r="B28" s="37"/>
      <c r="C28" s="15" t="s">
        <v>7</v>
      </c>
      <c r="D28" s="45">
        <f>D24-D25</f>
        <v>63047</v>
      </c>
      <c r="F28" s="41" t="s">
        <v>11</v>
      </c>
      <c r="G28" s="45">
        <f>G19-G22-G25</f>
        <v>71610</v>
      </c>
      <c r="I28" s="41" t="s">
        <v>24</v>
      </c>
      <c r="J28" s="45">
        <f>J9-J11-J14-J16-J18-J24</f>
        <v>64740</v>
      </c>
    </row>
    <row r="29" spans="2:10" ht="15" customHeight="1" x14ac:dyDescent="0.15">
      <c r="B29" s="38"/>
      <c r="C29" s="39"/>
      <c r="D29" s="40"/>
      <c r="F29" s="32"/>
      <c r="G29" s="33"/>
      <c r="I29" s="32"/>
      <c r="J29" s="33"/>
    </row>
    <row r="31" spans="2:10" ht="15" customHeight="1" x14ac:dyDescent="0.15">
      <c r="C31" s="100">
        <f>D10+D11+D12+D17+D20+D22+D25</f>
        <v>53953</v>
      </c>
      <c r="F31" s="63">
        <f>C31</f>
        <v>53953</v>
      </c>
      <c r="I31" s="63">
        <f>C31</f>
        <v>53953</v>
      </c>
    </row>
    <row r="32" spans="2:10" ht="15" customHeight="1" x14ac:dyDescent="0.15">
      <c r="C32" s="64">
        <f>G10+G11+G12+G17+G22+G25+G26</f>
        <v>52990</v>
      </c>
      <c r="F32" s="101">
        <f>C32</f>
        <v>52990</v>
      </c>
      <c r="I32" s="64">
        <f>C32</f>
        <v>52990</v>
      </c>
    </row>
    <row r="33" spans="3:10" ht="15" customHeight="1" x14ac:dyDescent="0.15">
      <c r="C33" s="65">
        <f>J16+J24</f>
        <v>61260</v>
      </c>
      <c r="F33" s="65">
        <f>C33</f>
        <v>61260</v>
      </c>
      <c r="I33" s="102">
        <f>C33</f>
        <v>61260</v>
      </c>
    </row>
    <row r="34" spans="3:10" ht="15" customHeight="1" x14ac:dyDescent="0.15">
      <c r="G34" s="13"/>
      <c r="J34" s="13"/>
    </row>
    <row r="35" spans="3:10" ht="15" customHeight="1" x14ac:dyDescent="0.15">
      <c r="C35" s="66">
        <f>G28</f>
        <v>71610</v>
      </c>
      <c r="F35" s="68">
        <f>D28</f>
        <v>63047</v>
      </c>
      <c r="G35" s="13"/>
      <c r="I35" s="66">
        <f>G28</f>
        <v>71610</v>
      </c>
    </row>
    <row r="36" spans="3:10" ht="15" customHeight="1" x14ac:dyDescent="0.15">
      <c r="C36" s="67">
        <f>J28</f>
        <v>64740</v>
      </c>
      <c r="F36" s="67">
        <f>J28</f>
        <v>64740</v>
      </c>
      <c r="I36" s="69">
        <f>D28</f>
        <v>63047</v>
      </c>
    </row>
  </sheetData>
  <phoneticPr fontId="0" type="noConversion"/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Apresentação" dvAspect="DVASPECT_ICON" shapeId="2053" r:id="rId3">
          <objectPr locked="0" defaultSize="0" autoPict="0" r:id="rId4">
            <anchor moveWithCells="1">
              <from>
                <xdr:col>6</xdr:col>
                <xdr:colOff>762000</xdr:colOff>
                <xdr:row>4</xdr:row>
                <xdr:rowOff>0</xdr:rowOff>
              </from>
              <to>
                <xdr:col>7</xdr:col>
                <xdr:colOff>38100</xdr:colOff>
                <xdr:row>5</xdr:row>
                <xdr:rowOff>0</xdr:rowOff>
              </to>
            </anchor>
          </objectPr>
        </oleObject>
      </mc:Choice>
      <mc:Fallback>
        <oleObject progId="Apresentação" dvAspect="DVASPECT_ICON" shapeId="3073" r:id="rId3"/>
      </mc:Fallback>
    </mc:AlternateContent>
    <mc:AlternateContent xmlns:mc="http://schemas.openxmlformats.org/markup-compatibility/2006">
      <mc:Choice Requires="x14">
        <oleObject progId="Apresentação" dvAspect="DVASPECT_ICON" shapeId="2054" r:id="rId5">
          <objectPr locked="0" defaultSize="0" autoPict="0" r:id="rId6">
            <anchor moveWithCells="1">
              <from>
                <xdr:col>9</xdr:col>
                <xdr:colOff>733425</xdr:colOff>
                <xdr:row>3</xdr:row>
                <xdr:rowOff>123825</xdr:rowOff>
              </from>
              <to>
                <xdr:col>9</xdr:col>
                <xdr:colOff>1066800</xdr:colOff>
                <xdr:row>4</xdr:row>
                <xdr:rowOff>180975</xdr:rowOff>
              </to>
            </anchor>
          </objectPr>
        </oleObject>
      </mc:Choice>
      <mc:Fallback>
        <oleObject progId="Apresentação" dvAspect="DVASPECT_ICON" shapeId="3074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topLeftCell="A2" workbookViewId="0" xr3:uid="{51F8DEE0-4D01-5F28-A812-FC0BD7CAC4A5}">
      <selection activeCell="K30" sqref="K30"/>
    </sheetView>
  </sheetViews>
  <sheetFormatPr defaultColWidth="8.609375" defaultRowHeight="15" x14ac:dyDescent="0.2"/>
  <cols>
    <col min="1" max="1" width="13.5859375" customWidth="1"/>
    <col min="2" max="2" width="12.23828125" bestFit="1" customWidth="1"/>
  </cols>
  <sheetData>
    <row r="1" spans="1:10" x14ac:dyDescent="0.2">
      <c r="A1" s="3" t="s">
        <v>33</v>
      </c>
      <c r="B1" s="4"/>
      <c r="C1" s="4"/>
      <c r="D1" s="4"/>
      <c r="E1" s="5"/>
      <c r="F1" s="4"/>
      <c r="G1" s="5"/>
      <c r="H1" s="4"/>
      <c r="I1" s="4"/>
      <c r="J1" s="5"/>
    </row>
    <row r="2" spans="1:10" x14ac:dyDescent="0.2">
      <c r="A2" s="3"/>
      <c r="B2" s="4"/>
      <c r="C2" s="6"/>
      <c r="D2" s="4"/>
      <c r="E2" s="51"/>
      <c r="F2" s="4"/>
      <c r="G2" s="5"/>
      <c r="H2" s="4"/>
      <c r="I2" s="4"/>
    </row>
    <row r="3" spans="1:10" x14ac:dyDescent="0.2">
      <c r="A3" s="111" t="s">
        <v>31</v>
      </c>
      <c r="B3" s="111"/>
      <c r="C3" s="103" t="s">
        <v>23</v>
      </c>
      <c r="D3" s="85" t="s">
        <v>19</v>
      </c>
      <c r="E3" s="85" t="s">
        <v>20</v>
      </c>
      <c r="F3" s="85" t="s">
        <v>3</v>
      </c>
      <c r="G3" s="85" t="s">
        <v>21</v>
      </c>
      <c r="H3" s="85" t="s">
        <v>22</v>
      </c>
      <c r="I3" s="85" t="s">
        <v>32</v>
      </c>
      <c r="J3" t="s">
        <v>23</v>
      </c>
    </row>
    <row r="4" spans="1:10" ht="15.75" thickBot="1" x14ac:dyDescent="0.25">
      <c r="A4" s="84">
        <v>0</v>
      </c>
      <c r="B4" s="84">
        <v>120000</v>
      </c>
      <c r="C4" s="87">
        <v>0.06</v>
      </c>
      <c r="D4" s="88">
        <v>0</v>
      </c>
      <c r="E4" s="88">
        <v>0</v>
      </c>
      <c r="F4" s="88">
        <v>0</v>
      </c>
      <c r="G4" s="88">
        <v>0</v>
      </c>
      <c r="H4" s="88">
        <v>0.04</v>
      </c>
      <c r="I4" s="109">
        <v>0.02</v>
      </c>
      <c r="J4" s="108">
        <f>SUM(D4:I4)</f>
        <v>0.06</v>
      </c>
    </row>
    <row r="5" spans="1:10" ht="15.75" thickBot="1" x14ac:dyDescent="0.25">
      <c r="A5" s="84">
        <f>B4+0.01</f>
        <v>120000.01</v>
      </c>
      <c r="B5" s="84">
        <f>240000</f>
        <v>240000</v>
      </c>
      <c r="C5" s="87">
        <v>8.2100000000000006E-2</v>
      </c>
      <c r="D5" s="88">
        <v>0</v>
      </c>
      <c r="E5" s="88">
        <v>0</v>
      </c>
      <c r="F5" s="88">
        <v>1.4200000000000001E-2</v>
      </c>
      <c r="G5" s="88">
        <v>0</v>
      </c>
      <c r="H5" s="88">
        <v>0.04</v>
      </c>
      <c r="I5" s="109">
        <v>2.7900000000000001E-2</v>
      </c>
      <c r="J5" s="108">
        <f t="shared" ref="J5:J23" si="0">SUM(D5:I5)</f>
        <v>8.2100000000000006E-2</v>
      </c>
    </row>
    <row r="6" spans="1:10" ht="15.75" thickBot="1" x14ac:dyDescent="0.25">
      <c r="A6" s="84">
        <f t="shared" ref="A6:A22" si="1">B5+0.01</f>
        <v>240000.01</v>
      </c>
      <c r="B6" s="84">
        <f>360000</f>
        <v>360000</v>
      </c>
      <c r="C6" s="87">
        <v>0.1026</v>
      </c>
      <c r="D6" s="88">
        <v>4.7999999999999996E-3</v>
      </c>
      <c r="E6" s="88">
        <v>4.3E-3</v>
      </c>
      <c r="F6" s="88">
        <v>1.43E-2</v>
      </c>
      <c r="G6" s="88">
        <v>3.5000000000000001E-3</v>
      </c>
      <c r="H6" s="88">
        <v>4.07E-2</v>
      </c>
      <c r="I6" s="109">
        <v>3.5000000000000003E-2</v>
      </c>
      <c r="J6" s="108">
        <f t="shared" si="0"/>
        <v>0.1026</v>
      </c>
    </row>
    <row r="7" spans="1:10" ht="15.75" thickBot="1" x14ac:dyDescent="0.25">
      <c r="A7" s="84">
        <f t="shared" si="1"/>
        <v>360000.01</v>
      </c>
      <c r="B7" s="84">
        <f>480000</f>
        <v>480000</v>
      </c>
      <c r="C7" s="87">
        <v>0.11310000000000001</v>
      </c>
      <c r="D7" s="88">
        <v>5.3E-3</v>
      </c>
      <c r="E7" s="88">
        <v>5.3E-3</v>
      </c>
      <c r="F7" s="88">
        <v>1.5599999999999999E-2</v>
      </c>
      <c r="G7" s="88">
        <v>3.8E-3</v>
      </c>
      <c r="H7" s="88">
        <v>4.4699999999999997E-2</v>
      </c>
      <c r="I7" s="109">
        <v>3.8399999999999997E-2</v>
      </c>
      <c r="J7" s="108">
        <f t="shared" si="0"/>
        <v>0.11310000000000001</v>
      </c>
    </row>
    <row r="8" spans="1:10" ht="15.75" thickBot="1" x14ac:dyDescent="0.25">
      <c r="A8" s="84">
        <f t="shared" si="1"/>
        <v>480000.01</v>
      </c>
      <c r="B8" s="84">
        <f>600000</f>
        <v>600000</v>
      </c>
      <c r="C8" s="87">
        <v>0.114</v>
      </c>
      <c r="D8" s="88">
        <v>5.3E-3</v>
      </c>
      <c r="E8" s="88">
        <v>5.1999999999999998E-3</v>
      </c>
      <c r="F8" s="88">
        <v>1.5800000000000002E-2</v>
      </c>
      <c r="G8" s="88">
        <v>3.8E-3</v>
      </c>
      <c r="H8" s="88">
        <v>4.5199999999999997E-2</v>
      </c>
      <c r="I8" s="109">
        <v>3.8699999999999998E-2</v>
      </c>
      <c r="J8" s="108">
        <f t="shared" si="0"/>
        <v>0.114</v>
      </c>
    </row>
    <row r="9" spans="1:10" ht="15.75" thickBot="1" x14ac:dyDescent="0.25">
      <c r="A9" s="84">
        <f t="shared" si="1"/>
        <v>600000.01</v>
      </c>
      <c r="B9" s="84">
        <f>720000</f>
        <v>720000</v>
      </c>
      <c r="C9" s="87">
        <v>0.1242</v>
      </c>
      <c r="D9" s="88">
        <v>5.7000000000000002E-3</v>
      </c>
      <c r="E9" s="88">
        <v>5.7000000000000002E-3</v>
      </c>
      <c r="F9" s="88">
        <v>1.7299999999999999E-2</v>
      </c>
      <c r="G9" s="88">
        <v>4.0000000000000001E-3</v>
      </c>
      <c r="H9" s="88">
        <v>4.9200000000000001E-2</v>
      </c>
      <c r="I9" s="109">
        <v>4.2299999999999997E-2</v>
      </c>
      <c r="J9" s="108">
        <f t="shared" si="0"/>
        <v>0.1242</v>
      </c>
    </row>
    <row r="10" spans="1:10" ht="15.75" thickBot="1" x14ac:dyDescent="0.25">
      <c r="A10" s="84">
        <f t="shared" si="1"/>
        <v>720000.01</v>
      </c>
      <c r="B10" s="84">
        <f>840000</f>
        <v>840000</v>
      </c>
      <c r="C10" s="87">
        <v>0.12540000000000001</v>
      </c>
      <c r="D10" s="88">
        <v>5.8999999999999999E-3</v>
      </c>
      <c r="E10" s="88">
        <v>5.5999999999999999E-3</v>
      </c>
      <c r="F10" s="88">
        <v>1.7399999999999999E-2</v>
      </c>
      <c r="G10" s="88">
        <v>4.1999999999999997E-3</v>
      </c>
      <c r="H10" s="88">
        <v>4.9700000000000001E-2</v>
      </c>
      <c r="I10" s="109">
        <v>4.2599999999999999E-2</v>
      </c>
      <c r="J10" s="108">
        <f t="shared" si="0"/>
        <v>0.12540000000000001</v>
      </c>
    </row>
    <row r="11" spans="1:10" ht="15.75" thickBot="1" x14ac:dyDescent="0.25">
      <c r="A11" s="84">
        <f t="shared" si="1"/>
        <v>840000.01</v>
      </c>
      <c r="B11" s="84">
        <f>960000</f>
        <v>960000</v>
      </c>
      <c r="C11" s="87">
        <v>0.1268</v>
      </c>
      <c r="D11" s="88">
        <v>5.8999999999999999E-3</v>
      </c>
      <c r="E11" s="88">
        <v>5.7000000000000002E-3</v>
      </c>
      <c r="F11" s="88">
        <v>1.7600000000000001E-2</v>
      </c>
      <c r="G11" s="88">
        <v>4.1999999999999997E-3</v>
      </c>
      <c r="H11" s="88">
        <v>5.0299999999999997E-2</v>
      </c>
      <c r="I11" s="109">
        <v>4.3099999999999999E-2</v>
      </c>
      <c r="J11" s="108">
        <f t="shared" si="0"/>
        <v>0.1268</v>
      </c>
    </row>
    <row r="12" spans="1:10" ht="15.75" thickBot="1" x14ac:dyDescent="0.25">
      <c r="A12" s="84">
        <f t="shared" si="1"/>
        <v>960000.01</v>
      </c>
      <c r="B12" s="84">
        <f>1080000</f>
        <v>1080000</v>
      </c>
      <c r="C12" s="87">
        <v>0.13550000000000001</v>
      </c>
      <c r="D12" s="88">
        <v>6.3E-3</v>
      </c>
      <c r="E12" s="88">
        <v>6.1000000000000004E-3</v>
      </c>
      <c r="F12" s="88">
        <v>1.8800000000000001E-2</v>
      </c>
      <c r="G12" s="88">
        <v>4.4999999999999997E-3</v>
      </c>
      <c r="H12" s="88">
        <v>5.3699999999999998E-2</v>
      </c>
      <c r="I12" s="109">
        <v>4.6100000000000002E-2</v>
      </c>
      <c r="J12" s="108">
        <f t="shared" si="0"/>
        <v>0.13550000000000001</v>
      </c>
    </row>
    <row r="13" spans="1:10" ht="15.75" thickBot="1" x14ac:dyDescent="0.25">
      <c r="A13" s="84">
        <f t="shared" si="1"/>
        <v>1080000.01</v>
      </c>
      <c r="B13" s="84">
        <f>1200000</f>
        <v>1200000</v>
      </c>
      <c r="C13" s="87">
        <v>0.1368</v>
      </c>
      <c r="D13" s="88">
        <v>6.3E-3</v>
      </c>
      <c r="E13" s="88">
        <v>6.4000000000000003E-3</v>
      </c>
      <c r="F13" s="88">
        <v>1.89E-2</v>
      </c>
      <c r="G13" s="88">
        <v>4.4999999999999997E-3</v>
      </c>
      <c r="H13" s="88">
        <v>5.4199999999999998E-2</v>
      </c>
      <c r="I13" s="109">
        <v>4.65E-2</v>
      </c>
      <c r="J13" s="108">
        <f t="shared" si="0"/>
        <v>0.13679999999999998</v>
      </c>
    </row>
    <row r="14" spans="1:10" ht="15.75" thickBot="1" x14ac:dyDescent="0.25">
      <c r="A14" s="84">
        <f t="shared" si="1"/>
        <v>1200000.01</v>
      </c>
      <c r="B14" s="84">
        <f>1320000</f>
        <v>1320000</v>
      </c>
      <c r="C14" s="87">
        <v>0.14929999999999999</v>
      </c>
      <c r="D14" s="88">
        <v>6.8999999999999999E-3</v>
      </c>
      <c r="E14" s="88">
        <v>6.8999999999999999E-3</v>
      </c>
      <c r="F14" s="88">
        <v>2.07E-2</v>
      </c>
      <c r="G14" s="88">
        <v>5.0000000000000001E-3</v>
      </c>
      <c r="H14" s="88">
        <v>5.9799999999999999E-2</v>
      </c>
      <c r="I14" s="109">
        <v>0.05</v>
      </c>
      <c r="J14" s="108">
        <f t="shared" si="0"/>
        <v>0.14929999999999999</v>
      </c>
    </row>
    <row r="15" spans="1:10" ht="15.75" thickBot="1" x14ac:dyDescent="0.25">
      <c r="A15" s="84">
        <f t="shared" si="1"/>
        <v>1320000.01</v>
      </c>
      <c r="B15" s="84">
        <f>1440000</f>
        <v>1440000</v>
      </c>
      <c r="C15" s="87">
        <v>0.15060000000000001</v>
      </c>
      <c r="D15" s="88">
        <v>6.8999999999999999E-3</v>
      </c>
      <c r="E15" s="88">
        <v>6.8999999999999999E-3</v>
      </c>
      <c r="F15" s="88">
        <v>2.0899999999999998E-2</v>
      </c>
      <c r="G15" s="88">
        <v>5.0000000000000001E-3</v>
      </c>
      <c r="H15" s="88">
        <v>6.0900000000000003E-2</v>
      </c>
      <c r="I15" s="109">
        <v>0.05</v>
      </c>
      <c r="J15" s="108">
        <f t="shared" si="0"/>
        <v>0.15060000000000001</v>
      </c>
    </row>
    <row r="16" spans="1:10" ht="15.75" thickBot="1" x14ac:dyDescent="0.25">
      <c r="A16" s="84">
        <f t="shared" si="1"/>
        <v>1440000.01</v>
      </c>
      <c r="B16" s="84">
        <f>1560000</f>
        <v>1560000</v>
      </c>
      <c r="C16" s="87">
        <v>0.152</v>
      </c>
      <c r="D16" s="88">
        <v>7.1000000000000004E-3</v>
      </c>
      <c r="E16" s="88">
        <v>7.0000000000000001E-3</v>
      </c>
      <c r="F16" s="88">
        <v>2.1000000000000001E-2</v>
      </c>
      <c r="G16" s="88">
        <v>5.0000000000000001E-3</v>
      </c>
      <c r="H16" s="88">
        <v>6.1899999999999997E-2</v>
      </c>
      <c r="I16" s="109">
        <v>0.05</v>
      </c>
      <c r="J16" s="108">
        <f t="shared" si="0"/>
        <v>0.15200000000000002</v>
      </c>
    </row>
    <row r="17" spans="1:10" ht="15.75" thickBot="1" x14ac:dyDescent="0.25">
      <c r="A17" s="84">
        <f t="shared" si="1"/>
        <v>1560000.01</v>
      </c>
      <c r="B17" s="84">
        <f>1680000</f>
        <v>1680000</v>
      </c>
      <c r="C17" s="87">
        <v>0.1535</v>
      </c>
      <c r="D17" s="88">
        <v>7.1000000000000004E-3</v>
      </c>
      <c r="E17" s="88">
        <v>7.0000000000000001E-3</v>
      </c>
      <c r="F17" s="88">
        <v>2.1299999999999999E-2</v>
      </c>
      <c r="G17" s="88">
        <v>5.1000000000000004E-3</v>
      </c>
      <c r="H17" s="88">
        <v>6.3E-2</v>
      </c>
      <c r="I17" s="109">
        <v>0.05</v>
      </c>
      <c r="J17" s="108">
        <f t="shared" si="0"/>
        <v>0.15350000000000003</v>
      </c>
    </row>
    <row r="18" spans="1:10" ht="15.75" thickBot="1" x14ac:dyDescent="0.25">
      <c r="A18" s="84">
        <f t="shared" si="1"/>
        <v>1680000.01</v>
      </c>
      <c r="B18" s="84">
        <f>1800000</f>
        <v>1800000</v>
      </c>
      <c r="C18" s="87">
        <v>0.15479999999999999</v>
      </c>
      <c r="D18" s="88">
        <v>7.1999999999999998E-3</v>
      </c>
      <c r="E18" s="88">
        <v>7.0000000000000001E-3</v>
      </c>
      <c r="F18" s="88">
        <v>2.1499999999999998E-2</v>
      </c>
      <c r="G18" s="88">
        <v>5.1000000000000004E-3</v>
      </c>
      <c r="H18" s="88">
        <v>6.4000000000000001E-2</v>
      </c>
      <c r="I18" s="109">
        <v>0.05</v>
      </c>
      <c r="J18" s="108">
        <f t="shared" si="0"/>
        <v>0.15479999999999999</v>
      </c>
    </row>
    <row r="19" spans="1:10" ht="15.75" thickBot="1" x14ac:dyDescent="0.25">
      <c r="A19" s="84">
        <f t="shared" si="1"/>
        <v>1800000.01</v>
      </c>
      <c r="B19" s="84">
        <f>1920000</f>
        <v>1920000</v>
      </c>
      <c r="C19" s="87">
        <v>0.16850000000000001</v>
      </c>
      <c r="D19" s="88">
        <v>7.7999999999999996E-3</v>
      </c>
      <c r="E19" s="88">
        <v>7.6E-3</v>
      </c>
      <c r="F19" s="88">
        <v>2.3400000000000001E-2</v>
      </c>
      <c r="G19" s="88">
        <v>5.5999999999999999E-3</v>
      </c>
      <c r="H19" s="88">
        <v>7.4099999999999999E-2</v>
      </c>
      <c r="I19" s="109">
        <v>0.05</v>
      </c>
      <c r="J19" s="108">
        <f t="shared" si="0"/>
        <v>0.16849999999999998</v>
      </c>
    </row>
    <row r="20" spans="1:10" ht="15.75" thickBot="1" x14ac:dyDescent="0.25">
      <c r="A20" s="84">
        <f t="shared" si="1"/>
        <v>1920000.01</v>
      </c>
      <c r="B20" s="84">
        <f>2040000</f>
        <v>2040000</v>
      </c>
      <c r="C20" s="87">
        <v>0.16980000000000001</v>
      </c>
      <c r="D20" s="88">
        <v>7.7999999999999996E-3</v>
      </c>
      <c r="E20" s="88">
        <v>7.7999999999999996E-3</v>
      </c>
      <c r="F20" s="88">
        <v>2.3599999999999999E-2</v>
      </c>
      <c r="G20" s="88">
        <v>5.5999999999999999E-3</v>
      </c>
      <c r="H20" s="88">
        <v>7.4999999999999997E-2</v>
      </c>
      <c r="I20" s="109">
        <v>0.05</v>
      </c>
      <c r="J20" s="108">
        <f t="shared" si="0"/>
        <v>0.16980000000000001</v>
      </c>
    </row>
    <row r="21" spans="1:10" ht="15.75" thickBot="1" x14ac:dyDescent="0.25">
      <c r="A21" s="84">
        <f t="shared" si="1"/>
        <v>2040000.01</v>
      </c>
      <c r="B21" s="84">
        <f>2160000</f>
        <v>2160000</v>
      </c>
      <c r="C21" s="87">
        <v>0.17130000000000001</v>
      </c>
      <c r="D21" s="88">
        <v>8.0000000000000002E-3</v>
      </c>
      <c r="E21" s="88">
        <v>7.9000000000000008E-3</v>
      </c>
      <c r="F21" s="88">
        <v>2.3699999999999999E-2</v>
      </c>
      <c r="G21" s="88">
        <v>5.7000000000000002E-3</v>
      </c>
      <c r="H21" s="88">
        <v>7.5999999999999998E-2</v>
      </c>
      <c r="I21" s="109">
        <v>0.05</v>
      </c>
      <c r="J21" s="108">
        <f t="shared" si="0"/>
        <v>0.17130000000000001</v>
      </c>
    </row>
    <row r="22" spans="1:10" ht="15.75" thickBot="1" x14ac:dyDescent="0.25">
      <c r="A22" s="84">
        <f t="shared" si="1"/>
        <v>2160000.0099999998</v>
      </c>
      <c r="B22" s="84">
        <f>2280000</f>
        <v>2280000</v>
      </c>
      <c r="C22" s="87">
        <v>0.17269999999999999</v>
      </c>
      <c r="D22" s="88">
        <v>8.0000000000000002E-3</v>
      </c>
      <c r="E22" s="88">
        <v>7.9000000000000008E-3</v>
      </c>
      <c r="F22" s="88">
        <v>2.4E-2</v>
      </c>
      <c r="G22" s="88">
        <v>5.7000000000000002E-3</v>
      </c>
      <c r="H22" s="88">
        <v>7.7100000000000002E-2</v>
      </c>
      <c r="I22" s="109">
        <v>0.05</v>
      </c>
      <c r="J22" s="108">
        <f t="shared" si="0"/>
        <v>0.17270000000000002</v>
      </c>
    </row>
    <row r="23" spans="1:10" ht="15.75" thickBot="1" x14ac:dyDescent="0.25">
      <c r="A23" s="84">
        <f>2280000.01</f>
        <v>2280000.0099999998</v>
      </c>
      <c r="B23" s="84">
        <v>2400000</v>
      </c>
      <c r="C23" s="87">
        <v>0.17419999999999999</v>
      </c>
      <c r="D23" s="88">
        <v>8.0999999999999996E-3</v>
      </c>
      <c r="E23" s="88">
        <v>7.9000000000000008E-3</v>
      </c>
      <c r="F23" s="88">
        <v>2.4199999999999999E-2</v>
      </c>
      <c r="G23" s="88">
        <v>5.7000000000000002E-3</v>
      </c>
      <c r="H23" s="88">
        <v>7.8299999999999995E-2</v>
      </c>
      <c r="I23" s="109">
        <v>0.05</v>
      </c>
      <c r="J23" s="108">
        <f t="shared" si="0"/>
        <v>0.17419999999999999</v>
      </c>
    </row>
    <row r="24" spans="1:10" x14ac:dyDescent="0.2">
      <c r="A24" s="84">
        <f>2400000*1.2</f>
        <v>2880000</v>
      </c>
      <c r="B24" s="84"/>
      <c r="C24" s="87">
        <v>0.17419999999999999</v>
      </c>
      <c r="D24" s="87"/>
      <c r="E24" s="87"/>
      <c r="F24" s="87"/>
      <c r="G24" s="87"/>
      <c r="H24" s="87"/>
      <c r="I24" s="87"/>
    </row>
  </sheetData>
  <sheetProtection sheet="1"/>
  <mergeCells count="1">
    <mergeCell ref="A3:B3"/>
  </mergeCells>
  <phoneticPr fontId="0" type="noConversion"/>
  <hyperlinks>
    <hyperlink ref="D3" r:id="rId1" display="http://www.planalto.gov.br/ccivil_03/Leis/LCP/Lcp128.htm" xr:uid="{00000000-0004-0000-0300-000000000000}"/>
    <hyperlink ref="E3" r:id="rId2" display="http://www.planalto.gov.br/ccivil_03/Leis/LCP/Lcp128.htm" xr:uid="{00000000-0004-0000-0300-000001000000}"/>
    <hyperlink ref="F3" r:id="rId3" display="http://www.planalto.gov.br/ccivil_03/Leis/LCP/Lcp128.htm" xr:uid="{00000000-0004-0000-0300-000002000000}"/>
    <hyperlink ref="G3" r:id="rId4" display="http://www.planalto.gov.br/ccivil_03/Leis/LCP/Lcp128.htm" xr:uid="{00000000-0004-0000-0300-000003000000}"/>
    <hyperlink ref="H3" r:id="rId5" display="http://www.planalto.gov.br/ccivil_03/Leis/LCP/Lcp128.htm" xr:uid="{00000000-0004-0000-0300-000004000000}"/>
  </hyperlink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36"/>
  <sheetViews>
    <sheetView tabSelected="1" topLeftCell="C1" workbookViewId="0" xr3:uid="{F9CF3CF3-643B-5BE6-8B46-32C596A47465}">
      <selection activeCell="L28" sqref="L28"/>
    </sheetView>
  </sheetViews>
  <sheetFormatPr defaultColWidth="9.14453125" defaultRowHeight="15" customHeight="1" x14ac:dyDescent="0.15"/>
  <cols>
    <col min="1" max="1" width="2.6875" style="12" customWidth="1"/>
    <col min="2" max="2" width="3.09375" style="14" customWidth="1"/>
    <col min="3" max="3" width="41.296875" style="12" customWidth="1"/>
    <col min="4" max="4" width="14.66015625" style="13" bestFit="1" customWidth="1"/>
    <col min="5" max="5" width="2.15234375" style="14" customWidth="1"/>
    <col min="6" max="6" width="44.52734375" style="12" customWidth="1"/>
    <col min="7" max="7" width="14.66015625" style="12" bestFit="1" customWidth="1"/>
    <col min="8" max="8" width="2.015625" style="12" customWidth="1"/>
    <col min="9" max="9" width="43.046875" style="12" customWidth="1"/>
    <col min="10" max="10" width="17.484375" style="12" customWidth="1"/>
    <col min="11" max="256" width="11.43359375" style="12" customWidth="1"/>
    <col min="257" max="16384" width="9.14453125" style="12"/>
  </cols>
  <sheetData>
    <row r="2" spans="2:10" ht="26.25" customHeight="1" x14ac:dyDescent="0.25">
      <c r="C2" s="58" t="s">
        <v>35</v>
      </c>
      <c r="D2" s="12"/>
      <c r="J2" s="15"/>
    </row>
    <row r="5" spans="2:10" ht="15" customHeight="1" x14ac:dyDescent="0.25">
      <c r="B5" s="11" t="s">
        <v>9</v>
      </c>
      <c r="G5" s="12" t="s">
        <v>39</v>
      </c>
      <c r="J5" s="60" t="s">
        <v>37</v>
      </c>
    </row>
    <row r="7" spans="2:10" ht="15" customHeight="1" x14ac:dyDescent="0.15">
      <c r="B7" s="34"/>
      <c r="C7" s="35" t="s">
        <v>14</v>
      </c>
      <c r="D7" s="36"/>
      <c r="F7" s="20" t="s">
        <v>15</v>
      </c>
      <c r="G7" s="21"/>
      <c r="I7" s="20" t="s">
        <v>16</v>
      </c>
      <c r="J7" s="21"/>
    </row>
    <row r="8" spans="2:10" ht="15" customHeight="1" x14ac:dyDescent="0.15">
      <c r="B8" s="37"/>
      <c r="D8" s="24"/>
      <c r="F8" s="22"/>
      <c r="G8" s="23"/>
      <c r="I8" s="22"/>
      <c r="J8" s="23"/>
    </row>
    <row r="9" spans="2:10" ht="15" customHeight="1" x14ac:dyDescent="0.15">
      <c r="B9" s="37"/>
      <c r="C9" s="12" t="s">
        <v>4</v>
      </c>
      <c r="D9" s="44">
        <v>300000</v>
      </c>
      <c r="F9" s="22" t="s">
        <v>4</v>
      </c>
      <c r="G9" s="24">
        <f>D9</f>
        <v>300000</v>
      </c>
      <c r="I9" s="22" t="s">
        <v>51</v>
      </c>
      <c r="J9" s="24">
        <f>G9</f>
        <v>300000</v>
      </c>
    </row>
    <row r="10" spans="2:10" ht="15" customHeight="1" x14ac:dyDescent="0.15">
      <c r="B10" s="37"/>
      <c r="C10" s="48">
        <v>0.05</v>
      </c>
      <c r="D10" s="24">
        <f>(D9*C10)</f>
        <v>15000</v>
      </c>
      <c r="F10" s="49">
        <f>C10</f>
        <v>0.05</v>
      </c>
      <c r="G10" s="24">
        <f>D10</f>
        <v>15000</v>
      </c>
      <c r="I10" s="22" t="s">
        <v>26</v>
      </c>
      <c r="J10" s="24">
        <f>G9*12</f>
        <v>3600000</v>
      </c>
    </row>
    <row r="11" spans="2:10" ht="15" customHeight="1" x14ac:dyDescent="0.15">
      <c r="B11" s="37"/>
      <c r="C11" s="1">
        <v>6.4999999999999997E-3</v>
      </c>
      <c r="D11" s="24">
        <f>D9*C11</f>
        <v>1950</v>
      </c>
      <c r="F11" s="25">
        <v>6.4999999999999997E-3</v>
      </c>
      <c r="G11" s="24">
        <f>G9*F11</f>
        <v>1950</v>
      </c>
      <c r="I11" s="22"/>
      <c r="J11" s="24"/>
    </row>
    <row r="12" spans="2:10" ht="15" customHeight="1" x14ac:dyDescent="0.15">
      <c r="B12" s="37"/>
      <c r="C12" s="2">
        <v>0.03</v>
      </c>
      <c r="D12" s="24">
        <f>D9*C12</f>
        <v>9000</v>
      </c>
      <c r="F12" s="26">
        <v>0.03</v>
      </c>
      <c r="G12" s="24">
        <f>G9*F12</f>
        <v>9000</v>
      </c>
      <c r="I12" s="22"/>
      <c r="J12" s="23"/>
    </row>
    <row r="13" spans="2:10" ht="15" customHeight="1" x14ac:dyDescent="0.15">
      <c r="B13" s="37" t="s">
        <v>1</v>
      </c>
      <c r="C13" s="12" t="s">
        <v>5</v>
      </c>
      <c r="D13" s="24">
        <f>D9-D10-D11-D12</f>
        <v>274050</v>
      </c>
      <c r="F13" s="22" t="s">
        <v>5</v>
      </c>
      <c r="G13" s="24">
        <f>G9-G10-G11-G12</f>
        <v>274050</v>
      </c>
      <c r="I13" s="22"/>
      <c r="J13" s="23"/>
    </row>
    <row r="14" spans="2:10" ht="15" customHeight="1" x14ac:dyDescent="0.15">
      <c r="B14" s="37" t="s">
        <v>0</v>
      </c>
      <c r="C14" s="62">
        <v>0.57999999999999996</v>
      </c>
      <c r="D14" s="24">
        <f>D9*C14</f>
        <v>174000</v>
      </c>
      <c r="F14" s="70">
        <f>C14</f>
        <v>0.57999999999999996</v>
      </c>
      <c r="G14" s="24">
        <f>G9*F14</f>
        <v>174000</v>
      </c>
      <c r="I14" s="70">
        <f>C14</f>
        <v>0.57999999999999996</v>
      </c>
      <c r="J14" s="24">
        <f>J9*I14</f>
        <v>174000</v>
      </c>
    </row>
    <row r="15" spans="2:10" ht="15" customHeight="1" x14ac:dyDescent="0.15">
      <c r="B15" s="37" t="s">
        <v>1</v>
      </c>
      <c r="C15" s="12" t="s">
        <v>27</v>
      </c>
      <c r="D15" s="24">
        <f>D13-D14</f>
        <v>100050</v>
      </c>
      <c r="F15" s="22" t="s">
        <v>6</v>
      </c>
      <c r="G15" s="24">
        <f>G13-G14</f>
        <v>100050</v>
      </c>
      <c r="I15" s="22"/>
      <c r="J15" s="23"/>
    </row>
    <row r="16" spans="2:10" ht="15" customHeight="1" x14ac:dyDescent="0.15">
      <c r="B16" s="37" t="s">
        <v>0</v>
      </c>
      <c r="C16" s="52">
        <v>0.1</v>
      </c>
      <c r="D16" s="24">
        <f>D9*C16</f>
        <v>30000</v>
      </c>
      <c r="F16" s="55">
        <f>C16</f>
        <v>0.1</v>
      </c>
      <c r="G16" s="24">
        <f>G9*F16</f>
        <v>30000</v>
      </c>
      <c r="I16" s="110">
        <f>C16</f>
        <v>0.1</v>
      </c>
      <c r="J16" s="24">
        <f>J9*I16</f>
        <v>30000</v>
      </c>
    </row>
    <row r="17" spans="2:10" ht="15" customHeight="1" x14ac:dyDescent="0.15">
      <c r="B17" s="37" t="s">
        <v>0</v>
      </c>
      <c r="C17" s="53">
        <v>0.27500000000000002</v>
      </c>
      <c r="D17" s="24">
        <f>D16*C17</f>
        <v>8250</v>
      </c>
      <c r="F17" s="56">
        <f>C17</f>
        <v>0.27500000000000002</v>
      </c>
      <c r="G17" s="24">
        <f>D17</f>
        <v>8250</v>
      </c>
      <c r="I17" s="27"/>
      <c r="J17" s="24"/>
    </row>
    <row r="18" spans="2:10" ht="15" customHeight="1" x14ac:dyDescent="0.15">
      <c r="B18" s="37" t="s">
        <v>0</v>
      </c>
      <c r="C18" s="54">
        <v>0.02</v>
      </c>
      <c r="D18" s="24">
        <f>D9*C18</f>
        <v>6000</v>
      </c>
      <c r="F18" s="57">
        <f>C18</f>
        <v>0.02</v>
      </c>
      <c r="G18" s="24">
        <f>D18</f>
        <v>6000</v>
      </c>
      <c r="I18" s="56">
        <f>F17</f>
        <v>0.27500000000000002</v>
      </c>
      <c r="J18" s="24">
        <f>G17</f>
        <v>8250</v>
      </c>
    </row>
    <row r="19" spans="2:10" ht="15" customHeight="1" x14ac:dyDescent="0.15">
      <c r="B19" s="37" t="s">
        <v>1</v>
      </c>
      <c r="C19" s="16" t="s">
        <v>8</v>
      </c>
      <c r="D19" s="45">
        <f>D15-D16-D17-D18</f>
        <v>55800</v>
      </c>
      <c r="F19" s="22" t="s">
        <v>8</v>
      </c>
      <c r="G19" s="45">
        <f>D19</f>
        <v>55800</v>
      </c>
      <c r="I19" s="22"/>
      <c r="J19" s="23"/>
    </row>
    <row r="20" spans="2:10" ht="15" customHeight="1" x14ac:dyDescent="0.15">
      <c r="B20" s="37"/>
      <c r="C20" s="17">
        <v>0.09</v>
      </c>
      <c r="D20" s="24">
        <f>D19*C20</f>
        <v>5022</v>
      </c>
      <c r="F20" s="28" t="s">
        <v>13</v>
      </c>
      <c r="G20" s="23"/>
      <c r="I20" s="57">
        <f>C18</f>
        <v>0.02</v>
      </c>
      <c r="J20" s="24">
        <f>J9*I20</f>
        <v>6000</v>
      </c>
    </row>
    <row r="21" spans="2:10" ht="15" customHeight="1" x14ac:dyDescent="0.15">
      <c r="B21" s="37"/>
      <c r="C21" s="18" t="s">
        <v>10</v>
      </c>
      <c r="D21" s="24"/>
      <c r="F21" s="59">
        <v>0.12</v>
      </c>
      <c r="G21" s="24">
        <f>G9*F21</f>
        <v>36000</v>
      </c>
      <c r="I21" s="22"/>
      <c r="J21" s="23"/>
    </row>
    <row r="22" spans="2:10" ht="15" customHeight="1" x14ac:dyDescent="0.15">
      <c r="B22" s="37"/>
      <c r="C22" s="19">
        <v>0.15</v>
      </c>
      <c r="D22" s="24">
        <f>D19*C22</f>
        <v>8370</v>
      </c>
      <c r="F22" s="30">
        <v>0.09</v>
      </c>
      <c r="G22" s="24">
        <f>G21*F22</f>
        <v>3240</v>
      </c>
      <c r="I22" s="22"/>
      <c r="J22" s="23"/>
    </row>
    <row r="23" spans="2:10" ht="15" customHeight="1" x14ac:dyDescent="0.15">
      <c r="B23" s="37"/>
      <c r="D23" s="24"/>
      <c r="F23" s="28" t="s">
        <v>12</v>
      </c>
      <c r="G23" s="23"/>
      <c r="I23" s="41" t="s">
        <v>50</v>
      </c>
      <c r="J23" s="23"/>
    </row>
    <row r="24" spans="2:10" ht="15" customHeight="1" x14ac:dyDescent="0.15">
      <c r="B24" s="37"/>
      <c r="D24" s="45">
        <f>D19-D20-D22</f>
        <v>42408</v>
      </c>
      <c r="F24" s="59">
        <v>0.32</v>
      </c>
      <c r="G24" s="24">
        <f>G9*F24</f>
        <v>96000</v>
      </c>
      <c r="I24" s="42">
        <f>VLOOKUP(J10,'Anexo IV'!A4:D24,3)</f>
        <v>0.16850000000000001</v>
      </c>
      <c r="J24" s="24">
        <f>J9*I24</f>
        <v>50550</v>
      </c>
    </row>
    <row r="25" spans="2:10" ht="15" customHeight="1" x14ac:dyDescent="0.15">
      <c r="B25" s="37"/>
      <c r="C25" s="50">
        <v>0.1</v>
      </c>
      <c r="D25" s="24">
        <f>IF(D24&gt;20000,(D24-20000)*C25,0)</f>
        <v>2240.8000000000002</v>
      </c>
      <c r="F25" s="31">
        <f>C22</f>
        <v>0.15</v>
      </c>
      <c r="G25" s="24">
        <f>G24*F25</f>
        <v>14400</v>
      </c>
      <c r="I25" s="22"/>
      <c r="J25" s="23"/>
    </row>
    <row r="26" spans="2:10" ht="15" customHeight="1" x14ac:dyDescent="0.15">
      <c r="B26" s="37"/>
      <c r="D26" s="24"/>
      <c r="F26" s="46">
        <v>0.1</v>
      </c>
      <c r="G26" s="24">
        <f>IF(G24&gt;20000,(G24-20000)*F26,0)</f>
        <v>7600</v>
      </c>
      <c r="I26" s="22"/>
      <c r="J26" s="23"/>
    </row>
    <row r="27" spans="2:10" ht="15" customHeight="1" x14ac:dyDescent="0.15">
      <c r="B27" s="37"/>
      <c r="D27" s="24"/>
      <c r="F27" s="22"/>
      <c r="G27" s="23"/>
      <c r="I27" s="22"/>
      <c r="J27" s="23"/>
    </row>
    <row r="28" spans="2:10" ht="15" customHeight="1" x14ac:dyDescent="0.15">
      <c r="B28" s="37"/>
      <c r="C28" s="15" t="s">
        <v>7</v>
      </c>
      <c r="D28" s="45">
        <f>D24-D25</f>
        <v>40167.199999999997</v>
      </c>
      <c r="F28" s="41" t="s">
        <v>11</v>
      </c>
      <c r="G28" s="45">
        <f>G19-G22-G25</f>
        <v>38160</v>
      </c>
      <c r="I28" s="41" t="s">
        <v>24</v>
      </c>
      <c r="J28" s="45">
        <f>J9-J14-J16-J18-J20-J24</f>
        <v>31200</v>
      </c>
    </row>
    <row r="29" spans="2:10" ht="15" customHeight="1" x14ac:dyDescent="0.15">
      <c r="B29" s="38"/>
      <c r="C29" s="39"/>
      <c r="D29" s="40"/>
      <c r="F29" s="32"/>
      <c r="G29" s="33"/>
      <c r="I29" s="32"/>
      <c r="J29" s="33"/>
    </row>
    <row r="31" spans="2:10" ht="15" customHeight="1" x14ac:dyDescent="0.15">
      <c r="C31" s="100">
        <f>D10+D11+D12+D17+D20+D22+D25</f>
        <v>49832.800000000003</v>
      </c>
      <c r="F31" s="63">
        <f>C31</f>
        <v>49832.800000000003</v>
      </c>
      <c r="I31" s="63">
        <f>C31</f>
        <v>49832.800000000003</v>
      </c>
    </row>
    <row r="32" spans="2:10" ht="15" customHeight="1" x14ac:dyDescent="0.15">
      <c r="C32" s="64">
        <f>G10+G11+G12+G17+G22+G25+G26</f>
        <v>59440</v>
      </c>
      <c r="F32" s="101">
        <f>C32</f>
        <v>59440</v>
      </c>
      <c r="I32" s="64">
        <f>C32</f>
        <v>59440</v>
      </c>
    </row>
    <row r="33" spans="3:10" ht="15" customHeight="1" x14ac:dyDescent="0.15">
      <c r="C33" s="65">
        <f>J16+J24</f>
        <v>80550</v>
      </c>
      <c r="F33" s="65">
        <f>C33</f>
        <v>80550</v>
      </c>
      <c r="I33" s="102">
        <f>C33</f>
        <v>80550</v>
      </c>
    </row>
    <row r="34" spans="3:10" ht="15" customHeight="1" x14ac:dyDescent="0.15">
      <c r="G34" s="13"/>
      <c r="J34" s="13"/>
    </row>
    <row r="35" spans="3:10" ht="15" customHeight="1" x14ac:dyDescent="0.15">
      <c r="C35" s="66">
        <f>G28</f>
        <v>38160</v>
      </c>
      <c r="F35" s="68">
        <f>D28</f>
        <v>40167.199999999997</v>
      </c>
      <c r="G35" s="13"/>
      <c r="I35" s="66">
        <f>G28</f>
        <v>38160</v>
      </c>
    </row>
    <row r="36" spans="3:10" ht="15" customHeight="1" x14ac:dyDescent="0.15">
      <c r="C36" s="67">
        <f>J28</f>
        <v>31200</v>
      </c>
      <c r="F36" s="67">
        <f>J28</f>
        <v>31200</v>
      </c>
      <c r="I36" s="69">
        <f>D28</f>
        <v>40167.199999999997</v>
      </c>
    </row>
  </sheetData>
  <phoneticPr fontId="0" type="noConversion"/>
  <pageMargins left="0.511811024" right="0.511811024" top="0.78740157499999996" bottom="0.78740157499999996" header="0.31496062000000002" footer="0.31496062000000002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Apresentação" dvAspect="DVASPECT_ICON" shapeId="3074" r:id="rId3">
          <objectPr locked="0" defaultSize="0" autoPict="0" r:id="rId4">
            <anchor moveWithCells="1">
              <from>
                <xdr:col>6</xdr:col>
                <xdr:colOff>781050</xdr:colOff>
                <xdr:row>3</xdr:row>
                <xdr:rowOff>180975</xdr:rowOff>
              </from>
              <to>
                <xdr:col>7</xdr:col>
                <xdr:colOff>57150</xdr:colOff>
                <xdr:row>4</xdr:row>
                <xdr:rowOff>180975</xdr:rowOff>
              </to>
            </anchor>
          </objectPr>
        </oleObject>
      </mc:Choice>
      <mc:Fallback>
        <oleObject progId="Apresentação" dvAspect="DVASPECT_ICON" shapeId="2049" r:id="rId3"/>
      </mc:Fallback>
    </mc:AlternateContent>
    <mc:AlternateContent xmlns:mc="http://schemas.openxmlformats.org/markup-compatibility/2006">
      <mc:Choice Requires="x14">
        <oleObject progId="Apresentação" dvAspect="DVASPECT_ICON" shapeId="3075" r:id="rId5">
          <objectPr locked="0" defaultSize="0" autoPict="0" r:id="rId6">
            <anchor moveWithCells="1">
              <from>
                <xdr:col>9</xdr:col>
                <xdr:colOff>771525</xdr:colOff>
                <xdr:row>3</xdr:row>
                <xdr:rowOff>142875</xdr:rowOff>
              </from>
              <to>
                <xdr:col>9</xdr:col>
                <xdr:colOff>1104900</xdr:colOff>
                <xdr:row>5</xdr:row>
                <xdr:rowOff>9525</xdr:rowOff>
              </to>
            </anchor>
          </objectPr>
        </oleObject>
      </mc:Choice>
      <mc:Fallback>
        <oleObject progId="Apresentação" dvAspect="DVASPECT_ICON" shapeId="2050" r:id="rId5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 xr3:uid="{78B4E459-6924-5F8B-B7BA-2DD04133E49E}">
      <selection activeCell="M22" sqref="M22"/>
    </sheetView>
  </sheetViews>
  <sheetFormatPr defaultColWidth="8.609375" defaultRowHeight="15" x14ac:dyDescent="0.2"/>
  <cols>
    <col min="1" max="1" width="13.5859375" customWidth="1"/>
    <col min="2" max="2" width="12.23828125" bestFit="1" customWidth="1"/>
  </cols>
  <sheetData>
    <row r="1" spans="1:8" x14ac:dyDescent="0.2">
      <c r="A1" s="104" t="s">
        <v>36</v>
      </c>
      <c r="B1" s="105"/>
      <c r="C1" s="105"/>
      <c r="D1" s="105"/>
      <c r="E1" s="87"/>
      <c r="F1" s="105"/>
      <c r="G1" s="87"/>
      <c r="H1" s="105"/>
    </row>
    <row r="2" spans="1:8" x14ac:dyDescent="0.2">
      <c r="A2" s="104"/>
      <c r="B2" s="105"/>
      <c r="C2" s="106"/>
      <c r="D2" s="105"/>
      <c r="E2" s="107"/>
      <c r="F2" s="105"/>
      <c r="G2" s="87"/>
      <c r="H2" s="105"/>
    </row>
    <row r="3" spans="1:8" x14ac:dyDescent="0.2">
      <c r="A3" s="111" t="s">
        <v>31</v>
      </c>
      <c r="B3" s="111"/>
      <c r="C3" s="103" t="s">
        <v>23</v>
      </c>
      <c r="D3" s="85" t="s">
        <v>19</v>
      </c>
      <c r="E3" s="85" t="s">
        <v>20</v>
      </c>
      <c r="F3" s="85" t="s">
        <v>3</v>
      </c>
      <c r="G3" s="85" t="s">
        <v>21</v>
      </c>
      <c r="H3" s="85" t="s">
        <v>32</v>
      </c>
    </row>
    <row r="4" spans="1:8" x14ac:dyDescent="0.2">
      <c r="A4" s="84">
        <v>0</v>
      </c>
      <c r="B4" s="84">
        <v>120000</v>
      </c>
      <c r="C4" s="87">
        <v>4.4999999999999998E-2</v>
      </c>
      <c r="D4" s="88">
        <v>0</v>
      </c>
      <c r="E4" s="88">
        <v>1.2200000000000001E-2</v>
      </c>
      <c r="F4" s="88">
        <v>1.2800000000000001E-2</v>
      </c>
      <c r="G4" s="88">
        <v>0</v>
      </c>
      <c r="H4" s="88">
        <v>0.02</v>
      </c>
    </row>
    <row r="5" spans="1:8" x14ac:dyDescent="0.2">
      <c r="A5" s="84">
        <f>B4+0.01</f>
        <v>120000.01</v>
      </c>
      <c r="B5" s="84">
        <f>240000</f>
        <v>240000</v>
      </c>
      <c r="C5" s="87">
        <v>6.54E-2</v>
      </c>
      <c r="D5" s="88">
        <v>0</v>
      </c>
      <c r="E5" s="88">
        <v>1.84E-2</v>
      </c>
      <c r="F5" s="88">
        <v>1.9099999999999999E-2</v>
      </c>
      <c r="G5" s="88">
        <v>0</v>
      </c>
      <c r="H5" s="88">
        <v>2.7900000000000001E-2</v>
      </c>
    </row>
    <row r="6" spans="1:8" x14ac:dyDescent="0.2">
      <c r="A6" s="84">
        <f t="shared" ref="A6:A22" si="0">B5+0.01</f>
        <v>240000.01</v>
      </c>
      <c r="B6" s="84">
        <f>360000</f>
        <v>360000</v>
      </c>
      <c r="C6" s="87">
        <v>7.6999999999999999E-2</v>
      </c>
      <c r="D6" s="88">
        <v>1.6000000000000001E-3</v>
      </c>
      <c r="E6" s="88">
        <v>1.8499999999999999E-2</v>
      </c>
      <c r="F6" s="88">
        <v>1.95E-2</v>
      </c>
      <c r="G6" s="88">
        <v>2.3999999999999998E-3</v>
      </c>
      <c r="H6" s="88">
        <v>3.5000000000000003E-2</v>
      </c>
    </row>
    <row r="7" spans="1:8" x14ac:dyDescent="0.2">
      <c r="A7" s="84">
        <f t="shared" si="0"/>
        <v>360000.01</v>
      </c>
      <c r="B7" s="84">
        <f>480000</f>
        <v>480000</v>
      </c>
      <c r="C7" s="87">
        <v>8.4900000000000003E-2</v>
      </c>
      <c r="D7" s="88">
        <v>5.1999999999999998E-3</v>
      </c>
      <c r="E7" s="88">
        <v>1.8700000000000001E-2</v>
      </c>
      <c r="F7" s="88">
        <v>1.9900000000000001E-2</v>
      </c>
      <c r="G7" s="88">
        <v>2.7000000000000001E-3</v>
      </c>
      <c r="H7" s="88">
        <v>3.8399999999999997E-2</v>
      </c>
    </row>
    <row r="8" spans="1:8" x14ac:dyDescent="0.2">
      <c r="A8" s="84">
        <f t="shared" si="0"/>
        <v>480000.01</v>
      </c>
      <c r="B8" s="84">
        <f>600000</f>
        <v>600000</v>
      </c>
      <c r="C8" s="87">
        <v>8.9700000000000002E-2</v>
      </c>
      <c r="D8" s="88">
        <v>8.8999999999999999E-3</v>
      </c>
      <c r="E8" s="88">
        <v>1.89E-2</v>
      </c>
      <c r="F8" s="88">
        <v>2.0299999999999999E-2</v>
      </c>
      <c r="G8" s="88">
        <v>2.8999999999999998E-3</v>
      </c>
      <c r="H8" s="88">
        <v>3.8699999999999998E-2</v>
      </c>
    </row>
    <row r="9" spans="1:8" x14ac:dyDescent="0.2">
      <c r="A9" s="84">
        <f t="shared" si="0"/>
        <v>600000.01</v>
      </c>
      <c r="B9" s="84">
        <f>720000</f>
        <v>720000</v>
      </c>
      <c r="C9" s="87">
        <v>9.7799999999999998E-2</v>
      </c>
      <c r="D9" s="88">
        <v>1.2500000000000001E-2</v>
      </c>
      <c r="E9" s="88">
        <v>1.9099999999999999E-2</v>
      </c>
      <c r="F9" s="88">
        <v>2.07E-2</v>
      </c>
      <c r="G9" s="88">
        <v>3.2000000000000002E-3</v>
      </c>
      <c r="H9" s="88">
        <v>4.2299999999999997E-2</v>
      </c>
    </row>
    <row r="10" spans="1:8" x14ac:dyDescent="0.2">
      <c r="A10" s="84">
        <f t="shared" si="0"/>
        <v>720000.01</v>
      </c>
      <c r="B10" s="84">
        <f>840000</f>
        <v>840000</v>
      </c>
      <c r="C10" s="87">
        <v>0.1026</v>
      </c>
      <c r="D10" s="88">
        <v>1.6199999999999999E-2</v>
      </c>
      <c r="E10" s="88">
        <v>1.9300000000000001E-2</v>
      </c>
      <c r="F10" s="88">
        <v>2.1100000000000001E-2</v>
      </c>
      <c r="G10" s="88">
        <v>3.3999999999999998E-3</v>
      </c>
      <c r="H10" s="88">
        <v>4.2599999999999999E-2</v>
      </c>
    </row>
    <row r="11" spans="1:8" x14ac:dyDescent="0.2">
      <c r="A11" s="84">
        <f t="shared" si="0"/>
        <v>840000.01</v>
      </c>
      <c r="B11" s="84">
        <f>960000</f>
        <v>960000</v>
      </c>
      <c r="C11" s="87">
        <v>0.1076</v>
      </c>
      <c r="D11" s="88">
        <v>0.02</v>
      </c>
      <c r="E11" s="88">
        <v>1.95E-2</v>
      </c>
      <c r="F11" s="88">
        <v>2.1499999999999998E-2</v>
      </c>
      <c r="G11" s="88">
        <v>3.5000000000000001E-3</v>
      </c>
      <c r="H11" s="88">
        <v>4.3099999999999999E-2</v>
      </c>
    </row>
    <row r="12" spans="1:8" x14ac:dyDescent="0.2">
      <c r="A12" s="84">
        <f t="shared" si="0"/>
        <v>960000.01</v>
      </c>
      <c r="B12" s="84">
        <f>1080000</f>
        <v>1080000</v>
      </c>
      <c r="C12" s="87">
        <v>0.11509999999999999</v>
      </c>
      <c r="D12" s="88">
        <v>2.3699999999999999E-2</v>
      </c>
      <c r="E12" s="88">
        <v>1.9699999999999999E-2</v>
      </c>
      <c r="F12" s="88">
        <v>2.1899999999999999E-2</v>
      </c>
      <c r="G12" s="88">
        <v>3.7000000000000002E-3</v>
      </c>
      <c r="H12" s="88">
        <v>4.6100000000000002E-2</v>
      </c>
    </row>
    <row r="13" spans="1:8" x14ac:dyDescent="0.2">
      <c r="A13" s="84">
        <f t="shared" si="0"/>
        <v>1080000.01</v>
      </c>
      <c r="B13" s="84">
        <f>1200000</f>
        <v>1200000</v>
      </c>
      <c r="C13" s="87">
        <v>0.12</v>
      </c>
      <c r="D13" s="88">
        <v>2.7400000000000001E-2</v>
      </c>
      <c r="E13" s="88">
        <v>0.02</v>
      </c>
      <c r="F13" s="88">
        <v>2.23E-2</v>
      </c>
      <c r="G13" s="88">
        <v>3.8E-3</v>
      </c>
      <c r="H13" s="88">
        <v>4.65E-2</v>
      </c>
    </row>
    <row r="14" spans="1:8" x14ac:dyDescent="0.2">
      <c r="A14" s="84">
        <f t="shared" si="0"/>
        <v>1200000.01</v>
      </c>
      <c r="B14" s="84">
        <f>1320000</f>
        <v>1320000</v>
      </c>
      <c r="C14" s="87">
        <v>0.128</v>
      </c>
      <c r="D14" s="88">
        <v>3.1199999999999999E-2</v>
      </c>
      <c r="E14" s="88">
        <v>2.01E-2</v>
      </c>
      <c r="F14" s="88">
        <v>2.2700000000000001E-2</v>
      </c>
      <c r="G14" s="88">
        <v>4.0000000000000001E-3</v>
      </c>
      <c r="H14" s="88">
        <v>0.05</v>
      </c>
    </row>
    <row r="15" spans="1:8" x14ac:dyDescent="0.2">
      <c r="A15" s="84">
        <f t="shared" si="0"/>
        <v>1320000.01</v>
      </c>
      <c r="B15" s="84">
        <f>1440000</f>
        <v>1440000</v>
      </c>
      <c r="C15" s="87">
        <v>0.13250000000000001</v>
      </c>
      <c r="D15" s="88">
        <v>3.49E-2</v>
      </c>
      <c r="E15" s="88">
        <v>2.0299999999999999E-2</v>
      </c>
      <c r="F15" s="88">
        <v>2.3099999999999999E-2</v>
      </c>
      <c r="G15" s="88">
        <v>4.1999999999999997E-3</v>
      </c>
      <c r="H15" s="88">
        <v>0.05</v>
      </c>
    </row>
    <row r="16" spans="1:8" x14ac:dyDescent="0.2">
      <c r="A16" s="84">
        <f t="shared" si="0"/>
        <v>1440000.01</v>
      </c>
      <c r="B16" s="84">
        <f>1560000</f>
        <v>1560000</v>
      </c>
      <c r="C16" s="87">
        <v>0.13700000000000001</v>
      </c>
      <c r="D16" s="88">
        <v>3.8600000000000002E-2</v>
      </c>
      <c r="E16" s="88">
        <v>2.0500000000000001E-2</v>
      </c>
      <c r="F16" s="88">
        <v>2.35E-2</v>
      </c>
      <c r="G16" s="88">
        <v>4.4000000000000003E-3</v>
      </c>
      <c r="H16" s="88">
        <v>0.05</v>
      </c>
    </row>
    <row r="17" spans="1:8" x14ac:dyDescent="0.2">
      <c r="A17" s="84">
        <f t="shared" si="0"/>
        <v>1560000.01</v>
      </c>
      <c r="B17" s="84">
        <f>1680000</f>
        <v>1680000</v>
      </c>
      <c r="C17" s="87">
        <v>0.14149999999999999</v>
      </c>
      <c r="D17" s="88">
        <v>4.2299999999999997E-2</v>
      </c>
      <c r="E17" s="88">
        <v>2.07E-2</v>
      </c>
      <c r="F17" s="88">
        <v>2.3900000000000001E-2</v>
      </c>
      <c r="G17" s="88">
        <v>4.5999999999999999E-3</v>
      </c>
      <c r="H17" s="88">
        <v>0.05</v>
      </c>
    </row>
    <row r="18" spans="1:8" x14ac:dyDescent="0.2">
      <c r="A18" s="84">
        <f t="shared" si="0"/>
        <v>1680000.01</v>
      </c>
      <c r="B18" s="84">
        <f>1800000</f>
        <v>1800000</v>
      </c>
      <c r="C18" s="87">
        <v>0.14599999999999999</v>
      </c>
      <c r="D18" s="88">
        <v>4.5999999999999999E-2</v>
      </c>
      <c r="E18" s="88">
        <v>2.1000000000000001E-2</v>
      </c>
      <c r="F18" s="88">
        <v>2.4299999999999999E-2</v>
      </c>
      <c r="G18" s="88">
        <v>4.7000000000000002E-3</v>
      </c>
      <c r="H18" s="88">
        <v>0.05</v>
      </c>
    </row>
    <row r="19" spans="1:8" x14ac:dyDescent="0.2">
      <c r="A19" s="84">
        <f t="shared" si="0"/>
        <v>1800000.01</v>
      </c>
      <c r="B19" s="84">
        <f>1920000</f>
        <v>1920000</v>
      </c>
      <c r="C19" s="87">
        <v>0.15049999999999999</v>
      </c>
      <c r="D19" s="88">
        <v>4.9000000000000002E-2</v>
      </c>
      <c r="E19" s="88">
        <v>2.1899999999999999E-2</v>
      </c>
      <c r="F19" s="88">
        <v>2.47E-2</v>
      </c>
      <c r="G19" s="88">
        <v>4.8999999999999998E-3</v>
      </c>
      <c r="H19" s="88">
        <v>0.05</v>
      </c>
    </row>
    <row r="20" spans="1:8" x14ac:dyDescent="0.2">
      <c r="A20" s="84">
        <f t="shared" si="0"/>
        <v>1920000.01</v>
      </c>
      <c r="B20" s="84">
        <f>2040000</f>
        <v>2040000</v>
      </c>
      <c r="C20" s="87">
        <v>0.155</v>
      </c>
      <c r="D20" s="88">
        <v>5.21E-2</v>
      </c>
      <c r="E20" s="88">
        <v>2.2700000000000001E-2</v>
      </c>
      <c r="F20" s="88">
        <v>2.5100000000000001E-2</v>
      </c>
      <c r="G20" s="88">
        <v>5.1000000000000004E-3</v>
      </c>
      <c r="H20" s="88">
        <v>0.05</v>
      </c>
    </row>
    <row r="21" spans="1:8" x14ac:dyDescent="0.2">
      <c r="A21" s="84">
        <f t="shared" si="0"/>
        <v>2040000.01</v>
      </c>
      <c r="B21" s="84">
        <f>2160000</f>
        <v>2160000</v>
      </c>
      <c r="C21" s="87">
        <v>0.1595</v>
      </c>
      <c r="D21" s="88">
        <v>5.5100000000000003E-2</v>
      </c>
      <c r="E21" s="88">
        <v>2.3599999999999999E-2</v>
      </c>
      <c r="F21" s="88">
        <v>2.5499999999999998E-2</v>
      </c>
      <c r="G21" s="88">
        <v>5.3E-3</v>
      </c>
      <c r="H21" s="88">
        <v>0.05</v>
      </c>
    </row>
    <row r="22" spans="1:8" x14ac:dyDescent="0.2">
      <c r="A22" s="84">
        <f t="shared" si="0"/>
        <v>2160000.0099999998</v>
      </c>
      <c r="B22" s="84">
        <f>2280000</f>
        <v>2280000</v>
      </c>
      <c r="C22" s="87">
        <v>0.16400000000000001</v>
      </c>
      <c r="D22" s="88">
        <v>5.8099999999999999E-2</v>
      </c>
      <c r="E22" s="88">
        <v>2.4500000000000001E-2</v>
      </c>
      <c r="F22" s="88">
        <v>2.5899999999999999E-2</v>
      </c>
      <c r="G22" s="88">
        <v>5.4999999999999997E-3</v>
      </c>
      <c r="H22" s="88">
        <v>0.05</v>
      </c>
    </row>
    <row r="23" spans="1:8" x14ac:dyDescent="0.2">
      <c r="A23" s="84">
        <f>2280000.01</f>
        <v>2280000.0099999998</v>
      </c>
      <c r="B23" s="84">
        <v>2400000</v>
      </c>
      <c r="C23" s="87">
        <v>0.16850000000000001</v>
      </c>
      <c r="D23" s="88">
        <v>6.1199999999999997E-2</v>
      </c>
      <c r="E23" s="88">
        <v>2.53E-2</v>
      </c>
      <c r="F23" s="88">
        <v>2.63E-2</v>
      </c>
      <c r="G23" s="88">
        <v>5.7000000000000002E-3</v>
      </c>
      <c r="H23" s="88">
        <v>0.05</v>
      </c>
    </row>
    <row r="24" spans="1:8" x14ac:dyDescent="0.2">
      <c r="A24" s="84">
        <f>2400000*1.2</f>
        <v>2880000</v>
      </c>
      <c r="B24" s="84"/>
      <c r="C24" s="87">
        <v>0.16850000000000001</v>
      </c>
      <c r="D24" s="87"/>
      <c r="E24" s="87"/>
      <c r="F24" s="87"/>
      <c r="G24" s="87"/>
      <c r="H24" s="87"/>
    </row>
  </sheetData>
  <sheetProtection sheet="1"/>
  <mergeCells count="1">
    <mergeCell ref="A3:B3"/>
  </mergeCells>
  <phoneticPr fontId="0" type="noConversion"/>
  <hyperlinks>
    <hyperlink ref="D3" r:id="rId1" display="http://www.planalto.gov.br/ccivil_03/Leis/LCP/Lcp128.htm" xr:uid="{00000000-0004-0000-0500-000000000000}"/>
    <hyperlink ref="E3" r:id="rId2" display="http://www.planalto.gov.br/ccivil_03/Leis/LCP/Lcp128.htm" xr:uid="{00000000-0004-0000-0500-000001000000}"/>
    <hyperlink ref="F3" r:id="rId3" display="http://www.planalto.gov.br/ccivil_03/Leis/LCP/Lcp128.htm" xr:uid="{00000000-0004-0000-0500-000002000000}"/>
    <hyperlink ref="G3" r:id="rId4" display="http://www.planalto.gov.br/ccivil_03/Leis/LCP/Lcp128.htm" xr:uid="{00000000-0004-0000-0500-000003000000}"/>
    <hyperlink ref="H3" r:id="rId5" display="http://www.planalto.gov.br/ccivil_03/Leis/LCP/Lcp128.htm" xr:uid="{00000000-0004-0000-0500-000004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Comércio</vt:lpstr>
      <vt:lpstr>Anexo 1</vt:lpstr>
      <vt:lpstr>Serviços (III)</vt:lpstr>
      <vt:lpstr>Anexo III</vt:lpstr>
      <vt:lpstr>Serviços IV</vt:lpstr>
      <vt:lpstr>Anexo IV</vt:lpstr>
      <vt:lpstr>Comércio!Area_de_impressao</vt:lpstr>
      <vt:lpstr>Icms</vt:lpstr>
    </vt:vector>
  </TitlesOfParts>
  <Company>Cliente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Obs.</dc:creator>
  <cp:lastModifiedBy>X</cp:lastModifiedBy>
  <dcterms:created xsi:type="dcterms:W3CDTF">2011-04-15T19:05:09Z</dcterms:created>
  <dcterms:modified xsi:type="dcterms:W3CDTF">2017-07-03T20:36:07Z</dcterms:modified>
</cp:coreProperties>
</file>