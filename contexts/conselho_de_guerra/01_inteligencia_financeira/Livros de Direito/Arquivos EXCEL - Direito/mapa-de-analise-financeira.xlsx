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VOITTO\2 - Acelere.vc\1 - Produtos\1.0 - Planilhas\Mapa de Análise Financeira\"/>
    </mc:Choice>
  </mc:AlternateContent>
  <bookViews>
    <workbookView xWindow="0" yWindow="210" windowWidth="19155" windowHeight="7905" tabRatio="397"/>
  </bookViews>
  <sheets>
    <sheet name="Início" sheetId="1" r:id="rId1"/>
    <sheet name="Direitos" sheetId="3" r:id="rId2"/>
    <sheet name="Obrigações" sheetId="6" r:id="rId3"/>
    <sheet name="Relatório" sheetId="5" r:id="rId4"/>
    <sheet name="Panorama" sheetId="7" r:id="rId5"/>
  </sheets>
  <calcPr calcId="152511"/>
</workbook>
</file>

<file path=xl/calcChain.xml><?xml version="1.0" encoding="utf-8"?>
<calcChain xmlns="http://schemas.openxmlformats.org/spreadsheetml/2006/main">
  <c r="L7" i="6" l="1"/>
  <c r="F9" i="6"/>
  <c r="C7" i="6"/>
  <c r="M7" i="6" s="1"/>
  <c r="L8" i="6"/>
  <c r="C8" i="6"/>
  <c r="M8" i="6"/>
  <c r="L9" i="6"/>
  <c r="M9" i="6"/>
  <c r="L10" i="6"/>
  <c r="M10" i="6"/>
  <c r="L11" i="6"/>
  <c r="M11" i="6"/>
  <c r="L12" i="6"/>
  <c r="F16" i="6"/>
  <c r="C15" i="6" s="1"/>
  <c r="M15" i="6" s="1"/>
  <c r="L13" i="6"/>
  <c r="L14" i="6"/>
  <c r="L15" i="6"/>
  <c r="L16" i="6"/>
  <c r="M16" i="6"/>
  <c r="L17" i="6"/>
  <c r="M17" i="6"/>
  <c r="L18" i="6"/>
  <c r="M18" i="6"/>
  <c r="L19" i="6"/>
  <c r="F25" i="6"/>
  <c r="C19" i="6"/>
  <c r="M19" i="6" s="1"/>
  <c r="L20" i="6"/>
  <c r="C20" i="6"/>
  <c r="M20" i="6"/>
  <c r="L21" i="6"/>
  <c r="C21" i="6"/>
  <c r="M21" i="6" s="1"/>
  <c r="L22" i="6"/>
  <c r="C22" i="6"/>
  <c r="M22" i="6"/>
  <c r="L23" i="6"/>
  <c r="C23" i="6"/>
  <c r="M23" i="6" s="1"/>
  <c r="L24" i="6"/>
  <c r="C24" i="6"/>
  <c r="M24" i="6"/>
  <c r="L25" i="6"/>
  <c r="M25" i="6"/>
  <c r="L26" i="6"/>
  <c r="M26" i="6"/>
  <c r="L27" i="6"/>
  <c r="M27" i="6"/>
  <c r="L28" i="6"/>
  <c r="F31" i="6"/>
  <c r="C30" i="6" s="1"/>
  <c r="M30" i="6" s="1"/>
  <c r="L29" i="6"/>
  <c r="L30" i="6"/>
  <c r="L31" i="6"/>
  <c r="M31" i="6"/>
  <c r="L32" i="6"/>
  <c r="M32" i="6"/>
  <c r="C6" i="6"/>
  <c r="M6" i="6"/>
  <c r="L6" i="6"/>
  <c r="L6" i="3"/>
  <c r="F8" i="3"/>
  <c r="C7" i="3"/>
  <c r="M6" i="3" s="1"/>
  <c r="L7" i="3"/>
  <c r="M7" i="3"/>
  <c r="L8" i="3"/>
  <c r="M8" i="3"/>
  <c r="L9" i="3"/>
  <c r="M9" i="3"/>
  <c r="L10" i="3"/>
  <c r="F15" i="3"/>
  <c r="C11" i="3"/>
  <c r="M10" i="3" s="1"/>
  <c r="L11" i="3"/>
  <c r="C12" i="3"/>
  <c r="M11" i="3"/>
  <c r="L12" i="3"/>
  <c r="C13" i="3"/>
  <c r="M12" i="3" s="1"/>
  <c r="L13" i="3"/>
  <c r="C14" i="3"/>
  <c r="M13" i="3" s="1"/>
  <c r="L14" i="3"/>
  <c r="M14" i="3"/>
  <c r="L15" i="3"/>
  <c r="M15" i="3"/>
  <c r="L16" i="3"/>
  <c r="M16" i="3"/>
  <c r="L17" i="3"/>
  <c r="F24" i="3"/>
  <c r="C18" i="3" s="1"/>
  <c r="M17" i="3" s="1"/>
  <c r="L18" i="3"/>
  <c r="C19" i="3"/>
  <c r="M18" i="3" s="1"/>
  <c r="L19" i="3"/>
  <c r="C20" i="3"/>
  <c r="M19" i="3" s="1"/>
  <c r="L20" i="3"/>
  <c r="C21" i="3"/>
  <c r="M20" i="3" s="1"/>
  <c r="L21" i="3"/>
  <c r="L22" i="3"/>
  <c r="C23" i="3"/>
  <c r="M22" i="3" s="1"/>
  <c r="L23" i="3"/>
  <c r="M23" i="3"/>
  <c r="L24" i="3"/>
  <c r="M24" i="3"/>
  <c r="L25" i="3"/>
  <c r="M25" i="3"/>
  <c r="L26" i="3"/>
  <c r="F31" i="3"/>
  <c r="C27" i="3"/>
  <c r="M26" i="3" s="1"/>
  <c r="L27" i="3"/>
  <c r="C28" i="3"/>
  <c r="M27" i="3"/>
  <c r="L28" i="3"/>
  <c r="C29" i="3"/>
  <c r="M28" i="3" s="1"/>
  <c r="L29" i="3"/>
  <c r="C30" i="3"/>
  <c r="M29" i="3" s="1"/>
  <c r="L30" i="3"/>
  <c r="M30" i="3"/>
  <c r="L31" i="3"/>
  <c r="M31" i="3"/>
  <c r="L32" i="3"/>
  <c r="M32" i="3"/>
  <c r="L33" i="3"/>
  <c r="F40" i="3"/>
  <c r="C34" i="3" s="1"/>
  <c r="M33" i="3" s="1"/>
  <c r="L34" i="3"/>
  <c r="C35" i="3"/>
  <c r="M34" i="3" s="1"/>
  <c r="L35" i="3"/>
  <c r="C36" i="3"/>
  <c r="M35" i="3" s="1"/>
  <c r="L36" i="3"/>
  <c r="C37" i="3"/>
  <c r="M36" i="3" s="1"/>
  <c r="L37" i="3"/>
  <c r="L38" i="3"/>
  <c r="C39" i="3"/>
  <c r="M38" i="3" s="1"/>
  <c r="L39" i="3"/>
  <c r="M39" i="3"/>
  <c r="C6" i="3"/>
  <c r="M5" i="3"/>
  <c r="L5" i="3"/>
  <c r="I5" i="3"/>
  <c r="J5" i="3"/>
  <c r="I6" i="3"/>
  <c r="J6" i="3"/>
  <c r="C7" i="5" s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I6" i="6"/>
  <c r="J6" i="6"/>
  <c r="I7" i="6"/>
  <c r="D6" i="5" s="1"/>
  <c r="J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D7" i="5"/>
  <c r="C9" i="5"/>
  <c r="D16" i="5" s="1"/>
  <c r="I34" i="3"/>
  <c r="I33" i="3"/>
  <c r="I31" i="3"/>
  <c r="I32" i="3"/>
  <c r="F3" i="3"/>
  <c r="E7" i="5" l="1"/>
  <c r="D8" i="5"/>
  <c r="D10" i="5" s="1"/>
  <c r="C6" i="5"/>
  <c r="C28" i="6"/>
  <c r="M28" i="6" s="1"/>
  <c r="C12" i="6"/>
  <c r="M12" i="6" s="1"/>
  <c r="C29" i="6"/>
  <c r="M29" i="6" s="1"/>
  <c r="C13" i="6"/>
  <c r="M13" i="6" s="1"/>
  <c r="F3" i="6"/>
  <c r="D9" i="5"/>
  <c r="E16" i="5" s="1"/>
  <c r="C8" i="5"/>
  <c r="C38" i="3"/>
  <c r="M37" i="3" s="1"/>
  <c r="C22" i="3"/>
  <c r="M21" i="3" s="1"/>
  <c r="C14" i="6"/>
  <c r="M14" i="6" s="1"/>
  <c r="E9" i="5"/>
  <c r="E8" i="5" l="1"/>
  <c r="E15" i="5"/>
  <c r="E6" i="5"/>
  <c r="E23" i="5"/>
  <c r="D15" i="5"/>
  <c r="C10" i="5"/>
  <c r="E21" i="5" l="1"/>
  <c r="E22" i="5"/>
  <c r="E10" i="5"/>
</calcChain>
</file>

<file path=xl/sharedStrings.xml><?xml version="1.0" encoding="utf-8"?>
<sst xmlns="http://schemas.openxmlformats.org/spreadsheetml/2006/main" count="91" uniqueCount="72">
  <si>
    <t>IMPOSTOS</t>
  </si>
  <si>
    <t xml:space="preserve">FINANÇA DISPONÍVEL </t>
  </si>
  <si>
    <t>CAIXA</t>
  </si>
  <si>
    <t>BANCO</t>
  </si>
  <si>
    <t>APLICAÇÕES</t>
  </si>
  <si>
    <t>APLICAÇÃO 1</t>
  </si>
  <si>
    <t>APLICAÇÃO 2</t>
  </si>
  <si>
    <t>APLICAÇÃO 3</t>
  </si>
  <si>
    <t>APLICAÇÃO 4</t>
  </si>
  <si>
    <t>FATURAS A RECEBER</t>
  </si>
  <si>
    <t>FATURA 1</t>
  </si>
  <si>
    <t>FATURA 2</t>
  </si>
  <si>
    <t>FATURA 3</t>
  </si>
  <si>
    <t>FATURA 4</t>
  </si>
  <si>
    <t>FATURA 5</t>
  </si>
  <si>
    <t>FATURA 6</t>
  </si>
  <si>
    <t>ESTOQUE</t>
  </si>
  <si>
    <t>MATÉRIA 1</t>
  </si>
  <si>
    <t>MATÉRIA 2</t>
  </si>
  <si>
    <t>PRODUTO 1</t>
  </si>
  <si>
    <t>PRODUTO 2</t>
  </si>
  <si>
    <t>BENS IMOBILIZADOS</t>
  </si>
  <si>
    <t>EQUIPAMENTO 1</t>
  </si>
  <si>
    <t>EQUIPAMENTO 2</t>
  </si>
  <si>
    <t>EQUIPAMENTO 3</t>
  </si>
  <si>
    <t>EQUIPAMENTO 4</t>
  </si>
  <si>
    <t>EQUIPAMENTO 5</t>
  </si>
  <si>
    <t xml:space="preserve">DIREITOS:   </t>
  </si>
  <si>
    <t>EMPRÉSTIMOS</t>
  </si>
  <si>
    <t>EMPRÉSTIMO 1</t>
  </si>
  <si>
    <t>EMPRESTIMO 2</t>
  </si>
  <si>
    <t>EMPRESTIMO 3</t>
  </si>
  <si>
    <t>SALÁRIOS E ENCARGOS</t>
  </si>
  <si>
    <t>SALÁRIO 1</t>
  </si>
  <si>
    <t>SALÁRIO 2</t>
  </si>
  <si>
    <t>SALÁRIO 3</t>
  </si>
  <si>
    <t>SALÁRIO 4</t>
  </si>
  <si>
    <t>FATURAS A PAGAR</t>
  </si>
  <si>
    <t>IMPOSTOS 1</t>
  </si>
  <si>
    <t>IMPOSTOS 2</t>
  </si>
  <si>
    <t>IMPOSTOS 3</t>
  </si>
  <si>
    <t>30 DIAS</t>
  </si>
  <si>
    <t>60 DIAS</t>
  </si>
  <si>
    <t>90 DIAS</t>
  </si>
  <si>
    <t>MAIS DE 90 DIAS</t>
  </si>
  <si>
    <t>Previsão de Entradas</t>
  </si>
  <si>
    <t>Previsão de Saídas</t>
  </si>
  <si>
    <t>Previsão de Saldo</t>
  </si>
  <si>
    <t>Total</t>
  </si>
  <si>
    <t>ANÁLISE FINANCEIRA -  PREVISÃO DE CAIXA</t>
  </si>
  <si>
    <t>BALANÇO PATRIMONIAL</t>
  </si>
  <si>
    <t>ATIVO</t>
  </si>
  <si>
    <t>PASSIVO</t>
  </si>
  <si>
    <t xml:space="preserve"> CIRCULANTE</t>
  </si>
  <si>
    <t>NÃO CIRCULANTE</t>
  </si>
  <si>
    <t>ENDIVIDAMENTO</t>
  </si>
  <si>
    <t>LIQUIDEZ</t>
  </si>
  <si>
    <t/>
  </si>
  <si>
    <t>GRAU</t>
  </si>
  <si>
    <t xml:space="preserve">INDICADORES </t>
  </si>
  <si>
    <t>DIREITOS</t>
  </si>
  <si>
    <t>OBRIGAÇÕES</t>
  </si>
  <si>
    <t>NOME</t>
  </si>
  <si>
    <t>PORCENTAGEM</t>
  </si>
  <si>
    <t>PRAZO</t>
  </si>
  <si>
    <t>VALOR</t>
  </si>
  <si>
    <t>CAPITAL DE GIRO (em 30 dias)</t>
  </si>
  <si>
    <r>
      <rPr>
        <b/>
        <i/>
        <sz val="18"/>
        <color theme="0"/>
        <rFont val="Calibri"/>
        <family val="2"/>
        <scheme val="minor"/>
      </rPr>
      <t>MAPA DE ANÁLISE FINANCEIRA</t>
    </r>
    <r>
      <rPr>
        <i/>
        <sz val="16"/>
        <color theme="0"/>
        <rFont val="Calibri"/>
        <family val="2"/>
        <scheme val="minor"/>
      </rPr>
      <t xml:space="preserve"> - INÍCIO</t>
    </r>
  </si>
  <si>
    <r>
      <rPr>
        <b/>
        <i/>
        <sz val="18"/>
        <color theme="0"/>
        <rFont val="Calibri"/>
        <family val="2"/>
        <scheme val="minor"/>
      </rPr>
      <t>MAPA DE ANÁLISE FINANCEIRA</t>
    </r>
    <r>
      <rPr>
        <i/>
        <sz val="16"/>
        <color theme="0"/>
        <rFont val="Calibri"/>
        <family val="2"/>
        <scheme val="minor"/>
      </rPr>
      <t xml:space="preserve"> - PANORAMA</t>
    </r>
  </si>
  <si>
    <r>
      <rPr>
        <b/>
        <i/>
        <sz val="18"/>
        <color theme="0"/>
        <rFont val="Calibri"/>
        <family val="2"/>
        <scheme val="minor"/>
      </rPr>
      <t>MAPA DE ANÁLISE FINANCEIRA</t>
    </r>
    <r>
      <rPr>
        <i/>
        <sz val="16"/>
        <color theme="0"/>
        <rFont val="Calibri"/>
        <family val="2"/>
        <scheme val="minor"/>
      </rPr>
      <t xml:space="preserve"> - RELATÓRIO</t>
    </r>
  </si>
  <si>
    <r>
      <rPr>
        <b/>
        <i/>
        <sz val="18"/>
        <color theme="0"/>
        <rFont val="Calibri"/>
        <family val="2"/>
        <scheme val="minor"/>
      </rPr>
      <t>MAPA DE ANÁLISE FINANCEIRA</t>
    </r>
    <r>
      <rPr>
        <i/>
        <sz val="16"/>
        <color theme="0"/>
        <rFont val="Calibri"/>
        <family val="2"/>
        <scheme val="minor"/>
      </rPr>
      <t xml:space="preserve"> - OBRIGAÇÕES</t>
    </r>
  </si>
  <si>
    <r>
      <rPr>
        <b/>
        <i/>
        <sz val="18"/>
        <color theme="0"/>
        <rFont val="Calibri"/>
        <family val="2"/>
        <scheme val="minor"/>
      </rPr>
      <t>MAPA DE ANÁLISE FINANCEIRA</t>
    </r>
    <r>
      <rPr>
        <i/>
        <sz val="16"/>
        <color theme="0"/>
        <rFont val="Calibri"/>
        <family val="2"/>
        <scheme val="minor"/>
      </rPr>
      <t xml:space="preserve"> - DIREITOS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</si>
</sst>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_-* #,##0.00\ _R_$_-;\-* #,##0.00\ _R_$_-;_-* &quot;-&quot;??\ _R_$_-;_-@_-"/>
    <numFmt numFmtId="165" formatCode="&quot;R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abic Typesetting"/>
      <family val="4"/>
    </font>
    <font>
      <sz val="14"/>
      <color theme="1"/>
      <name val="Arabic Typesetting"/>
      <family val="4"/>
    </font>
    <font>
      <b/>
      <sz val="20"/>
      <color theme="1"/>
      <name val="Arabic Typesetting"/>
      <family val="4"/>
    </font>
    <font>
      <b/>
      <sz val="16"/>
      <color theme="1"/>
      <name val="Arabic Typesetting"/>
      <family val="4"/>
    </font>
    <font>
      <b/>
      <sz val="18"/>
      <name val="Arabic Typesetting"/>
      <family val="4"/>
    </font>
    <font>
      <b/>
      <sz val="14"/>
      <name val="Arabic Typesetting"/>
      <family val="4"/>
    </font>
    <font>
      <b/>
      <sz val="16"/>
      <color theme="0"/>
      <name val="Arabic Typesetting"/>
      <family val="4"/>
    </font>
    <font>
      <sz val="16"/>
      <color theme="1"/>
      <name val="Arabic Typesetting"/>
      <family val="4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8080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theme="1" tint="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theme="1" tint="0.249977111117893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9" fillId="0" borderId="0" xfId="0" applyFont="1" applyBorder="1" applyAlignment="1">
      <alignment horizontal="right"/>
    </xf>
    <xf numFmtId="44" fontId="9" fillId="0" borderId="0" xfId="2" applyFont="1" applyBorder="1"/>
    <xf numFmtId="44" fontId="8" fillId="5" borderId="0" xfId="2" applyFont="1" applyFill="1" applyBorder="1" applyAlignment="1">
      <alignment horizontal="right"/>
    </xf>
    <xf numFmtId="0" fontId="3" fillId="0" borderId="0" xfId="0" applyFont="1" applyBorder="1"/>
    <xf numFmtId="44" fontId="3" fillId="0" borderId="0" xfId="0" applyNumberFormat="1" applyFont="1" applyBorder="1"/>
    <xf numFmtId="0" fontId="7" fillId="4" borderId="0" xfId="0" applyFont="1" applyFill="1" applyBorder="1" applyAlignment="1"/>
    <xf numFmtId="0" fontId="5" fillId="0" borderId="1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9" fontId="4" fillId="0" borderId="2" xfId="1" applyFont="1" applyBorder="1" applyAlignment="1">
      <alignment horizontal="center"/>
    </xf>
    <xf numFmtId="9" fontId="4" fillId="0" borderId="4" xfId="1" applyFont="1" applyBorder="1" applyAlignment="1">
      <alignment horizontal="center"/>
    </xf>
    <xf numFmtId="44" fontId="11" fillId="0" borderId="2" xfId="2" applyFont="1" applyBorder="1"/>
    <xf numFmtId="44" fontId="11" fillId="0" borderId="4" xfId="2" applyFont="1" applyBorder="1"/>
    <xf numFmtId="0" fontId="5" fillId="0" borderId="5" xfId="0" applyFont="1" applyBorder="1" applyAlignment="1">
      <alignment horizontal="right"/>
    </xf>
    <xf numFmtId="9" fontId="4" fillId="0" borderId="6" xfId="1" applyFont="1" applyBorder="1" applyAlignment="1">
      <alignment horizontal="center"/>
    </xf>
    <xf numFmtId="44" fontId="11" fillId="0" borderId="6" xfId="2" applyFont="1" applyBorder="1"/>
    <xf numFmtId="44" fontId="6" fillId="4" borderId="0" xfId="2" applyFont="1" applyFill="1" applyBorder="1" applyAlignment="1"/>
    <xf numFmtId="0" fontId="7" fillId="4" borderId="0" xfId="0" applyFont="1" applyFill="1" applyBorder="1" applyAlignment="1">
      <alignment horizontal="right"/>
    </xf>
    <xf numFmtId="9" fontId="3" fillId="0" borderId="0" xfId="1" applyFont="1"/>
    <xf numFmtId="9" fontId="2" fillId="0" borderId="0" xfId="1" applyFont="1"/>
    <xf numFmtId="9" fontId="0" fillId="0" borderId="0" xfId="1" applyFont="1"/>
    <xf numFmtId="9" fontId="9" fillId="0" borderId="0" xfId="1" applyFont="1" applyBorder="1"/>
    <xf numFmtId="0" fontId="12" fillId="0" borderId="0" xfId="0" applyFont="1"/>
    <xf numFmtId="0" fontId="14" fillId="0" borderId="9" xfId="0" applyFont="1" applyBorder="1"/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44" fontId="15" fillId="0" borderId="7" xfId="2" applyFont="1" applyFill="1" applyBorder="1" applyAlignment="1" applyProtection="1">
      <alignment horizontal="center" vertical="center" wrapText="1"/>
      <protection locked="0"/>
    </xf>
    <xf numFmtId="44" fontId="15" fillId="0" borderId="10" xfId="2" applyFont="1" applyFill="1" applyBorder="1" applyAlignment="1" applyProtection="1">
      <alignment horizontal="center" vertical="center" wrapText="1"/>
      <protection locked="0"/>
    </xf>
    <xf numFmtId="0" fontId="3" fillId="0" borderId="0" xfId="1" applyNumberFormat="1" applyFont="1" applyBorder="1"/>
    <xf numFmtId="9" fontId="3" fillId="0" borderId="0" xfId="0" applyNumberFormat="1" applyFont="1" applyBorder="1"/>
    <xf numFmtId="165" fontId="15" fillId="7" borderId="9" xfId="0" applyNumberFormat="1" applyFont="1" applyFill="1" applyBorder="1" applyAlignment="1" applyProtection="1">
      <alignment horizontal="center" vertical="center" wrapText="1"/>
      <protection locked="0"/>
    </xf>
    <xf numFmtId="44" fontId="15" fillId="7" borderId="7" xfId="2" applyFont="1" applyFill="1" applyBorder="1" applyAlignment="1" applyProtection="1">
      <alignment horizontal="center" vertical="center" wrapText="1"/>
      <protection locked="0"/>
    </xf>
    <xf numFmtId="44" fontId="15" fillId="7" borderId="10" xfId="2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Border="1" applyAlignment="1" applyProtection="1">
      <alignment vertical="center" wrapText="1"/>
      <protection locked="0"/>
    </xf>
    <xf numFmtId="0" fontId="3" fillId="0" borderId="0" xfId="0" applyFont="1" applyAlignment="1">
      <alignment horizontal="right"/>
    </xf>
    <xf numFmtId="44" fontId="3" fillId="0" borderId="0" xfId="0" applyNumberFormat="1" applyFont="1" applyBorder="1" applyAlignment="1">
      <alignment horizontal="right"/>
    </xf>
    <xf numFmtId="0" fontId="3" fillId="0" borderId="0" xfId="0" applyNumberFormat="1" applyFont="1" applyBorder="1" applyAlignment="1">
      <alignment horizontal="right"/>
    </xf>
    <xf numFmtId="9" fontId="3" fillId="0" borderId="0" xfId="0" applyNumberFormat="1" applyFont="1" applyBorder="1" applyAlignment="1">
      <alignment horizontal="right"/>
    </xf>
    <xf numFmtId="0" fontId="0" fillId="0" borderId="0" xfId="0" quotePrefix="1"/>
    <xf numFmtId="0" fontId="13" fillId="8" borderId="8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Border="1" applyAlignment="1"/>
    <xf numFmtId="0" fontId="14" fillId="0" borderId="11" xfId="0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0" fontId="0" fillId="0" borderId="0" xfId="0" applyFont="1"/>
    <xf numFmtId="9" fontId="3" fillId="0" borderId="0" xfId="0" applyNumberFormat="1" applyFont="1"/>
    <xf numFmtId="9" fontId="3" fillId="0" borderId="0" xfId="1" applyFont="1" applyAlignment="1">
      <alignment horizontal="left"/>
    </xf>
    <xf numFmtId="9" fontId="3" fillId="0" borderId="0" xfId="1" applyFont="1" applyBorder="1" applyAlignment="1">
      <alignment horizontal="left"/>
    </xf>
    <xf numFmtId="0" fontId="19" fillId="7" borderId="0" xfId="0" applyFont="1" applyFill="1" applyAlignment="1">
      <alignment horizontal="center" vertical="center"/>
    </xf>
    <xf numFmtId="164" fontId="15" fillId="0" borderId="10" xfId="3" applyFont="1" applyFill="1" applyBorder="1" applyAlignment="1" applyProtection="1">
      <alignment horizontal="center" vertical="center" wrapText="1"/>
      <protection locked="0"/>
    </xf>
    <xf numFmtId="0" fontId="23" fillId="9" borderId="13" xfId="0" applyFont="1" applyFill="1" applyBorder="1" applyAlignment="1">
      <alignment vertical="center"/>
    </xf>
    <xf numFmtId="0" fontId="3" fillId="9" borderId="14" xfId="0" applyFont="1" applyFill="1" applyBorder="1"/>
    <xf numFmtId="0" fontId="20" fillId="9" borderId="13" xfId="0" applyFont="1" applyFill="1" applyBorder="1" applyAlignment="1">
      <alignment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right"/>
    </xf>
    <xf numFmtId="0" fontId="7" fillId="4" borderId="0" xfId="0" applyFont="1" applyFill="1" applyBorder="1" applyAlignment="1">
      <alignment horizontal="right"/>
    </xf>
    <xf numFmtId="0" fontId="13" fillId="8" borderId="8" xfId="0" applyFont="1" applyFill="1" applyBorder="1" applyAlignment="1" applyProtection="1">
      <alignment horizontal="center" vertical="center" wrapText="1"/>
      <protection locked="0"/>
    </xf>
    <xf numFmtId="0" fontId="17" fillId="6" borderId="0" xfId="0" applyFont="1" applyFill="1" applyAlignment="1">
      <alignment horizontal="center" vertical="center" textRotation="90"/>
    </xf>
    <xf numFmtId="0" fontId="18" fillId="6" borderId="0" xfId="0" applyFont="1" applyFill="1" applyAlignment="1">
      <alignment horizontal="center" vertical="center" textRotation="90"/>
    </xf>
  </cellXfs>
  <cellStyles count="4">
    <cellStyle name="Moeda" xfId="2" builtinId="4"/>
    <cellStyle name="Normal" xfId="0" builtinId="0"/>
    <cellStyle name="Porcentagem" xfId="1" builtinId="5"/>
    <cellStyle name="Vírgula" xfId="3" builtinId="3"/>
  </cellStyles>
  <dxfs count="0"/>
  <tableStyles count="0" defaultTableStyle="TableStyleMedium9" defaultPivotStyle="PivotStyleLight16"/>
  <colors>
    <mruColors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FINANÇAS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Direitos!$L$5:$L$6</c:f>
              <c:strCache>
                <c:ptCount val="2"/>
                <c:pt idx="0">
                  <c:v> BANCO </c:v>
                </c:pt>
                <c:pt idx="1">
                  <c:v> CAIXA </c:v>
                </c:pt>
              </c:strCache>
            </c:strRef>
          </c:cat>
          <c:val>
            <c:numRef>
              <c:f>Direitos!$M$5:$M$6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2.2750273225176955E-2"/>
          <c:y val="0.86877269581719219"/>
          <c:w val="0.9158543241099415"/>
          <c:h val="7.5989071965798072E-2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52" footer="0.3149606200000025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APLICAÇÕES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Direitos!$L$10:$L$13</c:f>
              <c:strCache>
                <c:ptCount val="4"/>
                <c:pt idx="0">
                  <c:v> APLICAÇÃO 1 </c:v>
                </c:pt>
                <c:pt idx="1">
                  <c:v> APLICAÇÃO 2 </c:v>
                </c:pt>
                <c:pt idx="2">
                  <c:v> APLICAÇÃO 3 </c:v>
                </c:pt>
                <c:pt idx="3">
                  <c:v> APLICAÇÃO 4 </c:v>
                </c:pt>
              </c:strCache>
            </c:strRef>
          </c:cat>
          <c:val>
            <c:numRef>
              <c:f>Direitos!$M$10:$M$13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2.2750273225176969E-2"/>
          <c:y val="0.86877269581719241"/>
          <c:w val="0.9158543241099415"/>
          <c:h val="7.59890719657981E-2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63" footer="0.3149606200000026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FATURAS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Direitos!$L$17:$L$22</c:f>
              <c:strCache>
                <c:ptCount val="6"/>
                <c:pt idx="0">
                  <c:v> FATURA 1 </c:v>
                </c:pt>
                <c:pt idx="1">
                  <c:v> FATURA 2 </c:v>
                </c:pt>
                <c:pt idx="2">
                  <c:v> FATURA 3 </c:v>
                </c:pt>
                <c:pt idx="3">
                  <c:v> FATURA 4 </c:v>
                </c:pt>
                <c:pt idx="4">
                  <c:v> FATURA 5 </c:v>
                </c:pt>
                <c:pt idx="5">
                  <c:v> FATURA 6 </c:v>
                </c:pt>
              </c:strCache>
            </c:strRef>
          </c:cat>
          <c:val>
            <c:numRef>
              <c:f>Direitos!$M$17:$M$22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2.2750273225176986E-2"/>
          <c:y val="0.80046283907803317"/>
          <c:w val="0.9158543241099415"/>
          <c:h val="0.14429868853296696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86" footer="0.3149606200000028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ESTOQUE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Direitos!$L$26:$L$29</c:f>
              <c:strCache>
                <c:ptCount val="4"/>
                <c:pt idx="0">
                  <c:v> MATÉRIA 1 </c:v>
                </c:pt>
                <c:pt idx="1">
                  <c:v> MATÉRIA 2 </c:v>
                </c:pt>
                <c:pt idx="2">
                  <c:v> PRODUTO 1 </c:v>
                </c:pt>
                <c:pt idx="3">
                  <c:v> PRODUTO 2 </c:v>
                </c:pt>
              </c:strCache>
            </c:strRef>
          </c:cat>
          <c:val>
            <c:numRef>
              <c:f>Direitos!$M$26:$M$29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2.2750273225177E-2"/>
          <c:y val="0.80046283907803317"/>
          <c:w val="0.9158543241099415"/>
          <c:h val="0.14429868853296707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97" footer="0.3149606200000029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IMOBILIZADO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Direitos!$L$33:$L$38</c:f>
              <c:strCache>
                <c:ptCount val="6"/>
                <c:pt idx="0">
                  <c:v> EQUIPAMENTO 1 </c:v>
                </c:pt>
                <c:pt idx="1">
                  <c:v> EQUIPAMENTO 2 </c:v>
                </c:pt>
                <c:pt idx="2">
                  <c:v> EQUIPAMENTO 3 </c:v>
                </c:pt>
                <c:pt idx="3">
                  <c:v> EQUIPAMENTO 4 </c:v>
                </c:pt>
                <c:pt idx="4">
                  <c:v> EQUIPAMENTO 5 </c:v>
                </c:pt>
                <c:pt idx="5">
                  <c:v> EQUIPAMENTO 4 </c:v>
                </c:pt>
              </c:strCache>
            </c:strRef>
          </c:cat>
          <c:val>
            <c:numRef>
              <c:f>Direitos!$M$33:$M$38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2.275027322517701E-2"/>
          <c:y val="0.80046283907803317"/>
          <c:w val="0.9158543241099415"/>
          <c:h val="0.14429868853296723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308" footer="0.31496062000000308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EMPRÉSTIMOS</a:t>
            </a:r>
          </a:p>
        </c:rich>
      </c:tx>
      <c:layout>
        <c:manualLayout>
          <c:xMode val="edge"/>
          <c:yMode val="edge"/>
          <c:x val="0.35427349364890931"/>
          <c:y val="2.5616166288587289E-2"/>
        </c:manualLayout>
      </c:layout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Obrigações!$L$6:$L$8</c:f>
              <c:strCache>
                <c:ptCount val="3"/>
                <c:pt idx="0">
                  <c:v> EMPRÉSTIMO 1 </c:v>
                </c:pt>
                <c:pt idx="1">
                  <c:v> EMPRESTIMO 2 </c:v>
                </c:pt>
                <c:pt idx="2">
                  <c:v> EMPRESTIMO 3 </c:v>
                </c:pt>
              </c:strCache>
            </c:strRef>
          </c:cat>
          <c:val>
            <c:numRef>
              <c:f>Obrigações!$M$6:$M$8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2.2750273225176969E-2"/>
          <c:y val="0.86877269581719241"/>
          <c:w val="0.9158543241099415"/>
          <c:h val="7.59890719657981E-2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63" footer="0.3149606200000026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SALÁRIOS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Obrigações!$L$12:$L$15</c:f>
              <c:strCache>
                <c:ptCount val="4"/>
                <c:pt idx="0">
                  <c:v> SALÁRIO 1 </c:v>
                </c:pt>
                <c:pt idx="1">
                  <c:v> SALÁRIO 2 </c:v>
                </c:pt>
                <c:pt idx="2">
                  <c:v> SALÁRIO 3 </c:v>
                </c:pt>
                <c:pt idx="3">
                  <c:v> SALÁRIO 4 </c:v>
                </c:pt>
              </c:strCache>
            </c:strRef>
          </c:cat>
          <c:val>
            <c:numRef>
              <c:f>Obrigações!$M$12:$M$15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2.2750273225176986E-2"/>
          <c:y val="0.86877269581719263"/>
          <c:w val="0.9158543241099415"/>
          <c:h val="7.5989071965798113E-2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86" footer="0.3149606200000028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FATURAS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Obrigações!$L$19:$L$24</c:f>
              <c:strCache>
                <c:ptCount val="6"/>
                <c:pt idx="0">
                  <c:v> FATURA 1 </c:v>
                </c:pt>
                <c:pt idx="1">
                  <c:v> FATURA 2 </c:v>
                </c:pt>
                <c:pt idx="2">
                  <c:v> FATURA 3 </c:v>
                </c:pt>
                <c:pt idx="3">
                  <c:v> FATURA 4 </c:v>
                </c:pt>
                <c:pt idx="4">
                  <c:v> FATURA 5 </c:v>
                </c:pt>
                <c:pt idx="5">
                  <c:v> FATURA 6 </c:v>
                </c:pt>
              </c:strCache>
            </c:strRef>
          </c:cat>
          <c:val>
            <c:numRef>
              <c:f>Obrigações!$M$19:$M$24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2.2750273225177E-2"/>
          <c:y val="0.81754028327042472"/>
          <c:w val="0.9158543241099415"/>
          <c:h val="0.12722124434057533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97" footer="0.3149606200000029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IMPOSTOS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Obrigações!$L$27:$L$30</c:f>
              <c:strCache>
                <c:ptCount val="4"/>
                <c:pt idx="0">
                  <c:v> IMPOSTOS </c:v>
                </c:pt>
                <c:pt idx="1">
                  <c:v> IMPOSTOS 1 </c:v>
                </c:pt>
                <c:pt idx="2">
                  <c:v> IMPOSTOS 2 </c:v>
                </c:pt>
                <c:pt idx="3">
                  <c:v> IMPOSTOS 3 </c:v>
                </c:pt>
              </c:strCache>
            </c:strRef>
          </c:cat>
          <c:val>
            <c:numRef>
              <c:f>Obrigações!$M$27:$M$30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2.2750273225177E-2"/>
          <c:y val="0.86877269581719263"/>
          <c:w val="0.9158543241099415"/>
          <c:h val="7.5989071965798113E-2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97" footer="0.3149606200000029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Relat&#243;rio!A1"/><Relationship Id="rId3" Type="http://schemas.openxmlformats.org/officeDocument/2006/relationships/hyperlink" Target="#An&#225;lise!A1"/><Relationship Id="rId7" Type="http://schemas.openxmlformats.org/officeDocument/2006/relationships/hyperlink" Target="#Obriga&#231;&#245;es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5" Type="http://schemas.openxmlformats.org/officeDocument/2006/relationships/hyperlink" Target="#Direitos!A1"/><Relationship Id="rId4" Type="http://schemas.openxmlformats.org/officeDocument/2006/relationships/image" Target="../media/image2.png"/><Relationship Id="rId9" Type="http://schemas.openxmlformats.org/officeDocument/2006/relationships/hyperlink" Target="#Panoram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hyperlink" Target="#In&#237;cio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hyperlink" Target="http://www.acelere.vc" TargetMode="Externa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304800</xdr:colOff>
      <xdr:row>0</xdr:row>
      <xdr:rowOff>9525</xdr:rowOff>
    </xdr:from>
    <xdr:to>
      <xdr:col>20</xdr:col>
      <xdr:colOff>285750</xdr:colOff>
      <xdr:row>1</xdr:row>
      <xdr:rowOff>28574</xdr:rowOff>
    </xdr:to>
    <xdr:pic>
      <xdr:nvPicPr>
        <xdr:cNvPr id="12" name="Imagem 1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00" y="9525"/>
          <a:ext cx="1200150" cy="476249"/>
        </a:xfrm>
        <a:prstGeom prst="rect">
          <a:avLst/>
        </a:prstGeom>
      </xdr:spPr>
    </xdr:pic>
    <xdr:clientData/>
  </xdr:twoCellAnchor>
  <xdr:twoCellAnchor>
    <xdr:from>
      <xdr:col>5</xdr:col>
      <xdr:colOff>228600</xdr:colOff>
      <xdr:row>6</xdr:row>
      <xdr:rowOff>152400</xdr:rowOff>
    </xdr:from>
    <xdr:to>
      <xdr:col>8</xdr:col>
      <xdr:colOff>295275</xdr:colOff>
      <xdr:row>9</xdr:row>
      <xdr:rowOff>119938</xdr:rowOff>
    </xdr:to>
    <xdr:grpSp>
      <xdr:nvGrpSpPr>
        <xdr:cNvPr id="13" name="Grupo 12">
          <a:hlinkClick xmlns:r="http://schemas.openxmlformats.org/officeDocument/2006/relationships" r:id="rId3"/>
        </xdr:cNvPr>
        <xdr:cNvGrpSpPr/>
      </xdr:nvGrpSpPr>
      <xdr:grpSpPr>
        <a:xfrm>
          <a:off x="3276600" y="1562100"/>
          <a:ext cx="1895475" cy="539038"/>
          <a:chOff x="285750" y="2400300"/>
          <a:chExt cx="1895475" cy="539038"/>
        </a:xfrm>
      </xdr:grpSpPr>
      <xdr:pic>
        <xdr:nvPicPr>
          <xdr:cNvPr id="14" name="Imagem 13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5" name="CaixaDeTexto 14">
            <a:hlinkClick xmlns:r="http://schemas.openxmlformats.org/officeDocument/2006/relationships" r:id="rId5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DIREITOS</a:t>
            </a:r>
          </a:p>
        </xdr:txBody>
      </xdr:sp>
    </xdr:grpSp>
    <xdr:clientData/>
  </xdr:twoCellAnchor>
  <xdr:twoCellAnchor>
    <xdr:from>
      <xdr:col>11</xdr:col>
      <xdr:colOff>161925</xdr:colOff>
      <xdr:row>6</xdr:row>
      <xdr:rowOff>142875</xdr:rowOff>
    </xdr:from>
    <xdr:to>
      <xdr:col>14</xdr:col>
      <xdr:colOff>228600</xdr:colOff>
      <xdr:row>9</xdr:row>
      <xdr:rowOff>110413</xdr:rowOff>
    </xdr:to>
    <xdr:grpSp>
      <xdr:nvGrpSpPr>
        <xdr:cNvPr id="16" name="Grupo 15">
          <a:hlinkClick xmlns:r="http://schemas.openxmlformats.org/officeDocument/2006/relationships" r:id="rId6"/>
        </xdr:cNvPr>
        <xdr:cNvGrpSpPr/>
      </xdr:nvGrpSpPr>
      <xdr:grpSpPr>
        <a:xfrm>
          <a:off x="6867525" y="1552575"/>
          <a:ext cx="1895475" cy="539038"/>
          <a:chOff x="285750" y="2400300"/>
          <a:chExt cx="1895475" cy="539038"/>
        </a:xfrm>
      </xdr:grpSpPr>
      <xdr:pic>
        <xdr:nvPicPr>
          <xdr:cNvPr id="17" name="Imagem 16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8" name="CaixaDeTexto 17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OBRIGAÇÕES</a:t>
            </a:r>
          </a:p>
        </xdr:txBody>
      </xdr:sp>
    </xdr:grpSp>
    <xdr:clientData/>
  </xdr:twoCellAnchor>
  <xdr:twoCellAnchor>
    <xdr:from>
      <xdr:col>5</xdr:col>
      <xdr:colOff>85725</xdr:colOff>
      <xdr:row>11</xdr:row>
      <xdr:rowOff>171450</xdr:rowOff>
    </xdr:from>
    <xdr:to>
      <xdr:col>8</xdr:col>
      <xdr:colOff>152400</xdr:colOff>
      <xdr:row>14</xdr:row>
      <xdr:rowOff>138988</xdr:rowOff>
    </xdr:to>
    <xdr:grpSp>
      <xdr:nvGrpSpPr>
        <xdr:cNvPr id="19" name="Grupo 18">
          <a:hlinkClick xmlns:r="http://schemas.openxmlformats.org/officeDocument/2006/relationships" r:id="rId3"/>
        </xdr:cNvPr>
        <xdr:cNvGrpSpPr/>
      </xdr:nvGrpSpPr>
      <xdr:grpSpPr>
        <a:xfrm>
          <a:off x="3133725" y="2533650"/>
          <a:ext cx="1895475" cy="539038"/>
          <a:chOff x="285750" y="2400300"/>
          <a:chExt cx="1895475" cy="539038"/>
        </a:xfrm>
      </xdr:grpSpPr>
      <xdr:pic>
        <xdr:nvPicPr>
          <xdr:cNvPr id="20" name="Imagem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" name="CaixaDeTexto 20">
            <a:hlinkClick xmlns:r="http://schemas.openxmlformats.org/officeDocument/2006/relationships" r:id="rId8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RELATÓRIO</a:t>
            </a:r>
          </a:p>
        </xdr:txBody>
      </xdr:sp>
    </xdr:grpSp>
    <xdr:clientData/>
  </xdr:twoCellAnchor>
  <xdr:twoCellAnchor>
    <xdr:from>
      <xdr:col>11</xdr:col>
      <xdr:colOff>28575</xdr:colOff>
      <xdr:row>11</xdr:row>
      <xdr:rowOff>142875</xdr:rowOff>
    </xdr:from>
    <xdr:to>
      <xdr:col>14</xdr:col>
      <xdr:colOff>95250</xdr:colOff>
      <xdr:row>14</xdr:row>
      <xdr:rowOff>110413</xdr:rowOff>
    </xdr:to>
    <xdr:grpSp>
      <xdr:nvGrpSpPr>
        <xdr:cNvPr id="22" name="Grupo 21">
          <a:hlinkClick xmlns:r="http://schemas.openxmlformats.org/officeDocument/2006/relationships" r:id="rId3"/>
        </xdr:cNvPr>
        <xdr:cNvGrpSpPr/>
      </xdr:nvGrpSpPr>
      <xdr:grpSpPr>
        <a:xfrm>
          <a:off x="6734175" y="2505075"/>
          <a:ext cx="1895475" cy="539038"/>
          <a:chOff x="285750" y="2400300"/>
          <a:chExt cx="1895475" cy="539038"/>
        </a:xfrm>
      </xdr:grpSpPr>
      <xdr:pic>
        <xdr:nvPicPr>
          <xdr:cNvPr id="23" name="Imagem 22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4" name="CaixaDeTexto 23">
            <a:hlinkClick xmlns:r="http://schemas.openxmlformats.org/officeDocument/2006/relationships" r:id="rId9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PANORAMA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304800</xdr:colOff>
      <xdr:row>0</xdr:row>
      <xdr:rowOff>9525</xdr:rowOff>
    </xdr:from>
    <xdr:to>
      <xdr:col>20</xdr:col>
      <xdr:colOff>285750</xdr:colOff>
      <xdr:row>1</xdr:row>
      <xdr:rowOff>28574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00" y="9525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1</xdr:col>
      <xdr:colOff>19050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675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8</xdr:col>
      <xdr:colOff>895350</xdr:colOff>
      <xdr:row>0</xdr:row>
      <xdr:rowOff>0</xdr:rowOff>
    </xdr:from>
    <xdr:to>
      <xdr:col>9</xdr:col>
      <xdr:colOff>704850</xdr:colOff>
      <xdr:row>1</xdr:row>
      <xdr:rowOff>19049</xdr:rowOff>
    </xdr:to>
    <xdr:pic>
      <xdr:nvPicPr>
        <xdr:cNvPr id="8" name="Imagem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075" y="0"/>
          <a:ext cx="1200150" cy="4762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304800</xdr:colOff>
      <xdr:row>0</xdr:row>
      <xdr:rowOff>9525</xdr:rowOff>
    </xdr:from>
    <xdr:to>
      <xdr:col>20</xdr:col>
      <xdr:colOff>285750</xdr:colOff>
      <xdr:row>1</xdr:row>
      <xdr:rowOff>28574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07100" y="9525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66675</xdr:rowOff>
    </xdr:from>
    <xdr:to>
      <xdr:col>1</xdr:col>
      <xdr:colOff>28575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6675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8</xdr:col>
      <xdr:colOff>933450</xdr:colOff>
      <xdr:row>0</xdr:row>
      <xdr:rowOff>0</xdr:rowOff>
    </xdr:from>
    <xdr:to>
      <xdr:col>9</xdr:col>
      <xdr:colOff>1000125</xdr:colOff>
      <xdr:row>1</xdr:row>
      <xdr:rowOff>19049</xdr:rowOff>
    </xdr:to>
    <xdr:pic>
      <xdr:nvPicPr>
        <xdr:cNvPr id="8" name="Imagem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00" y="0"/>
          <a:ext cx="1200150" cy="4762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304800</xdr:colOff>
      <xdr:row>0</xdr:row>
      <xdr:rowOff>9525</xdr:rowOff>
    </xdr:from>
    <xdr:to>
      <xdr:col>20</xdr:col>
      <xdr:colOff>285750</xdr:colOff>
      <xdr:row>1</xdr:row>
      <xdr:rowOff>28574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54800" y="9525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0</xdr:col>
      <xdr:colOff>628650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675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0</xdr:row>
      <xdr:rowOff>0</xdr:rowOff>
    </xdr:from>
    <xdr:to>
      <xdr:col>8</xdr:col>
      <xdr:colOff>438150</xdr:colOff>
      <xdr:row>1</xdr:row>
      <xdr:rowOff>19049</xdr:rowOff>
    </xdr:to>
    <xdr:pic>
      <xdr:nvPicPr>
        <xdr:cNvPr id="9" name="Imagem 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075" y="0"/>
          <a:ext cx="1200150" cy="4762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35720</xdr:colOff>
      <xdr:row>2</xdr:row>
      <xdr:rowOff>23811</xdr:rowOff>
    </xdr:from>
    <xdr:to>
      <xdr:col>4</xdr:col>
      <xdr:colOff>11907</xdr:colOff>
      <xdr:row>17</xdr:row>
      <xdr:rowOff>178594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112796</xdr:colOff>
      <xdr:row>2</xdr:row>
      <xdr:rowOff>37598</xdr:rowOff>
    </xdr:from>
    <xdr:to>
      <xdr:col>8</xdr:col>
      <xdr:colOff>189245</xdr:colOff>
      <xdr:row>18</xdr:row>
      <xdr:rowOff>4388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263191</xdr:colOff>
      <xdr:row>2</xdr:row>
      <xdr:rowOff>37599</xdr:rowOff>
    </xdr:from>
    <xdr:to>
      <xdr:col>14</xdr:col>
      <xdr:colOff>439904</xdr:colOff>
      <xdr:row>18</xdr:row>
      <xdr:rowOff>4389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526381</xdr:colOff>
      <xdr:row>2</xdr:row>
      <xdr:rowOff>37598</xdr:rowOff>
    </xdr:from>
    <xdr:to>
      <xdr:col>21</xdr:col>
      <xdr:colOff>88982</xdr:colOff>
      <xdr:row>18</xdr:row>
      <xdr:rowOff>4388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162926</xdr:colOff>
      <xdr:row>2</xdr:row>
      <xdr:rowOff>25066</xdr:rowOff>
    </xdr:from>
    <xdr:to>
      <xdr:col>27</xdr:col>
      <xdr:colOff>339639</xdr:colOff>
      <xdr:row>17</xdr:row>
      <xdr:rowOff>179849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37598</xdr:colOff>
      <xdr:row>19</xdr:row>
      <xdr:rowOff>25066</xdr:rowOff>
    </xdr:from>
    <xdr:to>
      <xdr:col>4</xdr:col>
      <xdr:colOff>13785</xdr:colOff>
      <xdr:row>34</xdr:row>
      <xdr:rowOff>179848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100264</xdr:colOff>
      <xdr:row>19</xdr:row>
      <xdr:rowOff>25066</xdr:rowOff>
    </xdr:from>
    <xdr:to>
      <xdr:col>8</xdr:col>
      <xdr:colOff>176713</xdr:colOff>
      <xdr:row>34</xdr:row>
      <xdr:rowOff>179848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275723</xdr:colOff>
      <xdr:row>19</xdr:row>
      <xdr:rowOff>25067</xdr:rowOff>
    </xdr:from>
    <xdr:to>
      <xdr:col>14</xdr:col>
      <xdr:colOff>452436</xdr:colOff>
      <xdr:row>34</xdr:row>
      <xdr:rowOff>179849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538914</xdr:colOff>
      <xdr:row>19</xdr:row>
      <xdr:rowOff>12534</xdr:rowOff>
    </xdr:from>
    <xdr:to>
      <xdr:col>21</xdr:col>
      <xdr:colOff>101515</xdr:colOff>
      <xdr:row>34</xdr:row>
      <xdr:rowOff>167316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18</xdr:col>
      <xdr:colOff>304800</xdr:colOff>
      <xdr:row>0</xdr:row>
      <xdr:rowOff>9525</xdr:rowOff>
    </xdr:from>
    <xdr:to>
      <xdr:col>20</xdr:col>
      <xdr:colOff>285750</xdr:colOff>
      <xdr:row>1</xdr:row>
      <xdr:rowOff>28574</xdr:rowOff>
    </xdr:to>
    <xdr:pic>
      <xdr:nvPicPr>
        <xdr:cNvPr id="18" name="Imagem 17">
          <a:hlinkClick xmlns:r="http://schemas.openxmlformats.org/officeDocument/2006/relationships" r:id="rId10"/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30875" y="9525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66675</xdr:rowOff>
    </xdr:from>
    <xdr:to>
      <xdr:col>1</xdr:col>
      <xdr:colOff>190500</xdr:colOff>
      <xdr:row>0</xdr:row>
      <xdr:rowOff>396724</xdr:rowOff>
    </xdr:to>
    <xdr:pic>
      <xdr:nvPicPr>
        <xdr:cNvPr id="19" name="Imagem 18">
          <a:hlinkClick xmlns:r="http://schemas.openxmlformats.org/officeDocument/2006/relationships" r:id="rId12"/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0</xdr:row>
      <xdr:rowOff>0</xdr:rowOff>
    </xdr:from>
    <xdr:to>
      <xdr:col>14</xdr:col>
      <xdr:colOff>247650</xdr:colOff>
      <xdr:row>1</xdr:row>
      <xdr:rowOff>19049</xdr:rowOff>
    </xdr:to>
    <xdr:pic>
      <xdr:nvPicPr>
        <xdr:cNvPr id="20" name="Imagem 19">
          <a:hlinkClick xmlns:r="http://schemas.openxmlformats.org/officeDocument/2006/relationships" r:id="rId10"/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6175" y="0"/>
          <a:ext cx="1200150" cy="476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sqref="A1:T1"/>
    </sheetView>
  </sheetViews>
  <sheetFormatPr defaultRowHeight="15" x14ac:dyDescent="0.25"/>
  <cols>
    <col min="1" max="16384" width="9.140625" style="1"/>
  </cols>
  <sheetData>
    <row r="1" spans="1:25" s="56" customFormat="1" ht="36" customHeight="1" x14ac:dyDescent="0.25">
      <c r="A1" s="58" t="s">
        <v>67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5"/>
      <c r="V1" s="55"/>
      <c r="W1" s="55"/>
      <c r="X1" s="55"/>
      <c r="Y1" s="55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"/>
  <sheetViews>
    <sheetView showGridLines="0" zoomScaleNormal="100" workbookViewId="0">
      <selection sqref="A1:J1"/>
    </sheetView>
  </sheetViews>
  <sheetFormatPr defaultRowHeight="15" x14ac:dyDescent="0.25"/>
  <cols>
    <col min="1" max="1" width="9.140625" style="3"/>
    <col min="2" max="2" width="38.5703125" customWidth="1"/>
    <col min="3" max="4" width="19.7109375" customWidth="1"/>
    <col min="5" max="5" width="24.42578125" customWidth="1"/>
    <col min="6" max="6" width="23.5703125" customWidth="1"/>
    <col min="7" max="7" width="4.5703125" customWidth="1"/>
    <col min="8" max="8" width="15.85546875" style="4" customWidth="1"/>
    <col min="9" max="9" width="20.85546875" style="4" customWidth="1"/>
    <col min="10" max="10" width="13.28515625" style="4" bestFit="1" customWidth="1"/>
    <col min="11" max="11" width="8.5703125" style="4" customWidth="1"/>
    <col min="12" max="12" width="17.42578125" style="4" bestFit="1" customWidth="1"/>
    <col min="13" max="13" width="9.140625" style="4"/>
    <col min="14" max="14" width="14.5703125" style="49" bestFit="1" customWidth="1"/>
    <col min="15" max="15" width="9.140625" style="49"/>
    <col min="16" max="17" width="9.140625" style="4"/>
    <col min="18" max="34" width="9.140625" style="3"/>
  </cols>
  <sheetData>
    <row r="1" spans="1:34" s="56" customFormat="1" ht="36" customHeight="1" x14ac:dyDescent="0.25">
      <c r="A1" s="58" t="s">
        <v>71</v>
      </c>
      <c r="B1" s="59"/>
      <c r="C1" s="59"/>
      <c r="D1" s="59"/>
      <c r="E1" s="59"/>
      <c r="F1" s="59"/>
      <c r="G1" s="59"/>
      <c r="H1" s="59"/>
      <c r="I1" s="59"/>
      <c r="J1" s="59"/>
      <c r="K1" s="57"/>
      <c r="L1" s="57"/>
      <c r="M1" s="57"/>
      <c r="N1" s="57"/>
      <c r="O1" s="57"/>
      <c r="P1" s="57"/>
      <c r="Q1" s="57"/>
      <c r="R1" s="57"/>
      <c r="S1" s="57"/>
      <c r="T1" s="57"/>
      <c r="U1" s="55"/>
      <c r="V1" s="55"/>
      <c r="W1" s="55"/>
      <c r="X1" s="55"/>
      <c r="Y1" s="55"/>
    </row>
    <row r="2" spans="1:34" s="4" customFormat="1" ht="11.25" customHeight="1" x14ac:dyDescent="0.25">
      <c r="A2" s="3"/>
      <c r="N2" s="49"/>
      <c r="O2" s="4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s="4" customFormat="1" ht="29.25" customHeight="1" x14ac:dyDescent="0.65">
      <c r="A3" s="3"/>
      <c r="C3" s="60" t="s">
        <v>27</v>
      </c>
      <c r="D3" s="60"/>
      <c r="E3" s="60"/>
      <c r="F3" s="20">
        <f>SUM(F7:F40)</f>
        <v>0</v>
      </c>
      <c r="N3" s="49"/>
      <c r="O3" s="49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s="3" customFormat="1" ht="17.25" customHeight="1" x14ac:dyDescent="0.25">
      <c r="B4" s="53" t="s">
        <v>62</v>
      </c>
      <c r="C4" s="53" t="s">
        <v>63</v>
      </c>
      <c r="D4" s="53" t="s">
        <v>64</v>
      </c>
      <c r="E4" s="53" t="s">
        <v>65</v>
      </c>
      <c r="H4" s="4"/>
      <c r="I4" s="4"/>
      <c r="J4" s="4"/>
      <c r="K4" s="4"/>
      <c r="L4" s="4"/>
      <c r="M4" s="4"/>
      <c r="N4" s="49"/>
      <c r="O4" s="49"/>
      <c r="P4" s="4"/>
      <c r="Q4" s="4"/>
    </row>
    <row r="5" spans="1:34" s="3" customFormat="1" ht="21" customHeight="1" x14ac:dyDescent="0.5">
      <c r="B5" s="10"/>
      <c r="C5" s="10"/>
      <c r="D5" s="10"/>
      <c r="E5" s="10" t="s">
        <v>1</v>
      </c>
      <c r="H5" s="4" t="s">
        <v>41</v>
      </c>
      <c r="I5" s="32">
        <f t="shared" ref="I5:J8" si="0">D6</f>
        <v>0</v>
      </c>
      <c r="J5" s="9">
        <f t="shared" si="0"/>
        <v>0</v>
      </c>
      <c r="K5" s="9"/>
      <c r="L5" s="9" t="str">
        <f>B6</f>
        <v>BANCO</v>
      </c>
      <c r="M5" s="50" t="e">
        <f>C6</f>
        <v>#DIV/0!</v>
      </c>
      <c r="N5" s="49"/>
      <c r="O5" s="49"/>
      <c r="P5" s="4"/>
      <c r="Q5" s="4"/>
    </row>
    <row r="6" spans="1:34" s="3" customFormat="1" ht="23.25" x14ac:dyDescent="0.5">
      <c r="B6" s="11" t="s">
        <v>3</v>
      </c>
      <c r="C6" s="13" t="e">
        <f>E6/F8</f>
        <v>#DIV/0!</v>
      </c>
      <c r="D6" s="13"/>
      <c r="E6" s="15"/>
      <c r="H6" s="4" t="s">
        <v>42</v>
      </c>
      <c r="I6" s="32">
        <f t="shared" si="0"/>
        <v>0</v>
      </c>
      <c r="J6" s="9">
        <f t="shared" si="0"/>
        <v>0</v>
      </c>
      <c r="K6" s="9"/>
      <c r="L6" s="9" t="str">
        <f t="shared" ref="L6:L39" si="1">B7</f>
        <v>CAIXA</v>
      </c>
      <c r="M6" s="50" t="e">
        <f t="shared" ref="M6:M39" si="2">C7</f>
        <v>#DIV/0!</v>
      </c>
      <c r="N6" s="49"/>
      <c r="O6" s="49"/>
      <c r="P6" s="4"/>
      <c r="Q6" s="4"/>
    </row>
    <row r="7" spans="1:34" s="3" customFormat="1" ht="24" thickBot="1" x14ac:dyDescent="0.55000000000000004">
      <c r="B7" s="12" t="s">
        <v>2</v>
      </c>
      <c r="C7" s="14" t="e">
        <f>E7/F8</f>
        <v>#DIV/0!</v>
      </c>
      <c r="D7" s="14"/>
      <c r="E7" s="16"/>
      <c r="H7" s="8" t="s">
        <v>43</v>
      </c>
      <c r="I7" s="32">
        <f t="shared" si="0"/>
        <v>0</v>
      </c>
      <c r="J7" s="9">
        <f t="shared" si="0"/>
        <v>0</v>
      </c>
      <c r="K7" s="8"/>
      <c r="L7" s="9">
        <f t="shared" si="1"/>
        <v>0</v>
      </c>
      <c r="M7" s="50">
        <f t="shared" si="2"/>
        <v>0</v>
      </c>
      <c r="N7" s="49"/>
      <c r="O7" s="49"/>
      <c r="P7" s="4"/>
      <c r="Q7" s="4"/>
    </row>
    <row r="8" spans="1:34" s="3" customFormat="1" ht="21.75" customHeight="1" thickTop="1" x14ac:dyDescent="0.55000000000000004">
      <c r="B8" s="5"/>
      <c r="C8" s="6"/>
      <c r="D8" s="6"/>
      <c r="E8" s="6"/>
      <c r="F8" s="7">
        <f>E7+E6</f>
        <v>0</v>
      </c>
      <c r="H8" s="8" t="s">
        <v>44</v>
      </c>
      <c r="I8" s="32">
        <f t="shared" si="0"/>
        <v>0</v>
      </c>
      <c r="J8" s="9">
        <f t="shared" si="0"/>
        <v>0</v>
      </c>
      <c r="K8" s="9"/>
      <c r="L8" s="9">
        <f t="shared" si="1"/>
        <v>0</v>
      </c>
      <c r="M8" s="50">
        <f t="shared" si="2"/>
        <v>0</v>
      </c>
      <c r="N8" s="49"/>
      <c r="O8" s="49"/>
      <c r="P8" s="4"/>
      <c r="Q8" s="4"/>
    </row>
    <row r="9" spans="1:34" ht="14.25" customHeight="1" x14ac:dyDescent="0.25">
      <c r="H9" s="8"/>
      <c r="I9" s="32">
        <f t="shared" ref="I9:J14" si="3">D11</f>
        <v>0</v>
      </c>
      <c r="J9" s="9">
        <f t="shared" si="3"/>
        <v>0</v>
      </c>
      <c r="K9" s="8"/>
      <c r="L9" s="9">
        <f t="shared" si="1"/>
        <v>0</v>
      </c>
      <c r="M9" s="50">
        <f t="shared" si="2"/>
        <v>0</v>
      </c>
    </row>
    <row r="10" spans="1:34" s="3" customFormat="1" ht="21" customHeight="1" x14ac:dyDescent="0.5">
      <c r="B10" s="10"/>
      <c r="C10" s="10"/>
      <c r="D10" s="10"/>
      <c r="E10" s="10" t="s">
        <v>4</v>
      </c>
      <c r="H10" s="8"/>
      <c r="I10" s="32">
        <f t="shared" si="3"/>
        <v>0</v>
      </c>
      <c r="J10" s="9">
        <f t="shared" si="3"/>
        <v>0</v>
      </c>
      <c r="K10" s="9"/>
      <c r="L10" s="9" t="str">
        <f t="shared" si="1"/>
        <v>APLICAÇÃO 1</v>
      </c>
      <c r="M10" s="50" t="e">
        <f t="shared" si="2"/>
        <v>#DIV/0!</v>
      </c>
      <c r="N10" s="49"/>
      <c r="O10" s="49"/>
      <c r="P10" s="4"/>
      <c r="Q10" s="4"/>
    </row>
    <row r="11" spans="1:34" s="3" customFormat="1" ht="23.25" x14ac:dyDescent="0.5">
      <c r="B11" s="11" t="s">
        <v>5</v>
      </c>
      <c r="C11" s="13" t="e">
        <f>E11/F15</f>
        <v>#DIV/0!</v>
      </c>
      <c r="D11" s="13"/>
      <c r="E11" s="15"/>
      <c r="H11" s="8"/>
      <c r="I11" s="32">
        <f t="shared" si="3"/>
        <v>0</v>
      </c>
      <c r="J11" s="9">
        <f t="shared" si="3"/>
        <v>0</v>
      </c>
      <c r="K11" s="9"/>
      <c r="L11" s="9" t="str">
        <f t="shared" si="1"/>
        <v>APLICAÇÃO 2</v>
      </c>
      <c r="M11" s="50" t="e">
        <f t="shared" si="2"/>
        <v>#DIV/0!</v>
      </c>
      <c r="N11" s="49"/>
      <c r="O11" s="49"/>
      <c r="P11" s="4"/>
      <c r="Q11" s="4"/>
    </row>
    <row r="12" spans="1:34" s="3" customFormat="1" ht="23.25" x14ac:dyDescent="0.5">
      <c r="B12" s="11" t="s">
        <v>6</v>
      </c>
      <c r="C12" s="13" t="e">
        <f>E12/F15</f>
        <v>#DIV/0!</v>
      </c>
      <c r="D12" s="13"/>
      <c r="E12" s="15"/>
      <c r="H12" s="8"/>
      <c r="I12" s="32">
        <f t="shared" si="3"/>
        <v>0</v>
      </c>
      <c r="J12" s="9">
        <f t="shared" si="3"/>
        <v>0</v>
      </c>
      <c r="K12" s="9"/>
      <c r="L12" s="9" t="str">
        <f t="shared" si="1"/>
        <v>APLICAÇÃO 3</v>
      </c>
      <c r="M12" s="50" t="e">
        <f t="shared" si="2"/>
        <v>#DIV/0!</v>
      </c>
      <c r="N12" s="49"/>
      <c r="O12" s="49"/>
      <c r="P12" s="4"/>
      <c r="Q12" s="4"/>
    </row>
    <row r="13" spans="1:34" s="3" customFormat="1" ht="23.25" x14ac:dyDescent="0.5">
      <c r="B13" s="17" t="s">
        <v>7</v>
      </c>
      <c r="C13" s="18" t="e">
        <f>E13/F15</f>
        <v>#DIV/0!</v>
      </c>
      <c r="D13" s="18"/>
      <c r="E13" s="19"/>
      <c r="H13" s="8"/>
      <c r="I13" s="32">
        <f t="shared" si="3"/>
        <v>0</v>
      </c>
      <c r="J13" s="9">
        <f t="shared" si="3"/>
        <v>0</v>
      </c>
      <c r="K13" s="9"/>
      <c r="L13" s="9" t="str">
        <f t="shared" si="1"/>
        <v>APLICAÇÃO 4</v>
      </c>
      <c r="M13" s="50" t="e">
        <f t="shared" si="2"/>
        <v>#DIV/0!</v>
      </c>
      <c r="N13" s="49"/>
      <c r="O13" s="49"/>
      <c r="P13" s="4"/>
      <c r="Q13" s="4"/>
    </row>
    <row r="14" spans="1:34" s="3" customFormat="1" ht="24" thickBot="1" x14ac:dyDescent="0.55000000000000004">
      <c r="B14" s="12" t="s">
        <v>8</v>
      </c>
      <c r="C14" s="14" t="e">
        <f>E14/F15</f>
        <v>#DIV/0!</v>
      </c>
      <c r="D14" s="14"/>
      <c r="E14" s="16"/>
      <c r="H14" s="8"/>
      <c r="I14" s="32">
        <f t="shared" si="3"/>
        <v>0</v>
      </c>
      <c r="J14" s="9">
        <f t="shared" si="3"/>
        <v>0</v>
      </c>
      <c r="K14" s="8"/>
      <c r="L14" s="9">
        <f t="shared" si="1"/>
        <v>0</v>
      </c>
      <c r="M14" s="50">
        <f t="shared" si="2"/>
        <v>0</v>
      </c>
      <c r="N14" s="49"/>
      <c r="O14" s="49"/>
      <c r="P14" s="4"/>
      <c r="Q14" s="4"/>
    </row>
    <row r="15" spans="1:34" s="3" customFormat="1" ht="27" thickTop="1" x14ac:dyDescent="0.55000000000000004">
      <c r="B15" s="5"/>
      <c r="C15" s="6"/>
      <c r="D15" s="6"/>
      <c r="E15" s="6"/>
      <c r="F15" s="7">
        <f>SUM(E11:E14)</f>
        <v>0</v>
      </c>
      <c r="H15" s="8"/>
      <c r="I15" s="32">
        <f t="shared" ref="I15:J22" si="4">D18</f>
        <v>0</v>
      </c>
      <c r="J15" s="9">
        <f t="shared" si="4"/>
        <v>0</v>
      </c>
      <c r="K15" s="9"/>
      <c r="L15" s="9">
        <f t="shared" si="1"/>
        <v>0</v>
      </c>
      <c r="M15" s="50">
        <f t="shared" si="2"/>
        <v>0</v>
      </c>
      <c r="N15" s="49"/>
      <c r="O15" s="49"/>
      <c r="P15" s="4"/>
      <c r="Q15" s="4"/>
    </row>
    <row r="16" spans="1:34" ht="11.25" customHeight="1" x14ac:dyDescent="0.25">
      <c r="I16" s="32">
        <f t="shared" si="4"/>
        <v>0</v>
      </c>
      <c r="J16" s="9">
        <f t="shared" si="4"/>
        <v>0</v>
      </c>
      <c r="L16" s="9">
        <f t="shared" si="1"/>
        <v>0</v>
      </c>
      <c r="M16" s="50">
        <f t="shared" si="2"/>
        <v>0</v>
      </c>
    </row>
    <row r="17" spans="2:17" s="3" customFormat="1" ht="21" customHeight="1" x14ac:dyDescent="0.5">
      <c r="B17" s="10"/>
      <c r="C17" s="10"/>
      <c r="D17" s="10"/>
      <c r="E17" s="10" t="s">
        <v>9</v>
      </c>
      <c r="H17" s="8"/>
      <c r="I17" s="32">
        <f t="shared" si="4"/>
        <v>0</v>
      </c>
      <c r="J17" s="9">
        <f t="shared" si="4"/>
        <v>0</v>
      </c>
      <c r="K17" s="9"/>
      <c r="L17" s="9" t="str">
        <f t="shared" si="1"/>
        <v>FATURA 1</v>
      </c>
      <c r="M17" s="50" t="e">
        <f t="shared" si="2"/>
        <v>#DIV/0!</v>
      </c>
      <c r="N17" s="49"/>
      <c r="O17" s="49"/>
      <c r="P17" s="4"/>
      <c r="Q17" s="4"/>
    </row>
    <row r="18" spans="2:17" s="3" customFormat="1" ht="23.25" x14ac:dyDescent="0.5">
      <c r="B18" s="11" t="s">
        <v>10</v>
      </c>
      <c r="C18" s="13" t="e">
        <f>E18/F24</f>
        <v>#DIV/0!</v>
      </c>
      <c r="D18" s="13"/>
      <c r="E18" s="15"/>
      <c r="H18" s="8"/>
      <c r="I18" s="32">
        <f t="shared" si="4"/>
        <v>0</v>
      </c>
      <c r="J18" s="9">
        <f t="shared" si="4"/>
        <v>0</v>
      </c>
      <c r="K18" s="9"/>
      <c r="L18" s="9" t="str">
        <f t="shared" si="1"/>
        <v>FATURA 2</v>
      </c>
      <c r="M18" s="50" t="e">
        <f t="shared" si="2"/>
        <v>#DIV/0!</v>
      </c>
      <c r="N18" s="49"/>
      <c r="O18" s="49"/>
      <c r="P18" s="4"/>
      <c r="Q18" s="4"/>
    </row>
    <row r="19" spans="2:17" s="3" customFormat="1" ht="23.25" x14ac:dyDescent="0.5">
      <c r="B19" s="11" t="s">
        <v>11</v>
      </c>
      <c r="C19" s="13" t="e">
        <f>E19/F24</f>
        <v>#DIV/0!</v>
      </c>
      <c r="D19" s="13"/>
      <c r="E19" s="15"/>
      <c r="H19" s="8"/>
      <c r="I19" s="32">
        <f t="shared" si="4"/>
        <v>0</v>
      </c>
      <c r="J19" s="9">
        <f t="shared" si="4"/>
        <v>0</v>
      </c>
      <c r="K19" s="9"/>
      <c r="L19" s="9" t="str">
        <f t="shared" si="1"/>
        <v>FATURA 3</v>
      </c>
      <c r="M19" s="50" t="e">
        <f t="shared" si="2"/>
        <v>#DIV/0!</v>
      </c>
      <c r="N19" s="49"/>
      <c r="O19" s="49"/>
      <c r="P19" s="4"/>
      <c r="Q19" s="4"/>
    </row>
    <row r="20" spans="2:17" s="3" customFormat="1" ht="23.25" x14ac:dyDescent="0.5">
      <c r="B20" s="11" t="s">
        <v>12</v>
      </c>
      <c r="C20" s="13" t="e">
        <f>E20/F24</f>
        <v>#DIV/0!</v>
      </c>
      <c r="D20" s="13"/>
      <c r="E20" s="15"/>
      <c r="H20" s="8"/>
      <c r="I20" s="32">
        <f t="shared" si="4"/>
        <v>0</v>
      </c>
      <c r="J20" s="9">
        <f t="shared" si="4"/>
        <v>0</v>
      </c>
      <c r="K20" s="9"/>
      <c r="L20" s="9" t="str">
        <f t="shared" si="1"/>
        <v>FATURA 4</v>
      </c>
      <c r="M20" s="50" t="e">
        <f t="shared" si="2"/>
        <v>#DIV/0!</v>
      </c>
      <c r="N20" s="49"/>
      <c r="O20" s="49"/>
      <c r="P20" s="4"/>
      <c r="Q20" s="4"/>
    </row>
    <row r="21" spans="2:17" s="3" customFormat="1" ht="23.25" x14ac:dyDescent="0.5">
      <c r="B21" s="11" t="s">
        <v>13</v>
      </c>
      <c r="C21" s="13" t="e">
        <f>E21/F24</f>
        <v>#DIV/0!</v>
      </c>
      <c r="D21" s="13"/>
      <c r="E21" s="15"/>
      <c r="H21" s="8"/>
      <c r="I21" s="32">
        <f t="shared" si="4"/>
        <v>0</v>
      </c>
      <c r="J21" s="9">
        <f t="shared" si="4"/>
        <v>0</v>
      </c>
      <c r="K21" s="9"/>
      <c r="L21" s="9" t="str">
        <f t="shared" si="1"/>
        <v>FATURA 5</v>
      </c>
      <c r="M21" s="50" t="e">
        <f t="shared" si="2"/>
        <v>#DIV/0!</v>
      </c>
      <c r="N21" s="49"/>
      <c r="O21" s="49"/>
      <c r="P21" s="4"/>
      <c r="Q21" s="4"/>
    </row>
    <row r="22" spans="2:17" s="3" customFormat="1" ht="23.25" x14ac:dyDescent="0.5">
      <c r="B22" s="11" t="s">
        <v>14</v>
      </c>
      <c r="C22" s="18" t="e">
        <f>E22/F24</f>
        <v>#DIV/0!</v>
      </c>
      <c r="D22" s="18"/>
      <c r="E22" s="19"/>
      <c r="H22" s="8"/>
      <c r="I22" s="32">
        <f t="shared" si="4"/>
        <v>0</v>
      </c>
      <c r="J22" s="9">
        <f t="shared" si="4"/>
        <v>0</v>
      </c>
      <c r="K22" s="9"/>
      <c r="L22" s="9" t="str">
        <f t="shared" si="1"/>
        <v>FATURA 6</v>
      </c>
      <c r="M22" s="50" t="e">
        <f t="shared" si="2"/>
        <v>#DIV/0!</v>
      </c>
      <c r="N22" s="49"/>
      <c r="O22" s="49"/>
      <c r="P22" s="4"/>
      <c r="Q22" s="4"/>
    </row>
    <row r="23" spans="2:17" s="3" customFormat="1" ht="24" thickBot="1" x14ac:dyDescent="0.55000000000000004">
      <c r="B23" s="12" t="s">
        <v>15</v>
      </c>
      <c r="C23" s="14" t="e">
        <f>E23/F24</f>
        <v>#DIV/0!</v>
      </c>
      <c r="D23" s="14"/>
      <c r="E23" s="16"/>
      <c r="H23" s="8"/>
      <c r="I23" s="32">
        <f t="shared" ref="I23:J28" si="5">D27</f>
        <v>0</v>
      </c>
      <c r="J23" s="9">
        <f t="shared" si="5"/>
        <v>0</v>
      </c>
      <c r="K23" s="8"/>
      <c r="L23" s="9">
        <f t="shared" si="1"/>
        <v>0</v>
      </c>
      <c r="M23" s="50">
        <f t="shared" si="2"/>
        <v>0</v>
      </c>
      <c r="N23" s="49"/>
      <c r="O23" s="49"/>
      <c r="P23" s="4"/>
      <c r="Q23" s="4"/>
    </row>
    <row r="24" spans="2:17" s="3" customFormat="1" ht="27" thickTop="1" x14ac:dyDescent="0.55000000000000004">
      <c r="B24" s="5"/>
      <c r="C24" s="6"/>
      <c r="D24" s="6"/>
      <c r="E24" s="6"/>
      <c r="F24" s="7">
        <f>SUM(E18:E23)</f>
        <v>0</v>
      </c>
      <c r="H24" s="8"/>
      <c r="I24" s="32">
        <f t="shared" si="5"/>
        <v>0</v>
      </c>
      <c r="J24" s="9">
        <f t="shared" si="5"/>
        <v>0</v>
      </c>
      <c r="K24" s="9"/>
      <c r="L24" s="9">
        <f t="shared" si="1"/>
        <v>0</v>
      </c>
      <c r="M24" s="50">
        <f t="shared" si="2"/>
        <v>0</v>
      </c>
      <c r="N24" s="49"/>
      <c r="O24" s="49"/>
      <c r="P24" s="4"/>
      <c r="Q24" s="4"/>
    </row>
    <row r="25" spans="2:17" ht="10.5" customHeight="1" x14ac:dyDescent="0.25">
      <c r="I25" s="32">
        <f t="shared" si="5"/>
        <v>0</v>
      </c>
      <c r="J25" s="9">
        <f t="shared" si="5"/>
        <v>0</v>
      </c>
      <c r="L25" s="9">
        <f t="shared" si="1"/>
        <v>0</v>
      </c>
      <c r="M25" s="50">
        <f t="shared" si="2"/>
        <v>0</v>
      </c>
    </row>
    <row r="26" spans="2:17" s="3" customFormat="1" ht="21" customHeight="1" x14ac:dyDescent="0.5">
      <c r="B26" s="10"/>
      <c r="C26" s="10"/>
      <c r="D26" s="10"/>
      <c r="E26" s="21" t="s">
        <v>16</v>
      </c>
      <c r="H26" s="8"/>
      <c r="I26" s="32">
        <f t="shared" si="5"/>
        <v>0</v>
      </c>
      <c r="J26" s="9">
        <f t="shared" si="5"/>
        <v>0</v>
      </c>
      <c r="K26" s="9"/>
      <c r="L26" s="9" t="str">
        <f t="shared" si="1"/>
        <v>MATÉRIA 1</v>
      </c>
      <c r="M26" s="50" t="e">
        <f t="shared" si="2"/>
        <v>#DIV/0!</v>
      </c>
      <c r="N26" s="49"/>
      <c r="O26" s="49"/>
      <c r="P26" s="4"/>
      <c r="Q26" s="4"/>
    </row>
    <row r="27" spans="2:17" s="3" customFormat="1" ht="23.25" x14ac:dyDescent="0.5">
      <c r="B27" s="11" t="s">
        <v>17</v>
      </c>
      <c r="C27" s="13" t="e">
        <f>E27/F31</f>
        <v>#DIV/0!</v>
      </c>
      <c r="D27" s="13"/>
      <c r="E27" s="15"/>
      <c r="H27" s="8"/>
      <c r="I27" s="32">
        <f t="shared" si="5"/>
        <v>0</v>
      </c>
      <c r="J27" s="9">
        <f t="shared" si="5"/>
        <v>0</v>
      </c>
      <c r="K27" s="9"/>
      <c r="L27" s="9" t="str">
        <f t="shared" si="1"/>
        <v>MATÉRIA 2</v>
      </c>
      <c r="M27" s="50" t="e">
        <f t="shared" si="2"/>
        <v>#DIV/0!</v>
      </c>
      <c r="N27" s="49"/>
      <c r="O27" s="49"/>
      <c r="P27" s="4"/>
      <c r="Q27" s="4"/>
    </row>
    <row r="28" spans="2:17" s="3" customFormat="1" ht="23.25" x14ac:dyDescent="0.5">
      <c r="B28" s="11" t="s">
        <v>18</v>
      </c>
      <c r="C28" s="13" t="e">
        <f>E28/F31</f>
        <v>#DIV/0!</v>
      </c>
      <c r="D28" s="13"/>
      <c r="E28" s="15"/>
      <c r="H28" s="8"/>
      <c r="I28" s="32">
        <f t="shared" si="5"/>
        <v>0</v>
      </c>
      <c r="J28" s="9">
        <f t="shared" si="5"/>
        <v>0</v>
      </c>
      <c r="K28" s="9"/>
      <c r="L28" s="9" t="str">
        <f t="shared" si="1"/>
        <v>PRODUTO 1</v>
      </c>
      <c r="M28" s="50" t="e">
        <f t="shared" si="2"/>
        <v>#DIV/0!</v>
      </c>
      <c r="N28" s="49"/>
      <c r="O28" s="49"/>
      <c r="P28" s="4"/>
      <c r="Q28" s="4"/>
    </row>
    <row r="29" spans="2:17" s="3" customFormat="1" ht="23.25" x14ac:dyDescent="0.5">
      <c r="B29" s="17" t="s">
        <v>19</v>
      </c>
      <c r="C29" s="18" t="e">
        <f>E29/F31</f>
        <v>#DIV/0!</v>
      </c>
      <c r="D29" s="18"/>
      <c r="E29" s="19"/>
      <c r="H29" s="8"/>
      <c r="I29" s="32">
        <f t="shared" ref="I29:J34" si="6">D34</f>
        <v>0</v>
      </c>
      <c r="J29" s="9">
        <f t="shared" si="6"/>
        <v>0</v>
      </c>
      <c r="K29" s="9"/>
      <c r="L29" s="9" t="str">
        <f t="shared" si="1"/>
        <v>PRODUTO 2</v>
      </c>
      <c r="M29" s="50" t="e">
        <f t="shared" si="2"/>
        <v>#DIV/0!</v>
      </c>
      <c r="N29" s="49"/>
      <c r="O29" s="49"/>
      <c r="P29" s="4"/>
      <c r="Q29" s="4"/>
    </row>
    <row r="30" spans="2:17" s="3" customFormat="1" ht="24" thickBot="1" x14ac:dyDescent="0.55000000000000004">
      <c r="B30" s="12" t="s">
        <v>20</v>
      </c>
      <c r="C30" s="14" t="e">
        <f>E30/F31</f>
        <v>#DIV/0!</v>
      </c>
      <c r="D30" s="14"/>
      <c r="E30" s="16"/>
      <c r="H30" s="8"/>
      <c r="I30" s="32">
        <f t="shared" si="6"/>
        <v>0</v>
      </c>
      <c r="J30" s="9">
        <f t="shared" si="6"/>
        <v>0</v>
      </c>
      <c r="K30" s="8"/>
      <c r="L30" s="9">
        <f t="shared" si="1"/>
        <v>0</v>
      </c>
      <c r="M30" s="50">
        <f t="shared" si="2"/>
        <v>0</v>
      </c>
      <c r="N30" s="49"/>
      <c r="O30" s="49"/>
      <c r="P30" s="4"/>
      <c r="Q30" s="4"/>
    </row>
    <row r="31" spans="2:17" s="3" customFormat="1" ht="27" thickTop="1" x14ac:dyDescent="0.55000000000000004">
      <c r="B31" s="5"/>
      <c r="C31" s="6"/>
      <c r="D31" s="6"/>
      <c r="E31" s="6"/>
      <c r="F31" s="7">
        <f>SUM(E27:E30)</f>
        <v>0</v>
      </c>
      <c r="H31" s="8"/>
      <c r="I31" s="32">
        <f t="shared" si="6"/>
        <v>0</v>
      </c>
      <c r="J31" s="9">
        <f t="shared" si="6"/>
        <v>0</v>
      </c>
      <c r="K31" s="9"/>
      <c r="L31" s="9">
        <f t="shared" si="1"/>
        <v>0</v>
      </c>
      <c r="M31" s="50">
        <f t="shared" si="2"/>
        <v>0</v>
      </c>
      <c r="N31" s="49"/>
      <c r="O31" s="49"/>
      <c r="P31" s="4"/>
      <c r="Q31" s="4"/>
    </row>
    <row r="32" spans="2:17" ht="12" customHeight="1" x14ac:dyDescent="0.25">
      <c r="I32" s="32">
        <f t="shared" si="6"/>
        <v>0</v>
      </c>
      <c r="J32" s="9">
        <f t="shared" si="6"/>
        <v>0</v>
      </c>
      <c r="L32" s="9">
        <f t="shared" si="1"/>
        <v>0</v>
      </c>
      <c r="M32" s="50">
        <f t="shared" si="2"/>
        <v>0</v>
      </c>
    </row>
    <row r="33" spans="2:17" s="3" customFormat="1" ht="21" customHeight="1" x14ac:dyDescent="0.5">
      <c r="B33" s="10"/>
      <c r="C33" s="10"/>
      <c r="D33" s="10"/>
      <c r="E33" s="10" t="s">
        <v>21</v>
      </c>
      <c r="H33" s="8"/>
      <c r="I33" s="32">
        <f t="shared" si="6"/>
        <v>0</v>
      </c>
      <c r="J33" s="9">
        <f t="shared" si="6"/>
        <v>0</v>
      </c>
      <c r="K33" s="9"/>
      <c r="L33" s="9" t="str">
        <f t="shared" si="1"/>
        <v>EQUIPAMENTO 1</v>
      </c>
      <c r="M33" s="50" t="e">
        <f t="shared" si="2"/>
        <v>#DIV/0!</v>
      </c>
      <c r="N33" s="49"/>
      <c r="O33" s="49"/>
      <c r="P33" s="4"/>
      <c r="Q33" s="4"/>
    </row>
    <row r="34" spans="2:17" s="3" customFormat="1" ht="23.25" x14ac:dyDescent="0.5">
      <c r="B34" s="11" t="s">
        <v>22</v>
      </c>
      <c r="C34" s="13" t="e">
        <f>E34/F40</f>
        <v>#DIV/0!</v>
      </c>
      <c r="D34" s="13"/>
      <c r="E34" s="15"/>
      <c r="H34" s="8"/>
      <c r="I34" s="32">
        <f t="shared" si="6"/>
        <v>0</v>
      </c>
      <c r="J34" s="9">
        <f t="shared" si="6"/>
        <v>0</v>
      </c>
      <c r="K34" s="9"/>
      <c r="L34" s="9" t="str">
        <f t="shared" si="1"/>
        <v>EQUIPAMENTO 2</v>
      </c>
      <c r="M34" s="50" t="e">
        <f t="shared" si="2"/>
        <v>#DIV/0!</v>
      </c>
      <c r="N34" s="49"/>
      <c r="O34" s="49"/>
      <c r="P34" s="4"/>
      <c r="Q34" s="4"/>
    </row>
    <row r="35" spans="2:17" s="3" customFormat="1" ht="23.25" x14ac:dyDescent="0.5">
      <c r="B35" s="11" t="s">
        <v>23</v>
      </c>
      <c r="C35" s="13" t="e">
        <f>E35/F40</f>
        <v>#DIV/0!</v>
      </c>
      <c r="D35" s="13"/>
      <c r="E35" s="15"/>
      <c r="H35" s="8"/>
      <c r="I35" s="33"/>
      <c r="J35" s="9"/>
      <c r="K35" s="9"/>
      <c r="L35" s="9" t="str">
        <f t="shared" si="1"/>
        <v>EQUIPAMENTO 3</v>
      </c>
      <c r="M35" s="50" t="e">
        <f t="shared" si="2"/>
        <v>#DIV/0!</v>
      </c>
      <c r="N35" s="49"/>
      <c r="O35" s="49"/>
      <c r="P35" s="4"/>
      <c r="Q35" s="4"/>
    </row>
    <row r="36" spans="2:17" s="3" customFormat="1" ht="23.25" x14ac:dyDescent="0.5">
      <c r="B36" s="11" t="s">
        <v>24</v>
      </c>
      <c r="C36" s="13" t="e">
        <f>E36/F40</f>
        <v>#DIV/0!</v>
      </c>
      <c r="D36" s="13"/>
      <c r="E36" s="15"/>
      <c r="H36" s="8"/>
      <c r="I36" s="33"/>
      <c r="J36" s="9"/>
      <c r="K36" s="9"/>
      <c r="L36" s="9" t="str">
        <f t="shared" si="1"/>
        <v>EQUIPAMENTO 4</v>
      </c>
      <c r="M36" s="50" t="e">
        <f t="shared" si="2"/>
        <v>#DIV/0!</v>
      </c>
      <c r="N36" s="49"/>
      <c r="O36" s="49"/>
      <c r="P36" s="4"/>
      <c r="Q36" s="4"/>
    </row>
    <row r="37" spans="2:17" s="3" customFormat="1" ht="23.25" x14ac:dyDescent="0.5">
      <c r="B37" s="11" t="s">
        <v>25</v>
      </c>
      <c r="C37" s="13" t="e">
        <f>E37/F40</f>
        <v>#DIV/0!</v>
      </c>
      <c r="D37" s="13"/>
      <c r="E37" s="15"/>
      <c r="H37" s="8"/>
      <c r="I37" s="4"/>
      <c r="J37" s="4"/>
      <c r="K37" s="9"/>
      <c r="L37" s="9" t="str">
        <f t="shared" si="1"/>
        <v>EQUIPAMENTO 5</v>
      </c>
      <c r="M37" s="50" t="e">
        <f t="shared" si="2"/>
        <v>#DIV/0!</v>
      </c>
      <c r="N37" s="49"/>
      <c r="O37" s="49"/>
      <c r="P37" s="4"/>
      <c r="Q37" s="4"/>
    </row>
    <row r="38" spans="2:17" s="3" customFormat="1" ht="23.25" x14ac:dyDescent="0.5">
      <c r="B38" s="17" t="s">
        <v>26</v>
      </c>
      <c r="C38" s="18" t="e">
        <f>E38/F40</f>
        <v>#DIV/0!</v>
      </c>
      <c r="D38" s="18"/>
      <c r="E38" s="19"/>
      <c r="H38" s="8"/>
      <c r="I38" s="4"/>
      <c r="J38" s="4"/>
      <c r="K38" s="9"/>
      <c r="L38" s="9" t="str">
        <f t="shared" si="1"/>
        <v>EQUIPAMENTO 4</v>
      </c>
      <c r="M38" s="50" t="e">
        <f t="shared" si="2"/>
        <v>#DIV/0!</v>
      </c>
      <c r="N38" s="49"/>
      <c r="O38" s="49"/>
      <c r="P38" s="4"/>
      <c r="Q38" s="4"/>
    </row>
    <row r="39" spans="2:17" s="3" customFormat="1" ht="24" thickBot="1" x14ac:dyDescent="0.55000000000000004">
      <c r="B39" s="12" t="s">
        <v>25</v>
      </c>
      <c r="C39" s="14" t="e">
        <f>E39/F40</f>
        <v>#DIV/0!</v>
      </c>
      <c r="D39" s="14"/>
      <c r="E39" s="16"/>
      <c r="H39" s="8"/>
      <c r="I39" s="4"/>
      <c r="J39" s="4"/>
      <c r="K39" s="8"/>
      <c r="L39" s="9">
        <f t="shared" si="1"/>
        <v>0</v>
      </c>
      <c r="M39" s="50">
        <f t="shared" si="2"/>
        <v>0</v>
      </c>
      <c r="N39" s="49"/>
      <c r="O39" s="49"/>
      <c r="P39" s="4"/>
      <c r="Q39" s="4"/>
    </row>
    <row r="40" spans="2:17" s="3" customFormat="1" ht="27" thickTop="1" x14ac:dyDescent="0.55000000000000004">
      <c r="B40" s="5"/>
      <c r="C40" s="6"/>
      <c r="D40" s="6"/>
      <c r="E40" s="6"/>
      <c r="F40" s="7">
        <f>SUM(E34:E39)</f>
        <v>0</v>
      </c>
      <c r="H40" s="8"/>
      <c r="I40" s="4"/>
      <c r="J40" s="4"/>
      <c r="K40" s="9"/>
      <c r="L40" s="9"/>
      <c r="M40" s="4"/>
      <c r="N40" s="49"/>
      <c r="O40" s="49"/>
      <c r="P40" s="4"/>
      <c r="Q40" s="4"/>
    </row>
  </sheetData>
  <dataConsolidate/>
  <mergeCells count="2">
    <mergeCell ref="C3:E3"/>
    <mergeCell ref="A1:J1"/>
  </mergeCells>
  <dataValidations count="1">
    <dataValidation type="list" allowBlank="1" showInputMessage="1" showErrorMessage="1" sqref="D6:D7 D34:D39 D27:D30 D18:D23 D11:D14">
      <formula1>$H$5:$H$8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"/>
  <sheetViews>
    <sheetView showGridLines="0" zoomScaleNormal="100" workbookViewId="0">
      <selection sqref="A1:J1"/>
    </sheetView>
  </sheetViews>
  <sheetFormatPr defaultRowHeight="15" x14ac:dyDescent="0.25"/>
  <cols>
    <col min="1" max="1" width="9.140625" style="3"/>
    <col min="2" max="2" width="38.5703125" customWidth="1"/>
    <col min="3" max="3" width="19.7109375" customWidth="1"/>
    <col min="4" max="4" width="19.7109375" style="24" customWidth="1"/>
    <col min="5" max="5" width="24.42578125" customWidth="1"/>
    <col min="6" max="6" width="23.5703125" customWidth="1"/>
    <col min="7" max="7" width="4.5703125" customWidth="1"/>
    <col min="8" max="8" width="15.42578125" style="4" customWidth="1"/>
    <col min="9" max="9" width="17" style="40" customWidth="1"/>
    <col min="10" max="10" width="17" style="4" customWidth="1"/>
    <col min="11" max="11" width="5.140625" style="4" customWidth="1"/>
    <col min="12" max="12" width="20.140625" style="4" customWidth="1"/>
    <col min="13" max="13" width="20.140625" style="51" customWidth="1"/>
    <col min="14" max="14" width="14.5703125" style="26" bestFit="1" customWidth="1"/>
    <col min="15" max="16" width="9.140625" style="26"/>
    <col min="17" max="17" width="9.140625" style="4"/>
    <col min="18" max="34" width="9.140625" style="3"/>
  </cols>
  <sheetData>
    <row r="1" spans="1:34" s="56" customFormat="1" ht="36" customHeight="1" x14ac:dyDescent="0.25">
      <c r="A1" s="58" t="s">
        <v>70</v>
      </c>
      <c r="B1" s="59"/>
      <c r="C1" s="59"/>
      <c r="D1" s="59"/>
      <c r="E1" s="59"/>
      <c r="F1" s="59"/>
      <c r="G1" s="59"/>
      <c r="H1" s="59"/>
      <c r="I1" s="59"/>
      <c r="J1" s="59"/>
      <c r="K1" s="57"/>
      <c r="L1" s="57"/>
      <c r="M1" s="57"/>
      <c r="N1" s="57"/>
      <c r="O1" s="57"/>
      <c r="P1" s="57"/>
      <c r="Q1" s="57"/>
      <c r="R1" s="57"/>
      <c r="S1" s="57"/>
      <c r="T1" s="57"/>
      <c r="U1" s="55"/>
      <c r="V1" s="55"/>
      <c r="W1" s="55"/>
      <c r="X1" s="55"/>
      <c r="Y1" s="55"/>
    </row>
    <row r="2" spans="1:34" s="4" customFormat="1" ht="11.25" customHeight="1" x14ac:dyDescent="0.25">
      <c r="A2" s="3"/>
      <c r="D2" s="22"/>
      <c r="I2" s="40"/>
      <c r="M2" s="51"/>
      <c r="N2" s="26"/>
      <c r="O2" s="26"/>
      <c r="P2" s="26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s="4" customFormat="1" ht="29.25" customHeight="1" x14ac:dyDescent="0.65">
      <c r="A3" s="3"/>
      <c r="C3" s="60" t="s">
        <v>61</v>
      </c>
      <c r="D3" s="60"/>
      <c r="E3" s="60"/>
      <c r="F3" s="20">
        <f>SUM(F8:F32)</f>
        <v>0</v>
      </c>
      <c r="H3" s="4" t="s">
        <v>41</v>
      </c>
      <c r="I3" s="40"/>
      <c r="M3" s="51"/>
      <c r="N3" s="26"/>
      <c r="O3" s="26"/>
      <c r="P3" s="26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s="3" customFormat="1" ht="17.25" customHeight="1" x14ac:dyDescent="0.25">
      <c r="D4" s="23"/>
      <c r="H4" s="4" t="s">
        <v>42</v>
      </c>
      <c r="I4" s="40"/>
      <c r="J4" s="4"/>
      <c r="K4" s="4"/>
      <c r="L4" s="4"/>
      <c r="M4" s="51"/>
      <c r="N4" s="26"/>
      <c r="O4" s="26"/>
      <c r="P4" s="26"/>
      <c r="Q4" s="4"/>
    </row>
    <row r="5" spans="1:34" s="3" customFormat="1" ht="21" customHeight="1" x14ac:dyDescent="0.5">
      <c r="B5" s="61" t="s">
        <v>28</v>
      </c>
      <c r="C5" s="61"/>
      <c r="D5" s="61"/>
      <c r="E5" s="61"/>
      <c r="H5" s="8" t="s">
        <v>43</v>
      </c>
      <c r="I5" s="41"/>
      <c r="J5" s="9"/>
      <c r="K5" s="9"/>
      <c r="L5" s="9"/>
      <c r="M5" s="51"/>
      <c r="N5" s="26"/>
      <c r="O5" s="26"/>
      <c r="P5" s="26"/>
      <c r="Q5" s="4"/>
    </row>
    <row r="6" spans="1:34" s="3" customFormat="1" ht="23.25" x14ac:dyDescent="0.5">
      <c r="B6" s="11" t="s">
        <v>29</v>
      </c>
      <c r="C6" s="13" t="e">
        <f>E6/F9</f>
        <v>#DIV/0!</v>
      </c>
      <c r="D6" s="13"/>
      <c r="E6" s="15"/>
      <c r="H6" s="8" t="s">
        <v>44</v>
      </c>
      <c r="I6" s="42">
        <f t="shared" ref="I6:J8" si="0">D6</f>
        <v>0</v>
      </c>
      <c r="J6" s="9">
        <f t="shared" si="0"/>
        <v>0</v>
      </c>
      <c r="K6" s="9"/>
      <c r="L6" s="9" t="str">
        <f>B6</f>
        <v>EMPRÉSTIMO 1</v>
      </c>
      <c r="M6" s="52" t="e">
        <f>C6</f>
        <v>#DIV/0!</v>
      </c>
      <c r="N6" s="26"/>
      <c r="O6" s="26"/>
      <c r="P6" s="26"/>
      <c r="Q6" s="4"/>
    </row>
    <row r="7" spans="1:34" s="3" customFormat="1" ht="23.25" x14ac:dyDescent="0.5">
      <c r="B7" s="17" t="s">
        <v>30</v>
      </c>
      <c r="C7" s="18" t="e">
        <f>E7/F9</f>
        <v>#DIV/0!</v>
      </c>
      <c r="D7" s="13"/>
      <c r="E7" s="19"/>
      <c r="H7" s="8"/>
      <c r="I7" s="42">
        <f t="shared" si="0"/>
        <v>0</v>
      </c>
      <c r="J7" s="9">
        <f t="shared" si="0"/>
        <v>0</v>
      </c>
      <c r="K7" s="9"/>
      <c r="L7" s="9" t="str">
        <f t="shared" ref="L7:L32" si="1">B7</f>
        <v>EMPRESTIMO 2</v>
      </c>
      <c r="M7" s="52" t="e">
        <f t="shared" ref="M7:M32" si="2">C7</f>
        <v>#DIV/0!</v>
      </c>
      <c r="N7" s="26"/>
      <c r="O7" s="26"/>
      <c r="P7" s="26"/>
      <c r="Q7" s="4"/>
    </row>
    <row r="8" spans="1:34" s="3" customFormat="1" ht="24" thickBot="1" x14ac:dyDescent="0.55000000000000004">
      <c r="B8" s="12" t="s">
        <v>31</v>
      </c>
      <c r="C8" s="14" t="e">
        <f>E8/F9</f>
        <v>#DIV/0!</v>
      </c>
      <c r="D8" s="14"/>
      <c r="E8" s="16"/>
      <c r="H8" s="8"/>
      <c r="I8" s="42">
        <f t="shared" si="0"/>
        <v>0</v>
      </c>
      <c r="J8" s="9">
        <f t="shared" si="0"/>
        <v>0</v>
      </c>
      <c r="K8" s="8"/>
      <c r="L8" s="9" t="str">
        <f t="shared" si="1"/>
        <v>EMPRESTIMO 3</v>
      </c>
      <c r="M8" s="52" t="e">
        <f t="shared" si="2"/>
        <v>#DIV/0!</v>
      </c>
      <c r="N8" s="26"/>
      <c r="O8" s="26"/>
      <c r="P8" s="26"/>
      <c r="Q8" s="4"/>
    </row>
    <row r="9" spans="1:34" s="3" customFormat="1" ht="27" thickTop="1" x14ac:dyDescent="0.55000000000000004">
      <c r="B9" s="5"/>
      <c r="C9" s="6"/>
      <c r="D9" s="25"/>
      <c r="E9" s="6"/>
      <c r="F9" s="7">
        <f>SUM(E6:E8)</f>
        <v>0</v>
      </c>
      <c r="H9" s="8"/>
      <c r="I9" s="42">
        <f t="shared" ref="I9:J12" si="3">D12</f>
        <v>0</v>
      </c>
      <c r="J9" s="9">
        <f t="shared" si="3"/>
        <v>0</v>
      </c>
      <c r="K9" s="9"/>
      <c r="L9" s="9">
        <f t="shared" si="1"/>
        <v>0</v>
      </c>
      <c r="M9" s="52">
        <f t="shared" si="2"/>
        <v>0</v>
      </c>
      <c r="N9" s="26"/>
      <c r="O9" s="26"/>
      <c r="P9" s="26"/>
      <c r="Q9" s="4"/>
    </row>
    <row r="10" spans="1:34" ht="8.25" customHeight="1" x14ac:dyDescent="0.25">
      <c r="H10" s="8"/>
      <c r="I10" s="42">
        <f t="shared" si="3"/>
        <v>0</v>
      </c>
      <c r="J10" s="9">
        <f t="shared" si="3"/>
        <v>0</v>
      </c>
      <c r="K10" s="8"/>
      <c r="L10" s="9">
        <f t="shared" si="1"/>
        <v>0</v>
      </c>
      <c r="M10" s="52">
        <f t="shared" si="2"/>
        <v>0</v>
      </c>
    </row>
    <row r="11" spans="1:34" s="3" customFormat="1" ht="21" customHeight="1" x14ac:dyDescent="0.5">
      <c r="B11" s="61" t="s">
        <v>32</v>
      </c>
      <c r="C11" s="61"/>
      <c r="D11" s="61"/>
      <c r="E11" s="61"/>
      <c r="H11" s="8"/>
      <c r="I11" s="42">
        <f t="shared" si="3"/>
        <v>0</v>
      </c>
      <c r="J11" s="9">
        <f t="shared" si="3"/>
        <v>0</v>
      </c>
      <c r="K11" s="9"/>
      <c r="L11" s="9" t="str">
        <f t="shared" si="1"/>
        <v>SALÁRIOS E ENCARGOS</v>
      </c>
      <c r="M11" s="52">
        <f t="shared" si="2"/>
        <v>0</v>
      </c>
      <c r="N11" s="26"/>
      <c r="O11" s="26"/>
      <c r="P11" s="26"/>
      <c r="Q11" s="4"/>
    </row>
    <row r="12" spans="1:34" s="3" customFormat="1" ht="23.25" x14ac:dyDescent="0.5">
      <c r="B12" s="11" t="s">
        <v>33</v>
      </c>
      <c r="C12" s="13" t="e">
        <f>E12/F16</f>
        <v>#DIV/0!</v>
      </c>
      <c r="D12" s="13"/>
      <c r="E12" s="15"/>
      <c r="H12" s="8"/>
      <c r="I12" s="42">
        <f t="shared" si="3"/>
        <v>0</v>
      </c>
      <c r="J12" s="9">
        <f t="shared" si="3"/>
        <v>0</v>
      </c>
      <c r="K12" s="9"/>
      <c r="L12" s="9" t="str">
        <f t="shared" si="1"/>
        <v>SALÁRIO 1</v>
      </c>
      <c r="M12" s="52" t="e">
        <f t="shared" si="2"/>
        <v>#DIV/0!</v>
      </c>
      <c r="N12" s="26"/>
      <c r="O12" s="26"/>
      <c r="P12" s="26"/>
      <c r="Q12" s="4"/>
    </row>
    <row r="13" spans="1:34" s="3" customFormat="1" ht="23.25" x14ac:dyDescent="0.5">
      <c r="B13" s="11" t="s">
        <v>34</v>
      </c>
      <c r="C13" s="13" t="e">
        <f>E13/F16</f>
        <v>#DIV/0!</v>
      </c>
      <c r="D13" s="13"/>
      <c r="E13" s="15"/>
      <c r="H13" s="8"/>
      <c r="I13" s="42">
        <f t="shared" ref="I13:J20" si="4">D19</f>
        <v>0</v>
      </c>
      <c r="J13" s="9">
        <f t="shared" si="4"/>
        <v>0</v>
      </c>
      <c r="K13" s="9"/>
      <c r="L13" s="9" t="str">
        <f t="shared" si="1"/>
        <v>SALÁRIO 2</v>
      </c>
      <c r="M13" s="52" t="e">
        <f t="shared" si="2"/>
        <v>#DIV/0!</v>
      </c>
      <c r="N13" s="26"/>
      <c r="O13" s="26"/>
      <c r="P13" s="26"/>
      <c r="Q13" s="4"/>
    </row>
    <row r="14" spans="1:34" s="3" customFormat="1" ht="23.25" x14ac:dyDescent="0.5">
      <c r="B14" s="17" t="s">
        <v>35</v>
      </c>
      <c r="C14" s="18" t="e">
        <f>E14/F16</f>
        <v>#DIV/0!</v>
      </c>
      <c r="D14" s="18"/>
      <c r="E14" s="19"/>
      <c r="H14" s="8"/>
      <c r="I14" s="42">
        <f t="shared" si="4"/>
        <v>0</v>
      </c>
      <c r="J14" s="9">
        <f t="shared" si="4"/>
        <v>0</v>
      </c>
      <c r="K14" s="9"/>
      <c r="L14" s="9" t="str">
        <f t="shared" si="1"/>
        <v>SALÁRIO 3</v>
      </c>
      <c r="M14" s="52" t="e">
        <f t="shared" si="2"/>
        <v>#DIV/0!</v>
      </c>
      <c r="N14" s="26"/>
      <c r="O14" s="26"/>
      <c r="P14" s="26"/>
      <c r="Q14" s="4"/>
    </row>
    <row r="15" spans="1:34" s="3" customFormat="1" ht="24" thickBot="1" x14ac:dyDescent="0.55000000000000004">
      <c r="B15" s="12" t="s">
        <v>36</v>
      </c>
      <c r="C15" s="14" t="e">
        <f>E15/F16</f>
        <v>#DIV/0!</v>
      </c>
      <c r="D15" s="14"/>
      <c r="E15" s="16"/>
      <c r="H15" s="8"/>
      <c r="I15" s="42">
        <f t="shared" si="4"/>
        <v>0</v>
      </c>
      <c r="J15" s="9">
        <f t="shared" si="4"/>
        <v>0</v>
      </c>
      <c r="K15" s="8"/>
      <c r="L15" s="9" t="str">
        <f t="shared" si="1"/>
        <v>SALÁRIO 4</v>
      </c>
      <c r="M15" s="52" t="e">
        <f t="shared" si="2"/>
        <v>#DIV/0!</v>
      </c>
      <c r="N15" s="26"/>
      <c r="O15" s="26"/>
      <c r="P15" s="26"/>
      <c r="Q15" s="4"/>
    </row>
    <row r="16" spans="1:34" s="3" customFormat="1" ht="27" thickTop="1" x14ac:dyDescent="0.55000000000000004">
      <c r="B16" s="5"/>
      <c r="C16" s="6"/>
      <c r="D16" s="25"/>
      <c r="E16" s="6"/>
      <c r="F16" s="7">
        <f>SUM(E12:E15)</f>
        <v>0</v>
      </c>
      <c r="H16" s="8"/>
      <c r="I16" s="42">
        <f t="shared" si="4"/>
        <v>0</v>
      </c>
      <c r="J16" s="9">
        <f t="shared" si="4"/>
        <v>0</v>
      </c>
      <c r="K16" s="9"/>
      <c r="L16" s="9">
        <f t="shared" si="1"/>
        <v>0</v>
      </c>
      <c r="M16" s="52">
        <f t="shared" si="2"/>
        <v>0</v>
      </c>
      <c r="N16" s="26"/>
      <c r="O16" s="26"/>
      <c r="P16" s="26"/>
      <c r="Q16" s="4"/>
    </row>
    <row r="17" spans="2:17" ht="11.25" customHeight="1" x14ac:dyDescent="0.25">
      <c r="I17" s="42">
        <f t="shared" si="4"/>
        <v>0</v>
      </c>
      <c r="J17" s="9">
        <f t="shared" si="4"/>
        <v>0</v>
      </c>
      <c r="L17" s="9">
        <f t="shared" si="1"/>
        <v>0</v>
      </c>
      <c r="M17" s="52">
        <f t="shared" si="2"/>
        <v>0</v>
      </c>
    </row>
    <row r="18" spans="2:17" s="3" customFormat="1" ht="21" customHeight="1" x14ac:dyDescent="0.5">
      <c r="B18" s="61" t="s">
        <v>37</v>
      </c>
      <c r="C18" s="61"/>
      <c r="D18" s="61"/>
      <c r="E18" s="61"/>
      <c r="H18" s="8"/>
      <c r="I18" s="42">
        <f t="shared" si="4"/>
        <v>0</v>
      </c>
      <c r="J18" s="9">
        <f t="shared" si="4"/>
        <v>0</v>
      </c>
      <c r="K18" s="9"/>
      <c r="L18" s="9" t="str">
        <f t="shared" si="1"/>
        <v>FATURAS A PAGAR</v>
      </c>
      <c r="M18" s="52">
        <f t="shared" si="2"/>
        <v>0</v>
      </c>
      <c r="N18" s="26"/>
      <c r="O18" s="26"/>
      <c r="P18" s="26"/>
      <c r="Q18" s="4"/>
    </row>
    <row r="19" spans="2:17" s="3" customFormat="1" ht="23.25" x14ac:dyDescent="0.5">
      <c r="B19" s="11" t="s">
        <v>10</v>
      </c>
      <c r="C19" s="13" t="e">
        <f>E19/F25</f>
        <v>#DIV/0!</v>
      </c>
      <c r="D19" s="13"/>
      <c r="E19" s="15"/>
      <c r="H19" s="8"/>
      <c r="I19" s="42">
        <f t="shared" si="4"/>
        <v>0</v>
      </c>
      <c r="J19" s="9">
        <f t="shared" si="4"/>
        <v>0</v>
      </c>
      <c r="K19" s="9"/>
      <c r="L19" s="9" t="str">
        <f t="shared" si="1"/>
        <v>FATURA 1</v>
      </c>
      <c r="M19" s="52" t="e">
        <f t="shared" si="2"/>
        <v>#DIV/0!</v>
      </c>
      <c r="N19" s="26"/>
      <c r="O19" s="26"/>
      <c r="P19" s="26"/>
      <c r="Q19" s="4"/>
    </row>
    <row r="20" spans="2:17" s="3" customFormat="1" ht="23.25" x14ac:dyDescent="0.5">
      <c r="B20" s="11" t="s">
        <v>11</v>
      </c>
      <c r="C20" s="13" t="e">
        <f>E20/F25</f>
        <v>#DIV/0!</v>
      </c>
      <c r="D20" s="13"/>
      <c r="E20" s="15"/>
      <c r="H20" s="8"/>
      <c r="I20" s="42">
        <f t="shared" si="4"/>
        <v>0</v>
      </c>
      <c r="J20" s="9">
        <f t="shared" si="4"/>
        <v>0</v>
      </c>
      <c r="K20" s="9"/>
      <c r="L20" s="9" t="str">
        <f t="shared" si="1"/>
        <v>FATURA 2</v>
      </c>
      <c r="M20" s="52" t="e">
        <f t="shared" si="2"/>
        <v>#DIV/0!</v>
      </c>
      <c r="N20" s="26"/>
      <c r="O20" s="26"/>
      <c r="P20" s="26"/>
      <c r="Q20" s="4"/>
    </row>
    <row r="21" spans="2:17" s="3" customFormat="1" ht="23.25" x14ac:dyDescent="0.5">
      <c r="B21" s="11" t="s">
        <v>12</v>
      </c>
      <c r="C21" s="13" t="e">
        <f>E21/F25</f>
        <v>#DIV/0!</v>
      </c>
      <c r="D21" s="13"/>
      <c r="E21" s="15"/>
      <c r="H21" s="8"/>
      <c r="I21" s="42">
        <f t="shared" ref="I21:J23" si="5">D28</f>
        <v>0</v>
      </c>
      <c r="J21" s="9">
        <f t="shared" si="5"/>
        <v>0</v>
      </c>
      <c r="K21" s="9"/>
      <c r="L21" s="9" t="str">
        <f t="shared" si="1"/>
        <v>FATURA 3</v>
      </c>
      <c r="M21" s="52" t="e">
        <f t="shared" si="2"/>
        <v>#DIV/0!</v>
      </c>
      <c r="N21" s="26"/>
      <c r="O21" s="26"/>
      <c r="P21" s="26"/>
      <c r="Q21" s="4"/>
    </row>
    <row r="22" spans="2:17" s="3" customFormat="1" ht="23.25" x14ac:dyDescent="0.5">
      <c r="B22" s="11" t="s">
        <v>13</v>
      </c>
      <c r="C22" s="13" t="e">
        <f>E22/F25</f>
        <v>#DIV/0!</v>
      </c>
      <c r="D22" s="13"/>
      <c r="E22" s="15"/>
      <c r="H22" s="8"/>
      <c r="I22" s="42">
        <f t="shared" si="5"/>
        <v>0</v>
      </c>
      <c r="J22" s="9">
        <f t="shared" si="5"/>
        <v>0</v>
      </c>
      <c r="K22" s="9"/>
      <c r="L22" s="9" t="str">
        <f t="shared" si="1"/>
        <v>FATURA 4</v>
      </c>
      <c r="M22" s="52" t="e">
        <f t="shared" si="2"/>
        <v>#DIV/0!</v>
      </c>
      <c r="N22" s="26"/>
      <c r="O22" s="26"/>
      <c r="P22" s="26"/>
      <c r="Q22" s="4"/>
    </row>
    <row r="23" spans="2:17" s="3" customFormat="1" ht="23.25" x14ac:dyDescent="0.5">
      <c r="B23" s="11" t="s">
        <v>14</v>
      </c>
      <c r="C23" s="18" t="e">
        <f>E23/F25</f>
        <v>#DIV/0!</v>
      </c>
      <c r="D23" s="18"/>
      <c r="E23" s="19"/>
      <c r="H23" s="8"/>
      <c r="I23" s="42">
        <f t="shared" si="5"/>
        <v>0</v>
      </c>
      <c r="J23" s="9">
        <f t="shared" si="5"/>
        <v>0</v>
      </c>
      <c r="K23" s="9"/>
      <c r="L23" s="9" t="str">
        <f t="shared" si="1"/>
        <v>FATURA 5</v>
      </c>
      <c r="M23" s="52" t="e">
        <f t="shared" si="2"/>
        <v>#DIV/0!</v>
      </c>
      <c r="N23" s="26"/>
      <c r="O23" s="26"/>
      <c r="P23" s="26"/>
      <c r="Q23" s="4"/>
    </row>
    <row r="24" spans="2:17" s="3" customFormat="1" ht="24" thickBot="1" x14ac:dyDescent="0.55000000000000004">
      <c r="B24" s="12" t="s">
        <v>15</v>
      </c>
      <c r="C24" s="14" t="e">
        <f>E24/F25</f>
        <v>#DIV/0!</v>
      </c>
      <c r="D24" s="14"/>
      <c r="E24" s="16"/>
      <c r="H24" s="8"/>
      <c r="I24" s="43"/>
      <c r="J24" s="9"/>
      <c r="K24" s="8"/>
      <c r="L24" s="9" t="str">
        <f t="shared" si="1"/>
        <v>FATURA 6</v>
      </c>
      <c r="M24" s="52" t="e">
        <f t="shared" si="2"/>
        <v>#DIV/0!</v>
      </c>
      <c r="N24" s="26"/>
      <c r="O24" s="26"/>
      <c r="P24" s="26"/>
      <c r="Q24" s="4"/>
    </row>
    <row r="25" spans="2:17" s="3" customFormat="1" ht="27" thickTop="1" x14ac:dyDescent="0.55000000000000004">
      <c r="B25" s="5"/>
      <c r="C25" s="6"/>
      <c r="D25" s="25"/>
      <c r="E25" s="6"/>
      <c r="F25" s="7">
        <f>SUM(E19:E24)</f>
        <v>0</v>
      </c>
      <c r="H25" s="8"/>
      <c r="I25" s="40"/>
      <c r="J25" s="4"/>
      <c r="K25" s="9"/>
      <c r="L25" s="9">
        <f t="shared" si="1"/>
        <v>0</v>
      </c>
      <c r="M25" s="52">
        <f t="shared" si="2"/>
        <v>0</v>
      </c>
      <c r="N25" s="26"/>
      <c r="O25" s="26"/>
      <c r="P25" s="26"/>
      <c r="Q25" s="4"/>
    </row>
    <row r="26" spans="2:17" ht="10.5" customHeight="1" x14ac:dyDescent="0.25">
      <c r="L26" s="9">
        <f t="shared" si="1"/>
        <v>0</v>
      </c>
      <c r="M26" s="52">
        <f t="shared" si="2"/>
        <v>0</v>
      </c>
    </row>
    <row r="27" spans="2:17" s="3" customFormat="1" ht="21" customHeight="1" x14ac:dyDescent="0.5">
      <c r="B27" s="61" t="s">
        <v>0</v>
      </c>
      <c r="C27" s="61"/>
      <c r="D27" s="61"/>
      <c r="E27" s="61"/>
      <c r="H27" s="8"/>
      <c r="I27" s="40"/>
      <c r="J27" s="4"/>
      <c r="K27" s="9"/>
      <c r="L27" s="9" t="str">
        <f t="shared" si="1"/>
        <v>IMPOSTOS</v>
      </c>
      <c r="M27" s="52">
        <f t="shared" si="2"/>
        <v>0</v>
      </c>
      <c r="N27" s="26"/>
      <c r="O27" s="26"/>
      <c r="P27" s="26"/>
      <c r="Q27" s="4"/>
    </row>
    <row r="28" spans="2:17" s="3" customFormat="1" ht="23.25" x14ac:dyDescent="0.5">
      <c r="B28" s="11" t="s">
        <v>38</v>
      </c>
      <c r="C28" s="13" t="e">
        <f>E28/F31</f>
        <v>#DIV/0!</v>
      </c>
      <c r="D28" s="13"/>
      <c r="E28" s="15"/>
      <c r="H28" s="8"/>
      <c r="I28" s="40"/>
      <c r="J28" s="4"/>
      <c r="K28" s="9"/>
      <c r="L28" s="9" t="str">
        <f t="shared" si="1"/>
        <v>IMPOSTOS 1</v>
      </c>
      <c r="M28" s="52" t="e">
        <f t="shared" si="2"/>
        <v>#DIV/0!</v>
      </c>
      <c r="N28" s="26"/>
      <c r="O28" s="26"/>
      <c r="P28" s="26"/>
      <c r="Q28" s="4"/>
    </row>
    <row r="29" spans="2:17" s="3" customFormat="1" ht="23.25" x14ac:dyDescent="0.5">
      <c r="B29" s="11" t="s">
        <v>39</v>
      </c>
      <c r="C29" s="13" t="e">
        <f>E29/F31</f>
        <v>#DIV/0!</v>
      </c>
      <c r="D29" s="13"/>
      <c r="E29" s="15"/>
      <c r="H29" s="8"/>
      <c r="I29" s="40"/>
      <c r="J29" s="4"/>
      <c r="K29" s="9"/>
      <c r="L29" s="9" t="str">
        <f t="shared" si="1"/>
        <v>IMPOSTOS 2</v>
      </c>
      <c r="M29" s="52" t="e">
        <f t="shared" si="2"/>
        <v>#DIV/0!</v>
      </c>
      <c r="N29" s="26"/>
      <c r="O29" s="26"/>
      <c r="P29" s="26"/>
      <c r="Q29" s="4"/>
    </row>
    <row r="30" spans="2:17" s="3" customFormat="1" ht="24" thickBot="1" x14ac:dyDescent="0.55000000000000004">
      <c r="B30" s="12" t="s">
        <v>40</v>
      </c>
      <c r="C30" s="14" t="e">
        <f>E30/F31</f>
        <v>#DIV/0!</v>
      </c>
      <c r="D30" s="14"/>
      <c r="E30" s="16"/>
      <c r="H30" s="8"/>
      <c r="I30" s="40"/>
      <c r="J30" s="4"/>
      <c r="K30" s="8"/>
      <c r="L30" s="9" t="str">
        <f t="shared" si="1"/>
        <v>IMPOSTOS 3</v>
      </c>
      <c r="M30" s="52" t="e">
        <f t="shared" si="2"/>
        <v>#DIV/0!</v>
      </c>
      <c r="N30" s="26"/>
      <c r="O30" s="26"/>
      <c r="P30" s="26"/>
      <c r="Q30" s="4"/>
    </row>
    <row r="31" spans="2:17" s="3" customFormat="1" ht="27" thickTop="1" x14ac:dyDescent="0.55000000000000004">
      <c r="B31" s="5"/>
      <c r="C31" s="6"/>
      <c r="D31" s="25"/>
      <c r="E31" s="6"/>
      <c r="F31" s="7">
        <f>SUM(E28:E30)</f>
        <v>0</v>
      </c>
      <c r="H31" s="8"/>
      <c r="I31" s="40"/>
      <c r="J31" s="4"/>
      <c r="K31" s="9"/>
      <c r="L31" s="9">
        <f t="shared" si="1"/>
        <v>0</v>
      </c>
      <c r="M31" s="52">
        <f t="shared" si="2"/>
        <v>0</v>
      </c>
      <c r="N31" s="26"/>
      <c r="O31" s="26"/>
      <c r="P31" s="26"/>
      <c r="Q31" s="4"/>
    </row>
    <row r="32" spans="2:17" ht="12" customHeight="1" x14ac:dyDescent="0.25">
      <c r="L32" s="9">
        <f t="shared" si="1"/>
        <v>0</v>
      </c>
      <c r="M32" s="52">
        <f t="shared" si="2"/>
        <v>0</v>
      </c>
    </row>
  </sheetData>
  <dataConsolidate/>
  <mergeCells count="6">
    <mergeCell ref="B27:E27"/>
    <mergeCell ref="A1:J1"/>
    <mergeCell ref="C3:E3"/>
    <mergeCell ref="B5:E5"/>
    <mergeCell ref="B11:E11"/>
    <mergeCell ref="B18:E18"/>
  </mergeCells>
  <dataValidations count="1">
    <dataValidation type="list" allowBlank="1" showInputMessage="1" showErrorMessage="1" sqref="D6:D8 D28:D30 D19:D24 D12:D15">
      <formula1>$H$3:$H$6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showGridLines="0" zoomScaleNormal="100" workbookViewId="0">
      <selection sqref="A1:I1"/>
    </sheetView>
  </sheetViews>
  <sheetFormatPr defaultRowHeight="15" x14ac:dyDescent="0.25"/>
  <cols>
    <col min="1" max="1" width="42" customWidth="1"/>
    <col min="2" max="2" width="23.5703125" customWidth="1"/>
    <col min="3" max="5" width="29.140625" customWidth="1"/>
  </cols>
  <sheetData>
    <row r="1" spans="1:25" s="56" customFormat="1" ht="36" customHeight="1" x14ac:dyDescent="0.25">
      <c r="A1" s="58" t="s">
        <v>69</v>
      </c>
      <c r="B1" s="59"/>
      <c r="C1" s="59"/>
      <c r="D1" s="59"/>
      <c r="E1" s="59"/>
      <c r="F1" s="59"/>
      <c r="G1" s="59"/>
      <c r="H1" s="59"/>
      <c r="I1" s="59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5"/>
      <c r="V1" s="55"/>
      <c r="W1" s="55"/>
      <c r="X1" s="55"/>
      <c r="Y1" s="55"/>
    </row>
    <row r="2" spans="1:25" ht="22.5" customHeight="1" x14ac:dyDescent="0.25">
      <c r="B2" s="2"/>
    </row>
    <row r="3" spans="1:25" ht="25.5" customHeight="1" x14ac:dyDescent="0.25">
      <c r="B3" s="39"/>
      <c r="C3" s="62" t="s">
        <v>49</v>
      </c>
      <c r="D3" s="62"/>
      <c r="E3" s="62"/>
    </row>
    <row r="4" spans="1:25" ht="6" customHeight="1" x14ac:dyDescent="0.25">
      <c r="B4" s="37"/>
      <c r="C4" s="37"/>
      <c r="D4" s="37"/>
      <c r="E4" s="37"/>
    </row>
    <row r="5" spans="1:25" ht="25.5" customHeight="1" x14ac:dyDescent="0.25">
      <c r="B5" s="38"/>
      <c r="C5" s="28" t="s">
        <v>45</v>
      </c>
      <c r="D5" s="28" t="s">
        <v>46</v>
      </c>
      <c r="E5" s="29" t="s">
        <v>47</v>
      </c>
      <c r="F5" s="2"/>
    </row>
    <row r="6" spans="1:25" ht="25.5" customHeight="1" x14ac:dyDescent="0.3">
      <c r="A6" s="2"/>
      <c r="B6" s="27" t="s">
        <v>41</v>
      </c>
      <c r="C6" s="30">
        <f ca="1">SUMIF(Direitos!$I$5:$J$30,Relatório!$B6,Direitos!$J$5:$J$34)</f>
        <v>0</v>
      </c>
      <c r="D6" s="30">
        <f ca="1">SUMIF(Obrigações!$I$6:$J$23,Relatório!$B6,Obrigações!$J$6:$J$23)</f>
        <v>0</v>
      </c>
      <c r="E6" s="31">
        <f ca="1">C6-D6</f>
        <v>0</v>
      </c>
      <c r="F6" s="2"/>
    </row>
    <row r="7" spans="1:25" ht="25.5" customHeight="1" x14ac:dyDescent="0.3">
      <c r="A7" s="2"/>
      <c r="B7" s="27" t="s">
        <v>42</v>
      </c>
      <c r="C7" s="30">
        <f ca="1">SUMIF(Direitos!$I$5:$J$30,Relatório!$B7,Direitos!$J$5:$J$34)</f>
        <v>0</v>
      </c>
      <c r="D7" s="30">
        <f ca="1">SUMIF(Obrigações!$I$6:$J$23,Relatório!$B7,Obrigações!$J$6:$J$23)</f>
        <v>0</v>
      </c>
      <c r="E7" s="31">
        <f ca="1">C7-D7</f>
        <v>0</v>
      </c>
      <c r="F7" s="2"/>
    </row>
    <row r="8" spans="1:25" ht="25.5" customHeight="1" x14ac:dyDescent="0.3">
      <c r="A8" s="2"/>
      <c r="B8" s="27" t="s">
        <v>43</v>
      </c>
      <c r="C8" s="30">
        <f ca="1">SUMIF(Direitos!$I$5:$J$30,Relatório!$B8,Direitos!$J$5:$J$34)</f>
        <v>0</v>
      </c>
      <c r="D8" s="30">
        <f ca="1">SUMIF(Obrigações!$I$6:$J$23,Relatório!$B8,Obrigações!$J$6:$J$23)</f>
        <v>0</v>
      </c>
      <c r="E8" s="31">
        <f ca="1">C8-D8</f>
        <v>0</v>
      </c>
      <c r="F8" s="2"/>
    </row>
    <row r="9" spans="1:25" ht="25.5" customHeight="1" x14ac:dyDescent="0.3">
      <c r="A9" s="2"/>
      <c r="B9" s="27" t="s">
        <v>44</v>
      </c>
      <c r="C9" s="30">
        <f ca="1">SUMIF(Direitos!$I$5:$J$30,Relatório!$B9,Direitos!$J$5:$J$34)</f>
        <v>0</v>
      </c>
      <c r="D9" s="30">
        <f ca="1">SUMIF(Obrigações!$I$6:$J$23,Relatório!$B9,Obrigações!$J$6:$J$23)</f>
        <v>0</v>
      </c>
      <c r="E9" s="31">
        <f ca="1">C9-D9</f>
        <v>0</v>
      </c>
      <c r="F9" s="2"/>
    </row>
    <row r="10" spans="1:25" ht="25.5" customHeight="1" x14ac:dyDescent="0.25">
      <c r="A10" s="2"/>
      <c r="B10" s="34" t="s">
        <v>48</v>
      </c>
      <c r="C10" s="35">
        <f ca="1">SUM(C6:C9)</f>
        <v>0</v>
      </c>
      <c r="D10" s="35">
        <f ca="1">SUM(D6:D9)</f>
        <v>0</v>
      </c>
      <c r="E10" s="36">
        <f ca="1">C10-D10</f>
        <v>0</v>
      </c>
      <c r="F10" s="2"/>
    </row>
    <row r="11" spans="1:25" ht="35.25" customHeight="1" x14ac:dyDescent="0.25">
      <c r="F11" s="2"/>
    </row>
    <row r="12" spans="1:25" ht="25.5" customHeight="1" x14ac:dyDescent="0.25">
      <c r="B12" s="39" t="s">
        <v>49</v>
      </c>
      <c r="C12" s="39" t="s">
        <v>50</v>
      </c>
      <c r="D12" s="62" t="s">
        <v>50</v>
      </c>
      <c r="E12" s="62"/>
      <c r="F12" s="2"/>
    </row>
    <row r="13" spans="1:25" ht="6" customHeight="1" x14ac:dyDescent="0.25">
      <c r="B13" s="37"/>
      <c r="C13" s="37"/>
      <c r="D13" s="37"/>
      <c r="E13" s="37"/>
      <c r="F13" s="2"/>
    </row>
    <row r="14" spans="1:25" ht="25.5" customHeight="1" x14ac:dyDescent="0.25">
      <c r="B14" s="38"/>
      <c r="C14" s="38"/>
      <c r="D14" s="28" t="s">
        <v>51</v>
      </c>
      <c r="E14" s="29" t="s">
        <v>52</v>
      </c>
      <c r="F14" s="2"/>
    </row>
    <row r="15" spans="1:25" ht="25.5" customHeight="1" x14ac:dyDescent="0.3">
      <c r="A15" s="2"/>
      <c r="B15" s="46"/>
      <c r="C15" s="47" t="s">
        <v>53</v>
      </c>
      <c r="D15" s="30">
        <f ca="1">SUM(C6:C8)</f>
        <v>0</v>
      </c>
      <c r="E15" s="31">
        <f ca="1">SUM(D6:D8)</f>
        <v>0</v>
      </c>
      <c r="F15" s="2"/>
    </row>
    <row r="16" spans="1:25" ht="25.5" customHeight="1" x14ac:dyDescent="0.3">
      <c r="A16" s="2"/>
      <c r="B16" s="46"/>
      <c r="C16" s="47" t="s">
        <v>54</v>
      </c>
      <c r="D16" s="30">
        <f ca="1">C9</f>
        <v>0</v>
      </c>
      <c r="E16" s="31">
        <f ca="1">D9</f>
        <v>0</v>
      </c>
      <c r="F16" s="2"/>
    </row>
    <row r="17" spans="1:6" ht="32.25" customHeight="1" x14ac:dyDescent="0.25">
      <c r="F17" s="2"/>
    </row>
    <row r="18" spans="1:6" ht="25.5" customHeight="1" x14ac:dyDescent="0.25">
      <c r="B18" s="39" t="s">
        <v>49</v>
      </c>
      <c r="C18" s="39"/>
      <c r="D18" s="39"/>
      <c r="E18" s="45" t="s">
        <v>59</v>
      </c>
      <c r="F18" s="2"/>
    </row>
    <row r="19" spans="1:6" ht="6" customHeight="1" x14ac:dyDescent="0.25">
      <c r="B19" s="37"/>
      <c r="C19" s="37"/>
      <c r="D19" s="37"/>
      <c r="E19" s="37"/>
      <c r="F19" s="2"/>
    </row>
    <row r="20" spans="1:6" ht="25.5" customHeight="1" x14ac:dyDescent="0.25">
      <c r="B20" s="38"/>
      <c r="C20" s="38"/>
      <c r="D20" s="38"/>
      <c r="E20" s="29" t="s">
        <v>58</v>
      </c>
      <c r="F20" s="2"/>
    </row>
    <row r="21" spans="1:6" ht="25.5" customHeight="1" x14ac:dyDescent="0.3">
      <c r="A21" s="2"/>
      <c r="C21" s="48"/>
      <c r="D21" s="47" t="s">
        <v>55</v>
      </c>
      <c r="E21" s="54" t="e">
        <f ca="1">SUM(D6:D8)/(C10)</f>
        <v>#DIV/0!</v>
      </c>
      <c r="F21" s="2"/>
    </row>
    <row r="22" spans="1:6" ht="25.5" customHeight="1" x14ac:dyDescent="0.3">
      <c r="A22" s="2"/>
      <c r="C22" s="48"/>
      <c r="D22" s="47" t="s">
        <v>56</v>
      </c>
      <c r="E22" s="54" t="e">
        <f ca="1">C10/D10</f>
        <v>#DIV/0!</v>
      </c>
      <c r="F22" s="2"/>
    </row>
    <row r="23" spans="1:6" ht="25.5" customHeight="1" x14ac:dyDescent="0.3">
      <c r="A23" s="2"/>
      <c r="C23" s="48"/>
      <c r="D23" s="47" t="s">
        <v>66</v>
      </c>
      <c r="E23" s="31">
        <f ca="1">C6-D6</f>
        <v>0</v>
      </c>
      <c r="F23" s="2"/>
    </row>
    <row r="24" spans="1:6" x14ac:dyDescent="0.25">
      <c r="D24" s="44" t="s">
        <v>57</v>
      </c>
      <c r="F24" s="2"/>
    </row>
    <row r="25" spans="1:6" x14ac:dyDescent="0.25">
      <c r="F25" s="2"/>
    </row>
    <row r="26" spans="1:6" x14ac:dyDescent="0.25">
      <c r="F26" s="2"/>
    </row>
  </sheetData>
  <mergeCells count="3">
    <mergeCell ref="D12:E12"/>
    <mergeCell ref="C3:E3"/>
    <mergeCell ref="A1:I1"/>
  </mergeCells>
  <pageMargins left="0.511811024" right="0.511811024" top="0.78740157499999996" bottom="0.78740157499999996" header="0.31496062000000002" footer="0.31496062000000002"/>
  <ignoredErrors>
    <ignoredError sqref="C6:C9 E6:E10 D6:D10 D15:E16 E21:E23" unlocked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showGridLines="0" zoomScaleNormal="100" workbookViewId="0">
      <selection sqref="A1:O1"/>
    </sheetView>
  </sheetViews>
  <sheetFormatPr defaultRowHeight="15" x14ac:dyDescent="0.25"/>
  <cols>
    <col min="1" max="1" width="7.140625" customWidth="1"/>
    <col min="2" max="2" width="7" customWidth="1"/>
    <col min="3" max="5" width="29.140625" customWidth="1"/>
  </cols>
  <sheetData>
    <row r="1" spans="1:25" s="56" customFormat="1" ht="36" customHeight="1" x14ac:dyDescent="0.25">
      <c r="A1" s="58" t="s">
        <v>68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7"/>
      <c r="Q1" s="57"/>
      <c r="R1" s="57"/>
      <c r="S1" s="57"/>
      <c r="T1" s="57"/>
      <c r="U1" s="55"/>
      <c r="V1" s="55"/>
      <c r="W1" s="55"/>
      <c r="X1" s="55"/>
      <c r="Y1" s="55"/>
    </row>
    <row r="2" spans="1:25" ht="9" customHeight="1" x14ac:dyDescent="0.25">
      <c r="B2" s="2"/>
    </row>
    <row r="3" spans="1:25" x14ac:dyDescent="0.25">
      <c r="B3" s="63" t="s">
        <v>60</v>
      </c>
    </row>
    <row r="4" spans="1:25" x14ac:dyDescent="0.25">
      <c r="B4" s="64"/>
    </row>
    <row r="5" spans="1:25" x14ac:dyDescent="0.25">
      <c r="B5" s="64"/>
    </row>
    <row r="6" spans="1:25" x14ac:dyDescent="0.25">
      <c r="B6" s="64"/>
    </row>
    <row r="7" spans="1:25" x14ac:dyDescent="0.25">
      <c r="B7" s="64"/>
    </row>
    <row r="8" spans="1:25" x14ac:dyDescent="0.25">
      <c r="B8" s="64"/>
    </row>
    <row r="9" spans="1:25" x14ac:dyDescent="0.25">
      <c r="B9" s="64"/>
    </row>
    <row r="10" spans="1:25" x14ac:dyDescent="0.25">
      <c r="B10" s="64"/>
    </row>
    <row r="11" spans="1:25" x14ac:dyDescent="0.25">
      <c r="B11" s="64"/>
    </row>
    <row r="12" spans="1:25" x14ac:dyDescent="0.25">
      <c r="B12" s="64"/>
    </row>
    <row r="13" spans="1:25" x14ac:dyDescent="0.25">
      <c r="B13" s="64"/>
    </row>
    <row r="14" spans="1:25" x14ac:dyDescent="0.25">
      <c r="B14" s="64"/>
    </row>
    <row r="15" spans="1:25" x14ac:dyDescent="0.25">
      <c r="B15" s="64"/>
    </row>
    <row r="16" spans="1:25" x14ac:dyDescent="0.25">
      <c r="B16" s="64"/>
    </row>
    <row r="17" spans="2:2" x14ac:dyDescent="0.25">
      <c r="B17" s="64"/>
    </row>
    <row r="18" spans="2:2" x14ac:dyDescent="0.25">
      <c r="B18" s="64"/>
    </row>
    <row r="19" spans="2:2" ht="9" customHeight="1" x14ac:dyDescent="0.25"/>
    <row r="20" spans="2:2" x14ac:dyDescent="0.25">
      <c r="B20" s="63" t="s">
        <v>61</v>
      </c>
    </row>
    <row r="21" spans="2:2" x14ac:dyDescent="0.25">
      <c r="B21" s="64"/>
    </row>
    <row r="22" spans="2:2" x14ac:dyDescent="0.25">
      <c r="B22" s="64"/>
    </row>
    <row r="23" spans="2:2" x14ac:dyDescent="0.25">
      <c r="B23" s="64"/>
    </row>
    <row r="24" spans="2:2" x14ac:dyDescent="0.25">
      <c r="B24" s="64"/>
    </row>
    <row r="25" spans="2:2" x14ac:dyDescent="0.25">
      <c r="B25" s="64"/>
    </row>
    <row r="26" spans="2:2" x14ac:dyDescent="0.25">
      <c r="B26" s="64"/>
    </row>
    <row r="27" spans="2:2" x14ac:dyDescent="0.25">
      <c r="B27" s="64"/>
    </row>
    <row r="28" spans="2:2" x14ac:dyDescent="0.25">
      <c r="B28" s="64"/>
    </row>
    <row r="29" spans="2:2" x14ac:dyDescent="0.25">
      <c r="B29" s="64"/>
    </row>
    <row r="30" spans="2:2" x14ac:dyDescent="0.25">
      <c r="B30" s="64"/>
    </row>
    <row r="31" spans="2:2" x14ac:dyDescent="0.25">
      <c r="B31" s="64"/>
    </row>
    <row r="32" spans="2:2" x14ac:dyDescent="0.25">
      <c r="B32" s="64"/>
    </row>
    <row r="33" spans="2:2" x14ac:dyDescent="0.25">
      <c r="B33" s="64"/>
    </row>
    <row r="34" spans="2:2" x14ac:dyDescent="0.25">
      <c r="B34" s="64"/>
    </row>
    <row r="35" spans="2:2" x14ac:dyDescent="0.25">
      <c r="B35" s="64"/>
    </row>
  </sheetData>
  <mergeCells count="3">
    <mergeCell ref="B3:B18"/>
    <mergeCell ref="B20:B35"/>
    <mergeCell ref="A1:O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Início</vt:lpstr>
      <vt:lpstr>Direitos</vt:lpstr>
      <vt:lpstr>Obrigações</vt:lpstr>
      <vt:lpstr>Relatório</vt:lpstr>
      <vt:lpstr>Panorama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Thiago</cp:lastModifiedBy>
  <dcterms:created xsi:type="dcterms:W3CDTF">2013-11-09T12:17:33Z</dcterms:created>
  <dcterms:modified xsi:type="dcterms:W3CDTF">2014-07-31T13:25:02Z</dcterms:modified>
</cp:coreProperties>
</file>