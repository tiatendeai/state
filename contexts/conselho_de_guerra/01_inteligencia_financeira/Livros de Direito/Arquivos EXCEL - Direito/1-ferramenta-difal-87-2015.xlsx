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lan1" sheetId="1" r:id="rId4"/>
    <sheet state="visible" name="Plan2" sheetId="2" r:id="rId5"/>
    <sheet state="visible" name="Plan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6">
      <text>
        <t xml:space="preserve">deve ser incluidas as parcelas referentes a IPI, frete, seguro e despesas acessórias, sendo excluídos os descontos incondicionais
</t>
      </text>
    </comment>
  </commentList>
</comments>
</file>

<file path=xl/sharedStrings.xml><?xml version="1.0" encoding="utf-8"?>
<sst xmlns="http://schemas.openxmlformats.org/spreadsheetml/2006/main" count="12" uniqueCount="12">
  <si>
    <t>Valor da operação</t>
  </si>
  <si>
    <t>Aqui deve ser informado o valor total da operação ou prestação:</t>
  </si>
  <si>
    <t>Alíquota interestadual</t>
  </si>
  <si>
    <t>Aqui deve informar a alíquota interestadual:</t>
  </si>
  <si>
    <t>Alíquota interna</t>
  </si>
  <si>
    <t>Aqui deve informar a alíquota interna no Estado de destino</t>
  </si>
  <si>
    <t>Resultado</t>
  </si>
  <si>
    <t>Base de cálculo</t>
  </si>
  <si>
    <t>Valor do difal</t>
  </si>
  <si>
    <t>Origem</t>
  </si>
  <si>
    <t>Destino</t>
  </si>
  <si>
    <t>DIFAL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</si>
</sst>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7">
    <font>
      <sz val="11.0"/>
      <color rgb="FF000000"/>
      <name val="Calibri"/>
    </font>
    <font>
      <sz val="8.0"/>
      <color rgb="FF000000"/>
      <name val="Calibri"/>
    </font>
    <font>
      <b/>
      <sz val="11.0"/>
      <color rgb="FFFFFFFF"/>
      <name val="Calibri"/>
    </font>
    <font/>
    <font>
      <sz val="28.0"/>
      <color rgb="FF000000"/>
      <name val="Calibri"/>
    </font>
    <font>
      <sz val="11.0"/>
      <color rgb="FFFF0000"/>
      <name val="Calibri"/>
    </font>
    <font>
      <b/>
      <sz val="14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E36C09"/>
        <bgColor rgb="FFE36C0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</fills>
  <borders count="26">
    <border/>
    <border>
      <left/>
      <right/>
      <top/>
      <bottom/>
    </border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/>
      <top/>
    </border>
    <border>
      <top/>
    </border>
    <border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</border>
    <border>
      <right/>
    </border>
    <border>
      <left style="medium">
        <color rgb="FF000000"/>
      </left>
    </border>
    <border>
      <right style="medium">
        <color rgb="FF000000"/>
      </right>
    </border>
    <border>
      <left/>
      <right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3" fontId="0" numFmtId="0" xfId="0" applyBorder="1" applyFill="1" applyFont="1"/>
    <xf borderId="2" fillId="4" fontId="1" numFmtId="0" xfId="0" applyAlignment="1" applyBorder="1" applyFill="1" applyFont="1">
      <alignment horizontal="center" textRotation="255"/>
    </xf>
    <xf borderId="3" fillId="4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5" fontId="0" numFmtId="0" xfId="0" applyBorder="1" applyFill="1" applyFont="1"/>
    <xf borderId="6" fillId="0" fontId="3" numFmtId="0" xfId="0" applyBorder="1" applyFont="1"/>
    <xf borderId="7" fillId="5" fontId="0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4" numFmtId="164" xfId="0" applyAlignment="1" applyBorder="1" applyFont="1" applyNumberForma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" fillId="4" fontId="0" numFmtId="0" xfId="0" applyBorder="1" applyFont="1"/>
    <xf borderId="2" fillId="6" fontId="1" numFmtId="0" xfId="0" applyAlignment="1" applyBorder="1" applyFill="1" applyFont="1">
      <alignment horizontal="center" textRotation="255"/>
    </xf>
    <xf borderId="3" fillId="6" fontId="2" numFmtId="0" xfId="0" applyAlignment="1" applyBorder="1" applyFont="1">
      <alignment horizontal="center"/>
    </xf>
    <xf borderId="1" fillId="7" fontId="0" numFmtId="0" xfId="0" applyBorder="1" applyFill="1" applyFont="1"/>
    <xf borderId="10" fillId="0" fontId="4" numFmtId="9" xfId="0" applyAlignment="1" applyBorder="1" applyFont="1" applyNumberFormat="1">
      <alignment horizontal="center" vertical="top"/>
    </xf>
    <xf borderId="1" fillId="6" fontId="0" numFmtId="0" xfId="0" applyBorder="1" applyFont="1"/>
    <xf borderId="1" fillId="8" fontId="5" numFmtId="0" xfId="0" applyBorder="1" applyFill="1" applyFont="1"/>
    <xf borderId="1" fillId="8" fontId="0" numFmtId="0" xfId="0" applyBorder="1" applyFont="1"/>
    <xf borderId="1" fillId="4" fontId="1" numFmtId="0" xfId="0" applyAlignment="1" applyBorder="1" applyFont="1">
      <alignment horizontal="center" textRotation="255"/>
    </xf>
    <xf borderId="1" fillId="8" fontId="5" numFmtId="0" xfId="0" applyAlignment="1" applyBorder="1" applyFont="1">
      <alignment shrinkToFit="0" vertical="center" wrapText="1"/>
    </xf>
    <xf borderId="24" fillId="7" fontId="0" numFmtId="0" xfId="0" applyAlignment="1" applyBorder="1" applyFont="1">
      <alignment horizontal="center"/>
    </xf>
    <xf borderId="25" fillId="0" fontId="3" numFmtId="0" xfId="0" applyBorder="1" applyFont="1"/>
    <xf borderId="10" fillId="0" fontId="6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worksheet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6</xdr:col>
      <xdr:colOff>38100</xdr:colOff>
      <xdr:row>0</xdr:row>
      <xdr:rowOff>123825</xdr:rowOff>
    </xdr:from>
    <xdr:ext cx="5010150" cy="523875"/>
    <xdr:sp macro="" textlink="">
      <xdr:nvSpPr>
        <xdr:cNvPr id="6" name="Rectangle 7"/>
        <xdr:cNvSpPr/>
      </xdr:nvSpPr>
      <xdr:spPr>
        <a:xfrm>
          <a:off x="9715500" y="123825"/>
          <a:ext cx="5010150" cy="530658"/>
        </a:xfrm>
        <a:prstGeom prst="rect">
          <a:avLst/>
        </a:prstGeom>
        <a:noFill/>
      </xdr:spPr>
      <xdr:txBody>
        <a:bodyPr bIns="45720" lIns="91440" rIns="91440" wrap="square" tIns="45720">
          <a:spAutoFit/>
        </a:bodyPr>
        <a:lstStyle/>
        <a:p>
          <a:pPr lvl="0" algn="l"/>
          <a:r>
            <a:rPr b="0" lang="en-US" spc="0" sz="2800" cap="none">
              <a:ln cmpd="sng" w="18415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rotWithShape="0" algn="tl" dir="3600000">
                  <a:srgbClr val="000000">
                    <a:alpha val="70000"/>
                  </a:srgbClr>
                </a:outerShdw>
              </a:effectLst>
            </a:rPr>
            <a:t>Diferencial</a:t>
          </a:r>
          <a:r>
            <a:rPr b="0" lang="en-US" spc="0" sz="2800" cap="none">
              <a:ln cmpd="sng" w="18415">
                <a:solidFill>
                  <a:srgbClr val="FFFFFF"/>
                </a:solidFill>
                <a:prstDash val="solid"/>
              </a:ln>
              <a:solidFill>
                <a:srgbClr val="FFFFFF"/>
              </a:solidFill>
              <a:effectLst>
                <a:outerShdw blurRad="63500" rotWithShape="0" algn="tl" dir="3600000">
                  <a:srgbClr val="000000">
                    <a:alpha val="70000"/>
                  </a:srgbClr>
                </a:outerShdw>
              </a:effectLst>
            </a:rPr>
            <a:t> da EC 87/2015</a:t>
          </a:r>
          <a:endParaRPr b="0" lang="en-US" spc="0" sz="2800" cap="none">
            <a:ln cmpd="sng" w="18415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rotWithShape="0" algn="tl" dir="3600000">
                <a:srgbClr val="000000">
                  <a:alpha val="70000"/>
                </a:srgbClr>
              </a:outerShdw>
            </a:effectLst>
          </a:endParaRPr>
        </a:p>
      </xdr:txBody>
    </xdr:sp>
    <xdr:clientData fLocksWithSheet="0"/>
  </xdr:oneCellAnchor>
  <xdr:oneCellAnchor>
    <xdr:from>
      <xdr:col>3</xdr:col>
      <xdr:colOff>0</xdr:colOff>
      <xdr:row>1</xdr:row>
      <xdr:rowOff>57150</xdr:rowOff>
    </xdr:from>
    <xdr:ext cx="9048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worksheet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9.14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1"/>
      <c r="B5" s="2"/>
      <c r="C5" s="3"/>
      <c r="D5" s="4" t="s">
        <v>0</v>
      </c>
      <c r="E5" s="5"/>
      <c r="F5" s="6"/>
      <c r="G5" s="7"/>
      <c r="H5" s="7"/>
      <c r="I5" s="7"/>
      <c r="J5" s="7"/>
      <c r="K5" s="7"/>
      <c r="L5" s="7"/>
      <c r="M5" s="7"/>
      <c r="N5" s="7"/>
      <c r="O5" s="7"/>
      <c r="P5" s="3"/>
      <c r="Q5" s="2"/>
    </row>
    <row r="6">
      <c r="A6" s="1"/>
      <c r="B6" s="2"/>
      <c r="C6" s="8"/>
      <c r="D6" s="9" t="s">
        <v>1</v>
      </c>
      <c r="E6" s="10"/>
      <c r="F6" s="11"/>
      <c r="G6" s="12">
        <v>100.0</v>
      </c>
      <c r="H6" s="13"/>
      <c r="I6" s="13"/>
      <c r="J6" s="13"/>
      <c r="K6" s="13"/>
      <c r="L6" s="13"/>
      <c r="M6" s="14"/>
      <c r="N6" s="7"/>
      <c r="O6" s="7"/>
      <c r="P6" s="8"/>
      <c r="Q6" s="2"/>
    </row>
    <row r="7">
      <c r="A7" s="1"/>
      <c r="B7" s="2"/>
      <c r="C7" s="8"/>
      <c r="D7" s="15"/>
      <c r="F7" s="16"/>
      <c r="G7" s="17"/>
      <c r="M7" s="18"/>
      <c r="N7" s="7"/>
      <c r="O7" s="7"/>
      <c r="P7" s="8"/>
      <c r="Q7" s="2"/>
    </row>
    <row r="8">
      <c r="A8" s="1"/>
      <c r="B8" s="2"/>
      <c r="C8" s="19"/>
      <c r="D8" s="20"/>
      <c r="E8" s="21"/>
      <c r="F8" s="22"/>
      <c r="G8" s="23"/>
      <c r="H8" s="24"/>
      <c r="I8" s="24"/>
      <c r="J8" s="24"/>
      <c r="K8" s="24"/>
      <c r="L8" s="24"/>
      <c r="M8" s="25"/>
      <c r="N8" s="7"/>
      <c r="O8" s="26"/>
      <c r="P8" s="19"/>
      <c r="Q8" s="2"/>
    </row>
    <row r="9">
      <c r="A9" s="1"/>
      <c r="B9" s="2"/>
      <c r="C9" s="27"/>
      <c r="D9" s="28" t="s">
        <v>2</v>
      </c>
      <c r="E9" s="5"/>
      <c r="F9" s="6"/>
      <c r="G9" s="29"/>
      <c r="H9" s="29"/>
      <c r="I9" s="29"/>
      <c r="J9" s="29"/>
      <c r="K9" s="29"/>
      <c r="L9" s="29"/>
      <c r="M9" s="29"/>
      <c r="N9" s="29"/>
      <c r="O9" s="29"/>
      <c r="P9" s="27"/>
      <c r="Q9" s="2"/>
    </row>
    <row r="10">
      <c r="A10" s="1"/>
      <c r="B10" s="2"/>
      <c r="C10" s="8"/>
      <c r="D10" s="9" t="s">
        <v>3</v>
      </c>
      <c r="E10" s="10"/>
      <c r="F10" s="11"/>
      <c r="G10" s="30">
        <v>0.12</v>
      </c>
      <c r="H10" s="13"/>
      <c r="I10" s="13"/>
      <c r="J10" s="13"/>
      <c r="K10" s="13"/>
      <c r="L10" s="13"/>
      <c r="M10" s="14"/>
      <c r="N10" s="29"/>
      <c r="O10" s="29"/>
      <c r="P10" s="8"/>
      <c r="Q10" s="2"/>
    </row>
    <row r="11">
      <c r="A11" s="1"/>
      <c r="B11" s="2"/>
      <c r="C11" s="8"/>
      <c r="D11" s="15"/>
      <c r="F11" s="16"/>
      <c r="G11" s="17"/>
      <c r="M11" s="18"/>
      <c r="N11" s="29"/>
      <c r="O11" s="29"/>
      <c r="P11" s="8"/>
      <c r="Q11" s="2"/>
    </row>
    <row r="12">
      <c r="A12" s="1"/>
      <c r="B12" s="2"/>
      <c r="C12" s="19"/>
      <c r="D12" s="20"/>
      <c r="E12" s="21"/>
      <c r="F12" s="22"/>
      <c r="G12" s="23"/>
      <c r="H12" s="24"/>
      <c r="I12" s="24"/>
      <c r="J12" s="24"/>
      <c r="K12" s="24"/>
      <c r="L12" s="24"/>
      <c r="M12" s="25"/>
      <c r="N12" s="29"/>
      <c r="O12" s="31"/>
      <c r="P12" s="19"/>
      <c r="Q12" s="2"/>
    </row>
    <row r="13">
      <c r="A13" s="1"/>
      <c r="B13" s="2"/>
      <c r="C13" s="3"/>
      <c r="D13" s="4" t="s">
        <v>4</v>
      </c>
      <c r="E13" s="5"/>
      <c r="F13" s="6"/>
      <c r="G13" s="32"/>
      <c r="H13" s="32"/>
      <c r="I13" s="32"/>
      <c r="J13" s="32"/>
      <c r="K13" s="32"/>
      <c r="L13" s="32"/>
      <c r="M13" s="32"/>
      <c r="N13" s="33"/>
      <c r="O13" s="33"/>
      <c r="P13" s="34"/>
      <c r="Q13" s="2"/>
    </row>
    <row r="14">
      <c r="A14" s="1"/>
      <c r="B14" s="2"/>
      <c r="C14" s="8"/>
      <c r="D14" s="9" t="s">
        <v>5</v>
      </c>
      <c r="E14" s="10"/>
      <c r="F14" s="11"/>
      <c r="G14" s="30">
        <v>0.18</v>
      </c>
      <c r="H14" s="13"/>
      <c r="I14" s="13"/>
      <c r="J14" s="13"/>
      <c r="K14" s="13"/>
      <c r="L14" s="13"/>
      <c r="M14" s="14"/>
      <c r="N14" s="33"/>
      <c r="O14" s="33"/>
      <c r="P14" s="34"/>
      <c r="Q14" s="2"/>
    </row>
    <row r="15">
      <c r="A15" s="1"/>
      <c r="B15" s="2"/>
      <c r="C15" s="8"/>
      <c r="D15" s="15"/>
      <c r="F15" s="16"/>
      <c r="G15" s="17"/>
      <c r="M15" s="18"/>
      <c r="N15" s="33"/>
      <c r="O15" s="33"/>
      <c r="P15" s="34"/>
      <c r="Q15" s="2"/>
    </row>
    <row r="16">
      <c r="A16" s="1"/>
      <c r="B16" s="2"/>
      <c r="C16" s="19"/>
      <c r="D16" s="20"/>
      <c r="E16" s="21"/>
      <c r="F16" s="22"/>
      <c r="G16" s="23"/>
      <c r="H16" s="24"/>
      <c r="I16" s="24"/>
      <c r="J16" s="24"/>
      <c r="K16" s="24"/>
      <c r="L16" s="24"/>
      <c r="M16" s="25"/>
      <c r="N16" s="33"/>
      <c r="O16" s="33"/>
      <c r="P16" s="34"/>
      <c r="Q16" s="2"/>
    </row>
    <row r="17">
      <c r="A17" s="1"/>
      <c r="B17" s="2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26"/>
      <c r="P17" s="34"/>
      <c r="Q17" s="2"/>
    </row>
    <row r="18">
      <c r="A18" s="1"/>
      <c r="B18" s="2"/>
      <c r="C18" s="27"/>
      <c r="D18" s="28" t="s">
        <v>6</v>
      </c>
      <c r="E18" s="5"/>
      <c r="F18" s="6"/>
      <c r="G18" s="36" t="s">
        <v>7</v>
      </c>
      <c r="H18" s="37"/>
      <c r="I18" s="36" t="s">
        <v>8</v>
      </c>
      <c r="J18" s="37"/>
      <c r="K18" s="36" t="s">
        <v>9</v>
      </c>
      <c r="L18" s="37"/>
      <c r="M18" s="36" t="s">
        <v>10</v>
      </c>
      <c r="N18" s="37"/>
      <c r="O18" s="29"/>
      <c r="P18" s="27"/>
      <c r="Q18" s="2"/>
    </row>
    <row r="19">
      <c r="A19" s="1"/>
      <c r="B19" s="2"/>
      <c r="C19" s="8"/>
      <c r="D19" s="9" t="s">
        <v>11</v>
      </c>
      <c r="E19" s="10"/>
      <c r="F19" s="11"/>
      <c r="G19" s="38" t="str">
        <f>(G6-(G6*(G10)))/(1-(G14))</f>
        <v> R$  107.32 </v>
      </c>
      <c r="H19" s="13"/>
      <c r="I19" s="38" t="str">
        <f>G19*(G14)-(G6*(G10))</f>
        <v> R$  7.32 </v>
      </c>
      <c r="J19" s="13"/>
      <c r="K19" s="38" t="str">
        <f>I19*20%</f>
        <v> R$  1.46 </v>
      </c>
      <c r="L19" s="13"/>
      <c r="M19" s="38" t="str">
        <f>I19*80%</f>
        <v> R$  5.85 </v>
      </c>
      <c r="N19" s="14"/>
      <c r="O19" s="29"/>
      <c r="P19" s="8"/>
      <c r="Q19" s="2"/>
    </row>
    <row r="20">
      <c r="A20" s="1"/>
      <c r="B20" s="2"/>
      <c r="C20" s="8"/>
      <c r="D20" s="15"/>
      <c r="F20" s="16"/>
      <c r="G20" s="17"/>
      <c r="I20" s="17"/>
      <c r="K20" s="17"/>
      <c r="M20" s="17"/>
      <c r="N20" s="18"/>
      <c r="O20" s="29"/>
      <c r="P20" s="8"/>
      <c r="Q20" s="2"/>
    </row>
    <row r="21" ht="15.75" customHeight="1">
      <c r="A21" s="1"/>
      <c r="B21" s="2"/>
      <c r="C21" s="19"/>
      <c r="D21" s="20"/>
      <c r="E21" s="21"/>
      <c r="F21" s="22"/>
      <c r="G21" s="23"/>
      <c r="H21" s="24"/>
      <c r="I21" s="23"/>
      <c r="J21" s="24"/>
      <c r="K21" s="23"/>
      <c r="L21" s="24"/>
      <c r="M21" s="23"/>
      <c r="N21" s="25"/>
      <c r="O21" s="31"/>
      <c r="P21" s="19"/>
      <c r="Q21" s="2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</sheetData>
  <mergeCells count="26">
    <mergeCell ref="M19:N21"/>
    <mergeCell ref="P18:P21"/>
    <mergeCell ref="G19:H21"/>
    <mergeCell ref="I19:J21"/>
    <mergeCell ref="K19:L21"/>
    <mergeCell ref="G18:H18"/>
    <mergeCell ref="M18:N18"/>
    <mergeCell ref="K18:L18"/>
    <mergeCell ref="C18:C21"/>
    <mergeCell ref="D18:F18"/>
    <mergeCell ref="D19:F21"/>
    <mergeCell ref="D5:F5"/>
    <mergeCell ref="D9:F9"/>
    <mergeCell ref="C5:C8"/>
    <mergeCell ref="D6:F8"/>
    <mergeCell ref="D13:F13"/>
    <mergeCell ref="D10:F12"/>
    <mergeCell ref="C9:C12"/>
    <mergeCell ref="C13:C16"/>
    <mergeCell ref="I18:J18"/>
    <mergeCell ref="G6:M8"/>
    <mergeCell ref="G10:M12"/>
    <mergeCell ref="G14:M16"/>
    <mergeCell ref="D14:F16"/>
    <mergeCell ref="P5:P8"/>
    <mergeCell ref="P9:P12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Plan1</vt:lpstr>
      <vt:lpstr>Plan2</vt:lpstr>
      <vt:lpstr>Plan3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2016-05-24T20:24:31Z</dcterms:created>
  <dc:creator>raphael</dc:creator>
  <cp:lastModifiedBy>raphael</cp:lastModifiedBy>
  <dcterms:modified xsi:type="dcterms:W3CDTF">2016-05-24T21:09:11Z</dcterms:modified>
</cp:coreProperties>
</file>