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\\compartilhamentos.rfoc.srf\rfoc\Simples_Nacional\SILAS_\SIMPLES NACIONAL\LEGISLAÇÃO\LEIS\MINUTAS\"/>
    </mc:Choice>
  </mc:AlternateContent>
  <xr:revisionPtr revIDLastSave="0" documentId="13_ncr:1000001_{E6DA7127-D36C-3D49-B3E3-10EB50D3D4DF}" xr6:coauthVersionLast="33" xr6:coauthVersionMax="33" xr10:uidLastSave="{00000000-0000-0000-0000-000000000000}"/>
  <bookViews>
    <workbookView xWindow="0" yWindow="0" windowWidth="21600" windowHeight="9735" activeTab="3" xr2:uid="{00000000-000D-0000-FFFF-FFFF00000000}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7901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9" l="1"/>
  <c r="C19" i="9"/>
  <c r="B18" i="9"/>
  <c r="C18" i="9"/>
  <c r="B17" i="9"/>
  <c r="C17" i="9"/>
  <c r="B16" i="9"/>
  <c r="C16" i="9"/>
  <c r="B15" i="9"/>
  <c r="C15" i="9"/>
  <c r="B14" i="9"/>
  <c r="C14" i="9"/>
  <c r="L32" i="8"/>
  <c r="K28" i="8"/>
  <c r="I29" i="8"/>
  <c r="I30" i="8"/>
  <c r="G29" i="8"/>
  <c r="G30" i="8"/>
  <c r="H29" i="8"/>
  <c r="B19" i="8"/>
  <c r="C19" i="8"/>
  <c r="B18" i="8"/>
  <c r="C18" i="8"/>
  <c r="B17" i="8"/>
  <c r="C17" i="8"/>
  <c r="K16" i="8"/>
  <c r="B16" i="8"/>
  <c r="C16" i="8"/>
  <c r="B15" i="8"/>
  <c r="C15" i="8"/>
  <c r="B14" i="8"/>
  <c r="C14" i="8"/>
  <c r="D14" i="8"/>
  <c r="D15" i="8"/>
  <c r="C4" i="8"/>
  <c r="O11" i="8"/>
  <c r="O10" i="8"/>
  <c r="O9" i="8"/>
  <c r="L40" i="7"/>
  <c r="J41" i="7"/>
  <c r="L31" i="7"/>
  <c r="L27" i="7"/>
  <c r="K29" i="7"/>
  <c r="I29" i="7"/>
  <c r="G29" i="7"/>
  <c r="K28" i="7"/>
  <c r="I28" i="7"/>
  <c r="G28" i="7"/>
  <c r="H29" i="7"/>
  <c r="B19" i="7"/>
  <c r="C19" i="7"/>
  <c r="B18" i="7"/>
  <c r="C18" i="7"/>
  <c r="B17" i="7"/>
  <c r="C17" i="7"/>
  <c r="B16" i="7"/>
  <c r="C16" i="7"/>
  <c r="B15" i="7"/>
  <c r="C15" i="7"/>
  <c r="B14" i="7"/>
  <c r="C14" i="7"/>
  <c r="B20" i="1"/>
  <c r="C20" i="1"/>
  <c r="B19" i="1"/>
  <c r="C19" i="1"/>
  <c r="B18" i="1"/>
  <c r="C18" i="1"/>
  <c r="B17" i="1"/>
  <c r="C17" i="1"/>
  <c r="B16" i="1"/>
  <c r="C16" i="1"/>
  <c r="B15" i="1"/>
  <c r="C15" i="1"/>
  <c r="B14" i="1"/>
  <c r="C14" i="1"/>
  <c r="B19" i="3"/>
  <c r="C19" i="3"/>
  <c r="B18" i="3"/>
  <c r="C18" i="3"/>
  <c r="B17" i="3"/>
  <c r="C17" i="3"/>
  <c r="B16" i="3"/>
  <c r="C16" i="3"/>
  <c r="B15" i="3"/>
  <c r="C15" i="3"/>
  <c r="B14" i="3"/>
  <c r="C14" i="3"/>
  <c r="D14" i="9"/>
  <c r="D15" i="9"/>
  <c r="C4" i="9"/>
  <c r="H15" i="9"/>
  <c r="H16" i="9"/>
  <c r="D14" i="7"/>
  <c r="D15" i="7"/>
  <c r="C4" i="7"/>
  <c r="D14" i="1"/>
  <c r="D15" i="1"/>
  <c r="C4" i="1"/>
  <c r="M15" i="1"/>
  <c r="M16" i="1"/>
  <c r="D14" i="3"/>
  <c r="D15" i="3"/>
  <c r="C4" i="3"/>
  <c r="H15" i="3"/>
  <c r="H16" i="3"/>
  <c r="K37" i="8"/>
  <c r="G37" i="8"/>
  <c r="I36" i="8"/>
  <c r="J29" i="8"/>
  <c r="J30" i="8"/>
  <c r="J37" i="8"/>
  <c r="L36" i="8"/>
  <c r="H36" i="8"/>
  <c r="I31" i="8"/>
  <c r="I32" i="8"/>
  <c r="H15" i="8"/>
  <c r="H16" i="8"/>
  <c r="I37" i="8"/>
  <c r="K36" i="8"/>
  <c r="G36" i="8"/>
  <c r="H31" i="8"/>
  <c r="H32" i="8"/>
  <c r="L15" i="8"/>
  <c r="L16" i="8"/>
  <c r="H37" i="8"/>
  <c r="J36" i="8"/>
  <c r="K31" i="8"/>
  <c r="K32" i="8"/>
  <c r="G31" i="8"/>
  <c r="J15" i="8"/>
  <c r="J16" i="8"/>
  <c r="G15" i="8"/>
  <c r="I15" i="8"/>
  <c r="I16" i="8"/>
  <c r="L15" i="1"/>
  <c r="L16" i="1"/>
  <c r="H15" i="1"/>
  <c r="H16" i="1"/>
  <c r="J15" i="1"/>
  <c r="J16" i="1"/>
  <c r="K36" i="7"/>
  <c r="G36" i="7"/>
  <c r="I35" i="7"/>
  <c r="J15" i="7"/>
  <c r="J16" i="7"/>
  <c r="I36" i="7"/>
  <c r="K35" i="7"/>
  <c r="G35" i="7"/>
  <c r="H30" i="7"/>
  <c r="H31" i="7"/>
  <c r="L15" i="7"/>
  <c r="L16" i="7"/>
  <c r="H15" i="7"/>
  <c r="H16" i="7"/>
  <c r="L35" i="7"/>
  <c r="K30" i="7"/>
  <c r="K31" i="7"/>
  <c r="J35" i="7"/>
  <c r="I30" i="7"/>
  <c r="I31" i="7"/>
  <c r="K15" i="7"/>
  <c r="K16" i="7"/>
  <c r="H36" i="7"/>
  <c r="G15" i="7"/>
  <c r="G16" i="7"/>
  <c r="H35" i="7"/>
  <c r="G30" i="7"/>
  <c r="I15" i="7"/>
  <c r="I16" i="7"/>
  <c r="I15" i="3"/>
  <c r="I16" i="3"/>
  <c r="I15" i="9"/>
  <c r="I16" i="9"/>
  <c r="L15" i="9"/>
  <c r="L16" i="9"/>
  <c r="I41" i="7"/>
  <c r="K41" i="7"/>
  <c r="G41" i="7"/>
  <c r="H41" i="7"/>
  <c r="H28" i="7"/>
  <c r="J28" i="7"/>
  <c r="L28" i="7"/>
  <c r="J29" i="7"/>
  <c r="L29" i="7"/>
  <c r="J31" i="8"/>
  <c r="J32" i="8"/>
  <c r="J15" i="9"/>
  <c r="J16" i="9"/>
  <c r="G15" i="9"/>
  <c r="G16" i="9"/>
  <c r="K15" i="9"/>
  <c r="K16" i="9"/>
  <c r="J17" i="9"/>
  <c r="J18" i="9"/>
  <c r="M16" i="9"/>
  <c r="M19" i="9"/>
  <c r="G17" i="9"/>
  <c r="J33" i="8"/>
  <c r="L32" i="7"/>
  <c r="L17" i="7"/>
  <c r="L18" i="7"/>
  <c r="G15" i="1"/>
  <c r="G16" i="1"/>
  <c r="I15" i="1"/>
  <c r="I16" i="1"/>
  <c r="K15" i="1"/>
  <c r="K16" i="1"/>
  <c r="H17" i="1"/>
  <c r="H18" i="1"/>
  <c r="I17" i="1"/>
  <c r="I18" i="1"/>
  <c r="K15" i="3"/>
  <c r="K16" i="3"/>
  <c r="L15" i="3"/>
  <c r="L16" i="3"/>
  <c r="J15" i="3"/>
  <c r="J16" i="3"/>
  <c r="G15" i="3"/>
  <c r="G16" i="3"/>
  <c r="J36" i="7"/>
  <c r="I17" i="7"/>
  <c r="I18" i="7"/>
  <c r="M16" i="7"/>
  <c r="M19" i="7"/>
  <c r="G17" i="7"/>
  <c r="H17" i="7"/>
  <c r="H18" i="7"/>
  <c r="J30" i="7"/>
  <c r="J31" i="7"/>
  <c r="I33" i="8"/>
  <c r="L19" i="7"/>
  <c r="L20" i="7"/>
  <c r="G32" i="8"/>
  <c r="M31" i="8"/>
  <c r="M30" i="7"/>
  <c r="G31" i="7"/>
  <c r="I17" i="9"/>
  <c r="I18" i="9"/>
  <c r="K17" i="7"/>
  <c r="K18" i="7"/>
  <c r="K17" i="1"/>
  <c r="K18" i="1"/>
  <c r="M15" i="8"/>
  <c r="G16" i="8"/>
  <c r="H17" i="8"/>
  <c r="H18" i="8"/>
  <c r="K33" i="8"/>
  <c r="H33" i="8"/>
  <c r="J17" i="7"/>
  <c r="J18" i="7"/>
  <c r="K17" i="9"/>
  <c r="K18" i="9"/>
  <c r="H4" i="9"/>
  <c r="L17" i="9"/>
  <c r="L18" i="9"/>
  <c r="I4" i="9"/>
  <c r="H17" i="9"/>
  <c r="H18" i="9"/>
  <c r="E4" i="9"/>
  <c r="I32" i="7"/>
  <c r="J32" i="7"/>
  <c r="G17" i="1"/>
  <c r="J17" i="1"/>
  <c r="N16" i="1"/>
  <c r="N19" i="1"/>
  <c r="L17" i="1"/>
  <c r="M17" i="1"/>
  <c r="N17" i="1"/>
  <c r="J18" i="1"/>
  <c r="G4" i="1"/>
  <c r="M18" i="1"/>
  <c r="J4" i="1"/>
  <c r="L18" i="1"/>
  <c r="I4" i="1"/>
  <c r="G17" i="3"/>
  <c r="G18" i="3"/>
  <c r="I17" i="3"/>
  <c r="I18" i="3"/>
  <c r="I19" i="3"/>
  <c r="H17" i="3"/>
  <c r="H18" i="3"/>
  <c r="E4" i="3"/>
  <c r="J17" i="3"/>
  <c r="J18" i="3"/>
  <c r="G4" i="3"/>
  <c r="L17" i="3"/>
  <c r="L18" i="3"/>
  <c r="L19" i="3"/>
  <c r="M16" i="3"/>
  <c r="N16" i="3"/>
  <c r="K17" i="3"/>
  <c r="K18" i="3"/>
  <c r="H4" i="3"/>
  <c r="M16" i="8"/>
  <c r="M19" i="8"/>
  <c r="L17" i="8"/>
  <c r="L18" i="8"/>
  <c r="K17" i="8"/>
  <c r="K18" i="8"/>
  <c r="L33" i="8"/>
  <c r="I19" i="9"/>
  <c r="F4" i="9"/>
  <c r="J19" i="3"/>
  <c r="I17" i="8"/>
  <c r="I18" i="8"/>
  <c r="J17" i="8"/>
  <c r="J18" i="8"/>
  <c r="H19" i="7"/>
  <c r="H20" i="7"/>
  <c r="L19" i="9"/>
  <c r="H19" i="8"/>
  <c r="H20" i="8"/>
  <c r="K20" i="7"/>
  <c r="K19" i="7"/>
  <c r="G18" i="1"/>
  <c r="O17" i="1"/>
  <c r="O18" i="1"/>
  <c r="G18" i="9"/>
  <c r="L19" i="1"/>
  <c r="J19" i="9"/>
  <c r="G4" i="9"/>
  <c r="H19" i="9"/>
  <c r="H19" i="1"/>
  <c r="E4" i="1"/>
  <c r="K19" i="9"/>
  <c r="J19" i="7"/>
  <c r="J20" i="7"/>
  <c r="I19" i="1"/>
  <c r="F4" i="1"/>
  <c r="H19" i="3"/>
  <c r="G32" i="7"/>
  <c r="M31" i="7"/>
  <c r="N31" i="7"/>
  <c r="K32" i="7"/>
  <c r="G18" i="7"/>
  <c r="M17" i="7"/>
  <c r="N17" i="7"/>
  <c r="N18" i="7"/>
  <c r="H32" i="7"/>
  <c r="K19" i="1"/>
  <c r="H4" i="1"/>
  <c r="G33" i="8"/>
  <c r="M33" i="8"/>
  <c r="M32" i="8"/>
  <c r="N32" i="8"/>
  <c r="M20" i="7"/>
  <c r="N20" i="7"/>
  <c r="L22" i="7"/>
  <c r="L23" i="7"/>
  <c r="I20" i="7"/>
  <c r="I19" i="7"/>
  <c r="M17" i="9"/>
  <c r="N17" i="9"/>
  <c r="N18" i="9"/>
  <c r="G17" i="8"/>
  <c r="G18" i="8"/>
  <c r="M32" i="7"/>
  <c r="J19" i="1"/>
  <c r="K19" i="3"/>
  <c r="M17" i="3"/>
  <c r="M18" i="3"/>
  <c r="F4" i="3"/>
  <c r="I4" i="3"/>
  <c r="G19" i="3"/>
  <c r="D4" i="3"/>
  <c r="J19" i="8"/>
  <c r="J20" i="8"/>
  <c r="L19" i="8"/>
  <c r="L20" i="8"/>
  <c r="K21" i="7"/>
  <c r="K22" i="7"/>
  <c r="K23" i="7"/>
  <c r="G21" i="7"/>
  <c r="I21" i="7"/>
  <c r="I22" i="7"/>
  <c r="I23" i="7"/>
  <c r="H21" i="7"/>
  <c r="H22" i="7"/>
  <c r="H23" i="7"/>
  <c r="J21" i="7"/>
  <c r="J22" i="7"/>
  <c r="J23" i="7"/>
  <c r="G20" i="7"/>
  <c r="G22" i="7"/>
  <c r="G19" i="7"/>
  <c r="G19" i="1"/>
  <c r="D4" i="1"/>
  <c r="I20" i="8"/>
  <c r="I19" i="8"/>
  <c r="N17" i="8"/>
  <c r="N18" i="8"/>
  <c r="G19" i="9"/>
  <c r="D4" i="9"/>
  <c r="K19" i="8"/>
  <c r="K20" i="8"/>
  <c r="M17" i="8"/>
  <c r="M20" i="8"/>
  <c r="N20" i="8"/>
  <c r="L22" i="8"/>
  <c r="L23" i="8"/>
  <c r="L24" i="8"/>
  <c r="H4" i="8"/>
  <c r="M22" i="7"/>
  <c r="G23" i="7"/>
  <c r="J24" i="7"/>
  <c r="G4" i="7"/>
  <c r="G19" i="8"/>
  <c r="G20" i="8"/>
  <c r="M21" i="7"/>
  <c r="H24" i="7"/>
  <c r="E4" i="7"/>
  <c r="I24" i="7"/>
  <c r="F4" i="7"/>
  <c r="I21" i="8"/>
  <c r="I22" i="8"/>
  <c r="I23" i="8"/>
  <c r="H21" i="8"/>
  <c r="H22" i="8"/>
  <c r="H23" i="8"/>
  <c r="K21" i="8"/>
  <c r="K22" i="8"/>
  <c r="K23" i="8"/>
  <c r="G21" i="8"/>
  <c r="J21" i="8"/>
  <c r="J22" i="8"/>
  <c r="J23" i="8"/>
  <c r="M23" i="7"/>
  <c r="N23" i="7"/>
  <c r="G24" i="7"/>
  <c r="K24" i="7"/>
  <c r="H4" i="7"/>
  <c r="L24" i="7"/>
  <c r="I4" i="7"/>
  <c r="M21" i="8"/>
  <c r="G22" i="8"/>
  <c r="M24" i="7"/>
  <c r="D4" i="7"/>
  <c r="G23" i="8"/>
  <c r="M22" i="8"/>
  <c r="M23" i="8"/>
  <c r="K24" i="8"/>
  <c r="P4" i="8"/>
  <c r="I24" i="8"/>
  <c r="F4" i="8"/>
  <c r="J24" i="8"/>
  <c r="G4" i="8"/>
  <c r="N23" i="8"/>
  <c r="G24" i="8"/>
  <c r="H24" i="8"/>
  <c r="E4" i="8"/>
  <c r="D4" i="8"/>
  <c r="M24" i="8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<sst xmlns="http://schemas.openxmlformats.org/spreadsheetml/2006/main" count="232" uniqueCount="26">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</sst>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%"/>
    <numFmt numFmtId="166" formatCode="0.000%"/>
    <numFmt numFmtId="167" formatCode="0.0000%"/>
    <numFmt numFmtId="168" formatCode="0.00000%"/>
    <numFmt numFmtId="169" formatCode="0.000000%"/>
    <numFmt numFmtId="170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</cellStyleXfs>
  <cellXfs count="54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6" fontId="0" fillId="0" borderId="0" xfId="2" applyNumberFormat="1" applyFont="1"/>
    <xf numFmtId="166" fontId="0" fillId="0" borderId="0" xfId="0" applyNumberFormat="1"/>
    <xf numFmtId="167" fontId="0" fillId="0" borderId="0" xfId="2" applyNumberFormat="1" applyFont="1"/>
    <xf numFmtId="168" fontId="0" fillId="0" borderId="0" xfId="2" applyNumberFormat="1" applyFont="1"/>
    <xf numFmtId="169" fontId="0" fillId="0" borderId="0" xfId="0" applyNumberFormat="1"/>
    <xf numFmtId="165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9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6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164" fontId="14" fillId="0" borderId="0" xfId="3" applyFont="1" applyFill="1" applyBorder="1" applyAlignment="1" applyProtection="1">
      <alignment vertical="center"/>
    </xf>
    <xf numFmtId="16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7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14" fillId="0" borderId="0" xfId="3" applyFont="1" applyFill="1" applyBorder="1" applyAlignment="1" applyProtection="1">
      <alignment vertical="center"/>
      <protection locked="0"/>
    </xf>
    <xf numFmtId="164" fontId="14" fillId="0" borderId="3" xfId="0" applyNumberFormat="1" applyFont="1" applyFill="1" applyBorder="1" applyAlignment="1" applyProtection="1">
      <alignment vertical="center"/>
      <protection locked="0"/>
    </xf>
    <xf numFmtId="16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8" fontId="0" fillId="0" borderId="0" xfId="0" applyNumberFormat="1"/>
    <xf numFmtId="0" fontId="19" fillId="2" borderId="0" xfId="0" applyFont="1" applyFill="1"/>
    <xf numFmtId="170" fontId="19" fillId="2" borderId="0" xfId="1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 xr:uid="{00000000-0005-0000-0000-000002000000}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"/>
  <sheetViews>
    <sheetView zoomScaleNormal="100" workbookViewId="0" xr3:uid="{AEA406A1-0E4B-5B11-9CD5-51D6E497D94C}">
      <selection activeCell="B4" sqref="B4"/>
    </sheetView>
  </sheetViews>
  <sheetFormatPr defaultRowHeight="15" x14ac:dyDescent="0.2"/>
  <cols>
    <col min="1" max="1" width="19.234375" customWidth="1"/>
    <col min="2" max="2" width="23.80859375" customWidth="1"/>
    <col min="3" max="3" width="15.6015625" bestFit="1" customWidth="1"/>
    <col min="4" max="4" width="16.0078125" bestFit="1" customWidth="1"/>
    <col min="5" max="6" width="16.0078125" customWidth="1"/>
    <col min="7" max="7" width="13.44921875" bestFit="1" customWidth="1"/>
    <col min="8" max="9" width="11.43359375" bestFit="1" customWidth="1"/>
    <col min="10" max="10" width="9.81640625" bestFit="1" customWidth="1"/>
    <col min="11" max="12" width="9.14453125" bestFit="1" customWidth="1"/>
    <col min="13" max="13" width="11.56640625" bestFit="1" customWidth="1"/>
    <col min="14" max="14" width="7.12890625" bestFit="1" customWidth="1"/>
  </cols>
  <sheetData>
    <row r="2" spans="1:14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32.25" x14ac:dyDescent="0.35">
      <c r="A4" s="19" t="s">
        <v>17</v>
      </c>
      <c r="B4" s="9">
        <v>4800000</v>
      </c>
      <c r="C4" s="20">
        <f>D15</f>
        <v>0.1113</v>
      </c>
      <c r="D4" s="20">
        <f>G18</f>
        <v>1.4999999999999999E-2</v>
      </c>
      <c r="E4" s="20">
        <f t="shared" ref="E4:I4" si="0">H18</f>
        <v>1.11E-2</v>
      </c>
      <c r="F4" s="20">
        <f t="shared" si="0"/>
        <v>3.15E-2</v>
      </c>
      <c r="G4" s="20">
        <f t="shared" si="0"/>
        <v>6.7999999999999996E-3</v>
      </c>
      <c r="H4" s="20">
        <f t="shared" si="0"/>
        <v>4.6899999999999997E-2</v>
      </c>
      <c r="I4" s="20">
        <f t="shared" si="0"/>
        <v>0</v>
      </c>
      <c r="M4" s="8"/>
    </row>
    <row r="5" spans="1:14" ht="32.25" customHeight="1" x14ac:dyDescent="0.2">
      <c r="G5" s="53" t="s">
        <v>21</v>
      </c>
      <c r="H5" s="53"/>
      <c r="I5" s="53"/>
      <c r="J5" s="53"/>
      <c r="K5" s="53"/>
      <c r="L5" s="53"/>
    </row>
    <row r="6" spans="1:14" ht="27.75" x14ac:dyDescent="0.2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0.11125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0.1113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1.5025500000000001E-2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1.1130000000000001E-2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3.1464510000000001E-2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6.8226900000000002E-3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4.6857299999999998E-2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1.4999999999999999E-2</v>
      </c>
      <c r="H16" s="22">
        <f t="shared" ref="H16:L16" si="4">ROUND(H15,4)</f>
        <v>1.11E-2</v>
      </c>
      <c r="I16" s="22">
        <f t="shared" si="4"/>
        <v>3.15E-2</v>
      </c>
      <c r="J16" s="22">
        <f t="shared" si="4"/>
        <v>6.7999999999999996E-3</v>
      </c>
      <c r="K16" s="22">
        <f t="shared" si="4"/>
        <v>4.6899999999999997E-2</v>
      </c>
      <c r="L16" s="22">
        <f t="shared" si="4"/>
        <v>0</v>
      </c>
      <c r="M16" s="4">
        <f>SUM(G16:L16)</f>
        <v>0.1113</v>
      </c>
      <c r="N16" s="4">
        <f>C4-M16</f>
        <v>0</v>
      </c>
    </row>
    <row r="17" spans="1:13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1.4999999999999999E-2</v>
      </c>
      <c r="H17" s="21">
        <f t="shared" si="5"/>
        <v>1.11E-2</v>
      </c>
      <c r="I17" s="21">
        <f t="shared" si="5"/>
        <v>3.15E-2</v>
      </c>
      <c r="J17" s="21">
        <f t="shared" si="5"/>
        <v>6.7999999999999996E-3</v>
      </c>
      <c r="K17" s="21">
        <f t="shared" si="5"/>
        <v>4.6899999999999997E-2</v>
      </c>
      <c r="L17" s="21">
        <f t="shared" si="5"/>
        <v>0</v>
      </c>
      <c r="M17" s="23">
        <f>SUM(G17:L17)</f>
        <v>0.1113</v>
      </c>
    </row>
    <row r="18" spans="1:13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1.4999999999999999E-2</v>
      </c>
      <c r="H18" s="21">
        <f t="shared" ref="H18:L18" si="6">ROUND(H17,4)</f>
        <v>1.11E-2</v>
      </c>
      <c r="I18" s="21">
        <f t="shared" si="6"/>
        <v>3.15E-2</v>
      </c>
      <c r="J18" s="21">
        <f t="shared" si="6"/>
        <v>6.7999999999999996E-3</v>
      </c>
      <c r="K18" s="21">
        <f t="shared" si="6"/>
        <v>4.6899999999999997E-2</v>
      </c>
      <c r="L18" s="21">
        <f t="shared" si="6"/>
        <v>0</v>
      </c>
      <c r="M18" s="11" t="str">
        <f>IF(C4=M17,"OK")</f>
        <v>OK</v>
      </c>
    </row>
    <row r="19" spans="1:13" hidden="1" x14ac:dyDescent="0.2">
      <c r="A19" s="10" t="s">
        <v>15</v>
      </c>
      <c r="B19" s="3">
        <f t="shared" si="1"/>
        <v>0.11125</v>
      </c>
      <c r="C19" s="4">
        <f t="shared" si="3"/>
        <v>0.11125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2"/>
  <sheetViews>
    <sheetView zoomScaleNormal="100" workbookViewId="0" xr3:uid="{958C4451-9541-5A59-BF78-D2F731DF1C81}">
      <selection activeCell="B4" sqref="B4"/>
    </sheetView>
  </sheetViews>
  <sheetFormatPr defaultRowHeight="15" x14ac:dyDescent="0.2"/>
  <cols>
    <col min="1" max="1" width="21.7890625" customWidth="1"/>
    <col min="2" max="2" width="23.40625" bestFit="1" customWidth="1"/>
    <col min="3" max="3" width="15.6015625" bestFit="1" customWidth="1"/>
    <col min="4" max="4" width="13.44921875" bestFit="1" customWidth="1"/>
    <col min="5" max="5" width="13.44921875" customWidth="1"/>
    <col min="6" max="6" width="11.43359375" bestFit="1" customWidth="1"/>
    <col min="7" max="7" width="13.71875" bestFit="1" customWidth="1"/>
    <col min="8" max="10" width="11.43359375" bestFit="1" customWidth="1"/>
    <col min="11" max="13" width="9.55078125" bestFit="1" customWidth="1"/>
    <col min="15" max="15" width="18.6953125" bestFit="1" customWidth="1"/>
  </cols>
  <sheetData>
    <row r="2" spans="1:22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2" ht="21" x14ac:dyDescent="0.2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2.25" x14ac:dyDescent="0.35">
      <c r="A4" s="19" t="s">
        <v>17</v>
      </c>
      <c r="B4" s="9">
        <v>4800000</v>
      </c>
      <c r="C4" s="20">
        <f>D15</f>
        <v>0.15</v>
      </c>
      <c r="D4" s="20">
        <f>G18</f>
        <v>1.2800000000000001E-2</v>
      </c>
      <c r="E4" s="20">
        <f t="shared" ref="E4:J4" si="0">H18</f>
        <v>1.1299999999999999E-2</v>
      </c>
      <c r="F4" s="20">
        <f t="shared" si="0"/>
        <v>3.1399999999999997E-2</v>
      </c>
      <c r="G4" s="20">
        <f t="shared" si="0"/>
        <v>6.7999999999999996E-3</v>
      </c>
      <c r="H4" s="20">
        <f t="shared" si="0"/>
        <v>3.5299999999999998E-2</v>
      </c>
      <c r="I4" s="20">
        <f t="shared" si="0"/>
        <v>5.2400000000000002E-2</v>
      </c>
      <c r="J4" s="20">
        <f t="shared" si="0"/>
        <v>0</v>
      </c>
      <c r="M4" s="8"/>
    </row>
    <row r="5" spans="1:22" ht="32.25" customHeight="1" x14ac:dyDescent="0.2">
      <c r="B5" s="14" t="s">
        <v>7</v>
      </c>
      <c r="C5" s="14" t="s">
        <v>8</v>
      </c>
      <c r="D5" s="14" t="s">
        <v>20</v>
      </c>
      <c r="E5" s="14" t="s">
        <v>9</v>
      </c>
      <c r="G5" s="53" t="s">
        <v>21</v>
      </c>
      <c r="H5" s="53"/>
      <c r="I5" s="53"/>
      <c r="J5" s="53"/>
      <c r="K5" s="53"/>
      <c r="L5" s="53"/>
    </row>
    <row r="6" spans="1:22" x14ac:dyDescent="0.2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25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25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25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25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25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25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">
      <c r="A13" s="10"/>
      <c r="B13" s="3"/>
      <c r="C13" s="4"/>
    </row>
    <row r="14" spans="1:22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0.15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1.2750000000000001E-2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1.125E-2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3.1440000000000003E-2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6.8100000000000001E-3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3.5249999999999997E-2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5.2499999999999998E-2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0</v>
      </c>
    </row>
    <row r="16" spans="1:22" hidden="1" x14ac:dyDescent="0.2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1.2800000000000001E-2</v>
      </c>
      <c r="H16" s="22">
        <f t="shared" ref="H16:M16" si="4">ROUND(H15,4)</f>
        <v>1.1299999999999999E-2</v>
      </c>
      <c r="I16" s="22">
        <f t="shared" si="4"/>
        <v>3.1399999999999997E-2</v>
      </c>
      <c r="J16" s="22">
        <f t="shared" si="4"/>
        <v>6.7999999999999996E-3</v>
      </c>
      <c r="K16" s="22">
        <f t="shared" si="4"/>
        <v>3.5299999999999998E-2</v>
      </c>
      <c r="L16" s="22">
        <f t="shared" si="4"/>
        <v>5.2499999999999998E-2</v>
      </c>
      <c r="M16" s="22">
        <f t="shared" si="4"/>
        <v>0</v>
      </c>
      <c r="N16" s="4">
        <f>SUM(G16:M16)</f>
        <v>0.15009999999999998</v>
      </c>
    </row>
    <row r="17" spans="1:15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1.2800000000000001E-2</v>
      </c>
      <c r="H17" s="21">
        <f t="shared" si="5"/>
        <v>1.1299999999999999E-2</v>
      </c>
      <c r="I17" s="21">
        <f t="shared" si="5"/>
        <v>3.1399999999999997E-2</v>
      </c>
      <c r="J17" s="21">
        <f t="shared" si="5"/>
        <v>6.7999999999999996E-3</v>
      </c>
      <c r="K17" s="21">
        <f t="shared" si="5"/>
        <v>3.5299999999999998E-2</v>
      </c>
      <c r="L17" s="21">
        <f t="shared" si="5"/>
        <v>5.2400000000000009E-2</v>
      </c>
      <c r="M17" s="21">
        <f t="shared" si="5"/>
        <v>0</v>
      </c>
      <c r="N17" s="4">
        <f>SUM(G17:M17)</f>
        <v>0.15</v>
      </c>
      <c r="O17" s="12">
        <f>SUM(G17:M17)</f>
        <v>0.15</v>
      </c>
    </row>
    <row r="18" spans="1:15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1.2800000000000001E-2</v>
      </c>
      <c r="H18" s="21">
        <f t="shared" ref="H18:M18" si="6">ROUND(H17,4)</f>
        <v>1.1299999999999999E-2</v>
      </c>
      <c r="I18" s="21">
        <f t="shared" si="6"/>
        <v>3.1399999999999997E-2</v>
      </c>
      <c r="J18" s="21">
        <f t="shared" si="6"/>
        <v>6.7999999999999996E-3</v>
      </c>
      <c r="K18" s="21">
        <f t="shared" si="6"/>
        <v>3.5299999999999998E-2</v>
      </c>
      <c r="L18" s="21">
        <f t="shared" si="6"/>
        <v>5.2400000000000002E-2</v>
      </c>
      <c r="M18" s="21">
        <f t="shared" si="6"/>
        <v>0</v>
      </c>
      <c r="O18" s="11" t="str">
        <f>IF(C4=O17,"OK")</f>
        <v>OK</v>
      </c>
    </row>
    <row r="19" spans="1:15" hidden="1" x14ac:dyDescent="0.2">
      <c r="A19" s="10" t="s">
        <v>15</v>
      </c>
      <c r="B19" s="3">
        <f t="shared" si="1"/>
        <v>0.15</v>
      </c>
      <c r="C19" s="4">
        <f t="shared" si="3"/>
        <v>0.15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-9.9999999999995925E-5</v>
      </c>
      <c r="N19" s="4">
        <f>C4-N16</f>
        <v>-9.9999999999988987E-5</v>
      </c>
    </row>
    <row r="20" spans="1:15" hidden="1" x14ac:dyDescent="0.2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">
      <c r="A21" s="10"/>
      <c r="B21" s="3"/>
      <c r="C21" s="4"/>
    </row>
    <row r="22" spans="1:15" x14ac:dyDescent="0.2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zoomScaleNormal="100" workbookViewId="0" xr3:uid="{842E5F09-E766-5B8D-85AF-A39847EA96FD}">
      <selection activeCell="B4" sqref="B4"/>
    </sheetView>
  </sheetViews>
  <sheetFormatPr defaultRowHeight="15" x14ac:dyDescent="0.2"/>
  <cols>
    <col min="1" max="1" width="23.67578125" customWidth="1"/>
    <col min="2" max="2" width="23.40625" bestFit="1" customWidth="1"/>
    <col min="3" max="3" width="17.62109375" bestFit="1" customWidth="1"/>
    <col min="4" max="4" width="13.44921875" bestFit="1" customWidth="1"/>
    <col min="5" max="5" width="13.44921875" customWidth="1"/>
    <col min="6" max="6" width="11.43359375" customWidth="1"/>
    <col min="7" max="7" width="13.44921875" customWidth="1"/>
    <col min="8" max="9" width="11.43359375" customWidth="1"/>
    <col min="10" max="10" width="9.81640625" customWidth="1"/>
    <col min="11" max="12" width="9.14453125" customWidth="1"/>
    <col min="13" max="14" width="13.44921875" bestFit="1" customWidth="1"/>
    <col min="15" max="17" width="6.9921875" customWidth="1"/>
    <col min="18" max="18" width="6.05078125" customWidth="1"/>
    <col min="19" max="20" width="6.9921875" customWidth="1"/>
  </cols>
  <sheetData>
    <row r="2" spans="1:14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2.25" x14ac:dyDescent="0.35">
      <c r="A4" s="19" t="s">
        <v>17</v>
      </c>
      <c r="B4" s="9">
        <v>4800000</v>
      </c>
      <c r="C4" s="20">
        <f>D15</f>
        <v>0.19500000000000001</v>
      </c>
      <c r="D4" s="20">
        <f t="shared" ref="D4:I4" si="0">G24</f>
        <v>6.8099999999999994E-2</v>
      </c>
      <c r="E4" s="20">
        <f t="shared" si="0"/>
        <v>2.93E-2</v>
      </c>
      <c r="F4" s="20">
        <f t="shared" si="0"/>
        <v>3.1300000000000001E-2</v>
      </c>
      <c r="G4" s="20">
        <f t="shared" si="0"/>
        <v>6.7999999999999996E-3</v>
      </c>
      <c r="H4" s="20">
        <f t="shared" si="0"/>
        <v>5.9499999999999997E-2</v>
      </c>
      <c r="I4" s="20">
        <f t="shared" si="0"/>
        <v>0</v>
      </c>
    </row>
    <row r="5" spans="1:14" ht="32.25" customHeight="1" x14ac:dyDescent="0.2">
      <c r="G5" s="53" t="s">
        <v>21</v>
      </c>
      <c r="H5" s="53"/>
      <c r="I5" s="53"/>
      <c r="J5" s="53"/>
      <c r="K5" s="53"/>
      <c r="L5" s="53"/>
    </row>
    <row r="6" spans="1:14" ht="27.75" x14ac:dyDescent="0.2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25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25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25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25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25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25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0.19500000000000001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0.19500000000000001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6.8249999999999991E-2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2.9249999999999998E-2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3.1258500000000002E-2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6.7665000000000008E-3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5.9475E-2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  <c r="M15" s="48"/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6.83E-2</v>
      </c>
      <c r="H16" s="22">
        <f t="shared" ref="H16:L16" si="4">ROUND(H15,4)</f>
        <v>2.93E-2</v>
      </c>
      <c r="I16" s="22">
        <f t="shared" si="4"/>
        <v>3.1300000000000001E-2</v>
      </c>
      <c r="J16" s="22">
        <f t="shared" si="4"/>
        <v>6.7999999999999996E-3</v>
      </c>
      <c r="K16" s="22">
        <f t="shared" si="4"/>
        <v>5.9499999999999997E-2</v>
      </c>
      <c r="L16" s="22">
        <f t="shared" si="4"/>
        <v>0</v>
      </c>
      <c r="M16" s="4">
        <f>SUM(G16:L16)</f>
        <v>0.19519999999999998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6.8100000000000022E-2</v>
      </c>
      <c r="H17" s="21">
        <f t="shared" si="5"/>
        <v>2.93E-2</v>
      </c>
      <c r="I17" s="21">
        <f t="shared" si="5"/>
        <v>3.1300000000000001E-2</v>
      </c>
      <c r="J17" s="21">
        <f t="shared" si="5"/>
        <v>6.7999999999999996E-3</v>
      </c>
      <c r="K17" s="21">
        <f t="shared" si="5"/>
        <v>5.9499999999999997E-2</v>
      </c>
      <c r="L17" s="21">
        <f t="shared" si="5"/>
        <v>0</v>
      </c>
      <c r="M17" s="4">
        <f>SUM(G17:L17)</f>
        <v>0.19500000000000001</v>
      </c>
      <c r="N17" s="23">
        <f>SUM(G17:L17)</f>
        <v>0.19500000000000001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6.8099999999999994E-2</v>
      </c>
      <c r="H18" s="21">
        <f t="shared" ref="H18:L18" si="6">ROUND(H17,4)</f>
        <v>2.93E-2</v>
      </c>
      <c r="I18" s="21">
        <f t="shared" si="6"/>
        <v>3.1300000000000001E-2</v>
      </c>
      <c r="J18" s="21">
        <f t="shared" si="6"/>
        <v>6.7999999999999996E-3</v>
      </c>
      <c r="K18" s="21">
        <f t="shared" si="6"/>
        <v>5.9499999999999997E-2</v>
      </c>
      <c r="L18" s="21">
        <f t="shared" si="6"/>
        <v>0</v>
      </c>
      <c r="N18" s="11" t="str">
        <f>IF(C4=N17,"OK")</f>
        <v>OK</v>
      </c>
    </row>
    <row r="19" spans="1:14" hidden="1" x14ac:dyDescent="0.2">
      <c r="A19" s="10" t="s">
        <v>15</v>
      </c>
      <c r="B19" s="3">
        <f t="shared" si="1"/>
        <v>0.19500000000000001</v>
      </c>
      <c r="C19" s="4">
        <f t="shared" si="3"/>
        <v>0.19500000000000001</v>
      </c>
      <c r="G19" s="21">
        <f>G18-G16</f>
        <v>-2.0000000000000573E-4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-1.9999999999997797E-4</v>
      </c>
    </row>
    <row r="20" spans="1:14" hidden="1" x14ac:dyDescent="0.2">
      <c r="A20" s="10"/>
      <c r="B20" s="3"/>
      <c r="C20" s="4"/>
      <c r="G20" s="21">
        <f>G18</f>
        <v>6.8099999999999994E-2</v>
      </c>
      <c r="H20" s="21">
        <f>H18</f>
        <v>2.93E-2</v>
      </c>
      <c r="I20" s="21">
        <f>I18</f>
        <v>3.1300000000000001E-2</v>
      </c>
      <c r="J20" s="21">
        <f t="shared" ref="J20:L20" si="8">J18</f>
        <v>6.7999999999999996E-3</v>
      </c>
      <c r="K20" s="21">
        <f t="shared" si="8"/>
        <v>5.9499999999999997E-2</v>
      </c>
      <c r="L20" s="21">
        <f t="shared" si="8"/>
        <v>0</v>
      </c>
      <c r="M20" s="21">
        <f>L20-N14</f>
        <v>-0.05</v>
      </c>
      <c r="N20" s="21">
        <f>IF(M20&gt;0,M20,0)</f>
        <v>0</v>
      </c>
    </row>
    <row r="21" spans="1:14" hidden="1" x14ac:dyDescent="0.2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G22" s="21">
        <f>G18+G21</f>
        <v>6.8099999999999994E-2</v>
      </c>
      <c r="H22" s="21">
        <f t="shared" ref="H22:K22" si="10">H18+H21</f>
        <v>2.93E-2</v>
      </c>
      <c r="I22" s="21">
        <f t="shared" si="10"/>
        <v>3.1300000000000001E-2</v>
      </c>
      <c r="J22" s="21">
        <f t="shared" si="10"/>
        <v>6.7999999999999996E-3</v>
      </c>
      <c r="K22" s="21">
        <f t="shared" si="10"/>
        <v>5.9499999999999997E-2</v>
      </c>
      <c r="L22" s="21">
        <f>L20-N20</f>
        <v>0</v>
      </c>
      <c r="M22" s="21">
        <f>SUM(G22:L22)</f>
        <v>0.19499999999999998</v>
      </c>
    </row>
    <row r="23" spans="1:14" hidden="1" x14ac:dyDescent="0.2">
      <c r="G23" s="21">
        <f>ROUND(G22,4)</f>
        <v>6.8099999999999994E-2</v>
      </c>
      <c r="H23" s="21">
        <f t="shared" ref="H23:K23" si="11">ROUND(H22,4)</f>
        <v>2.93E-2</v>
      </c>
      <c r="I23" s="21">
        <f t="shared" si="11"/>
        <v>3.1300000000000001E-2</v>
      </c>
      <c r="J23" s="21">
        <f t="shared" si="11"/>
        <v>6.7999999999999996E-3</v>
      </c>
      <c r="K23" s="21">
        <f t="shared" si="11"/>
        <v>5.9499999999999997E-2</v>
      </c>
      <c r="L23" s="21">
        <f>TRUNC(L22,4)</f>
        <v>0</v>
      </c>
      <c r="M23" s="21">
        <f>SUM(G23:L23)</f>
        <v>0.19499999999999998</v>
      </c>
      <c r="N23" s="21">
        <f>M22-M23</f>
        <v>0</v>
      </c>
    </row>
    <row r="24" spans="1:14" ht="23.25" hidden="1" x14ac:dyDescent="0.3">
      <c r="A24" s="49" t="s">
        <v>25</v>
      </c>
      <c r="B24" s="50">
        <v>2064579</v>
      </c>
      <c r="G24" s="21">
        <f>IF(G23=MAX($G$23:$K$23),(G23+$N$23),IF(G23&lt;&gt;MAX($G$23:$K$23),G23))</f>
        <v>6.8099999999999994E-2</v>
      </c>
      <c r="H24" s="21">
        <f t="shared" ref="H24:L24" si="12">IF(H23=MAX($G$23:$L$23),(H23+$N$23),IF(H23&lt;&gt;MAX($G$23:$L$23),H23))</f>
        <v>2.93E-2</v>
      </c>
      <c r="I24" s="21">
        <f t="shared" si="12"/>
        <v>3.1300000000000001E-2</v>
      </c>
      <c r="J24" s="21">
        <f t="shared" si="12"/>
        <v>6.7999999999999996E-3</v>
      </c>
      <c r="K24" s="21">
        <f t="shared" si="12"/>
        <v>5.9499999999999997E-2</v>
      </c>
      <c r="L24" s="21">
        <f t="shared" si="12"/>
        <v>0</v>
      </c>
      <c r="M24" s="23">
        <f>SUM(G24:L24)</f>
        <v>0.19499999999999998</v>
      </c>
    </row>
    <row r="25" spans="1:14" hidden="1" x14ac:dyDescent="0.2">
      <c r="G25" s="21"/>
      <c r="H25" s="21"/>
      <c r="I25" s="21"/>
      <c r="J25" s="21"/>
      <c r="K25" s="21"/>
      <c r="L25" s="21"/>
      <c r="M25" s="21"/>
    </row>
    <row r="26" spans="1:14" hidden="1" x14ac:dyDescent="0.2"/>
    <row r="27" spans="1:14" ht="15.75" hidden="1" thickBot="1" x14ac:dyDescent="0.25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25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">
      <c r="G30" s="22">
        <f>($C$4-5%)*G29</f>
        <v>8.7218045112781965E-3</v>
      </c>
      <c r="H30" s="22">
        <f>($C$4-5%)*H29</f>
        <v>7.6315789473684224E-3</v>
      </c>
      <c r="I30" s="22">
        <f>($C$4-5%)*I29</f>
        <v>2.7953383458646622E-2</v>
      </c>
      <c r="J30" s="22">
        <f>($C$4-5%)*J29</f>
        <v>6.0616541353383461E-3</v>
      </c>
      <c r="K30" s="22">
        <f>($C$4-5%)*K29</f>
        <v>9.4631578947368428E-2</v>
      </c>
      <c r="L30" s="36">
        <v>0.05</v>
      </c>
      <c r="M30" s="37">
        <f>SUM(G30:L30)</f>
        <v>0.19500000000000001</v>
      </c>
    </row>
    <row r="31" spans="1:14" hidden="1" x14ac:dyDescent="0.2">
      <c r="G31" s="21">
        <f>ROUND(G30,4)</f>
        <v>8.6999999999999994E-3</v>
      </c>
      <c r="H31" s="21">
        <f t="shared" ref="H31:L31" si="15">ROUND(H30,4)</f>
        <v>7.6E-3</v>
      </c>
      <c r="I31" s="21">
        <f t="shared" si="15"/>
        <v>2.8000000000000001E-2</v>
      </c>
      <c r="J31" s="21">
        <f t="shared" si="15"/>
        <v>6.1000000000000004E-3</v>
      </c>
      <c r="K31" s="21">
        <f t="shared" si="15"/>
        <v>9.4600000000000004E-2</v>
      </c>
      <c r="L31" s="21">
        <f t="shared" si="15"/>
        <v>0.05</v>
      </c>
      <c r="M31" s="37">
        <f>SUM(G31:L31)</f>
        <v>0.19500000000000001</v>
      </c>
      <c r="N31" s="37">
        <f>-M31+M30</f>
        <v>0</v>
      </c>
    </row>
    <row r="32" spans="1:14" hidden="1" x14ac:dyDescent="0.2">
      <c r="G32" s="21">
        <f>IF(G31=MAX($G$31:$L$31),(G31+$N$31),IF(G31&lt;&gt;MAX($G$31:$L$31),G31))</f>
        <v>8.6999999999999994E-3</v>
      </c>
      <c r="H32" s="21">
        <f t="shared" ref="H32:K32" si="16">IF(H31=MAX($G$31:$L$31),(H31+$N$31),IF(H31&lt;&gt;MAX($G$31:$L$31),H31))</f>
        <v>7.6E-3</v>
      </c>
      <c r="I32" s="21">
        <f t="shared" si="16"/>
        <v>2.8000000000000001E-2</v>
      </c>
      <c r="J32" s="21">
        <f t="shared" si="16"/>
        <v>6.1000000000000004E-3</v>
      </c>
      <c r="K32" s="21">
        <f t="shared" si="16"/>
        <v>9.4600000000000004E-2</v>
      </c>
      <c r="L32" s="21">
        <f>IF(L31=MAX($G$16:$L$16),(L31+$M$19),IF(L31&lt;&gt;MAX($G$16:$L$16),L31))</f>
        <v>0.05</v>
      </c>
      <c r="M32" s="21">
        <f>SUM(G32:L32)</f>
        <v>0.19500000000000001</v>
      </c>
    </row>
    <row r="33" spans="7:12" hidden="1" x14ac:dyDescent="0.2"/>
    <row r="34" spans="7:12" hidden="1" x14ac:dyDescent="0.2"/>
    <row r="35" spans="7:12" hidden="1" x14ac:dyDescent="0.2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">
      <c r="G36" s="22">
        <f>IF($C$4&gt;$N$4,($C$4-$R$8)*G29)</f>
        <v>1.1729323308270676E-2</v>
      </c>
      <c r="H36" s="22">
        <f t="shared" ref="H36:K36" si="18">IF($C$4&gt;$N$4,($C$4-$R$8)*H29)</f>
        <v>1.0263157894736844E-2</v>
      </c>
      <c r="I36" s="22">
        <f t="shared" si="18"/>
        <v>3.7592481203007524E-2</v>
      </c>
      <c r="J36" s="22">
        <f t="shared" si="18"/>
        <v>8.1518796992481202E-3</v>
      </c>
      <c r="K36" s="22">
        <f t="shared" si="18"/>
        <v>0.12726315789473683</v>
      </c>
    </row>
    <row r="37" spans="7:12" hidden="1" x14ac:dyDescent="0.2"/>
    <row r="38" spans="7:12" hidden="1" x14ac:dyDescent="0.2"/>
    <row r="39" spans="7:12" hidden="1" x14ac:dyDescent="0.2"/>
    <row r="40" spans="7:12" ht="15.75" hidden="1" thickBot="1" x14ac:dyDescent="0.25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4"/>
  <sheetViews>
    <sheetView tabSelected="1" zoomScale="110" zoomScaleNormal="110" workbookViewId="0" xr3:uid="{51F8DEE0-4D01-5F28-A812-FC0BD7CAC4A5}">
      <selection activeCell="B4" sqref="B4"/>
    </sheetView>
  </sheetViews>
  <sheetFormatPr defaultRowHeight="15" x14ac:dyDescent="0.2"/>
  <cols>
    <col min="1" max="1" width="23.67578125" customWidth="1"/>
    <col min="2" max="2" width="21.65625" bestFit="1" customWidth="1"/>
    <col min="3" max="3" width="15.6015625" bestFit="1" customWidth="1"/>
    <col min="4" max="4" width="15.73828125" bestFit="1" customWidth="1"/>
    <col min="5" max="8" width="15.73828125" customWidth="1"/>
    <col min="9" max="9" width="9.14453125" customWidth="1"/>
    <col min="10" max="10" width="9.81640625" customWidth="1"/>
    <col min="11" max="11" width="9.14453125" hidden="1" customWidth="1"/>
    <col min="12" max="12" width="9.14453125" customWidth="1"/>
    <col min="13" max="13" width="13.44921875" bestFit="1" customWidth="1"/>
    <col min="14" max="14" width="13.44921875" hidden="1" customWidth="1"/>
    <col min="15" max="15" width="9.14453125" hidden="1" customWidth="1"/>
    <col min="16" max="16" width="11.43359375" hidden="1" customWidth="1"/>
    <col min="17" max="17" width="6.9921875" hidden="1" customWidth="1"/>
    <col min="18" max="23" width="0" hidden="1" customWidth="1"/>
  </cols>
  <sheetData>
    <row r="2" spans="1:20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0" ht="21" x14ac:dyDescent="0.3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2.25" x14ac:dyDescent="0.35">
      <c r="A4" s="19" t="s">
        <v>17</v>
      </c>
      <c r="B4" s="9">
        <v>4800000</v>
      </c>
      <c r="C4" s="20">
        <f>D15</f>
        <v>0.1575</v>
      </c>
      <c r="D4" s="20">
        <f>G24</f>
        <v>8.4199999999999997E-2</v>
      </c>
      <c r="E4" s="20">
        <f t="shared" ref="E4:G4" si="0">H24</f>
        <v>3.39E-2</v>
      </c>
      <c r="F4" s="20">
        <f t="shared" si="0"/>
        <v>3.2399999999999998E-2</v>
      </c>
      <c r="G4" s="20">
        <f t="shared" si="0"/>
        <v>7.0000000000000001E-3</v>
      </c>
      <c r="H4" s="20">
        <f>L24</f>
        <v>0</v>
      </c>
      <c r="P4" s="35">
        <f>K24</f>
        <v>0</v>
      </c>
    </row>
    <row r="5" spans="1:20" ht="32.25" customHeight="1" x14ac:dyDescent="0.2">
      <c r="G5" s="53" t="s">
        <v>21</v>
      </c>
      <c r="H5" s="53"/>
      <c r="I5" s="53"/>
      <c r="J5" s="53"/>
      <c r="K5" s="53"/>
      <c r="L5" s="53"/>
    </row>
    <row r="6" spans="1:20" ht="28.5" thickBot="1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25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25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25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25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25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25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">
      <c r="A13" s="10"/>
      <c r="B13" s="3"/>
      <c r="C13" s="4"/>
      <c r="K13" s="32"/>
    </row>
    <row r="14" spans="1:20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0.1575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0.1575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8.4262500000000004E-2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3.3862499999999997E-2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3.2366249999999999E-2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7.0087499999999994E-3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  <c r="M15" s="48">
        <f>SUM(G15:L15)</f>
        <v>0.15750000000000003</v>
      </c>
    </row>
    <row r="16" spans="1:20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8.43E-2</v>
      </c>
      <c r="H16" s="22">
        <f t="shared" ref="H16:L16" si="4">ROUND(H15,4)</f>
        <v>3.39E-2</v>
      </c>
      <c r="I16" s="22">
        <f t="shared" si="4"/>
        <v>3.2399999999999998E-2</v>
      </c>
      <c r="J16" s="22">
        <f t="shared" si="4"/>
        <v>7.0000000000000001E-3</v>
      </c>
      <c r="K16" s="22">
        <f t="shared" si="4"/>
        <v>0</v>
      </c>
      <c r="L16" s="22">
        <f t="shared" si="4"/>
        <v>0</v>
      </c>
      <c r="M16" s="4">
        <f>SUM(G16:L16)</f>
        <v>0.15760000000000002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8.4199999999999983E-2</v>
      </c>
      <c r="H17" s="21">
        <f t="shared" si="5"/>
        <v>3.39E-2</v>
      </c>
      <c r="I17" s="21">
        <f t="shared" si="5"/>
        <v>3.2399999999999998E-2</v>
      </c>
      <c r="J17" s="21">
        <f t="shared" si="5"/>
        <v>7.0000000000000001E-3</v>
      </c>
      <c r="K17" s="21">
        <f t="shared" si="5"/>
        <v>0</v>
      </c>
      <c r="L17" s="21">
        <f t="shared" si="5"/>
        <v>0</v>
      </c>
      <c r="M17" s="4">
        <f>SUM(G17:L17)</f>
        <v>0.15749999999999997</v>
      </c>
      <c r="N17" s="23">
        <f>SUM(G17:L17)</f>
        <v>0.15749999999999997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8.4199999999999997E-2</v>
      </c>
      <c r="H18" s="21">
        <f t="shared" ref="H18:L18" si="6">ROUND(H17,4)</f>
        <v>3.39E-2</v>
      </c>
      <c r="I18" s="21">
        <f t="shared" si="6"/>
        <v>3.2399999999999998E-2</v>
      </c>
      <c r="J18" s="21">
        <f t="shared" si="6"/>
        <v>7.0000000000000001E-3</v>
      </c>
      <c r="K18" s="21">
        <f t="shared" si="6"/>
        <v>0</v>
      </c>
      <c r="L18" s="21">
        <f t="shared" si="6"/>
        <v>0</v>
      </c>
      <c r="N18" s="11" t="str">
        <f>IF(C4=N17,"OK")</f>
        <v>OK</v>
      </c>
    </row>
    <row r="19" spans="1:14" hidden="1" x14ac:dyDescent="0.2">
      <c r="A19" s="10" t="s">
        <v>15</v>
      </c>
      <c r="B19" s="3">
        <f t="shared" si="1"/>
        <v>0.1575</v>
      </c>
      <c r="C19" s="4">
        <f t="shared" si="3"/>
        <v>0.1575</v>
      </c>
      <c r="G19" s="21">
        <f>G18-G16</f>
        <v>-1.0000000000000286E-4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-1.0000000000001674E-4</v>
      </c>
    </row>
    <row r="20" spans="1:14" hidden="1" x14ac:dyDescent="0.2">
      <c r="A20" s="10"/>
      <c r="B20" s="3"/>
      <c r="C20" s="4"/>
      <c r="G20" s="21">
        <f>G18</f>
        <v>8.4199999999999997E-2</v>
      </c>
      <c r="H20" s="21">
        <f>H18</f>
        <v>3.39E-2</v>
      </c>
      <c r="I20" s="21">
        <f>I18</f>
        <v>3.2399999999999998E-2</v>
      </c>
      <c r="J20" s="21">
        <f t="shared" ref="J20:L20" si="8">J18</f>
        <v>7.0000000000000001E-3</v>
      </c>
      <c r="K20" s="21">
        <f t="shared" si="8"/>
        <v>0</v>
      </c>
      <c r="L20" s="21">
        <f t="shared" si="8"/>
        <v>0</v>
      </c>
      <c r="M20" s="21">
        <f>L20-N9</f>
        <v>-0.05</v>
      </c>
      <c r="N20" s="21">
        <f>IF(M20&gt;0,M20,0)</f>
        <v>0</v>
      </c>
    </row>
    <row r="21" spans="1:14" hidden="1" x14ac:dyDescent="0.2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A22" s="10"/>
      <c r="B22" s="3"/>
      <c r="C22" s="4"/>
      <c r="G22" s="21">
        <f>G18+G21</f>
        <v>8.4199999999999997E-2</v>
      </c>
      <c r="H22" s="21">
        <f t="shared" ref="H22:K22" si="10">H18+H21</f>
        <v>3.39E-2</v>
      </c>
      <c r="I22" s="21">
        <f t="shared" si="10"/>
        <v>3.2399999999999998E-2</v>
      </c>
      <c r="J22" s="21">
        <f t="shared" si="10"/>
        <v>7.0000000000000001E-3</v>
      </c>
      <c r="K22" s="21">
        <f t="shared" si="10"/>
        <v>0</v>
      </c>
      <c r="L22" s="21">
        <f>L20-N20</f>
        <v>0</v>
      </c>
      <c r="M22" s="21">
        <f>SUM(G22:L22)</f>
        <v>0.1575</v>
      </c>
    </row>
    <row r="23" spans="1:14" hidden="1" x14ac:dyDescent="0.2">
      <c r="G23" s="21">
        <f>ROUND(G22,4)</f>
        <v>8.4199999999999997E-2</v>
      </c>
      <c r="H23" s="21">
        <f t="shared" ref="H23:K23" si="11">ROUND(H22,4)</f>
        <v>3.39E-2</v>
      </c>
      <c r="I23" s="21">
        <f t="shared" si="11"/>
        <v>3.2399999999999998E-2</v>
      </c>
      <c r="J23" s="21">
        <f t="shared" si="11"/>
        <v>7.0000000000000001E-3</v>
      </c>
      <c r="K23" s="21">
        <f t="shared" si="11"/>
        <v>0</v>
      </c>
      <c r="L23" s="21">
        <f>TRUNC(L22,4)</f>
        <v>0</v>
      </c>
      <c r="M23" s="21">
        <f>SUM(G23:L23)</f>
        <v>0.1575</v>
      </c>
      <c r="N23" s="21">
        <f>M22-M23</f>
        <v>0</v>
      </c>
    </row>
    <row r="24" spans="1:14" ht="23.25" hidden="1" x14ac:dyDescent="0.3">
      <c r="G24" s="21">
        <f>IF(G23=MAX($G$23:$J$23),(G23+$N$23),IF(G23&lt;&gt;MAX($G$23:$J$23),G23))</f>
        <v>8.4199999999999997E-2</v>
      </c>
      <c r="H24" s="21">
        <f t="shared" ref="H24:J24" si="12">IF(H23=MAX($G$23:$J$23),(H23+$N$23),IF(H23&lt;&gt;MAX($G$23:$J$23),H23))</f>
        <v>3.39E-2</v>
      </c>
      <c r="I24" s="21">
        <f t="shared" si="12"/>
        <v>3.2399999999999998E-2</v>
      </c>
      <c r="J24" s="21">
        <f t="shared" si="12"/>
        <v>7.0000000000000001E-3</v>
      </c>
      <c r="K24" s="21">
        <f t="shared" ref="K24" si="13">IF(K23=MAX($G$23:$L$23),(K23+$N$23),IF(K23&lt;&gt;MAX($G$23:$L$23),K23))</f>
        <v>0</v>
      </c>
      <c r="L24" s="21">
        <f>L23</f>
        <v>0</v>
      </c>
      <c r="M24" s="23">
        <f>SUM(G24:L24)</f>
        <v>0.1575</v>
      </c>
    </row>
    <row r="25" spans="1:14" hidden="1" x14ac:dyDescent="0.2"/>
    <row r="26" spans="1:14" hidden="1" x14ac:dyDescent="0.2"/>
    <row r="27" spans="1:14" hidden="1" x14ac:dyDescent="0.2"/>
    <row r="28" spans="1:14" ht="15.75" hidden="1" thickBot="1" x14ac:dyDescent="0.25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">
      <c r="G31" s="22">
        <f>($C$4-5%)*G30</f>
        <v>3.3679750000000001E-2</v>
      </c>
      <c r="H31" s="22">
        <f>($C$4-5%)*H30</f>
        <v>3.559325E-2</v>
      </c>
      <c r="I31" s="22">
        <f>($C$4-5%)*I30</f>
        <v>3.2389750000000002E-2</v>
      </c>
      <c r="J31" s="22">
        <f>($C$4-5%)*J30</f>
        <v>7.0197499999999999E-3</v>
      </c>
      <c r="K31" s="22">
        <f>($C$4-5%)*K30</f>
        <v>0</v>
      </c>
      <c r="L31" s="36">
        <v>0.05</v>
      </c>
      <c r="M31" s="37">
        <f>SUM(G31:L31)</f>
        <v>0.1586825</v>
      </c>
    </row>
    <row r="32" spans="1:14" hidden="1" x14ac:dyDescent="0.2">
      <c r="G32" s="21">
        <f>ROUND(G31,4)</f>
        <v>3.3700000000000001E-2</v>
      </c>
      <c r="H32" s="21">
        <f t="shared" ref="H32:L32" si="16">ROUND(H31,4)</f>
        <v>3.56E-2</v>
      </c>
      <c r="I32" s="21">
        <f t="shared" si="16"/>
        <v>3.2399999999999998E-2</v>
      </c>
      <c r="J32" s="21">
        <f t="shared" si="16"/>
        <v>7.0000000000000001E-3</v>
      </c>
      <c r="K32" s="21">
        <f t="shared" si="16"/>
        <v>0</v>
      </c>
      <c r="L32" s="21">
        <f t="shared" si="16"/>
        <v>0.05</v>
      </c>
      <c r="M32" s="37">
        <f>SUM(G32:L32)</f>
        <v>0.15870000000000001</v>
      </c>
      <c r="N32" s="37">
        <f>-M32+M31</f>
        <v>-1.7500000000003624E-5</v>
      </c>
    </row>
    <row r="33" spans="7:13" hidden="1" x14ac:dyDescent="0.2">
      <c r="G33" s="21">
        <f>IF(G32=MAX($G$31:$L$31),(G32+$N$31),IF(G32&lt;&gt;MAX($G$31:$L$31),G32))</f>
        <v>3.3700000000000001E-2</v>
      </c>
      <c r="H33" s="21">
        <f t="shared" ref="H33:K33" si="17">IF(H32=MAX($G$31:$L$31),(H32+$N$31),IF(H32&lt;&gt;MAX($G$31:$L$31),H32))</f>
        <v>3.56E-2</v>
      </c>
      <c r="I33" s="21">
        <f t="shared" si="17"/>
        <v>3.2399999999999998E-2</v>
      </c>
      <c r="J33" s="21">
        <f t="shared" si="17"/>
        <v>7.0000000000000001E-3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0.15870000000000001</v>
      </c>
    </row>
    <row r="34" spans="7:13" hidden="1" x14ac:dyDescent="0.2"/>
    <row r="35" spans="7:13" hidden="1" x14ac:dyDescent="0.2"/>
    <row r="36" spans="7:13" hidden="1" x14ac:dyDescent="0.2">
      <c r="G36" s="22" t="b">
        <f>IF($C$4&lt;=$O$9,($C$4)*G11)</f>
        <v>0</v>
      </c>
      <c r="H36" s="22" t="b">
        <f t="shared" ref="H36:J36" si="18">IF($C$4&lt;=$O$9,($C$4)*H11)</f>
        <v>0</v>
      </c>
      <c r="I36" s="22" t="b">
        <f t="shared" si="18"/>
        <v>0</v>
      </c>
      <c r="J36" s="22" t="b">
        <f t="shared" si="18"/>
        <v>0</v>
      </c>
      <c r="K36" s="22" t="b">
        <f>IF($C$4&lt;=$O$9,($C$4)*K11)</f>
        <v>0</v>
      </c>
      <c r="L36" s="22" t="b">
        <f>IF($C$4&lt;=$O$9,($C$4)*L11)</f>
        <v>0</v>
      </c>
    </row>
    <row r="37" spans="7:13" hidden="1" x14ac:dyDescent="0.2">
      <c r="G37" s="22">
        <f>IF($C$4&gt;$O$9,($C$4-$N$9)*G30)</f>
        <v>3.3679750000000001E-2</v>
      </c>
      <c r="H37" s="22">
        <f t="shared" ref="H37:K37" si="19">IF($C$4&gt;$O$9,($C$4-$N$9)*H30)</f>
        <v>3.559325E-2</v>
      </c>
      <c r="I37" s="22">
        <f t="shared" si="19"/>
        <v>3.2389750000000002E-2</v>
      </c>
      <c r="J37" s="22">
        <f t="shared" si="19"/>
        <v>7.0197499999999999E-3</v>
      </c>
      <c r="K37" s="22">
        <f t="shared" si="19"/>
        <v>0</v>
      </c>
    </row>
    <row r="38" spans="7:13" hidden="1" x14ac:dyDescent="0.2"/>
    <row r="39" spans="7:13" hidden="1" x14ac:dyDescent="0.2"/>
    <row r="40" spans="7:13" hidden="1" x14ac:dyDescent="0.2"/>
    <row r="41" spans="7:13" hidden="1" x14ac:dyDescent="0.2"/>
    <row r="42" spans="7:13" hidden="1" x14ac:dyDescent="0.2"/>
    <row r="43" spans="7:13" hidden="1" x14ac:dyDescent="0.2"/>
    <row r="44" spans="7:13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3"/>
  <sheetViews>
    <sheetView zoomScaleNormal="100" workbookViewId="0" xr3:uid="{F9CF3CF3-643B-5BE6-8B46-32C596A47465}">
      <selection activeCell="H12" sqref="H12"/>
    </sheetView>
  </sheetViews>
  <sheetFormatPr defaultRowHeight="15" x14ac:dyDescent="0.2"/>
  <cols>
    <col min="1" max="1" width="23.67578125" customWidth="1"/>
    <col min="2" max="2" width="21.65625" bestFit="1" customWidth="1"/>
    <col min="3" max="3" width="15.6015625" bestFit="1" customWidth="1"/>
    <col min="4" max="4" width="13.44921875" bestFit="1" customWidth="1"/>
    <col min="5" max="5" width="13.44921875" customWidth="1"/>
    <col min="6" max="6" width="16.8125" customWidth="1"/>
    <col min="7" max="12" width="14.2578125" customWidth="1"/>
    <col min="13" max="13" width="8.203125" bestFit="1" customWidth="1"/>
    <col min="14" max="14" width="13.44921875" bestFit="1" customWidth="1"/>
  </cols>
  <sheetData>
    <row r="2" spans="1:13" x14ac:dyDescent="0.2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3" ht="21" x14ac:dyDescent="0.2">
      <c r="B3" s="51"/>
      <c r="C3" s="52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2.25" x14ac:dyDescent="0.35">
      <c r="A4" s="19" t="s">
        <v>17</v>
      </c>
      <c r="B4" s="9">
        <v>4800000</v>
      </c>
      <c r="C4" s="20">
        <f>D15</f>
        <v>0.1925</v>
      </c>
      <c r="D4" s="20">
        <f>G18</f>
        <v>6.7400000000000002E-2</v>
      </c>
      <c r="E4" s="20">
        <f t="shared" ref="E4:I4" si="0">H18</f>
        <v>2.98E-2</v>
      </c>
      <c r="F4" s="20">
        <f t="shared" si="0"/>
        <v>3.1600000000000003E-2</v>
      </c>
      <c r="G4" s="20">
        <f t="shared" si="0"/>
        <v>6.8999999999999999E-3</v>
      </c>
      <c r="H4" s="20">
        <f t="shared" si="0"/>
        <v>5.6800000000000003E-2</v>
      </c>
      <c r="I4" s="20">
        <f t="shared" si="0"/>
        <v>0</v>
      </c>
    </row>
    <row r="5" spans="1:13" ht="32.25" customHeight="1" x14ac:dyDescent="0.2">
      <c r="G5" s="53" t="s">
        <v>21</v>
      </c>
      <c r="H5" s="53"/>
      <c r="I5" s="53"/>
      <c r="J5" s="53"/>
      <c r="K5" s="53"/>
      <c r="L5" s="53"/>
    </row>
    <row r="6" spans="1:13" ht="27.75" x14ac:dyDescent="0.2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25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25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25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25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25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25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">
      <c r="A13" s="10"/>
      <c r="B13" s="3"/>
      <c r="C13" s="4"/>
    </row>
    <row r="14" spans="1:13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0.1925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0.1925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6.737499999999999E-2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2.9837499999999999E-2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3.1647000000000002E-2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6.8529999999999997E-3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5.6787499999999998E-2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</row>
    <row r="16" spans="1:13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6.7400000000000002E-2</v>
      </c>
      <c r="H16" s="22">
        <f t="shared" ref="H16:L16" si="4">ROUND(H15,4)</f>
        <v>2.98E-2</v>
      </c>
      <c r="I16" s="22">
        <f t="shared" si="4"/>
        <v>3.1600000000000003E-2</v>
      </c>
      <c r="J16" s="22">
        <f t="shared" si="4"/>
        <v>6.8999999999999999E-3</v>
      </c>
      <c r="K16" s="22">
        <f t="shared" si="4"/>
        <v>5.6800000000000003E-2</v>
      </c>
      <c r="L16" s="22">
        <f t="shared" si="4"/>
        <v>0</v>
      </c>
      <c r="M16" s="4">
        <f>SUM(G16:L16)</f>
        <v>0.1925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6.7400000000000002E-2</v>
      </c>
      <c r="H17" s="21">
        <f t="shared" si="5"/>
        <v>2.98E-2</v>
      </c>
      <c r="I17" s="21">
        <f t="shared" si="5"/>
        <v>3.1600000000000003E-2</v>
      </c>
      <c r="J17" s="21">
        <f t="shared" si="5"/>
        <v>6.8999999999999999E-3</v>
      </c>
      <c r="K17" s="21">
        <f t="shared" si="5"/>
        <v>5.6800000000000003E-2</v>
      </c>
      <c r="L17" s="21">
        <f t="shared" si="5"/>
        <v>0</v>
      </c>
      <c r="M17" s="4">
        <f>SUM(G17:L17)</f>
        <v>0.1925</v>
      </c>
      <c r="N17" s="23">
        <f>SUM(G17:L17)</f>
        <v>0.1925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6.7400000000000002E-2</v>
      </c>
      <c r="H18" s="21">
        <f t="shared" ref="H18:L18" si="6">ROUND(H17,4)</f>
        <v>2.98E-2</v>
      </c>
      <c r="I18" s="21">
        <f t="shared" si="6"/>
        <v>3.1600000000000003E-2</v>
      </c>
      <c r="J18" s="21">
        <f t="shared" si="6"/>
        <v>6.8999999999999999E-3</v>
      </c>
      <c r="K18" s="21">
        <f t="shared" si="6"/>
        <v>5.6800000000000003E-2</v>
      </c>
      <c r="L18" s="21">
        <f t="shared" si="6"/>
        <v>0</v>
      </c>
      <c r="N18" s="11" t="str">
        <f>IF(C4=N17,"OK")</f>
        <v>OK</v>
      </c>
    </row>
    <row r="19" spans="1:14" hidden="1" x14ac:dyDescent="0.2">
      <c r="A19" s="10" t="s">
        <v>15</v>
      </c>
      <c r="B19" s="3">
        <f t="shared" si="1"/>
        <v>0.1925</v>
      </c>
      <c r="C19" s="4">
        <f t="shared" si="3"/>
        <v>0.1925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</row>
    <row r="21" spans="1:14" hidden="1" x14ac:dyDescent="0.2"/>
    <row r="22" spans="1:14" hidden="1" x14ac:dyDescent="0.2"/>
    <row r="23" spans="1:14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Silas Santiago</cp:lastModifiedBy>
  <dcterms:created xsi:type="dcterms:W3CDTF">2015-03-08T09:25:42Z</dcterms:created>
  <dcterms:modified xsi:type="dcterms:W3CDTF">2016-11-24T20:18:31Z</dcterms:modified>
</cp:coreProperties>
</file>