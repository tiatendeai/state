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Operador\Desktop\WHATSAPP_diversos_ANEXOS\"/>
    </mc:Choice>
  </mc:AlternateContent>
  <bookViews>
    <workbookView xWindow="0" yWindow="0" windowWidth="15360" windowHeight="7905" tabRatio="728"/>
  </bookViews>
  <sheets>
    <sheet name="ROSE" sheetId="16" r:id="rId1"/>
  </sheets>
  <externalReferences>
    <externalReference r:id="rId2"/>
  </externalReferences>
  <definedNames>
    <definedName name="AAAAAAAAAAAAAA" hidden="1">{"CEMAT Tariff",#N/A,FALSE,"JUBAMWH";"BNDES A Summary",#N/A,FALSE,"BNDES A";"BNDES B Summary",#N/A,FALSE,"BNDES B";"FINAME Summary",#N/A,FALSE,"FINAME"}</definedName>
    <definedName name="AERONAVE" hidden="1">{"Assumptions Page 1",#N/A,FALSE,"JUBA Value";"Assumptions Page 2",#N/A,FALSE,"JUBA Value";"Assumptions Page 3",#N/A,FALSE,"JUBA Value";"Assumptions Page 4",#N/A,FALSE,"JUBA Value"}</definedName>
    <definedName name="Ano">[1]Anual!$C$2</definedName>
    <definedName name="_xlnm.Print_Area" localSheetId="0">ROSE!$A$1:$O$46</definedName>
    <definedName name="BANCO" hidden="1">{"Assumptions Page 1",#N/A,FALSE,"JUBA Value";"Assumptions Page 2",#N/A,FALSE,"JUBA Value";"Assumptions Page 3",#N/A,FALSE,"JUBA Value";"Assumptions Page 4",#N/A,FALSE,"JUBA Value"}</definedName>
    <definedName name="BOBÃO" hidden="1">{"Assumptions Page 1",#N/A,FALSE,"JUBA Value";"Assumptions Page 2",#N/A,FALSE,"JUBA Value";"Assumptions Page 3",#N/A,FALSE,"JUBA Value";"Assumptions Page 4",#N/A,FALSE,"JUBA Value"}</definedName>
    <definedName name="CLAUDEMIR" hidden="1">{"Op Sum Page 1",#N/A,FALSE,"SAOPAULO";"Income Sum Page 2",#N/A,FALSE,"SAOPAULO";"Cash Sum Page 3",#N/A,FALSE,"SAOPAULO";"Balance Sum Page 4",#N/A,FALSE,"SAOPAULO";"Dep Sum Page 5",#N/A,FALSE,"SAOPAULO"}</definedName>
    <definedName name="CONTRATO" hidden="1">{"Assumptions Page 1",#N/A,FALSE,"JUBA Value";"Assumptions Page 2",#N/A,FALSE,"JUBA Value";"Assumptions Page 3",#N/A,FALSE,"JUBA Value";"Assumptions Page 4",#N/A,FALSE,"JUBA Value"}</definedName>
    <definedName name="elias" hidden="1">{"Assumptions Page 1",#N/A,FALSE,"JUBA Value";"Assumptions Page 2",#N/A,FALSE,"JUBA Value";"Assumptions Page 3",#N/A,FALSE,"JUBA Value";"Assumptions Page 4",#N/A,FALSE,"JUBA Value"}</definedName>
    <definedName name="FINAME1" hidden="1">{"Assumptions Page 1",#N/A,FALSE,"JUBA Value";"Assumptions Page 2",#N/A,FALSE,"JUBA Value";"Assumptions Page 3",#N/A,FALSE,"JUBA Value";"Assumptions Page 4",#N/A,FALSE,"JUBA Value"}</definedName>
    <definedName name="finame2" hidden="1">{"Assumptions Page 1",#N/A,FALSE,"JUBA Value";"Assumptions Page 2",#N/A,FALSE,"JUBA Value";"Assumptions Page 3",#N/A,FALSE,"JUBA Value";"Assumptions Page 4",#N/A,FALSE,"JUBA Value"}</definedName>
    <definedName name="INDUSTRIAL" hidden="1">{"Assumptions Page 1",#N/A,FALSE,"JUBA Value";"Assumptions Page 2",#N/A,FALSE,"JUBA Value";"Assumptions Page 3",#N/A,FALSE,"JUBA Value";"Assumptions Page 4",#N/A,FALSE,"JUBA Value"}</definedName>
    <definedName name="iuy" hidden="1">{"Assumptions Page 1",#N/A,FALSE,"JUBA Value";"Assumptions Page 2",#N/A,FALSE,"JUBA Value";"Assumptions Page 3",#N/A,FALSE,"JUBA Value";"Assumptions Page 4",#N/A,FALSE,"JUBA Value"}</definedName>
    <definedName name="LIB" hidden="1">{"CEMAT Tariff",#N/A,FALSE,"JUBAMWH";"BNDES A Summary",#N/A,FALSE,"BNDES A";"BNDES B Summary",#N/A,FALSE,"BNDES B";"FINAME Summary",#N/A,FALSE,"FINAME"}</definedName>
    <definedName name="MANÉ" hidden="1">{"Assumptions Page 1",#N/A,FALSE,"JUBA Value";"Assumptions Page 2",#N/A,FALSE,"JUBA Value";"Assumptions Page 3",#N/A,FALSE,"JUBA Value";"Assumptions Page 4",#N/A,FALSE,"JUBA Value"}</definedName>
    <definedName name="MUTUO" hidden="1">{"Assumptions Page 1",#N/A,FALSE,"JUBA Value";"Assumptions Page 2",#N/A,FALSE,"JUBA Value";"Assumptions Page 3",#N/A,FALSE,"JUBA Value";"Assumptions Page 4",#N/A,FALSE,"JUBA Value"}</definedName>
    <definedName name="oiuyt" hidden="1">{"Assumptions Page 1",#N/A,FALSE,"JUBA Value";"Assumptions Page 2",#N/A,FALSE,"JUBA Value";"Assumptions Page 3",#N/A,FALSE,"JUBA Value";"Assumptions Page 4",#N/A,FALSE,"JUBA Value"}</definedName>
    <definedName name="ooooooooooooo" hidden="1">{"Assumptions Page 1",#N/A,FALSE,"JUBA Value";"Assumptions Page 2",#N/A,FALSE,"JUBA Value";"Assumptions Page 3",#N/A,FALSE,"JUBA Value";"Assumptions Page 4",#N/A,FALSE,"JUBA Value"}</definedName>
    <definedName name="ppppppppppppppp" hidden="1">{"Assumptions Page 1",#N/A,FALSE,"JUBA Value";"Assumptions Page 2",#N/A,FALSE,"JUBA Value";"Assumptions Page 3",#N/A,FALSE,"JUBA Value";"Assumptions Page 4",#N/A,FALSE,"JUBA Value"}</definedName>
    <definedName name="S">{"Assumptions Page 1",#N/A,FALSE,"JUBA Value";"Assumptions Page 2",#N/A,FALSE,"JUBA Value";"Assumptions Page 3",#N/A,FALSE,"JUBA Value";"Assumptions Page 4",#N/A,FALSE,"JUBA Value"}</definedName>
    <definedName name="T" hidden="1">{"Op Sum Page 1",#N/A,FALSE,"SAOPAULO";"Income Sum Page 2",#N/A,FALSE,"SAOPAULO";"Cash Sum Page 3",#N/A,FALSE,"SAOPAULO";"Balance Sum Page 4",#N/A,FALSE,"SAOPAULO";"Dep Sum Page 5",#N/A,FALSE,"SAOPAULO"}</definedName>
    <definedName name="wrn.Assumptions." hidden="1">{"Assumptions Page 1",#N/A,FALSE,"JUBA Value";"Assumptions Page 2",#N/A,FALSE,"JUBA Value";"Assumptions Page 3",#N/A,FALSE,"JUBA Value";"Assumptions Page 4",#N/A,FALSE,"JUBA Value"}</definedName>
    <definedName name="wrn.Misc." hidden="1">{"CEMAT Tariff",#N/A,FALSE,"JUBAMWH";"BNDES A Summary",#N/A,FALSE,"BNDES A";"BNDES B Summary",#N/A,FALSE,"BNDES B";"FINAME Summary",#N/A,FALSE,"FINAME"}</definedName>
    <definedName name="wrn.Summary._.Financials." hidden="1">{"Op Sum Page 1",#N/A,FALSE,"SAOPAULO";"Income Sum Page 2",#N/A,FALSE,"SAOPAULO";"Cash Sum Page 3",#N/A,FALSE,"SAOPAULO";"Balance Sum Page 4",#N/A,FALSE,"SAOPAULO";"Dep Sum Page 5",#N/A,FALSE,"SAOPAULO"}</definedName>
  </definedNames>
  <calcPr calcId="152511"/>
</workbook>
</file>

<file path=xl/calcChain.xml><?xml version="1.0" encoding="utf-8"?>
<calcChain xmlns="http://schemas.openxmlformats.org/spreadsheetml/2006/main">
  <c r="I9" i="16" l="1"/>
  <c r="K12" i="16"/>
  <c r="I12" i="16"/>
  <c r="J39" i="16" l="1"/>
  <c r="I39" i="16"/>
  <c r="L37" i="16"/>
  <c r="I37" i="16"/>
  <c r="M37" i="16" s="1"/>
  <c r="L36" i="16"/>
  <c r="I36" i="16"/>
  <c r="M36" i="16" s="1"/>
  <c r="L35" i="16"/>
  <c r="I35" i="16"/>
  <c r="M35" i="16" s="1"/>
  <c r="B35" i="16"/>
  <c r="L34" i="16"/>
  <c r="I34" i="16"/>
  <c r="K34" i="16" s="1"/>
  <c r="B34" i="16"/>
  <c r="L33" i="16"/>
  <c r="I33" i="16"/>
  <c r="K33" i="16" s="1"/>
  <c r="B33" i="16"/>
  <c r="L32" i="16"/>
  <c r="K32" i="16"/>
  <c r="I32" i="16"/>
  <c r="M32" i="16" s="1"/>
  <c r="B32" i="16"/>
  <c r="I31" i="16"/>
  <c r="M31" i="16" s="1"/>
  <c r="B31" i="16"/>
  <c r="L30" i="16"/>
  <c r="I30" i="16"/>
  <c r="M30" i="16" s="1"/>
  <c r="B30" i="16"/>
  <c r="L29" i="16"/>
  <c r="I29" i="16"/>
  <c r="M29" i="16" s="1"/>
  <c r="B29" i="16"/>
  <c r="L28" i="16"/>
  <c r="I28" i="16"/>
  <c r="K28" i="16" s="1"/>
  <c r="B28" i="16"/>
  <c r="L27" i="16"/>
  <c r="I27" i="16"/>
  <c r="M27" i="16" s="1"/>
  <c r="B27" i="16"/>
  <c r="I26" i="16"/>
  <c r="M26" i="16" s="1"/>
  <c r="B26" i="16"/>
  <c r="L25" i="16"/>
  <c r="I25" i="16"/>
  <c r="M25" i="16" s="1"/>
  <c r="B25" i="16"/>
  <c r="I24" i="16"/>
  <c r="K24" i="16" s="1"/>
  <c r="B24" i="16"/>
  <c r="L23" i="16"/>
  <c r="I23" i="16"/>
  <c r="K23" i="16" s="1"/>
  <c r="B23" i="16"/>
  <c r="L22" i="16"/>
  <c r="I22" i="16"/>
  <c r="K22" i="16" s="1"/>
  <c r="B22" i="16"/>
  <c r="L21" i="16"/>
  <c r="I21" i="16"/>
  <c r="K21" i="16" s="1"/>
  <c r="B21" i="16"/>
  <c r="L20" i="16"/>
  <c r="I20" i="16"/>
  <c r="M20" i="16" s="1"/>
  <c r="B20" i="16"/>
  <c r="L19" i="16"/>
  <c r="I19" i="16"/>
  <c r="M19" i="16" s="1"/>
  <c r="B19" i="16"/>
  <c r="I18" i="16"/>
  <c r="K18" i="16" s="1"/>
  <c r="B18" i="16"/>
  <c r="I17" i="16"/>
  <c r="K17" i="16" s="1"/>
  <c r="B17" i="16"/>
  <c r="L16" i="16"/>
  <c r="I16" i="16"/>
  <c r="K16" i="16" s="1"/>
  <c r="B16" i="16"/>
  <c r="L15" i="16"/>
  <c r="I15" i="16"/>
  <c r="K15" i="16" s="1"/>
  <c r="B15" i="16"/>
  <c r="L14" i="16"/>
  <c r="I14" i="16"/>
  <c r="M14" i="16" s="1"/>
  <c r="B14" i="16"/>
  <c r="L13" i="16"/>
  <c r="I13" i="16"/>
  <c r="M13" i="16" s="1"/>
  <c r="B13" i="16"/>
  <c r="L12" i="16"/>
  <c r="B12" i="16"/>
  <c r="L11" i="16"/>
  <c r="I11" i="16"/>
  <c r="K11" i="16" s="1"/>
  <c r="B11" i="16"/>
  <c r="I10" i="16"/>
  <c r="K10" i="16" s="1"/>
  <c r="B10" i="16"/>
  <c r="L9" i="16"/>
  <c r="M9" i="16"/>
  <c r="B9" i="16"/>
  <c r="L8" i="16"/>
  <c r="K8" i="16"/>
  <c r="I8" i="16"/>
  <c r="M8" i="16" s="1"/>
  <c r="B8" i="16"/>
  <c r="K36" i="16" l="1"/>
  <c r="M34" i="16"/>
  <c r="K45" i="16"/>
  <c r="K29" i="16"/>
  <c r="K35" i="16"/>
  <c r="K37" i="16"/>
  <c r="K13" i="16"/>
  <c r="K9" i="16"/>
  <c r="M12" i="16"/>
  <c r="M16" i="16"/>
  <c r="M17" i="16"/>
  <c r="M18" i="16"/>
  <c r="M23" i="16"/>
  <c r="M24" i="16"/>
  <c r="K14" i="16"/>
  <c r="K19" i="16"/>
  <c r="K20" i="16"/>
  <c r="K25" i="16"/>
  <c r="K26" i="16"/>
  <c r="K27" i="16"/>
  <c r="K30" i="16"/>
  <c r="K31" i="16"/>
  <c r="M28" i="16"/>
  <c r="M10" i="16"/>
  <c r="M11" i="16"/>
  <c r="M15" i="16"/>
  <c r="M21" i="16"/>
  <c r="M33" i="16"/>
  <c r="K39" i="16" l="1"/>
  <c r="K42" i="16" s="1"/>
  <c r="M39" i="16"/>
  <c r="M42" i="16" s="1"/>
  <c r="M44" i="16" l="1"/>
  <c r="K43" i="16"/>
</calcChain>
</file>

<file path=xl/sharedStrings.xml><?xml version="1.0" encoding="utf-8"?>
<sst xmlns="http://schemas.openxmlformats.org/spreadsheetml/2006/main" count="27" uniqueCount="23">
  <si>
    <t>CONTROLE DE HORAS MENSAL</t>
  </si>
  <si>
    <t xml:space="preserve">COLABORADOR: </t>
  </si>
  <si>
    <t>MANHÃ</t>
  </si>
  <si>
    <t>TARDE</t>
  </si>
  <si>
    <t>NOITE</t>
  </si>
  <si>
    <t>DATA</t>
  </si>
  <si>
    <t>DIA SEMANA</t>
  </si>
  <si>
    <t>H.ENTR.</t>
  </si>
  <si>
    <t>H.SAIDA</t>
  </si>
  <si>
    <t>T.HORAS</t>
  </si>
  <si>
    <t>H. NORMAL</t>
  </si>
  <si>
    <t>H. EXTRA</t>
  </si>
  <si>
    <t>H. DEVE</t>
  </si>
  <si>
    <t>OBSERVAÇÃO</t>
  </si>
  <si>
    <t>HORAS MÊ ANTERIOR</t>
  </si>
  <si>
    <t>POSIÇÃO DE HORAS ATUAL</t>
  </si>
  <si>
    <t>HORAS A RECEBER</t>
  </si>
  <si>
    <t>DEVE HORAS</t>
  </si>
  <si>
    <t>HISTORICO DIARIO</t>
  </si>
  <si>
    <t>H. EXTRA C/ AD</t>
  </si>
  <si>
    <t>HORAS C/ ADICIONAL NOTURNO</t>
  </si>
  <si>
    <t>MÊS: FEVEREIRO</t>
  </si>
  <si>
    <t>FOLGA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</si>
</sst>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dd\-mmm\-yy"/>
    <numFmt numFmtId="166" formatCode="dddd"/>
    <numFmt numFmtId="167" formatCode="[h]:mm:ss;@"/>
    <numFmt numFmtId="168" formatCode="_(&quot;$&quot;* #,##0_);_(&quot;$&quot;* \(#,##0\);_(&quot;$&quot;* &quot;-&quot;_);_(@_)"/>
    <numFmt numFmtId="169" formatCode="_([$€-2]* #,##0.00_);_([$€-2]* \(#,##0.00\);_([$€-2]* &quot;-&quot;??_)"/>
    <numFmt numFmtId="170" formatCode="_(* #,##0.000_);_(* \(#,##0.000\);_(* &quot;-&quot;???_);_(@_)"/>
    <numFmt numFmtId="171" formatCode="0.000000000000000000000000000000"/>
    <numFmt numFmtId="172" formatCode="[$-F400]h:mm:ss\ AM/PM"/>
  </numFmts>
  <fonts count="17" x14ac:knownFonts="1">
    <font>
      <sz val="10"/>
      <name val="Arial"/>
      <family val="2"/>
    </font>
    <font>
      <sz val="10"/>
      <name val="Arial"/>
      <family val="2"/>
    </font>
    <font>
      <b/>
      <sz val="22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2"/>
      <name val="Tms Rmn"/>
    </font>
    <font>
      <sz val="10"/>
      <name val="Helv"/>
    </font>
    <font>
      <b/>
      <sz val="12"/>
      <name val="Arial"/>
      <family val="2"/>
    </font>
    <font>
      <sz val="10"/>
      <name val="Courier"/>
      <family val="3"/>
    </font>
    <font>
      <sz val="7"/>
      <name val="Small Fonts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11"/>
      <color indexed="12"/>
      <name val="Arial"/>
      <family val="2"/>
    </font>
    <font>
      <b/>
      <sz val="12"/>
      <color indexed="12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12">
    <xf numFmtId="0" fontId="0" fillId="0" borderId="0"/>
    <xf numFmtId="0" fontId="6" fillId="0" borderId="0" applyNumberFormat="0" applyFill="0" applyBorder="0" applyAlignment="0" applyProtection="0"/>
    <xf numFmtId="0" fontId="7" fillId="0" borderId="1"/>
    <xf numFmtId="0" fontId="7" fillId="0" borderId="1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0" fontId="9" fillId="0" borderId="0"/>
    <xf numFmtId="37" fontId="10" fillId="0" borderId="0"/>
    <xf numFmtId="170" fontId="1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46" fontId="4" fillId="2" borderId="0" xfId="0" applyNumberFormat="1" applyFont="1" applyFill="1" applyBorder="1" applyAlignment="1" applyProtection="1">
      <alignment horizontal="center"/>
    </xf>
    <xf numFmtId="0" fontId="4" fillId="2" borderId="0" xfId="0" applyFont="1" applyFill="1" applyProtection="1"/>
    <xf numFmtId="0" fontId="5" fillId="2" borderId="0" xfId="0" applyFont="1" applyFill="1" applyBorder="1" applyProtection="1"/>
    <xf numFmtId="0" fontId="4" fillId="2" borderId="0" xfId="0" applyFont="1" applyFill="1" applyBorder="1" applyProtection="1"/>
    <xf numFmtId="167" fontId="5" fillId="2" borderId="2" xfId="0" applyNumberFormat="1" applyFont="1" applyFill="1" applyBorder="1" applyAlignment="1" applyProtection="1">
      <alignment horizontal="center"/>
    </xf>
    <xf numFmtId="167" fontId="4" fillId="0" borderId="4" xfId="0" applyNumberFormat="1" applyFont="1" applyFill="1" applyBorder="1" applyAlignment="1" applyProtection="1">
      <alignment horizontal="center"/>
    </xf>
    <xf numFmtId="0" fontId="0" fillId="2" borderId="0" xfId="0" applyFill="1" applyProtection="1"/>
    <xf numFmtId="0" fontId="1" fillId="2" borderId="0" xfId="0" applyFont="1" applyFill="1" applyProtection="1"/>
    <xf numFmtId="0" fontId="3" fillId="2" borderId="5" xfId="0" applyFont="1" applyFill="1" applyBorder="1" applyProtection="1"/>
    <xf numFmtId="0" fontId="3" fillId="2" borderId="0" xfId="0" applyFont="1" applyFill="1" applyBorder="1" applyProtection="1"/>
    <xf numFmtId="0" fontId="0" fillId="2" borderId="0" xfId="0" applyFill="1" applyBorder="1" applyProtection="1"/>
    <xf numFmtId="0" fontId="4" fillId="2" borderId="5" xfId="0" applyFont="1" applyFill="1" applyBorder="1" applyProtection="1"/>
    <xf numFmtId="43" fontId="4" fillId="2" borderId="0" xfId="0" applyNumberFormat="1" applyFont="1" applyFill="1" applyProtection="1"/>
    <xf numFmtId="0" fontId="5" fillId="2" borderId="0" xfId="0" applyFont="1" applyFill="1" applyProtection="1"/>
    <xf numFmtId="46" fontId="0" fillId="2" borderId="0" xfId="0" applyNumberFormat="1" applyFill="1" applyProtection="1"/>
    <xf numFmtId="0" fontId="0" fillId="2" borderId="0" xfId="0" applyFill="1" applyBorder="1" applyProtection="1">
      <protection locked="0"/>
    </xf>
    <xf numFmtId="167" fontId="5" fillId="0" borderId="6" xfId="0" applyNumberFormat="1" applyFont="1" applyFill="1" applyBorder="1" applyAlignment="1" applyProtection="1">
      <alignment horizontal="center"/>
    </xf>
    <xf numFmtId="0" fontId="0" fillId="2" borderId="7" xfId="0" applyFill="1" applyBorder="1" applyProtection="1"/>
    <xf numFmtId="0" fontId="0" fillId="2" borderId="8" xfId="0" applyFill="1" applyBorder="1" applyProtection="1"/>
    <xf numFmtId="46" fontId="0" fillId="2" borderId="8" xfId="0" applyNumberFormat="1" applyFill="1" applyBorder="1" applyProtection="1"/>
    <xf numFmtId="0" fontId="0" fillId="2" borderId="9" xfId="0" applyFill="1" applyBorder="1" applyProtection="1"/>
    <xf numFmtId="167" fontId="12" fillId="2" borderId="2" xfId="0" applyNumberFormat="1" applyFont="1" applyFill="1" applyBorder="1" applyAlignment="1" applyProtection="1">
      <alignment horizontal="center"/>
    </xf>
    <xf numFmtId="167" fontId="13" fillId="2" borderId="2" xfId="0" applyNumberFormat="1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left"/>
    </xf>
    <xf numFmtId="0" fontId="0" fillId="2" borderId="0" xfId="0" applyFill="1" applyBorder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2" borderId="8" xfId="0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167" fontId="0" fillId="2" borderId="0" xfId="0" applyNumberFormat="1" applyFill="1" applyAlignment="1" applyProtection="1">
      <alignment horizontal="center"/>
    </xf>
    <xf numFmtId="167" fontId="3" fillId="2" borderId="2" xfId="0" applyNumberFormat="1" applyFont="1" applyFill="1" applyBorder="1" applyAlignment="1" applyProtection="1">
      <alignment horizontal="center"/>
    </xf>
    <xf numFmtId="167" fontId="14" fillId="2" borderId="2" xfId="0" applyNumberFormat="1" applyFont="1" applyFill="1" applyBorder="1" applyAlignment="1" applyProtection="1">
      <alignment horizontal="center"/>
    </xf>
    <xf numFmtId="167" fontId="15" fillId="2" borderId="2" xfId="0" applyNumberFormat="1" applyFont="1" applyFill="1" applyBorder="1" applyAlignment="1" applyProtection="1">
      <alignment horizontal="center"/>
    </xf>
    <xf numFmtId="167" fontId="16" fillId="0" borderId="2" xfId="0" applyNumberFormat="1" applyFont="1" applyFill="1" applyBorder="1" applyAlignment="1" applyProtection="1">
      <alignment horizontal="center"/>
    </xf>
    <xf numFmtId="0" fontId="4" fillId="0" borderId="0" xfId="0" applyFont="1" applyFill="1" applyBorder="1" applyProtection="1"/>
    <xf numFmtId="0" fontId="4" fillId="0" borderId="0" xfId="0" applyFont="1" applyFill="1" applyProtection="1"/>
    <xf numFmtId="0" fontId="0" fillId="0" borderId="5" xfId="0" applyFill="1" applyBorder="1" applyProtection="1"/>
    <xf numFmtId="0" fontId="0" fillId="0" borderId="0" xfId="0" applyFill="1" applyBorder="1" applyProtection="1"/>
    <xf numFmtId="0" fontId="0" fillId="0" borderId="0" xfId="0" applyFill="1" applyBorder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4" fillId="0" borderId="5" xfId="0" applyFont="1" applyFill="1" applyBorder="1" applyProtection="1"/>
    <xf numFmtId="0" fontId="4" fillId="0" borderId="0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5" fillId="0" borderId="11" xfId="0" applyFont="1" applyFill="1" applyBorder="1" applyAlignment="1" applyProtection="1">
      <alignment horizontal="center"/>
    </xf>
    <xf numFmtId="0" fontId="5" fillId="0" borderId="12" xfId="0" applyFont="1" applyFill="1" applyBorder="1" applyAlignment="1" applyProtection="1">
      <alignment horizontal="center"/>
    </xf>
    <xf numFmtId="20" fontId="0" fillId="2" borderId="0" xfId="0" applyNumberFormat="1" applyFill="1" applyBorder="1" applyAlignment="1" applyProtection="1">
      <alignment horizontal="center"/>
    </xf>
    <xf numFmtId="167" fontId="4" fillId="0" borderId="13" xfId="0" applyNumberFormat="1" applyFont="1" applyFill="1" applyBorder="1" applyAlignment="1" applyProtection="1">
      <alignment horizontal="center"/>
    </xf>
    <xf numFmtId="167" fontId="5" fillId="0" borderId="13" xfId="0" applyNumberFormat="1" applyFont="1" applyFill="1" applyBorder="1" applyAlignment="1" applyProtection="1">
      <alignment horizontal="center"/>
    </xf>
    <xf numFmtId="165" fontId="5" fillId="0" borderId="18" xfId="0" applyNumberFormat="1" applyFont="1" applyFill="1" applyBorder="1" applyProtection="1"/>
    <xf numFmtId="165" fontId="5" fillId="0" borderId="0" xfId="0" applyNumberFormat="1" applyFont="1" applyFill="1" applyBorder="1" applyProtection="1"/>
    <xf numFmtId="166" fontId="11" fillId="0" borderId="0" xfId="0" applyNumberFormat="1" applyFont="1" applyFill="1" applyBorder="1" applyAlignment="1" applyProtection="1">
      <alignment horizontal="center" vertical="center"/>
    </xf>
    <xf numFmtId="172" fontId="4" fillId="0" borderId="0" xfId="0" applyNumberFormat="1" applyFont="1" applyFill="1" applyBorder="1" applyAlignment="1" applyProtection="1">
      <alignment horizontal="center"/>
      <protection locked="0"/>
    </xf>
    <xf numFmtId="20" fontId="0" fillId="0" borderId="0" xfId="0" applyNumberFormat="1" applyFill="1" applyBorder="1" applyAlignment="1" applyProtection="1">
      <alignment horizontal="center"/>
    </xf>
    <xf numFmtId="167" fontId="5" fillId="0" borderId="0" xfId="0" applyNumberFormat="1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  <protection locked="0"/>
    </xf>
    <xf numFmtId="20" fontId="0" fillId="0" borderId="4" xfId="0" applyNumberFormat="1" applyFill="1" applyBorder="1" applyAlignment="1" applyProtection="1">
      <alignment horizontal="center"/>
      <protection locked="0"/>
    </xf>
    <xf numFmtId="0" fontId="5" fillId="0" borderId="10" xfId="0" applyFont="1" applyFill="1" applyBorder="1" applyAlignment="1" applyProtection="1">
      <alignment horizont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20" fontId="4" fillId="0" borderId="4" xfId="0" applyNumberFormat="1" applyFont="1" applyFill="1" applyBorder="1" applyAlignment="1" applyProtection="1">
      <alignment horizontal="center" vertical="center"/>
      <protection locked="0"/>
    </xf>
    <xf numFmtId="167" fontId="4" fillId="0" borderId="9" xfId="0" applyNumberFormat="1" applyFont="1" applyFill="1" applyBorder="1" applyAlignment="1" applyProtection="1">
      <alignment horizontal="center"/>
    </xf>
    <xf numFmtId="167" fontId="5" fillId="0" borderId="4" xfId="0" applyNumberFormat="1" applyFont="1" applyFill="1" applyBorder="1" applyAlignment="1" applyProtection="1">
      <alignment horizontal="center"/>
    </xf>
    <xf numFmtId="167" fontId="5" fillId="0" borderId="14" xfId="0" applyNumberFormat="1" applyFont="1" applyFill="1" applyBorder="1" applyAlignment="1" applyProtection="1">
      <alignment horizontal="center"/>
    </xf>
    <xf numFmtId="0" fontId="4" fillId="0" borderId="17" xfId="0" applyFont="1" applyFill="1" applyBorder="1" applyAlignment="1" applyProtection="1">
      <alignment horizontal="center"/>
      <protection locked="0"/>
    </xf>
    <xf numFmtId="167" fontId="4" fillId="0" borderId="0" xfId="0" applyNumberFormat="1" applyFont="1" applyFill="1" applyProtection="1"/>
    <xf numFmtId="46" fontId="4" fillId="0" borderId="0" xfId="11" applyNumberFormat="1" applyFont="1" applyFill="1" applyBorder="1" applyProtection="1"/>
    <xf numFmtId="171" fontId="4" fillId="0" borderId="0" xfId="0" applyNumberFormat="1" applyFont="1" applyFill="1" applyProtection="1"/>
    <xf numFmtId="0" fontId="4" fillId="0" borderId="23" xfId="0" applyFont="1" applyFill="1" applyBorder="1" applyAlignment="1" applyProtection="1">
      <alignment horizontal="center"/>
      <protection locked="0"/>
    </xf>
    <xf numFmtId="0" fontId="4" fillId="0" borderId="15" xfId="0" applyFont="1" applyFill="1" applyBorder="1" applyAlignment="1" applyProtection="1">
      <alignment horizontal="center"/>
      <protection locked="0"/>
    </xf>
    <xf numFmtId="21" fontId="4" fillId="0" borderId="0" xfId="0" applyNumberFormat="1" applyFont="1" applyFill="1" applyBorder="1" applyProtection="1"/>
    <xf numFmtId="172" fontId="4" fillId="0" borderId="0" xfId="0" applyNumberFormat="1" applyFont="1" applyFill="1" applyProtection="1"/>
    <xf numFmtId="0" fontId="4" fillId="0" borderId="16" xfId="0" applyFont="1" applyFill="1" applyBorder="1" applyAlignment="1" applyProtection="1">
      <alignment horizontal="center"/>
      <protection locked="0"/>
    </xf>
    <xf numFmtId="0" fontId="5" fillId="0" borderId="19" xfId="0" applyFont="1" applyFill="1" applyBorder="1" applyAlignment="1" applyProtection="1">
      <alignment horizontal="center"/>
    </xf>
    <xf numFmtId="0" fontId="5" fillId="0" borderId="20" xfId="0" applyFont="1" applyFill="1" applyBorder="1" applyAlignment="1" applyProtection="1">
      <alignment horizontal="center"/>
    </xf>
    <xf numFmtId="0" fontId="3" fillId="3" borderId="7" xfId="0" applyFont="1" applyFill="1" applyBorder="1" applyAlignment="1" applyProtection="1">
      <alignment horizontal="center"/>
    </xf>
    <xf numFmtId="0" fontId="3" fillId="3" borderId="9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5" fillId="0" borderId="10" xfId="0" applyFont="1" applyFill="1" applyBorder="1" applyAlignment="1" applyProtection="1">
      <alignment horizontal="center"/>
    </xf>
    <xf numFmtId="0" fontId="5" fillId="0" borderId="21" xfId="0" applyFont="1" applyFill="1" applyBorder="1" applyAlignment="1" applyProtection="1">
      <alignment horizontal="center"/>
    </xf>
  </cellXfs>
  <cellStyles count="12">
    <cellStyle name="Body" xfId="1"/>
    <cellStyle name="Comma  - Style1" xfId="2"/>
    <cellStyle name="Curren - Style2" xfId="3"/>
    <cellStyle name="CurŲency [0]_laroux_4_results" xfId="4"/>
    <cellStyle name="Euro" xfId="5"/>
    <cellStyle name="Header1" xfId="6"/>
    <cellStyle name="Header2" xfId="7"/>
    <cellStyle name="Indefinido" xfId="8"/>
    <cellStyle name="no dec" xfId="9"/>
    <cellStyle name="Normal" xfId="0" builtinId="0"/>
    <cellStyle name="Normal - Style1" xfId="10"/>
    <cellStyle name="Vírgula" xfId="11" builtinId="3"/>
  </cellStyles>
  <dxfs count="1"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usa-pignata\publico\NEUSA\D&#205;VIDA\outros\SuperCalend&#225;r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ual"/>
      <sheetName val="Feriados"/>
    </sheetNames>
    <sheetDataSet>
      <sheetData sheetId="0" refreshError="1">
        <row r="2">
          <cell r="C2">
            <v>2003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12" sqref="I12"/>
    </sheetView>
  </sheetViews>
  <sheetFormatPr defaultRowHeight="12.75" x14ac:dyDescent="0.2"/>
  <cols>
    <col min="1" max="1" width="9.28515625" style="7" customWidth="1"/>
    <col min="2" max="2" width="19.28515625" style="7" customWidth="1"/>
    <col min="3" max="3" width="11.5703125" style="7" customWidth="1"/>
    <col min="4" max="6" width="9.7109375" style="7" customWidth="1"/>
    <col min="7" max="8" width="10" style="7" customWidth="1"/>
    <col min="9" max="9" width="13.140625" style="7" customWidth="1"/>
    <col min="10" max="10" width="11.5703125" style="7" customWidth="1"/>
    <col min="11" max="11" width="14" style="26" customWidth="1"/>
    <col min="12" max="12" width="16.42578125" style="26" hidden="1" customWidth="1"/>
    <col min="13" max="13" width="14.42578125" style="26" customWidth="1"/>
    <col min="14" max="14" width="30.28515625" style="7" customWidth="1"/>
    <col min="15" max="15" width="6.85546875" style="8" hidden="1" customWidth="1"/>
    <col min="16" max="19" width="9.140625" style="7"/>
    <col min="20" max="20" width="33.140625" style="7" bestFit="1" customWidth="1"/>
    <col min="21" max="16384" width="9.140625" style="7"/>
  </cols>
  <sheetData>
    <row r="1" spans="1:20" ht="12.75" customHeight="1" x14ac:dyDescent="0.2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20" ht="12.75" customHeight="1" x14ac:dyDescent="0.2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20" x14ac:dyDescent="0.2">
      <c r="A3" s="9" t="s">
        <v>1</v>
      </c>
      <c r="B3" s="10"/>
      <c r="C3" s="16"/>
      <c r="D3" s="11"/>
      <c r="E3" s="11"/>
      <c r="F3" s="11"/>
      <c r="G3" s="11"/>
      <c r="H3" s="11"/>
      <c r="I3" s="11"/>
      <c r="J3" s="11"/>
      <c r="K3" s="47"/>
      <c r="L3" s="25"/>
    </row>
    <row r="4" spans="1:20" x14ac:dyDescent="0.2">
      <c r="A4" s="9" t="s">
        <v>21</v>
      </c>
      <c r="B4" s="10"/>
      <c r="C4" s="24">
        <v>2015</v>
      </c>
      <c r="D4" s="11"/>
      <c r="E4" s="11"/>
      <c r="F4" s="11"/>
      <c r="G4" s="11"/>
      <c r="H4" s="11"/>
      <c r="I4" s="11"/>
      <c r="J4" s="11"/>
      <c r="K4" s="25"/>
      <c r="L4" s="25"/>
    </row>
    <row r="5" spans="1:20" ht="13.5" thickBot="1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8"/>
      <c r="L5" s="38"/>
      <c r="M5" s="39"/>
      <c r="N5" s="40"/>
      <c r="O5" s="41"/>
      <c r="P5" s="40"/>
    </row>
    <row r="6" spans="1:20" s="2" customFormat="1" thickBot="1" x14ac:dyDescent="0.25">
      <c r="A6" s="42"/>
      <c r="B6" s="34"/>
      <c r="C6" s="79" t="s">
        <v>2</v>
      </c>
      <c r="D6" s="80"/>
      <c r="E6" s="79" t="s">
        <v>3</v>
      </c>
      <c r="F6" s="80"/>
      <c r="G6" s="79" t="s">
        <v>4</v>
      </c>
      <c r="H6" s="80"/>
      <c r="I6" s="34"/>
      <c r="J6" s="34"/>
      <c r="K6" s="43"/>
      <c r="L6" s="43"/>
      <c r="M6" s="44"/>
      <c r="N6" s="35"/>
      <c r="O6" s="35"/>
      <c r="P6" s="35"/>
    </row>
    <row r="7" spans="1:20" s="2" customFormat="1" thickBot="1" x14ac:dyDescent="0.25">
      <c r="A7" s="45" t="s">
        <v>5</v>
      </c>
      <c r="B7" s="45" t="s">
        <v>6</v>
      </c>
      <c r="C7" s="46" t="s">
        <v>7</v>
      </c>
      <c r="D7" s="46" t="s">
        <v>8</v>
      </c>
      <c r="E7" s="46" t="s">
        <v>7</v>
      </c>
      <c r="F7" s="46" t="s">
        <v>8</v>
      </c>
      <c r="G7" s="46" t="s">
        <v>7</v>
      </c>
      <c r="H7" s="46" t="s">
        <v>8</v>
      </c>
      <c r="I7" s="46" t="s">
        <v>9</v>
      </c>
      <c r="J7" s="46" t="s">
        <v>10</v>
      </c>
      <c r="K7" s="46" t="s">
        <v>11</v>
      </c>
      <c r="L7" s="45" t="s">
        <v>19</v>
      </c>
      <c r="M7" s="58" t="s">
        <v>12</v>
      </c>
      <c r="N7" s="73" t="s">
        <v>18</v>
      </c>
      <c r="O7" s="74"/>
      <c r="P7" s="35"/>
    </row>
    <row r="8" spans="1:20" s="35" customFormat="1" ht="13.5" thickBot="1" x14ac:dyDescent="0.25">
      <c r="A8" s="50">
        <v>42036</v>
      </c>
      <c r="B8" s="59">
        <f t="shared" ref="B8:B35" si="0">WEEKDAY(A8)</f>
        <v>1</v>
      </c>
      <c r="C8" s="60"/>
      <c r="D8" s="60"/>
      <c r="E8" s="60"/>
      <c r="F8" s="60"/>
      <c r="G8" s="60"/>
      <c r="H8" s="60"/>
      <c r="I8" s="61">
        <f t="shared" ref="I8:I37" si="1">(D8-C8)+(F8-E8)+(H8-G8)</f>
        <v>0</v>
      </c>
      <c r="J8" s="57"/>
      <c r="K8" s="62">
        <f t="shared" ref="K8:K37" si="2">IF(AND((I8&gt;J8),(I8-J8&gt;$O$8)),I8-J8,0)</f>
        <v>0</v>
      </c>
      <c r="L8" s="63">
        <f t="shared" ref="L8:L37" si="3">IF(H8&gt;0.916666666666667,(H8-0.916666666666667),0)</f>
        <v>0</v>
      </c>
      <c r="M8" s="62">
        <f t="shared" ref="M8:M37" si="4">IF(AND((I8&lt;J8),(J8-I8&gt;$O$9)),J8-I8,0)</f>
        <v>0</v>
      </c>
      <c r="N8" s="64"/>
      <c r="O8" s="65">
        <v>2.1516203703703704E-2</v>
      </c>
      <c r="P8" s="34"/>
      <c r="Q8" s="66"/>
      <c r="T8" s="67"/>
    </row>
    <row r="9" spans="1:20" s="35" customFormat="1" ht="13.5" thickBot="1" x14ac:dyDescent="0.25">
      <c r="A9" s="50">
        <v>42037</v>
      </c>
      <c r="B9" s="59">
        <f t="shared" si="0"/>
        <v>2</v>
      </c>
      <c r="C9" s="60">
        <v>0.32916666666666666</v>
      </c>
      <c r="D9" s="60">
        <v>0.3972222222222222</v>
      </c>
      <c r="E9" s="60">
        <v>0.47638888888888892</v>
      </c>
      <c r="F9" s="60">
        <v>0.75138888888888899</v>
      </c>
      <c r="G9" s="60"/>
      <c r="H9" s="60"/>
      <c r="I9" s="61">
        <f>(D9-C9)+(F9-E9)+(H9-G9)</f>
        <v>0.34305555555555561</v>
      </c>
      <c r="J9" s="57">
        <v>0.33333333333333331</v>
      </c>
      <c r="K9" s="62">
        <f t="shared" si="2"/>
        <v>0</v>
      </c>
      <c r="L9" s="63">
        <f t="shared" si="3"/>
        <v>0</v>
      </c>
      <c r="M9" s="62">
        <f t="shared" si="4"/>
        <v>0</v>
      </c>
      <c r="N9" s="68"/>
      <c r="O9" s="65">
        <v>2.1516203703703704E-2</v>
      </c>
      <c r="P9" s="34"/>
      <c r="Q9" s="66"/>
      <c r="T9" s="67"/>
    </row>
    <row r="10" spans="1:20" s="35" customFormat="1" ht="13.5" thickBot="1" x14ac:dyDescent="0.25">
      <c r="A10" s="50">
        <v>42038</v>
      </c>
      <c r="B10" s="59">
        <f t="shared" si="0"/>
        <v>3</v>
      </c>
      <c r="C10" s="60"/>
      <c r="D10" s="60"/>
      <c r="E10" s="60">
        <v>0.47152777777777777</v>
      </c>
      <c r="F10" s="60">
        <v>0.75486111111111109</v>
      </c>
      <c r="G10" s="60"/>
      <c r="H10" s="60"/>
      <c r="I10" s="61">
        <f t="shared" si="1"/>
        <v>0.28333333333333333</v>
      </c>
      <c r="J10" s="57">
        <v>0.33333333333333331</v>
      </c>
      <c r="K10" s="62">
        <f t="shared" si="2"/>
        <v>0</v>
      </c>
      <c r="L10" s="63"/>
      <c r="M10" s="62">
        <f t="shared" si="4"/>
        <v>4.9999999999999989E-2</v>
      </c>
      <c r="N10" s="68"/>
      <c r="O10" s="65"/>
      <c r="P10" s="34"/>
      <c r="Q10" s="66"/>
      <c r="T10" s="67"/>
    </row>
    <row r="11" spans="1:20" s="35" customFormat="1" ht="13.5" thickBot="1" x14ac:dyDescent="0.25">
      <c r="A11" s="50">
        <v>42039</v>
      </c>
      <c r="B11" s="59">
        <f t="shared" si="0"/>
        <v>4</v>
      </c>
      <c r="C11" s="60"/>
      <c r="D11" s="60"/>
      <c r="E11" s="60"/>
      <c r="F11" s="60"/>
      <c r="G11" s="60"/>
      <c r="H11" s="60"/>
      <c r="I11" s="61">
        <f t="shared" si="1"/>
        <v>0</v>
      </c>
      <c r="J11" s="57"/>
      <c r="K11" s="62">
        <f t="shared" si="2"/>
        <v>0</v>
      </c>
      <c r="L11" s="63">
        <f t="shared" si="3"/>
        <v>0</v>
      </c>
      <c r="M11" s="62">
        <f t="shared" si="4"/>
        <v>0</v>
      </c>
      <c r="N11" s="68" t="s">
        <v>22</v>
      </c>
      <c r="O11" s="65"/>
      <c r="P11" s="34"/>
      <c r="Q11" s="66"/>
      <c r="T11" s="67"/>
    </row>
    <row r="12" spans="1:20" s="35" customFormat="1" ht="13.5" thickBot="1" x14ac:dyDescent="0.25">
      <c r="A12" s="50">
        <v>42040</v>
      </c>
      <c r="B12" s="59">
        <f t="shared" si="0"/>
        <v>5</v>
      </c>
      <c r="C12" s="60">
        <v>0.30069444444444443</v>
      </c>
      <c r="D12" s="60">
        <v>0.41875000000000001</v>
      </c>
      <c r="E12" s="60">
        <v>0.47291666666666665</v>
      </c>
      <c r="F12" s="60">
        <v>0.76041666666666663</v>
      </c>
      <c r="G12" s="60"/>
      <c r="H12" s="60"/>
      <c r="I12" s="61">
        <f t="shared" si="1"/>
        <v>0.40555555555555556</v>
      </c>
      <c r="J12" s="57">
        <v>0.33333333333333331</v>
      </c>
      <c r="K12" s="62">
        <f t="shared" si="2"/>
        <v>7.2222222222222243E-2</v>
      </c>
      <c r="L12" s="63">
        <f t="shared" si="3"/>
        <v>0</v>
      </c>
      <c r="M12" s="62">
        <f t="shared" si="4"/>
        <v>0</v>
      </c>
      <c r="N12" s="68"/>
      <c r="O12" s="65"/>
      <c r="P12" s="34"/>
      <c r="Q12" s="66"/>
      <c r="T12" s="67"/>
    </row>
    <row r="13" spans="1:20" s="35" customFormat="1" ht="13.5" thickBot="1" x14ac:dyDescent="0.25">
      <c r="A13" s="50">
        <v>42041</v>
      </c>
      <c r="B13" s="59">
        <f t="shared" si="0"/>
        <v>6</v>
      </c>
      <c r="C13" s="60">
        <v>0.33055555555555555</v>
      </c>
      <c r="D13" s="60">
        <v>0.3972222222222222</v>
      </c>
      <c r="E13" s="60">
        <v>0.46597222222222223</v>
      </c>
      <c r="F13" s="60">
        <v>0.76250000000000007</v>
      </c>
      <c r="G13" s="60"/>
      <c r="H13" s="60"/>
      <c r="I13" s="61">
        <f t="shared" si="1"/>
        <v>0.36319444444444449</v>
      </c>
      <c r="J13" s="57">
        <v>0.33333333333333331</v>
      </c>
      <c r="K13" s="62">
        <f t="shared" si="2"/>
        <v>2.9861111111111172E-2</v>
      </c>
      <c r="L13" s="63">
        <f t="shared" si="3"/>
        <v>0</v>
      </c>
      <c r="M13" s="62">
        <f t="shared" si="4"/>
        <v>0</v>
      </c>
      <c r="N13" s="69"/>
      <c r="P13" s="34"/>
      <c r="Q13" s="70"/>
    </row>
    <row r="14" spans="1:20" s="35" customFormat="1" ht="13.5" thickBot="1" x14ac:dyDescent="0.25">
      <c r="A14" s="50">
        <v>42042</v>
      </c>
      <c r="B14" s="59">
        <f t="shared" si="0"/>
        <v>7</v>
      </c>
      <c r="C14" s="60">
        <v>0.40625</v>
      </c>
      <c r="D14" s="60"/>
      <c r="E14" s="60"/>
      <c r="F14" s="60">
        <v>0.70833333333333337</v>
      </c>
      <c r="G14" s="60"/>
      <c r="H14" s="60"/>
      <c r="I14" s="61">
        <f t="shared" si="1"/>
        <v>0.30208333333333337</v>
      </c>
      <c r="J14" s="57">
        <v>0.16666666666666666</v>
      </c>
      <c r="K14" s="62">
        <f t="shared" si="2"/>
        <v>0.13541666666666671</v>
      </c>
      <c r="L14" s="63">
        <f t="shared" si="3"/>
        <v>0</v>
      </c>
      <c r="M14" s="62">
        <f t="shared" si="4"/>
        <v>0</v>
      </c>
      <c r="N14" s="69"/>
      <c r="O14" s="34"/>
      <c r="P14" s="34"/>
      <c r="Q14" s="34"/>
    </row>
    <row r="15" spans="1:20" s="35" customFormat="1" ht="13.5" thickBot="1" x14ac:dyDescent="0.25">
      <c r="A15" s="50">
        <v>42043</v>
      </c>
      <c r="B15" s="59">
        <f t="shared" si="0"/>
        <v>1</v>
      </c>
      <c r="C15" s="60"/>
      <c r="D15" s="60"/>
      <c r="E15" s="60"/>
      <c r="F15" s="60"/>
      <c r="G15" s="60"/>
      <c r="H15" s="60"/>
      <c r="I15" s="61">
        <f t="shared" si="1"/>
        <v>0</v>
      </c>
      <c r="J15" s="57"/>
      <c r="K15" s="62">
        <f t="shared" si="2"/>
        <v>0</v>
      </c>
      <c r="L15" s="63">
        <f t="shared" si="3"/>
        <v>0</v>
      </c>
      <c r="M15" s="62">
        <f t="shared" si="4"/>
        <v>0</v>
      </c>
      <c r="N15" s="69"/>
      <c r="O15" s="34"/>
      <c r="P15" s="34"/>
      <c r="Q15" s="34"/>
    </row>
    <row r="16" spans="1:20" s="35" customFormat="1" ht="13.5" thickBot="1" x14ac:dyDescent="0.25">
      <c r="A16" s="50">
        <v>42044</v>
      </c>
      <c r="B16" s="59">
        <f t="shared" si="0"/>
        <v>2</v>
      </c>
      <c r="C16" s="60">
        <v>0.33124999999999999</v>
      </c>
      <c r="D16" s="60">
        <v>0.39652777777777781</v>
      </c>
      <c r="E16" s="60">
        <v>0.47291666666666665</v>
      </c>
      <c r="F16" s="60">
        <v>0.75416666666666676</v>
      </c>
      <c r="G16" s="60"/>
      <c r="H16" s="60"/>
      <c r="I16" s="61">
        <f t="shared" si="1"/>
        <v>0.34652777777777793</v>
      </c>
      <c r="J16" s="57">
        <v>0.33333333333333331</v>
      </c>
      <c r="K16" s="62">
        <f t="shared" si="2"/>
        <v>0</v>
      </c>
      <c r="L16" s="63">
        <f t="shared" si="3"/>
        <v>0</v>
      </c>
      <c r="M16" s="62">
        <f t="shared" si="4"/>
        <v>0</v>
      </c>
      <c r="N16" s="69"/>
      <c r="O16" s="34"/>
      <c r="P16" s="34"/>
      <c r="Q16" s="34"/>
    </row>
    <row r="17" spans="1:22" s="35" customFormat="1" ht="13.5" thickBot="1" x14ac:dyDescent="0.25">
      <c r="A17" s="50">
        <v>42045</v>
      </c>
      <c r="B17" s="59">
        <f t="shared" si="0"/>
        <v>3</v>
      </c>
      <c r="C17" s="60">
        <v>0.35138888888888892</v>
      </c>
      <c r="D17" s="60">
        <v>0.39861111111111108</v>
      </c>
      <c r="E17" s="60">
        <v>0.46875</v>
      </c>
      <c r="F17" s="60">
        <v>0.75694444444444453</v>
      </c>
      <c r="G17" s="60"/>
      <c r="H17" s="60"/>
      <c r="I17" s="61">
        <f t="shared" si="1"/>
        <v>0.3354166666666667</v>
      </c>
      <c r="J17" s="57">
        <v>0.33333333333333331</v>
      </c>
      <c r="K17" s="62">
        <f t="shared" si="2"/>
        <v>0</v>
      </c>
      <c r="L17" s="63"/>
      <c r="M17" s="62">
        <f t="shared" si="4"/>
        <v>0</v>
      </c>
      <c r="N17" s="69"/>
      <c r="O17" s="34"/>
      <c r="P17" s="34"/>
      <c r="Q17" s="34"/>
    </row>
    <row r="18" spans="1:22" s="35" customFormat="1" ht="13.5" thickBot="1" x14ac:dyDescent="0.25">
      <c r="A18" s="50">
        <v>42046</v>
      </c>
      <c r="B18" s="59">
        <f t="shared" si="0"/>
        <v>4</v>
      </c>
      <c r="C18" s="60">
        <v>0.33194444444444443</v>
      </c>
      <c r="D18" s="60">
        <v>0.39652777777777781</v>
      </c>
      <c r="E18" s="60">
        <v>0.47361111111111115</v>
      </c>
      <c r="F18" s="60">
        <v>0.75486111111111109</v>
      </c>
      <c r="G18" s="60"/>
      <c r="H18" s="60"/>
      <c r="I18" s="61">
        <f t="shared" si="1"/>
        <v>0.34583333333333333</v>
      </c>
      <c r="J18" s="57">
        <v>0.33333333333333331</v>
      </c>
      <c r="K18" s="62">
        <f t="shared" si="2"/>
        <v>0</v>
      </c>
      <c r="L18" s="63"/>
      <c r="M18" s="62">
        <f t="shared" si="4"/>
        <v>0</v>
      </c>
      <c r="N18" s="69"/>
      <c r="O18" s="34"/>
      <c r="P18" s="34"/>
      <c r="Q18" s="34"/>
    </row>
    <row r="19" spans="1:22" s="35" customFormat="1" ht="13.5" thickBot="1" x14ac:dyDescent="0.25">
      <c r="A19" s="50">
        <v>42047</v>
      </c>
      <c r="B19" s="59">
        <f t="shared" si="0"/>
        <v>5</v>
      </c>
      <c r="C19" s="60">
        <v>0.34861111111111115</v>
      </c>
      <c r="D19" s="60">
        <v>0.39930555555555558</v>
      </c>
      <c r="E19" s="60">
        <v>0.47222222222222227</v>
      </c>
      <c r="F19" s="60">
        <v>0.76388888888888884</v>
      </c>
      <c r="G19" s="60"/>
      <c r="H19" s="60"/>
      <c r="I19" s="61">
        <f t="shared" si="1"/>
        <v>0.34236111111111101</v>
      </c>
      <c r="J19" s="57">
        <v>0.33333333333333331</v>
      </c>
      <c r="K19" s="62">
        <f t="shared" si="2"/>
        <v>0</v>
      </c>
      <c r="L19" s="63">
        <f t="shared" si="3"/>
        <v>0</v>
      </c>
      <c r="M19" s="62">
        <f t="shared" si="4"/>
        <v>0</v>
      </c>
      <c r="N19" s="69"/>
      <c r="O19" s="34"/>
      <c r="P19" s="34"/>
      <c r="Q19" s="34"/>
    </row>
    <row r="20" spans="1:22" s="35" customFormat="1" ht="13.5" thickBot="1" x14ac:dyDescent="0.25">
      <c r="A20" s="50">
        <v>42048</v>
      </c>
      <c r="B20" s="59">
        <f t="shared" si="0"/>
        <v>6</v>
      </c>
      <c r="C20" s="60">
        <v>0.33124999999999999</v>
      </c>
      <c r="D20" s="60">
        <v>0.3979166666666667</v>
      </c>
      <c r="E20" s="60">
        <v>0.47291666666666665</v>
      </c>
      <c r="F20" s="60">
        <v>0.75138888888888899</v>
      </c>
      <c r="G20" s="60"/>
      <c r="H20" s="60"/>
      <c r="I20" s="61">
        <f t="shared" si="1"/>
        <v>0.34513888888888905</v>
      </c>
      <c r="J20" s="57">
        <v>0.33333333333333331</v>
      </c>
      <c r="K20" s="62">
        <f t="shared" si="2"/>
        <v>0</v>
      </c>
      <c r="L20" s="63">
        <f t="shared" si="3"/>
        <v>0</v>
      </c>
      <c r="M20" s="62">
        <f t="shared" si="4"/>
        <v>0</v>
      </c>
      <c r="N20" s="69"/>
      <c r="O20" s="34"/>
      <c r="P20" s="34"/>
      <c r="Q20" s="34"/>
    </row>
    <row r="21" spans="1:22" s="35" customFormat="1" ht="13.5" thickBot="1" x14ac:dyDescent="0.25">
      <c r="A21" s="50">
        <v>42049</v>
      </c>
      <c r="B21" s="59">
        <f t="shared" si="0"/>
        <v>7</v>
      </c>
      <c r="C21" s="60">
        <v>0.4055555555555555</v>
      </c>
      <c r="D21" s="60"/>
      <c r="E21" s="60"/>
      <c r="F21" s="60">
        <v>0.62638888888888888</v>
      </c>
      <c r="G21" s="60"/>
      <c r="H21" s="60"/>
      <c r="I21" s="61">
        <f t="shared" si="1"/>
        <v>0.22083333333333338</v>
      </c>
      <c r="J21" s="57">
        <v>0.16666666666666666</v>
      </c>
      <c r="K21" s="62">
        <f t="shared" si="2"/>
        <v>5.4166666666666724E-2</v>
      </c>
      <c r="L21" s="63">
        <f t="shared" si="3"/>
        <v>0</v>
      </c>
      <c r="M21" s="62">
        <f t="shared" si="4"/>
        <v>0</v>
      </c>
      <c r="N21" s="69"/>
      <c r="O21" s="34"/>
      <c r="P21" s="34"/>
      <c r="Q21" s="34"/>
    </row>
    <row r="22" spans="1:22" s="35" customFormat="1" ht="13.5" thickBot="1" x14ac:dyDescent="0.25">
      <c r="A22" s="50">
        <v>42050</v>
      </c>
      <c r="B22" s="59">
        <f t="shared" si="0"/>
        <v>1</v>
      </c>
      <c r="C22" s="60"/>
      <c r="D22" s="60"/>
      <c r="E22" s="60"/>
      <c r="F22" s="60"/>
      <c r="G22" s="60"/>
      <c r="H22" s="60"/>
      <c r="I22" s="61">
        <f t="shared" si="1"/>
        <v>0</v>
      </c>
      <c r="J22" s="57"/>
      <c r="K22" s="62">
        <f t="shared" si="2"/>
        <v>0</v>
      </c>
      <c r="L22" s="63">
        <f t="shared" si="3"/>
        <v>0</v>
      </c>
      <c r="M22" s="62"/>
      <c r="N22" s="69"/>
      <c r="O22" s="34"/>
      <c r="P22" s="34"/>
      <c r="Q22" s="34"/>
    </row>
    <row r="23" spans="1:22" s="35" customFormat="1" ht="13.5" thickBot="1" x14ac:dyDescent="0.25">
      <c r="A23" s="50">
        <v>42051</v>
      </c>
      <c r="B23" s="59">
        <f t="shared" si="0"/>
        <v>2</v>
      </c>
      <c r="C23" s="60"/>
      <c r="D23" s="60"/>
      <c r="E23" s="60"/>
      <c r="F23" s="60"/>
      <c r="G23" s="60"/>
      <c r="H23" s="60"/>
      <c r="I23" s="61">
        <f t="shared" si="1"/>
        <v>0</v>
      </c>
      <c r="J23" s="57"/>
      <c r="K23" s="62">
        <f t="shared" si="2"/>
        <v>0</v>
      </c>
      <c r="L23" s="63">
        <f t="shared" si="3"/>
        <v>0</v>
      </c>
      <c r="M23" s="62">
        <f t="shared" si="4"/>
        <v>0</v>
      </c>
      <c r="N23" s="69"/>
      <c r="O23" s="34"/>
      <c r="P23" s="34"/>
      <c r="Q23" s="34"/>
      <c r="V23" s="71"/>
    </row>
    <row r="24" spans="1:22" s="35" customFormat="1" ht="13.5" thickBot="1" x14ac:dyDescent="0.25">
      <c r="A24" s="50">
        <v>42052</v>
      </c>
      <c r="B24" s="59">
        <f t="shared" si="0"/>
        <v>3</v>
      </c>
      <c r="C24" s="60"/>
      <c r="D24" s="60"/>
      <c r="E24" s="60"/>
      <c r="F24" s="60"/>
      <c r="G24" s="60"/>
      <c r="H24" s="60"/>
      <c r="I24" s="61">
        <f t="shared" si="1"/>
        <v>0</v>
      </c>
      <c r="J24" s="57"/>
      <c r="K24" s="62">
        <f t="shared" si="2"/>
        <v>0</v>
      </c>
      <c r="L24" s="63"/>
      <c r="M24" s="62">
        <f t="shared" si="4"/>
        <v>0</v>
      </c>
      <c r="N24" s="69"/>
      <c r="O24" s="34"/>
      <c r="P24" s="34"/>
      <c r="Q24" s="34"/>
    </row>
    <row r="25" spans="1:22" s="35" customFormat="1" ht="13.5" thickBot="1" x14ac:dyDescent="0.25">
      <c r="A25" s="50">
        <v>42053</v>
      </c>
      <c r="B25" s="59">
        <f t="shared" si="0"/>
        <v>4</v>
      </c>
      <c r="C25" s="60"/>
      <c r="D25" s="60"/>
      <c r="E25" s="60"/>
      <c r="F25" s="60"/>
      <c r="G25" s="60"/>
      <c r="H25" s="60"/>
      <c r="I25" s="61">
        <f t="shared" si="1"/>
        <v>0</v>
      </c>
      <c r="J25" s="57"/>
      <c r="K25" s="62">
        <f t="shared" si="2"/>
        <v>0</v>
      </c>
      <c r="L25" s="63">
        <f t="shared" si="3"/>
        <v>0</v>
      </c>
      <c r="M25" s="62">
        <f t="shared" si="4"/>
        <v>0</v>
      </c>
      <c r="N25" s="69"/>
      <c r="O25" s="34"/>
      <c r="P25" s="34"/>
      <c r="Q25" s="34"/>
    </row>
    <row r="26" spans="1:22" s="35" customFormat="1" ht="13.5" thickBot="1" x14ac:dyDescent="0.25">
      <c r="A26" s="50">
        <v>42054</v>
      </c>
      <c r="B26" s="59">
        <f t="shared" si="0"/>
        <v>5</v>
      </c>
      <c r="C26" s="60"/>
      <c r="D26" s="60"/>
      <c r="E26" s="60"/>
      <c r="F26" s="60"/>
      <c r="G26" s="60"/>
      <c r="H26" s="60"/>
      <c r="I26" s="61">
        <f t="shared" si="1"/>
        <v>0</v>
      </c>
      <c r="J26" s="57"/>
      <c r="K26" s="62">
        <f t="shared" si="2"/>
        <v>0</v>
      </c>
      <c r="L26" s="63"/>
      <c r="M26" s="62">
        <f t="shared" si="4"/>
        <v>0</v>
      </c>
      <c r="N26" s="69"/>
      <c r="O26" s="34"/>
      <c r="P26" s="34"/>
      <c r="Q26" s="34"/>
    </row>
    <row r="27" spans="1:22" s="35" customFormat="1" ht="13.5" customHeight="1" thickBot="1" x14ac:dyDescent="0.25">
      <c r="A27" s="50">
        <v>42055</v>
      </c>
      <c r="B27" s="59">
        <f t="shared" si="0"/>
        <v>6</v>
      </c>
      <c r="C27" s="60"/>
      <c r="D27" s="60"/>
      <c r="E27" s="60"/>
      <c r="F27" s="60"/>
      <c r="G27" s="60"/>
      <c r="H27" s="60"/>
      <c r="I27" s="61">
        <f t="shared" si="1"/>
        <v>0</v>
      </c>
      <c r="J27" s="57"/>
      <c r="K27" s="62">
        <f t="shared" si="2"/>
        <v>0</v>
      </c>
      <c r="L27" s="63">
        <f t="shared" si="3"/>
        <v>0</v>
      </c>
      <c r="M27" s="62">
        <f t="shared" si="4"/>
        <v>0</v>
      </c>
      <c r="N27" s="69"/>
      <c r="O27" s="34"/>
      <c r="P27" s="34"/>
      <c r="Q27" s="34"/>
    </row>
    <row r="28" spans="1:22" s="35" customFormat="1" ht="13.5" customHeight="1" thickBot="1" x14ac:dyDescent="0.25">
      <c r="A28" s="50">
        <v>42056</v>
      </c>
      <c r="B28" s="59">
        <f t="shared" si="0"/>
        <v>7</v>
      </c>
      <c r="C28" s="60"/>
      <c r="D28" s="60"/>
      <c r="E28" s="60"/>
      <c r="F28" s="60"/>
      <c r="G28" s="60"/>
      <c r="H28" s="60"/>
      <c r="I28" s="61">
        <f t="shared" si="1"/>
        <v>0</v>
      </c>
      <c r="J28" s="57"/>
      <c r="K28" s="62">
        <f t="shared" si="2"/>
        <v>0</v>
      </c>
      <c r="L28" s="63">
        <f t="shared" si="3"/>
        <v>0</v>
      </c>
      <c r="M28" s="62">
        <f t="shared" si="4"/>
        <v>0</v>
      </c>
      <c r="N28" s="69"/>
      <c r="O28" s="34"/>
      <c r="P28" s="34"/>
      <c r="Q28" s="34"/>
    </row>
    <row r="29" spans="1:22" s="35" customFormat="1" ht="13.5" thickBot="1" x14ac:dyDescent="0.25">
      <c r="A29" s="50">
        <v>42057</v>
      </c>
      <c r="B29" s="59">
        <f t="shared" si="0"/>
        <v>1</v>
      </c>
      <c r="C29" s="60"/>
      <c r="D29" s="60"/>
      <c r="E29" s="60"/>
      <c r="F29" s="60"/>
      <c r="G29" s="60"/>
      <c r="H29" s="60"/>
      <c r="I29" s="61">
        <f t="shared" si="1"/>
        <v>0</v>
      </c>
      <c r="J29" s="57"/>
      <c r="K29" s="62">
        <f t="shared" si="2"/>
        <v>0</v>
      </c>
      <c r="L29" s="63">
        <f t="shared" si="3"/>
        <v>0</v>
      </c>
      <c r="M29" s="62">
        <f t="shared" si="4"/>
        <v>0</v>
      </c>
      <c r="N29" s="69"/>
      <c r="O29" s="34"/>
      <c r="P29" s="34"/>
      <c r="Q29" s="34"/>
    </row>
    <row r="30" spans="1:22" s="35" customFormat="1" ht="13.5" thickBot="1" x14ac:dyDescent="0.25">
      <c r="A30" s="50">
        <v>42058</v>
      </c>
      <c r="B30" s="59">
        <f t="shared" si="0"/>
        <v>2</v>
      </c>
      <c r="C30" s="60"/>
      <c r="D30" s="60"/>
      <c r="E30" s="60"/>
      <c r="F30" s="60"/>
      <c r="G30" s="60"/>
      <c r="H30" s="60"/>
      <c r="I30" s="61">
        <f t="shared" si="1"/>
        <v>0</v>
      </c>
      <c r="J30" s="57"/>
      <c r="K30" s="62">
        <f t="shared" si="2"/>
        <v>0</v>
      </c>
      <c r="L30" s="63">
        <f t="shared" si="3"/>
        <v>0</v>
      </c>
      <c r="M30" s="62">
        <f t="shared" si="4"/>
        <v>0</v>
      </c>
      <c r="N30" s="69"/>
      <c r="O30" s="34"/>
      <c r="P30" s="34"/>
      <c r="Q30" s="34"/>
    </row>
    <row r="31" spans="1:22" s="35" customFormat="1" ht="13.5" thickBot="1" x14ac:dyDescent="0.25">
      <c r="A31" s="50">
        <v>42059</v>
      </c>
      <c r="B31" s="59">
        <f t="shared" si="0"/>
        <v>3</v>
      </c>
      <c r="C31" s="60"/>
      <c r="D31" s="60"/>
      <c r="E31" s="60"/>
      <c r="F31" s="60"/>
      <c r="G31" s="60"/>
      <c r="H31" s="60"/>
      <c r="I31" s="61">
        <f t="shared" si="1"/>
        <v>0</v>
      </c>
      <c r="J31" s="57"/>
      <c r="K31" s="62">
        <f t="shared" si="2"/>
        <v>0</v>
      </c>
      <c r="L31" s="63"/>
      <c r="M31" s="62">
        <f t="shared" si="4"/>
        <v>0</v>
      </c>
      <c r="N31" s="69"/>
      <c r="O31" s="34"/>
      <c r="P31" s="34"/>
      <c r="Q31" s="34"/>
    </row>
    <row r="32" spans="1:22" s="35" customFormat="1" ht="13.5" thickBot="1" x14ac:dyDescent="0.25">
      <c r="A32" s="50">
        <v>42060</v>
      </c>
      <c r="B32" s="59">
        <f t="shared" si="0"/>
        <v>4</v>
      </c>
      <c r="C32" s="60"/>
      <c r="D32" s="60"/>
      <c r="E32" s="60"/>
      <c r="F32" s="60"/>
      <c r="G32" s="60"/>
      <c r="H32" s="60"/>
      <c r="I32" s="61">
        <f t="shared" si="1"/>
        <v>0</v>
      </c>
      <c r="J32" s="57"/>
      <c r="K32" s="62">
        <f t="shared" si="2"/>
        <v>0</v>
      </c>
      <c r="L32" s="63">
        <f t="shared" si="3"/>
        <v>0</v>
      </c>
      <c r="M32" s="62">
        <f t="shared" si="4"/>
        <v>0</v>
      </c>
      <c r="N32" s="69"/>
      <c r="O32" s="34"/>
      <c r="P32" s="34"/>
      <c r="Q32" s="34"/>
    </row>
    <row r="33" spans="1:17" s="35" customFormat="1" ht="13.5" thickBot="1" x14ac:dyDescent="0.25">
      <c r="A33" s="50">
        <v>42061</v>
      </c>
      <c r="B33" s="59">
        <f t="shared" si="0"/>
        <v>5</v>
      </c>
      <c r="C33" s="60"/>
      <c r="D33" s="60"/>
      <c r="E33" s="60"/>
      <c r="F33" s="60"/>
      <c r="G33" s="60"/>
      <c r="H33" s="60"/>
      <c r="I33" s="61">
        <f t="shared" si="1"/>
        <v>0</v>
      </c>
      <c r="J33" s="57"/>
      <c r="K33" s="62">
        <f t="shared" si="2"/>
        <v>0</v>
      </c>
      <c r="L33" s="63">
        <f t="shared" si="3"/>
        <v>0</v>
      </c>
      <c r="M33" s="62">
        <f t="shared" si="4"/>
        <v>0</v>
      </c>
      <c r="N33" s="69"/>
      <c r="O33" s="34"/>
      <c r="P33" s="34"/>
      <c r="Q33" s="34"/>
    </row>
    <row r="34" spans="1:17" s="35" customFormat="1" ht="13.5" thickBot="1" x14ac:dyDescent="0.25">
      <c r="A34" s="50">
        <v>42062</v>
      </c>
      <c r="B34" s="59">
        <f t="shared" si="0"/>
        <v>6</v>
      </c>
      <c r="C34" s="60"/>
      <c r="D34" s="60"/>
      <c r="E34" s="60"/>
      <c r="F34" s="60"/>
      <c r="G34" s="60"/>
      <c r="H34" s="60"/>
      <c r="I34" s="61">
        <f t="shared" si="1"/>
        <v>0</v>
      </c>
      <c r="J34" s="57"/>
      <c r="K34" s="62">
        <f t="shared" si="2"/>
        <v>0</v>
      </c>
      <c r="L34" s="63">
        <f t="shared" si="3"/>
        <v>0</v>
      </c>
      <c r="M34" s="62">
        <f t="shared" si="4"/>
        <v>0</v>
      </c>
      <c r="N34" s="69"/>
    </row>
    <row r="35" spans="1:17" s="35" customFormat="1" ht="13.5" thickBot="1" x14ac:dyDescent="0.25">
      <c r="A35" s="50">
        <v>42063</v>
      </c>
      <c r="B35" s="59">
        <f t="shared" si="0"/>
        <v>7</v>
      </c>
      <c r="C35" s="60"/>
      <c r="D35" s="60"/>
      <c r="E35" s="60"/>
      <c r="F35" s="60"/>
      <c r="G35" s="60"/>
      <c r="H35" s="60"/>
      <c r="I35" s="61">
        <f t="shared" si="1"/>
        <v>0</v>
      </c>
      <c r="J35" s="57"/>
      <c r="K35" s="62">
        <f t="shared" si="2"/>
        <v>0</v>
      </c>
      <c r="L35" s="63">
        <f t="shared" si="3"/>
        <v>0</v>
      </c>
      <c r="M35" s="62">
        <f t="shared" si="4"/>
        <v>0</v>
      </c>
      <c r="N35" s="69"/>
    </row>
    <row r="36" spans="1:17" s="35" customFormat="1" ht="13.5" thickBot="1" x14ac:dyDescent="0.25">
      <c r="A36" s="50"/>
      <c r="B36" s="59"/>
      <c r="C36" s="60"/>
      <c r="D36" s="60"/>
      <c r="E36" s="60"/>
      <c r="F36" s="60"/>
      <c r="G36" s="60"/>
      <c r="H36" s="60"/>
      <c r="I36" s="61">
        <f t="shared" si="1"/>
        <v>0</v>
      </c>
      <c r="J36" s="57"/>
      <c r="K36" s="62">
        <f t="shared" si="2"/>
        <v>0</v>
      </c>
      <c r="L36" s="63">
        <f t="shared" si="3"/>
        <v>0</v>
      </c>
      <c r="M36" s="62">
        <f t="shared" si="4"/>
        <v>0</v>
      </c>
      <c r="N36" s="69"/>
    </row>
    <row r="37" spans="1:17" s="35" customFormat="1" ht="13.5" customHeight="1" x14ac:dyDescent="0.2">
      <c r="A37" s="50"/>
      <c r="B37" s="59"/>
      <c r="C37" s="60"/>
      <c r="D37" s="60"/>
      <c r="E37" s="60"/>
      <c r="F37" s="60"/>
      <c r="G37" s="60"/>
      <c r="H37" s="60"/>
      <c r="I37" s="61">
        <f t="shared" si="1"/>
        <v>0</v>
      </c>
      <c r="J37" s="57"/>
      <c r="K37" s="62">
        <f t="shared" si="2"/>
        <v>0</v>
      </c>
      <c r="L37" s="63">
        <f t="shared" si="3"/>
        <v>0</v>
      </c>
      <c r="M37" s="62">
        <f t="shared" si="4"/>
        <v>0</v>
      </c>
      <c r="N37" s="72"/>
    </row>
    <row r="38" spans="1:17" s="35" customFormat="1" ht="13.5" customHeight="1" x14ac:dyDescent="0.2">
      <c r="A38" s="51"/>
      <c r="B38" s="52"/>
      <c r="C38" s="53"/>
      <c r="D38" s="53"/>
      <c r="E38" s="53"/>
      <c r="F38" s="53"/>
      <c r="G38" s="53"/>
      <c r="H38" s="53"/>
      <c r="I38" s="6"/>
      <c r="J38" s="54"/>
      <c r="K38" s="55"/>
      <c r="L38" s="55"/>
      <c r="M38" s="55"/>
      <c r="N38" s="56"/>
    </row>
    <row r="39" spans="1:17" s="2" customFormat="1" thickBot="1" x14ac:dyDescent="0.25">
      <c r="A39" s="48"/>
      <c r="B39" s="48"/>
      <c r="C39" s="48"/>
      <c r="D39" s="48"/>
      <c r="E39" s="48"/>
      <c r="F39" s="48"/>
      <c r="G39" s="48"/>
      <c r="H39" s="48"/>
      <c r="I39" s="6">
        <f t="shared" ref="I39" si="5">(D39-C39)+(F39-E39)+(H39-G39)</f>
        <v>0</v>
      </c>
      <c r="J39" s="49">
        <f>SUM(J8:J37)</f>
        <v>3.3333333333333335</v>
      </c>
      <c r="K39" s="49">
        <f>SUM(K8:K37)</f>
        <v>0.29166666666666685</v>
      </c>
      <c r="L39" s="49"/>
      <c r="M39" s="17">
        <f>SUM(M8:M37)</f>
        <v>4.9999999999999989E-2</v>
      </c>
      <c r="N39" s="35"/>
    </row>
    <row r="40" spans="1:17" s="2" customFormat="1" thickBot="1" x14ac:dyDescent="0.25">
      <c r="A40" s="12"/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28"/>
    </row>
    <row r="41" spans="1:17" s="2" customFormat="1" thickBot="1" x14ac:dyDescent="0.25">
      <c r="G41" s="3" t="s">
        <v>14</v>
      </c>
      <c r="H41" s="3"/>
      <c r="I41" s="3"/>
      <c r="J41" s="4"/>
      <c r="K41" s="5"/>
      <c r="L41" s="5"/>
      <c r="M41" s="5"/>
    </row>
    <row r="42" spans="1:17" s="2" customFormat="1" ht="15.75" thickBot="1" x14ac:dyDescent="0.3">
      <c r="G42" s="3" t="s">
        <v>15</v>
      </c>
      <c r="H42" s="4"/>
      <c r="I42" s="4"/>
      <c r="J42" s="4"/>
      <c r="K42" s="30">
        <f>SUM(K39+K41)</f>
        <v>0.29166666666666685</v>
      </c>
      <c r="L42" s="22"/>
      <c r="M42" s="32">
        <f>M41+M39</f>
        <v>4.9999999999999989E-2</v>
      </c>
      <c r="N42" s="13"/>
    </row>
    <row r="43" spans="1:17" s="2" customFormat="1" ht="16.5" thickBot="1" x14ac:dyDescent="0.3">
      <c r="G43" s="14" t="s">
        <v>16</v>
      </c>
      <c r="K43" s="31">
        <f>IF(K42&gt;M42,K42-M42,0)</f>
        <v>0.24166666666666686</v>
      </c>
      <c r="L43" s="23"/>
      <c r="M43" s="5"/>
    </row>
    <row r="44" spans="1:17" s="2" customFormat="1" ht="16.5" thickBot="1" x14ac:dyDescent="0.3">
      <c r="G44" s="14" t="s">
        <v>17</v>
      </c>
      <c r="K44" s="5"/>
      <c r="L44" s="5"/>
      <c r="M44" s="33">
        <f>IF(M42&gt;K42,M42-K42,0)</f>
        <v>0</v>
      </c>
    </row>
    <row r="45" spans="1:17" ht="15.75" thickBot="1" x14ac:dyDescent="0.3">
      <c r="G45" s="3" t="s">
        <v>20</v>
      </c>
      <c r="K45" s="30">
        <f>SUM(L8:L37)</f>
        <v>0</v>
      </c>
      <c r="M45" s="22"/>
    </row>
    <row r="46" spans="1:17" x14ac:dyDescent="0.2">
      <c r="J46" s="15"/>
      <c r="K46" s="29"/>
    </row>
    <row r="47" spans="1:17" x14ac:dyDescent="0.2">
      <c r="J47" s="15"/>
    </row>
    <row r="48" spans="1:17" x14ac:dyDescent="0.2">
      <c r="A48" s="75" t="s">
        <v>13</v>
      </c>
      <c r="B48" s="76"/>
      <c r="C48" s="18"/>
      <c r="D48" s="19"/>
      <c r="E48" s="19"/>
      <c r="F48" s="19"/>
      <c r="G48" s="19"/>
      <c r="H48" s="19"/>
      <c r="I48" s="19"/>
      <c r="J48" s="20"/>
      <c r="K48" s="27"/>
      <c r="L48" s="27"/>
      <c r="M48" s="27"/>
      <c r="N48" s="21"/>
    </row>
    <row r="49" spans="3:14" x14ac:dyDescent="0.2">
      <c r="C49" s="18"/>
      <c r="D49" s="19"/>
      <c r="E49" s="19"/>
      <c r="F49" s="19"/>
      <c r="G49" s="19"/>
      <c r="H49" s="19"/>
      <c r="I49" s="19"/>
      <c r="J49" s="20"/>
      <c r="K49" s="27"/>
      <c r="L49" s="27"/>
      <c r="M49" s="27"/>
      <c r="N49" s="21"/>
    </row>
    <row r="50" spans="3:14" x14ac:dyDescent="0.2">
      <c r="C50" s="18"/>
      <c r="D50" s="19"/>
      <c r="E50" s="19"/>
      <c r="F50" s="19"/>
      <c r="G50" s="19"/>
      <c r="H50" s="19"/>
      <c r="I50" s="19"/>
      <c r="J50" s="20"/>
      <c r="K50" s="27"/>
      <c r="L50" s="27"/>
      <c r="M50" s="27"/>
      <c r="N50" s="21"/>
    </row>
    <row r="51" spans="3:14" x14ac:dyDescent="0.2">
      <c r="C51" s="18"/>
      <c r="D51" s="19"/>
      <c r="E51" s="19"/>
      <c r="F51" s="19"/>
      <c r="G51" s="19"/>
      <c r="H51" s="19"/>
      <c r="I51" s="19"/>
      <c r="J51" s="19"/>
      <c r="K51" s="27"/>
      <c r="L51" s="27"/>
      <c r="M51" s="27"/>
      <c r="N51" s="21"/>
    </row>
    <row r="52" spans="3:14" x14ac:dyDescent="0.2">
      <c r="C52" s="18"/>
      <c r="D52" s="19"/>
      <c r="E52" s="19"/>
      <c r="F52" s="19"/>
      <c r="G52" s="19"/>
      <c r="H52" s="19"/>
      <c r="I52" s="19"/>
      <c r="J52" s="19"/>
      <c r="K52" s="27"/>
      <c r="L52" s="27"/>
      <c r="M52" s="27"/>
      <c r="N52" s="21"/>
    </row>
    <row r="53" spans="3:14" x14ac:dyDescent="0.2">
      <c r="C53" s="18"/>
      <c r="D53" s="19"/>
      <c r="E53" s="19"/>
      <c r="F53" s="19"/>
      <c r="G53" s="19"/>
      <c r="H53" s="19"/>
      <c r="I53" s="19"/>
      <c r="J53" s="19"/>
      <c r="K53" s="27"/>
      <c r="L53" s="27"/>
      <c r="M53" s="27"/>
      <c r="N53" s="21"/>
    </row>
    <row r="54" spans="3:14" x14ac:dyDescent="0.2">
      <c r="C54" s="18"/>
      <c r="D54" s="19"/>
      <c r="E54" s="19"/>
      <c r="F54" s="19"/>
      <c r="G54" s="19"/>
      <c r="H54" s="19"/>
      <c r="I54" s="19"/>
      <c r="J54" s="19"/>
      <c r="K54" s="27"/>
      <c r="L54" s="27"/>
      <c r="M54" s="27"/>
      <c r="N54" s="21"/>
    </row>
  </sheetData>
  <protectedRanges>
    <protectedRange sqref="J8:J38" name="Intervalo6"/>
    <protectedRange sqref="J8:J38" name="Intervalo6_1_3"/>
    <protectedRange sqref="K41:M41" name="Intervalo2_1"/>
    <protectedRange sqref="A3:A4 D38:H38 N8:N38" name="Intervalo1_2"/>
    <protectedRange sqref="C48:N54" name="Intervalo5_1"/>
  </protectedRanges>
  <mergeCells count="6">
    <mergeCell ref="N7:O7"/>
    <mergeCell ref="A48:B48"/>
    <mergeCell ref="A1:M2"/>
    <mergeCell ref="C6:D6"/>
    <mergeCell ref="E6:F6"/>
    <mergeCell ref="G6:H6"/>
  </mergeCells>
  <conditionalFormatting sqref="M8:M38">
    <cfRule type="cellIs" dxfId="0" priority="1" stopIfTrue="1" operator="greaterThan">
      <formula>0</formula>
    </cfRule>
  </conditionalFormatting>
  <printOptions horizontalCentered="1"/>
  <pageMargins left="0.23622047244094491" right="0.27559055118110237" top="0.98425196850393704" bottom="0.98425196850393704" header="0.51181102362204722" footer="0.51181102362204722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ROSE</vt:lpstr>
      <vt:lpstr>ROSE!Area_de_impressao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Operador</cp:lastModifiedBy>
  <cp:lastPrinted>2011-07-25T19:59:42Z</cp:lastPrinted>
  <dcterms:created xsi:type="dcterms:W3CDTF">2010-01-12T14:15:28Z</dcterms:created>
  <dcterms:modified xsi:type="dcterms:W3CDTF">2017-05-12T18:16:22Z</dcterms:modified>
</cp:coreProperties>
</file>