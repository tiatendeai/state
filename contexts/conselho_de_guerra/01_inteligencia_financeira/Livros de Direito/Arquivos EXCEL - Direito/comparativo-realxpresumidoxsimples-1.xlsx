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6.xml"/>
  <Override ContentType="application/vnd.openxmlformats-officedocument.drawing+xml" PartName="/xl/drawings/worksheetdrawing1.xml"/>
  <Override ContentType="application/vnd.openxmlformats-officedocument.drawing+xml" PartName="/xl/drawings/worksheetdrawing2.xml"/>
  <Override ContentType="application/vnd.openxmlformats-officedocument.drawing+xml" PartName="/xl/drawings/worksheetdrawing3.xml"/>
  <Override ContentType="application/vnd.openxmlformats-officedocument.drawing+xml" PartName="/xl/drawings/worksheetdrawing4.xml"/>
  <Override ContentType="application/vnd.openxmlformats-officedocument.drawing+xml" PartName="/xl/drawings/worksheetdrawing5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omércio" sheetId="1" r:id="rId4"/>
    <sheet state="visible" name="Anexo 1" sheetId="2" r:id="rId5"/>
    <sheet state="visible" name="Serviços (III)" sheetId="3" r:id="rId6"/>
    <sheet state="visible" name="Anexo III" sheetId="4" r:id="rId7"/>
    <sheet state="visible" name="Serviços IV" sheetId="5" r:id="rId8"/>
    <sheet state="visible" name="Anexo IV" sheetId="6" r:id="rId9"/>
  </sheets>
  <definedNames>
    <definedName name="Icms">'Anexo 1'!$L$33:$L$35</definedName>
  </definedNames>
  <calcPr/>
</workbook>
</file>

<file path=xl/sharedStrings.xml><?xml version="1.0" encoding="utf-8"?>
<sst xmlns="http://schemas.openxmlformats.org/spreadsheetml/2006/main" count="245" uniqueCount="128">
  <si>
    <t>COMPARAÇÃO LUCRO REAL X LUCRO PRESUMIDO X SIMPLES NACIONAL NO COMÉRCIO</t>
  </si>
  <si>
    <t>Para simulação: Digite nas células em amarelo</t>
  </si>
  <si>
    <t>Atacadista &gt;</t>
  </si>
  <si>
    <t>Ajuda &gt;</t>
  </si>
  <si>
    <t>LUCRO REAL</t>
  </si>
  <si>
    <t>LUCRO PRESUMIDO</t>
  </si>
  <si>
    <t>SIMPLES NACIONAL</t>
  </si>
  <si>
    <t>Receita Bruta (Mensal)</t>
  </si>
  <si>
    <t>Receita Bruta Mensal (limite de 200 mil + 20%)</t>
  </si>
  <si>
    <t>Em 12 meses (anual)</t>
  </si>
  <si>
    <t>ICMS - Simples</t>
  </si>
  <si>
    <t>=</t>
  </si>
  <si>
    <t>Receita Líquida</t>
  </si>
  <si>
    <t>-</t>
  </si>
  <si>
    <t>Margem Bruta</t>
  </si>
  <si>
    <t>Lucro Líquido</t>
  </si>
  <si>
    <t>Base de cálculo do Lucro Presumido CSLL</t>
  </si>
  <si>
    <t>LALUR</t>
  </si>
  <si>
    <t>Base de cálculo do Lucro Presumido IR</t>
  </si>
  <si>
    <t>Encargos Fiscais (anexo I do Simples)</t>
  </si>
  <si>
    <t>Lucro Real</t>
  </si>
  <si>
    <t>Lucro Presumido</t>
  </si>
  <si>
    <t>Lucro: Simples</t>
  </si>
  <si>
    <t>Anexo I - Partilha do Simples Nacional – Comércio</t>
  </si>
  <si>
    <t>Receita Anual</t>
  </si>
  <si>
    <t>Total</t>
  </si>
  <si>
    <t>IRPJ</t>
  </si>
  <si>
    <t>CSLL</t>
  </si>
  <si>
    <t>COFINS</t>
  </si>
  <si>
    <t>PIS/PASEP</t>
  </si>
  <si>
    <t>CPP</t>
  </si>
  <si>
    <t>ICMS</t>
  </si>
  <si>
    <t>TOTAL (*)</t>
  </si>
  <si>
    <t>0.00%</t>
  </si>
  <si>
    <t>2.75%</t>
  </si>
  <si>
    <t>1.25%</t>
  </si>
  <si>
    <t>0.86%</t>
  </si>
  <si>
    <t>1.86%</t>
  </si>
  <si>
    <t>0.27%</t>
  </si>
  <si>
    <t>0.31%</t>
  </si>
  <si>
    <t>0.95%</t>
  </si>
  <si>
    <t>0.23%</t>
  </si>
  <si>
    <t>2.33%</t>
  </si>
  <si>
    <t>0.35%</t>
  </si>
  <si>
    <t>1.04%</t>
  </si>
  <si>
    <t>0.25%</t>
  </si>
  <si>
    <t>2.99%</t>
  </si>
  <si>
    <t>2.56%</t>
  </si>
  <si>
    <t>1.05%</t>
  </si>
  <si>
    <t>3.02%</t>
  </si>
  <si>
    <t>2.58%</t>
  </si>
  <si>
    <t>0.38%</t>
  </si>
  <si>
    <t>1.15%</t>
  </si>
  <si>
    <t>3.28%</t>
  </si>
  <si>
    <t>2.82%</t>
  </si>
  <si>
    <t>0.39%</t>
  </si>
  <si>
    <t>1.16%</t>
  </si>
  <si>
    <t>0.28%</t>
  </si>
  <si>
    <t>3.30%</t>
  </si>
  <si>
    <t>2.84%</t>
  </si>
  <si>
    <t>1.17%</t>
  </si>
  <si>
    <t>3.35%</t>
  </si>
  <si>
    <t>2.87%</t>
  </si>
  <si>
    <t>0.42%</t>
  </si>
  <si>
    <t>0.30%</t>
  </si>
  <si>
    <t>3.57%</t>
  </si>
  <si>
    <t>3.07%</t>
  </si>
  <si>
    <t>0.43%</t>
  </si>
  <si>
    <t>1.26%</t>
  </si>
  <si>
    <t>3.60%</t>
  </si>
  <si>
    <t>3.10%</t>
  </si>
  <si>
    <t>0.46%</t>
  </si>
  <si>
    <t>1.38%</t>
  </si>
  <si>
    <t>0.33%</t>
  </si>
  <si>
    <t>3.94%</t>
  </si>
  <si>
    <t>3.38%</t>
  </si>
  <si>
    <t>1.39%</t>
  </si>
  <si>
    <t>3.99%</t>
  </si>
  <si>
    <t>3.41%</t>
  </si>
  <si>
    <t>0.47%</t>
  </si>
  <si>
    <t>1.40%</t>
  </si>
  <si>
    <t>4.01%</t>
  </si>
  <si>
    <t>3.45%</t>
  </si>
  <si>
    <t>1.42%</t>
  </si>
  <si>
    <t>0.34%</t>
  </si>
  <si>
    <t>4.05%</t>
  </si>
  <si>
    <t>3.48%</t>
  </si>
  <si>
    <t>0.48%</t>
  </si>
  <si>
    <t>1.43%</t>
  </si>
  <si>
    <t>4.08%</t>
  </si>
  <si>
    <t>3.51%</t>
  </si>
  <si>
    <t>0.52%</t>
  </si>
  <si>
    <t>1.56%</t>
  </si>
  <si>
    <t>0.37%</t>
  </si>
  <si>
    <t>4.44%</t>
  </si>
  <si>
    <t>3.82%</t>
  </si>
  <si>
    <t>1.57%</t>
  </si>
  <si>
    <t>4.49%</t>
  </si>
  <si>
    <t>3.85%</t>
  </si>
  <si>
    <t>0.53%</t>
  </si>
  <si>
    <t>1.58%</t>
  </si>
  <si>
    <t>4.52%</t>
  </si>
  <si>
    <t>3.88%</t>
  </si>
  <si>
    <t>1.60%</t>
  </si>
  <si>
    <t>4.56%</t>
  </si>
  <si>
    <t>3.91%</t>
  </si>
  <si>
    <t>0.54%</t>
  </si>
  <si>
    <t>4.60%</t>
  </si>
  <si>
    <t>3.95%</t>
  </si>
  <si>
    <t>(*) sem ICMS</t>
  </si>
  <si>
    <t>Isenção</t>
  </si>
  <si>
    <t>Substituição Tributária</t>
  </si>
  <si>
    <t xml:space="preserve">COMPARAÇÃO LUCRO REAL X LUCRO PRESUMIDO X SIMPLES NACIONAL  - Serviços e Locação (Anexo III) </t>
  </si>
  <si>
    <t>Digite nas células em amarelo</t>
  </si>
  <si>
    <t>Atividades &gt;</t>
  </si>
  <si>
    <t>Receita Bruta</t>
  </si>
  <si>
    <t>Em 12 meses</t>
  </si>
  <si>
    <t>Resultado operacional</t>
  </si>
  <si>
    <t>Encargos Fiscais (Anexo III)</t>
  </si>
  <si>
    <t>Lucro - Simples</t>
  </si>
  <si>
    <t xml:space="preserve">Anexo III - Partilha do Simples Nacional – Serviços e Locação de Bens Móveis </t>
  </si>
  <si>
    <t>Receita Mensal</t>
  </si>
  <si>
    <t>TOTAL</t>
  </si>
  <si>
    <t>ISS</t>
  </si>
  <si>
    <t>COMPARAÇÃO LUCRO REAL X LUCRO PRESUMIDO X SIMPLES NACIONAL  - Serviços (Anexo IV)</t>
  </si>
  <si>
    <t xml:space="preserve">Atividades &gt; </t>
  </si>
  <si>
    <t>Encargos Fiscais (Anexo IV)</t>
  </si>
  <si>
    <t xml:space="preserve">Anexo IV - Serviços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</si>
</sst>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0">
    <numFmt numFmtId="164" formatCode="&quot;R$ &quot;#,##0.00"/>
    <numFmt numFmtId="165" formatCode="&quot;ICMS sobre Vendas&quot;\ 0%"/>
    <numFmt numFmtId="166" formatCode="&quot;ICMS: Crédito sobre Compras&quot;\ 0%"/>
    <numFmt numFmtId="167" formatCode="&quot;PIS de&quot;\ 0.00%"/>
    <numFmt numFmtId="168" formatCode="&quot;Cofins de&quot;\ 0%"/>
    <numFmt numFmtId="169" formatCode="&quot;Custo da Mercadoria Vendida =&quot;\ 0.0%"/>
    <numFmt numFmtId="170" formatCode="&quot;Folha pagamento s/ Receita Bruta =&quot;\ 0.0%"/>
    <numFmt numFmtId="171" formatCode="&quot;Encargos sociais sobre folha = &quot;\ 0.0%"/>
    <numFmt numFmtId="172" formatCode="&quot;Folha Salarial de&quot;\ 0%"/>
    <numFmt numFmtId="173" formatCode="&quot;Despesas diversas s/ Receita Bruta =&quot;\ 0.0%"/>
    <numFmt numFmtId="174" formatCode="&quot;CSLL de&quot;\ 0%"/>
    <numFmt numFmtId="175" formatCode="&quot;Comércio &gt;&quot;\ 0%"/>
    <numFmt numFmtId="176" formatCode="&quot;IR de&quot;\ 0%"/>
    <numFmt numFmtId="177" formatCode="&quot;Alíquota da CSLL de&quot;\ 0%"/>
    <numFmt numFmtId="178" formatCode="&quot;Alíquota de&quot;\ 0.00%"/>
    <numFmt numFmtId="179" formatCode="&quot;Adicional de IR se &gt; 20 mil reais&quot;\ 0%"/>
    <numFmt numFmtId="180" formatCode="&quot;Alíquota do IR de&quot;\ 0%"/>
    <numFmt numFmtId="181" formatCode="&quot;Carga Tributária:  Lucro Real&quot;\ &quot;R$ &quot;#,##0.00"/>
    <numFmt numFmtId="182" formatCode="&quot;Carga Tributária:  Lucro Presumido&quot;\ &quot;R$ &quot;#,##0.00"/>
    <numFmt numFmtId="183" formatCode="&quot;Carga Tributária: Simples&quot;\ &quot;R$ &quot;#,##0.00"/>
    <numFmt numFmtId="184" formatCode="&quot;Carga Tributária: Lucro Presumido&quot;\ &quot;R$ &quot;#,##0.00"/>
    <numFmt numFmtId="185" formatCode="&quot;Carga Tributária: Lucro Real&quot;\ &quot;R$ &quot;#,##0.00"/>
    <numFmt numFmtId="186" formatCode="&quot;Lucro: no Lucro Presumido&quot;\ &quot;R$ &quot;#,##0.00"/>
    <numFmt numFmtId="187" formatCode="&quot;Lucro: no Lucro Real&quot;\ &quot;R$ &quot;#,##0.00"/>
    <numFmt numFmtId="188" formatCode="&quot;Lucro: no Simples&quot;\ &quot;R$ &quot;#,##0.00"/>
    <numFmt numFmtId="189" formatCode="&quot;Redução de Base de cálculo do ICMS =&quot;\ 0.00%"/>
    <numFmt numFmtId="190" formatCode="&quot;ISS de&quot;\ 0%"/>
    <numFmt numFmtId="191" formatCode="&quot;Custo do Serviço =&quot;\ 0.0%"/>
    <numFmt numFmtId="192" formatCode="&quot;folha salarial =&quot;\ 0.0%"/>
    <numFmt numFmtId="193" formatCode="&quot;folha salarial = &quot;\ 0.0%"/>
    <numFmt numFmtId="194" formatCode="&quot;encargos sociais = &quot;\ 0.0%"/>
    <numFmt numFmtId="195" formatCode="&quot;despesas diversas =&quot;\ 0.0%"/>
    <numFmt numFmtId="196" formatCode="&quot;Serviços &gt;&quot;\ 0%"/>
    <numFmt numFmtId="197" formatCode="&quot;Carga Tributária - Lucro Real&quot;\ &quot;R$ &quot;#,##0.00"/>
    <numFmt numFmtId="198" formatCode="&quot;Carga Tributária - Lucro Presumido&quot;\ &quot;R$ &quot;#,##0.00"/>
    <numFmt numFmtId="199" formatCode="&quot;Carga Tributária- Simples&quot;\ &quot;R$ &quot;#,##0.00"/>
    <numFmt numFmtId="200" formatCode="&quot;Lucro Presumido&quot;\ &quot;R$ &quot;#,##0.00"/>
    <numFmt numFmtId="201" formatCode="&quot;Lucro Real&quot;\ &quot;R$ &quot;#,##0.00"/>
    <numFmt numFmtId="202" formatCode="&quot;Lucro no Simples&quot;\ &quot;R$ &quot;#,##0.00"/>
    <numFmt numFmtId="203" formatCode="&quot;Custo do Serviço  =&quot;\ 0.0%"/>
  </numFmts>
  <fonts count="14">
    <font>
      <sz val="11.0"/>
      <color rgb="FF000000"/>
      <name val="Calibri"/>
    </font>
    <font>
      <sz val="10.0"/>
      <color rgb="FF000000"/>
      <name val="Arial"/>
    </font>
    <font>
      <b/>
      <sz val="18.0"/>
      <color rgb="FFDD0806"/>
      <name val="Arial"/>
    </font>
    <font>
      <b/>
      <sz val="16.0"/>
      <color rgb="FF000000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b/>
      <sz val="8.0"/>
      <name val="Arial"/>
    </font>
    <font>
      <sz val="8.0"/>
      <name val="Arial"/>
    </font>
    <font/>
    <font>
      <b/>
      <u/>
      <sz val="8.0"/>
      <color rgb="FF0000FF"/>
      <name val="Arial"/>
    </font>
    <font>
      <u/>
      <sz val="8.0"/>
      <color rgb="FF0000FF"/>
      <name val="Arial"/>
    </font>
    <font>
      <sz val="10.0"/>
      <name val="Arial"/>
    </font>
    <font>
      <b/>
      <sz val="16.0"/>
      <color rgb="FF006411"/>
      <name val="Arial"/>
    </font>
    <font>
      <sz val="7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F305"/>
        <bgColor rgb="FFFCF305"/>
      </patternFill>
    </fill>
  </fills>
  <borders count="1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2" numFmtId="164" xfId="0" applyAlignment="1" applyBorder="1" applyFont="1" applyNumberFormat="1">
      <alignment horizontal="left"/>
    </xf>
    <xf borderId="1" fillId="2" fontId="1" numFmtId="164" xfId="0" applyBorder="1" applyFont="1" applyNumberFormat="1"/>
    <xf borderId="1" fillId="2" fontId="3" numFmtId="49" xfId="0" applyAlignment="1" applyBorder="1" applyFont="1" applyNumberFormat="1">
      <alignment horizontal="left"/>
    </xf>
    <xf borderId="1" fillId="2" fontId="4" numFmtId="0" xfId="0" applyBorder="1" applyFont="1"/>
    <xf borderId="2" fillId="2" fontId="5" numFmtId="0" xfId="0" applyAlignment="1" applyBorder="1" applyFont="1">
      <alignment horizontal="left"/>
    </xf>
    <xf borderId="3" fillId="2" fontId="5" numFmtId="0" xfId="0" applyBorder="1" applyFont="1"/>
    <xf borderId="4" fillId="2" fontId="1" numFmtId="164" xfId="0" applyBorder="1" applyFont="1" applyNumberFormat="1"/>
    <xf borderId="2" fillId="2" fontId="5" numFmtId="0" xfId="0" applyBorder="1" applyFont="1"/>
    <xf borderId="4" fillId="2" fontId="1" numFmtId="0" xfId="0" applyBorder="1" applyFont="1"/>
    <xf borderId="5" fillId="2" fontId="1" numFmtId="0" xfId="0" applyAlignment="1" applyBorder="1" applyFont="1">
      <alignment horizontal="center"/>
    </xf>
    <xf borderId="6" fillId="2" fontId="1" numFmtId="164" xfId="0" applyBorder="1" applyFont="1" applyNumberFormat="1"/>
    <xf borderId="5" fillId="2" fontId="1" numFmtId="0" xfId="0" applyBorder="1" applyFont="1"/>
    <xf borderId="6" fillId="2" fontId="1" numFmtId="0" xfId="0" applyBorder="1" applyFont="1"/>
    <xf borderId="7" fillId="3" fontId="1" numFmtId="164" xfId="0" applyBorder="1" applyFill="1" applyFont="1" applyNumberFormat="1"/>
    <xf borderId="7" fillId="3" fontId="1" numFmtId="165" xfId="0" applyBorder="1" applyFont="1" applyNumberFormat="1"/>
    <xf borderId="5" fillId="2" fontId="1" numFmtId="165" xfId="0" applyBorder="1" applyFont="1" applyNumberFormat="1"/>
    <xf borderId="7" fillId="3" fontId="1" numFmtId="166" xfId="0" applyBorder="1" applyFont="1" applyNumberFormat="1"/>
    <xf borderId="5" fillId="2" fontId="1" numFmtId="166" xfId="0" applyBorder="1" applyFont="1" applyNumberFormat="1"/>
    <xf borderId="1" fillId="2" fontId="1" numFmtId="167" xfId="0" applyBorder="1" applyFont="1" applyNumberFormat="1"/>
    <xf borderId="5" fillId="2" fontId="1" numFmtId="167" xfId="0" applyBorder="1" applyFont="1" applyNumberFormat="1"/>
    <xf borderId="7" fillId="3" fontId="1" numFmtId="0" xfId="0" applyBorder="1" applyFont="1"/>
    <xf borderId="1" fillId="2" fontId="1" numFmtId="168" xfId="0" applyBorder="1" applyFont="1" applyNumberFormat="1"/>
    <xf borderId="5" fillId="2" fontId="1" numFmtId="168" xfId="0" applyBorder="1" applyFont="1" applyNumberFormat="1"/>
    <xf borderId="7" fillId="3" fontId="1" numFmtId="169" xfId="0" applyBorder="1" applyFont="1" applyNumberFormat="1"/>
    <xf borderId="5" fillId="2" fontId="1" numFmtId="169" xfId="0" applyBorder="1" applyFont="1" applyNumberFormat="1"/>
    <xf borderId="7" fillId="3" fontId="1" numFmtId="170" xfId="0" applyBorder="1" applyFont="1" applyNumberFormat="1"/>
    <xf borderId="5" fillId="2" fontId="1" numFmtId="170" xfId="0" applyBorder="1" applyFont="1" applyNumberFormat="1"/>
    <xf borderId="7" fillId="3" fontId="1" numFmtId="171" xfId="0" applyBorder="1" applyFont="1" applyNumberFormat="1"/>
    <xf borderId="5" fillId="2" fontId="1" numFmtId="171" xfId="0" applyAlignment="1" applyBorder="1" applyFont="1" applyNumberFormat="1">
      <alignment shrinkToFit="0" wrapText="1"/>
    </xf>
    <xf borderId="5" fillId="2" fontId="1" numFmtId="172" xfId="0" applyBorder="1" applyFont="1" applyNumberFormat="1"/>
    <xf borderId="7" fillId="3" fontId="1" numFmtId="173" xfId="0" applyAlignment="1" applyBorder="1" applyFont="1" applyNumberFormat="1">
      <alignment horizontal="right"/>
    </xf>
    <xf borderId="5" fillId="2" fontId="1" numFmtId="173" xfId="0" applyAlignment="1" applyBorder="1" applyFont="1" applyNumberFormat="1">
      <alignment horizontal="right"/>
    </xf>
    <xf borderId="1" fillId="2" fontId="1" numFmtId="164" xfId="0" applyAlignment="1" applyBorder="1" applyFont="1" applyNumberFormat="1">
      <alignment horizontal="right"/>
    </xf>
    <xf borderId="6" fillId="2" fontId="5" numFmtId="164" xfId="0" applyBorder="1" applyFont="1" applyNumberFormat="1"/>
    <xf borderId="1" fillId="2" fontId="1" numFmtId="174" xfId="0" applyBorder="1" applyFont="1" applyNumberFormat="1"/>
    <xf borderId="5" fillId="2" fontId="5" numFmtId="10" xfId="0" applyBorder="1" applyFont="1" applyNumberFormat="1"/>
    <xf borderId="1" fillId="2" fontId="1" numFmtId="0" xfId="0" applyAlignment="1" applyBorder="1" applyFont="1">
      <alignment horizontal="right"/>
    </xf>
    <xf borderId="5" fillId="2" fontId="1" numFmtId="175" xfId="0" applyBorder="1" applyFont="1" applyNumberFormat="1"/>
    <xf borderId="1" fillId="2" fontId="1" numFmtId="176" xfId="0" applyBorder="1" applyFont="1" applyNumberFormat="1"/>
    <xf borderId="5" fillId="2" fontId="1" numFmtId="177" xfId="0" applyBorder="1" applyFont="1" applyNumberFormat="1"/>
    <xf borderId="5" fillId="2" fontId="5" numFmtId="0" xfId="0" applyBorder="1" applyFont="1"/>
    <xf borderId="5" fillId="2" fontId="1" numFmtId="178" xfId="0" applyBorder="1" applyFont="1" applyNumberFormat="1"/>
    <xf borderId="1" fillId="2" fontId="1" numFmtId="179" xfId="0" applyBorder="1" applyFont="1" applyNumberFormat="1"/>
    <xf borderId="5" fillId="2" fontId="1" numFmtId="180" xfId="0" applyBorder="1" applyFont="1" applyNumberFormat="1"/>
    <xf borderId="5" fillId="2" fontId="1" numFmtId="179" xfId="0" applyBorder="1" applyFont="1" applyNumberFormat="1"/>
    <xf borderId="1" fillId="2" fontId="5" numFmtId="0" xfId="0" applyBorder="1" applyFont="1"/>
    <xf borderId="8" fillId="2" fontId="1" numFmtId="0" xfId="0" applyAlignment="1" applyBorder="1" applyFont="1">
      <alignment horizontal="center"/>
    </xf>
    <xf borderId="9" fillId="2" fontId="1" numFmtId="0" xfId="0" applyBorder="1" applyFont="1"/>
    <xf borderId="10" fillId="2" fontId="1" numFmtId="164" xfId="0" applyBorder="1" applyFont="1" applyNumberFormat="1"/>
    <xf borderId="8" fillId="2" fontId="1" numFmtId="0" xfId="0" applyBorder="1" applyFont="1"/>
    <xf borderId="10" fillId="2" fontId="1" numFmtId="0" xfId="0" applyBorder="1" applyFont="1"/>
    <xf borderId="7" fillId="2" fontId="5" numFmtId="181" xfId="0" applyBorder="1" applyFont="1" applyNumberFormat="1"/>
    <xf borderId="7" fillId="2" fontId="5" numFmtId="182" xfId="0" applyBorder="1" applyFont="1" applyNumberFormat="1"/>
    <xf borderId="7" fillId="2" fontId="5" numFmtId="183" xfId="0" applyBorder="1" applyFont="1" applyNumberFormat="1"/>
    <xf borderId="7" fillId="2" fontId="1" numFmtId="184" xfId="0" applyBorder="1" applyFont="1" applyNumberFormat="1"/>
    <xf borderId="7" fillId="2" fontId="1" numFmtId="181" xfId="0" applyBorder="1" applyFont="1" applyNumberFormat="1"/>
    <xf borderId="7" fillId="2" fontId="1" numFmtId="185" xfId="0" applyBorder="1" applyFont="1" applyNumberFormat="1"/>
    <xf borderId="7" fillId="2" fontId="1" numFmtId="183" xfId="0" applyBorder="1" applyFont="1" applyNumberFormat="1"/>
    <xf borderId="7" fillId="2" fontId="1" numFmtId="186" xfId="0" applyBorder="1" applyFont="1" applyNumberFormat="1"/>
    <xf borderId="7" fillId="2" fontId="1" numFmtId="187" xfId="0" applyBorder="1" applyFont="1" applyNumberFormat="1"/>
    <xf borderId="7" fillId="2" fontId="1" numFmtId="188" xfId="0" applyBorder="1" applyFont="1" applyNumberFormat="1"/>
    <xf borderId="1" fillId="2" fontId="6" numFmtId="0" xfId="0" applyBorder="1" applyFont="1"/>
    <xf borderId="1" fillId="2" fontId="7" numFmtId="0" xfId="0" applyBorder="1" applyFont="1"/>
    <xf borderId="1" fillId="2" fontId="7" numFmtId="10" xfId="0" applyBorder="1" applyFont="1" applyNumberFormat="1"/>
    <xf borderId="1" fillId="2" fontId="6" numFmtId="0" xfId="0" applyAlignment="1" applyBorder="1" applyFont="1">
      <alignment horizontal="center"/>
    </xf>
    <xf borderId="1" fillId="2" fontId="6" numFmtId="10" xfId="0" applyAlignment="1" applyBorder="1" applyFont="1" applyNumberFormat="1">
      <alignment horizontal="center"/>
    </xf>
    <xf borderId="11" fillId="2" fontId="6" numFmtId="189" xfId="0" applyAlignment="1" applyBorder="1" applyFont="1" applyNumberFormat="1">
      <alignment horizontal="left"/>
    </xf>
    <xf borderId="12" fillId="0" fontId="8" numFmtId="0" xfId="0" applyBorder="1" applyFont="1"/>
    <xf borderId="7" fillId="2" fontId="7" numFmtId="164" xfId="0" applyAlignment="1" applyBorder="1" applyFont="1" applyNumberFormat="1">
      <alignment horizontal="center"/>
    </xf>
    <xf borderId="7" fillId="2" fontId="9" numFmtId="0" xfId="0" applyAlignment="1" applyBorder="1" applyFont="1">
      <alignment horizontal="center" shrinkToFit="0" wrapText="1"/>
    </xf>
    <xf borderId="7" fillId="2" fontId="6" numFmtId="0" xfId="0" applyAlignment="1" applyBorder="1" applyFont="1">
      <alignment horizontal="center" shrinkToFit="0" wrapText="1"/>
    </xf>
    <xf borderId="7" fillId="2" fontId="6" numFmtId="10" xfId="0" applyAlignment="1" applyBorder="1" applyFont="1" applyNumberFormat="1">
      <alignment horizontal="center"/>
    </xf>
    <xf borderId="7" fillId="2" fontId="7" numFmtId="164" xfId="0" applyAlignment="1" applyBorder="1" applyFont="1" applyNumberFormat="1">
      <alignment horizontal="left"/>
    </xf>
    <xf borderId="7" fillId="2" fontId="7" numFmtId="10" xfId="0" applyBorder="1" applyFont="1" applyNumberFormat="1"/>
    <xf borderId="7" fillId="2" fontId="10" numFmtId="10" xfId="0" applyAlignment="1" applyBorder="1" applyFont="1" applyNumberFormat="1">
      <alignment horizontal="center" shrinkToFit="0" wrapText="1"/>
    </xf>
    <xf borderId="7" fillId="2" fontId="7" numFmtId="10" xfId="0" applyAlignment="1" applyBorder="1" applyFont="1" applyNumberFormat="1">
      <alignment horizontal="center" shrinkToFit="0" wrapText="1"/>
    </xf>
    <xf borderId="1" fillId="2" fontId="7" numFmtId="164" xfId="0" applyAlignment="1" applyBorder="1" applyFont="1" applyNumberFormat="1">
      <alignment horizontal="left"/>
    </xf>
    <xf borderId="1" fillId="2" fontId="11" numFmtId="0" xfId="0" applyBorder="1" applyFont="1"/>
    <xf borderId="1" fillId="2" fontId="0" numFmtId="0" xfId="0" applyBorder="1" applyFont="1"/>
    <xf borderId="0" fillId="0" fontId="8" numFmtId="10" xfId="0" applyFont="1" applyNumberFormat="1"/>
    <xf borderId="1" fillId="2" fontId="12" numFmtId="164" xfId="0" applyAlignment="1" applyBorder="1" applyFont="1" applyNumberFormat="1">
      <alignment horizontal="left"/>
    </xf>
    <xf borderId="1" fillId="2" fontId="3" numFmtId="0" xfId="0" applyAlignment="1" applyBorder="1" applyFont="1">
      <alignment horizontal="left"/>
    </xf>
    <xf borderId="7" fillId="3" fontId="1" numFmtId="190" xfId="0" applyBorder="1" applyFont="1" applyNumberFormat="1"/>
    <xf borderId="5" fillId="2" fontId="1" numFmtId="190" xfId="0" applyBorder="1" applyFont="1" applyNumberFormat="1"/>
    <xf borderId="7" fillId="3" fontId="1" numFmtId="191" xfId="0" applyBorder="1" applyFont="1" applyNumberFormat="1"/>
    <xf borderId="5" fillId="2" fontId="1" numFmtId="191" xfId="0" applyBorder="1" applyFont="1" applyNumberFormat="1"/>
    <xf borderId="7" fillId="3" fontId="1" numFmtId="192" xfId="0" applyBorder="1" applyFont="1" applyNumberFormat="1"/>
    <xf borderId="5" fillId="2" fontId="1" numFmtId="192" xfId="0" applyBorder="1" applyFont="1" applyNumberFormat="1"/>
    <xf borderId="5" fillId="2" fontId="1" numFmtId="193" xfId="0" applyBorder="1" applyFont="1" applyNumberFormat="1"/>
    <xf borderId="7" fillId="3" fontId="1" numFmtId="194" xfId="0" applyBorder="1" applyFont="1" applyNumberFormat="1"/>
    <xf borderId="5" fillId="2" fontId="1" numFmtId="194" xfId="0" applyBorder="1" applyFont="1" applyNumberFormat="1"/>
    <xf borderId="7" fillId="3" fontId="1" numFmtId="195" xfId="0" applyAlignment="1" applyBorder="1" applyFont="1" applyNumberFormat="1">
      <alignment horizontal="right"/>
    </xf>
    <xf borderId="5" fillId="2" fontId="1" numFmtId="195" xfId="0" applyAlignment="1" applyBorder="1" applyFont="1" applyNumberFormat="1">
      <alignment horizontal="right"/>
    </xf>
    <xf borderId="5" fillId="2" fontId="1" numFmtId="196" xfId="0" applyBorder="1" applyFont="1" applyNumberFormat="1"/>
    <xf borderId="13" fillId="2" fontId="5" numFmtId="197" xfId="0" applyBorder="1" applyFont="1" applyNumberFormat="1"/>
    <xf borderId="13" fillId="2" fontId="1" numFmtId="197" xfId="0" applyBorder="1" applyFont="1" applyNumberFormat="1"/>
    <xf borderId="14" fillId="2" fontId="1" numFmtId="198" xfId="0" applyBorder="1" applyFont="1" applyNumberFormat="1"/>
    <xf borderId="14" fillId="2" fontId="5" numFmtId="198" xfId="0" applyBorder="1" applyFont="1" applyNumberFormat="1"/>
    <xf borderId="15" fillId="2" fontId="1" numFmtId="199" xfId="0" applyBorder="1" applyFont="1" applyNumberFormat="1"/>
    <xf borderId="15" fillId="2" fontId="5" numFmtId="199" xfId="0" applyBorder="1" applyFont="1" applyNumberFormat="1"/>
    <xf borderId="13" fillId="2" fontId="1" numFmtId="200" xfId="0" applyBorder="1" applyFont="1" applyNumberFormat="1"/>
    <xf borderId="13" fillId="2" fontId="1" numFmtId="201" xfId="0" applyBorder="1" applyFont="1" applyNumberFormat="1"/>
    <xf borderId="15" fillId="2" fontId="1" numFmtId="202" xfId="0" applyBorder="1" applyFont="1" applyNumberFormat="1"/>
    <xf borderId="15" fillId="2" fontId="1" numFmtId="201" xfId="0" applyBorder="1" applyFont="1" applyNumberFormat="1"/>
    <xf borderId="1" fillId="2" fontId="6" numFmtId="10" xfId="0" applyBorder="1" applyFont="1" applyNumberFormat="1"/>
    <xf borderId="7" fillId="2" fontId="6" numFmtId="164" xfId="0" applyAlignment="1" applyBorder="1" applyFont="1" applyNumberFormat="1">
      <alignment horizontal="left"/>
    </xf>
    <xf borderId="16" fillId="0" fontId="13" numFmtId="10" xfId="0" applyAlignment="1" applyBorder="1" applyFont="1" applyNumberFormat="1">
      <alignment horizontal="center" shrinkToFit="0" wrapText="1"/>
    </xf>
    <xf borderId="0" fillId="0" fontId="0" numFmtId="10" xfId="0" applyFont="1" applyNumberFormat="1"/>
    <xf borderId="7" fillId="3" fontId="1" numFmtId="203" xfId="0" applyBorder="1" applyFont="1" applyNumberFormat="1"/>
    <xf borderId="7" fillId="2" fontId="6" numFmtId="0" xfId="0" applyBorder="1" applyFont="1"/>
    <xf borderId="7" fillId="2" fontId="7" numFmtId="0" xfId="0" applyBorder="1" applyFont="1"/>
    <xf borderId="7" fillId="2" fontId="6" numFmtId="0" xfId="0" applyAlignment="1" applyBorder="1" applyFont="1">
      <alignment horizontal="center"/>
    </xf>
    <xf borderId="7" fillId="2" fontId="6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5" Type="http://schemas.openxmlformats.org/officeDocument/2006/relationships/worksheet" Target="worksheets/sheet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3" Type="http://schemas.openxmlformats.org/officeDocument/2006/relationships/sharedStrings" Target="sharedStrings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5</xdr:col>
      <xdr:colOff>847725</xdr:colOff>
      <xdr:row>2</xdr:row>
      <xdr:rowOff>0</xdr:rowOff>
    </xdr:from>
    <xdr:ext cx="304800" cy="228600"/>
    <xdr:sp macro="" textlink="">
      <xdr:nvSpPr>
        <xdr:cNvPr hidden="1" id="1037" name="Object 13">
          <a:extLst>
            <a:ext uri="{63B3BB69-23CF-44E3-9099-C40C66FF867C}"/>
            <a:ext uri="{FF2B5EF4-FFF2-40B4-BE49-F238E27FC236}"/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685800</xdr:colOff>
      <xdr:row>1</xdr:row>
      <xdr:rowOff>123825</xdr:rowOff>
    </xdr:from>
    <xdr:ext cx="333375" cy="257175"/>
    <xdr:sp macro="" textlink="">
      <xdr:nvSpPr>
        <xdr:cNvPr hidden="1" id="1052" name="Object 28">
          <a:extLst>
            <a:ext uri="{63B3BB69-23CF-44E3-9099-C40C66FF867C}"/>
            <a:ext uri="{FF2B5EF4-FFF2-40B4-BE49-F238E27FC236}"/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6</xdr:col>
      <xdr:colOff>762000</xdr:colOff>
      <xdr:row>4</xdr:row>
      <xdr:rowOff>0</xdr:rowOff>
    </xdr:from>
    <xdr:ext cx="257175" cy="190500"/>
    <xdr:sp macro="" textlink="">
      <xdr:nvSpPr>
        <xdr:cNvPr hidden="1" id="2053" name="Object 5">
          <a:extLst>
            <a:ext uri="{63B3BB69-23CF-44E3-9099-C40C66FF867C}"/>
            <a:ext uri="{FF2B5EF4-FFF2-40B4-BE49-F238E27FC236}"/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733425</xdr:colOff>
      <xdr:row>3</xdr:row>
      <xdr:rowOff>123825</xdr:rowOff>
    </xdr:from>
    <xdr:ext cx="333375" cy="257175"/>
    <xdr:sp macro="" textlink="">
      <xdr:nvSpPr>
        <xdr:cNvPr hidden="1" id="2054" name="Object 6">
          <a:extLst>
            <a:ext uri="{63B3BB69-23CF-44E3-9099-C40C66FF867C}"/>
            <a:ext uri="{FF2B5EF4-FFF2-40B4-BE49-F238E27FC236}"/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6</xdr:col>
      <xdr:colOff>781050</xdr:colOff>
      <xdr:row>3</xdr:row>
      <xdr:rowOff>180975</xdr:rowOff>
    </xdr:from>
    <xdr:ext cx="257175" cy="200025"/>
    <xdr:sp macro="" textlink="">
      <xdr:nvSpPr>
        <xdr:cNvPr hidden="1" id="3074" name="Object 2">
          <a:extLst>
            <a:ext uri="{63B3BB69-23CF-44E3-9099-C40C66FF867C}"/>
            <a:ext uri="{FF2B5EF4-FFF2-40B4-BE49-F238E27FC236}"/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771525</xdr:colOff>
      <xdr:row>3</xdr:row>
      <xdr:rowOff>142875</xdr:rowOff>
    </xdr:from>
    <xdr:ext cx="333375" cy="257175"/>
    <xdr:sp macro="" textlink="">
      <xdr:nvSpPr>
        <xdr:cNvPr hidden="1" id="3075" name="Object 3">
          <a:extLst>
            <a:ext uri="{63B3BB69-23CF-44E3-9099-C40C66FF867C}"/>
            <a:ext uri="{FF2B5EF4-FFF2-40B4-BE49-F238E27FC236}"/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worksheet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26" Type="http://schemas.openxmlformats.org/officeDocument/2006/relationships/hyperlink" Target="http://www.planalto.gov.br/ccivil_03/Leis/LCP/Lcp128.htm" TargetMode="External"/><Relationship Id="rId12" Type="http://schemas.openxmlformats.org/officeDocument/2006/relationships/hyperlink" Target="http://www.planalto.gov.br/ccivil_03/Leis/LCP/Lcp128.htm" TargetMode="External"/><Relationship Id="rId114" Type="http://schemas.openxmlformats.org/officeDocument/2006/relationships/hyperlink" Target="http://www.planalto.gov.br/ccivil_03/Leis/LCP/Lcp128.htm" TargetMode="External"/><Relationship Id="rId38" Type="http://schemas.openxmlformats.org/officeDocument/2006/relationships/hyperlink" Target="http://www.planalto.gov.br/ccivil_03/Leis/LCP/Lcp128.htm" TargetMode="External"/><Relationship Id="rId103" Type="http://schemas.openxmlformats.org/officeDocument/2006/relationships/hyperlink" Target="http://www.planalto.gov.br/ccivil_03/Leis/LCP/Lcp128.htm" TargetMode="External"/><Relationship Id="rId29" Type="http://schemas.openxmlformats.org/officeDocument/2006/relationships/hyperlink" Target="http://www.planalto.gov.br/ccivil_03/Leis/LCP/Lcp128.htm" TargetMode="External"/><Relationship Id="rId81" Type="http://schemas.openxmlformats.org/officeDocument/2006/relationships/hyperlink" Target="http://www.planalto.gov.br/ccivil_03/Leis/LCP/Lcp128.htm" TargetMode="External"/><Relationship Id="rId4" Type="http://schemas.openxmlformats.org/officeDocument/2006/relationships/hyperlink" Target="http://www.planalto.gov.br/ccivil_03/Leis/LCP/Lcp128.htm" TargetMode="External"/><Relationship Id="rId42" Type="http://schemas.openxmlformats.org/officeDocument/2006/relationships/hyperlink" Target="http://www.planalto.gov.br/ccivil_03/Leis/LCP/Lcp128.htm" TargetMode="External"/><Relationship Id="rId9" Type="http://schemas.openxmlformats.org/officeDocument/2006/relationships/hyperlink" Target="http://www.planalto.gov.br/ccivil_03/Leis/LCP/Lcp128.htm" TargetMode="External"/><Relationship Id="rId71" Type="http://schemas.openxmlformats.org/officeDocument/2006/relationships/hyperlink" Target="http://www.planalto.gov.br/ccivil_03/Leis/LCP/Lcp128.htm" TargetMode="External"/><Relationship Id="rId94" Type="http://schemas.openxmlformats.org/officeDocument/2006/relationships/hyperlink" Target="http://www.planalto.gov.br/ccivil_03/Leis/LCP/Lcp128.htm" TargetMode="External"/><Relationship Id="rId31" Type="http://schemas.openxmlformats.org/officeDocument/2006/relationships/hyperlink" Target="http://www.planalto.gov.br/ccivil_03/Leis/LCP/Lcp128.htm" TargetMode="External"/><Relationship Id="rId48" Type="http://schemas.openxmlformats.org/officeDocument/2006/relationships/hyperlink" Target="http://www.planalto.gov.br/ccivil_03/Leis/LCP/Lcp128.htm" TargetMode="External"/><Relationship Id="rId43" Type="http://schemas.openxmlformats.org/officeDocument/2006/relationships/hyperlink" Target="http://www.planalto.gov.br/ccivil_03/Leis/LCP/Lcp128.htm" TargetMode="External"/><Relationship Id="rId33" Type="http://schemas.openxmlformats.org/officeDocument/2006/relationships/hyperlink" Target="http://www.planalto.gov.br/ccivil_03/Leis/LCP/Lcp128.htm" TargetMode="External"/><Relationship Id="rId104" Type="http://schemas.openxmlformats.org/officeDocument/2006/relationships/hyperlink" Target="http://www.planalto.gov.br/ccivil_03/Leis/LCP/Lcp128.htm" TargetMode="External"/><Relationship Id="rId24" Type="http://schemas.openxmlformats.org/officeDocument/2006/relationships/hyperlink" Target="http://www.planalto.gov.br/ccivil_03/Leis/LCP/Lcp128.htm" TargetMode="External"/><Relationship Id="rId80" Type="http://schemas.openxmlformats.org/officeDocument/2006/relationships/hyperlink" Target="http://www.planalto.gov.br/ccivil_03/Leis/LCP/Lcp128.htm" TargetMode="External"/><Relationship Id="rId87" Type="http://schemas.openxmlformats.org/officeDocument/2006/relationships/hyperlink" Target="http://www.planalto.gov.br/ccivil_03/Leis/LCP/Lcp128.htm" TargetMode="External"/><Relationship Id="rId122" Type="http://schemas.openxmlformats.org/officeDocument/2006/relationships/hyperlink" Target="http://www.planalto.gov.br/ccivil_03/Leis/LCP/Lcp128.htm" TargetMode="External"/><Relationship Id="rId45" Type="http://schemas.openxmlformats.org/officeDocument/2006/relationships/hyperlink" Target="http://www.planalto.gov.br/ccivil_03/Leis/LCP/Lcp128.htm" TargetMode="External"/><Relationship Id="rId6" Type="http://schemas.openxmlformats.org/officeDocument/2006/relationships/hyperlink" Target="http://www.planalto.gov.br/ccivil_03/Leis/LCP/Lcp128.htm" TargetMode="External"/><Relationship Id="rId76" Type="http://schemas.openxmlformats.org/officeDocument/2006/relationships/hyperlink" Target="http://www.planalto.gov.br/ccivil_03/Leis/LCP/Lcp128.htm" TargetMode="External"/><Relationship Id="rId88" Type="http://schemas.openxmlformats.org/officeDocument/2006/relationships/hyperlink" Target="http://www.planalto.gov.br/ccivil_03/Leis/LCP/Lcp128.htm" TargetMode="External"/><Relationship Id="rId119" Type="http://schemas.openxmlformats.org/officeDocument/2006/relationships/hyperlink" Target="http://www.planalto.gov.br/ccivil_03/Leis/LCP/Lcp128.htm" TargetMode="External"/><Relationship Id="rId107" Type="http://schemas.openxmlformats.org/officeDocument/2006/relationships/hyperlink" Target="http://www.planalto.gov.br/ccivil_03/Leis/LCP/Lcp128.htm" TargetMode="External"/><Relationship Id="rId66" Type="http://schemas.openxmlformats.org/officeDocument/2006/relationships/hyperlink" Target="http://www.planalto.gov.br/ccivil_03/Leis/LCP/Lcp128.htm" TargetMode="External"/><Relationship Id="rId89" Type="http://schemas.openxmlformats.org/officeDocument/2006/relationships/hyperlink" Target="http://www.planalto.gov.br/ccivil_03/Leis/LCP/Lcp128.htm" TargetMode="External"/><Relationship Id="rId51" Type="http://schemas.openxmlformats.org/officeDocument/2006/relationships/hyperlink" Target="http://www.planalto.gov.br/ccivil_03/Leis/LCP/Lcp128.htm" TargetMode="External"/><Relationship Id="rId125" Type="http://schemas.openxmlformats.org/officeDocument/2006/relationships/hyperlink" Target="http://www.planalto.gov.br/ccivil_03/Leis/LCP/Lcp128.htm" TargetMode="External"/><Relationship Id="rId40" Type="http://schemas.openxmlformats.org/officeDocument/2006/relationships/hyperlink" Target="http://www.planalto.gov.br/ccivil_03/Leis/LCP/Lcp128.htm" TargetMode="External"/><Relationship Id="rId85" Type="http://schemas.openxmlformats.org/officeDocument/2006/relationships/hyperlink" Target="http://www.planalto.gov.br/ccivil_03/Leis/LCP/Lcp128.htm" TargetMode="External"/><Relationship Id="rId28" Type="http://schemas.openxmlformats.org/officeDocument/2006/relationships/hyperlink" Target="http://www.planalto.gov.br/ccivil_03/Leis/LCP/Lcp128.htm" TargetMode="External"/><Relationship Id="rId16" Type="http://schemas.openxmlformats.org/officeDocument/2006/relationships/hyperlink" Target="http://www.planalto.gov.br/ccivil_03/Leis/LCP/Lcp128.htm" TargetMode="External"/><Relationship Id="rId54" Type="http://schemas.openxmlformats.org/officeDocument/2006/relationships/hyperlink" Target="http://www.planalto.gov.br/ccivil_03/Leis/LCP/Lcp128.htm" TargetMode="External"/><Relationship Id="rId20" Type="http://schemas.openxmlformats.org/officeDocument/2006/relationships/hyperlink" Target="http://www.planalto.gov.br/ccivil_03/Leis/LCP/Lcp128.htm" TargetMode="External"/><Relationship Id="rId79" Type="http://schemas.openxmlformats.org/officeDocument/2006/relationships/hyperlink" Target="http://www.planalto.gov.br/ccivil_03/Leis/LCP/Lcp128.htm" TargetMode="External"/><Relationship Id="rId108" Type="http://schemas.openxmlformats.org/officeDocument/2006/relationships/hyperlink" Target="http://www.planalto.gov.br/ccivil_03/Leis/LCP/Lcp128.htm" TargetMode="External"/><Relationship Id="rId60" Type="http://schemas.openxmlformats.org/officeDocument/2006/relationships/hyperlink" Target="http://www.planalto.gov.br/ccivil_03/Leis/LCP/Lcp128.htm" TargetMode="External"/><Relationship Id="rId11" Type="http://schemas.openxmlformats.org/officeDocument/2006/relationships/hyperlink" Target="http://www.planalto.gov.br/ccivil_03/Leis/LCP/Lcp128.htm" TargetMode="External"/><Relationship Id="rId68" Type="http://schemas.openxmlformats.org/officeDocument/2006/relationships/hyperlink" Target="http://www.planalto.gov.br/ccivil_03/Leis/LCP/Lcp128.htm" TargetMode="External"/><Relationship Id="rId7" Type="http://schemas.openxmlformats.org/officeDocument/2006/relationships/hyperlink" Target="http://www.planalto.gov.br/ccivil_03/Leis/LCP/Lcp128.htm" TargetMode="External"/><Relationship Id="rId14" Type="http://schemas.openxmlformats.org/officeDocument/2006/relationships/hyperlink" Target="http://www.planalto.gov.br/ccivil_03/Leis/LCP/Lcp128.htm" TargetMode="External"/><Relationship Id="rId70" Type="http://schemas.openxmlformats.org/officeDocument/2006/relationships/hyperlink" Target="http://www.planalto.gov.br/ccivil_03/Leis/LCP/Lcp128.htm" TargetMode="External"/><Relationship Id="rId73" Type="http://schemas.openxmlformats.org/officeDocument/2006/relationships/hyperlink" Target="http://www.planalto.gov.br/ccivil_03/Leis/LCP/Lcp128.htm" TargetMode="External"/><Relationship Id="rId27" Type="http://schemas.openxmlformats.org/officeDocument/2006/relationships/hyperlink" Target="http://www.planalto.gov.br/ccivil_03/Leis/LCP/Lcp128.htm" TargetMode="External"/><Relationship Id="rId61" Type="http://schemas.openxmlformats.org/officeDocument/2006/relationships/hyperlink" Target="http://www.planalto.gov.br/ccivil_03/Leis/LCP/Lcp128.htm" TargetMode="External"/><Relationship Id="rId95" Type="http://schemas.openxmlformats.org/officeDocument/2006/relationships/hyperlink" Target="http://www.planalto.gov.br/ccivil_03/Leis/LCP/Lcp128.htm" TargetMode="External"/><Relationship Id="rId101" Type="http://schemas.openxmlformats.org/officeDocument/2006/relationships/hyperlink" Target="http://www.planalto.gov.br/ccivil_03/Leis/LCP/Lcp128.htm" TargetMode="External"/><Relationship Id="rId22" Type="http://schemas.openxmlformats.org/officeDocument/2006/relationships/hyperlink" Target="http://www.planalto.gov.br/ccivil_03/Leis/LCP/Lcp128.htm" TargetMode="External"/><Relationship Id="rId120" Type="http://schemas.openxmlformats.org/officeDocument/2006/relationships/hyperlink" Target="http://www.planalto.gov.br/ccivil_03/Leis/LCP/Lcp128.htm" TargetMode="External"/><Relationship Id="rId91" Type="http://schemas.openxmlformats.org/officeDocument/2006/relationships/hyperlink" Target="http://www.planalto.gov.br/ccivil_03/Leis/LCP/Lcp128.htm" TargetMode="External"/><Relationship Id="rId78" Type="http://schemas.openxmlformats.org/officeDocument/2006/relationships/hyperlink" Target="http://www.planalto.gov.br/ccivil_03/Leis/LCP/Lcp128.htm" TargetMode="External"/><Relationship Id="rId65" Type="http://schemas.openxmlformats.org/officeDocument/2006/relationships/hyperlink" Target="http://www.planalto.gov.br/ccivil_03/Leis/LCP/Lcp128.htm" TargetMode="External"/><Relationship Id="rId72" Type="http://schemas.openxmlformats.org/officeDocument/2006/relationships/hyperlink" Target="http://www.planalto.gov.br/ccivil_03/Leis/LCP/Lcp128.htm" TargetMode="External"/><Relationship Id="rId10" Type="http://schemas.openxmlformats.org/officeDocument/2006/relationships/hyperlink" Target="http://www.planalto.gov.br/ccivil_03/Leis/LCP/Lcp128.htm" TargetMode="External"/><Relationship Id="rId115" Type="http://schemas.openxmlformats.org/officeDocument/2006/relationships/hyperlink" Target="http://www.planalto.gov.br/ccivil_03/Leis/LCP/Lcp128.htm" TargetMode="External"/><Relationship Id="rId52" Type="http://schemas.openxmlformats.org/officeDocument/2006/relationships/hyperlink" Target="http://www.planalto.gov.br/ccivil_03/Leis/LCP/Lcp128.htm" TargetMode="External"/><Relationship Id="rId64" Type="http://schemas.openxmlformats.org/officeDocument/2006/relationships/hyperlink" Target="http://www.planalto.gov.br/ccivil_03/Leis/LCP/Lcp128.htm" TargetMode="External"/><Relationship Id="rId109" Type="http://schemas.openxmlformats.org/officeDocument/2006/relationships/hyperlink" Target="http://www.planalto.gov.br/ccivil_03/Leis/LCP/Lcp128.htm" TargetMode="External"/><Relationship Id="rId47" Type="http://schemas.openxmlformats.org/officeDocument/2006/relationships/hyperlink" Target="http://www.planalto.gov.br/ccivil_03/Leis/LCP/Lcp128.htm" TargetMode="External"/><Relationship Id="rId99" Type="http://schemas.openxmlformats.org/officeDocument/2006/relationships/hyperlink" Target="http://www.planalto.gov.br/ccivil_03/Leis/LCP/Lcp128.htm" TargetMode="External"/><Relationship Id="rId58" Type="http://schemas.openxmlformats.org/officeDocument/2006/relationships/hyperlink" Target="http://www.planalto.gov.br/ccivil_03/Leis/LCP/Lcp128.htm" TargetMode="External"/><Relationship Id="rId50" Type="http://schemas.openxmlformats.org/officeDocument/2006/relationships/hyperlink" Target="http://www.planalto.gov.br/ccivil_03/Leis/LCP/Lcp128.htm" TargetMode="External"/><Relationship Id="rId46" Type="http://schemas.openxmlformats.org/officeDocument/2006/relationships/hyperlink" Target="http://www.planalto.gov.br/ccivil_03/Leis/LCP/Lcp128.htm" TargetMode="External"/><Relationship Id="rId15" Type="http://schemas.openxmlformats.org/officeDocument/2006/relationships/hyperlink" Target="http://www.planalto.gov.br/ccivil_03/Leis/LCP/Lcp128.htm" TargetMode="External"/><Relationship Id="rId117" Type="http://schemas.openxmlformats.org/officeDocument/2006/relationships/hyperlink" Target="http://www.planalto.gov.br/ccivil_03/Leis/LCP/Lcp128.htm" TargetMode="External"/><Relationship Id="rId25" Type="http://schemas.openxmlformats.org/officeDocument/2006/relationships/hyperlink" Target="http://www.planalto.gov.br/ccivil_03/Leis/LCP/Lcp128.htm" TargetMode="External"/><Relationship Id="rId62" Type="http://schemas.openxmlformats.org/officeDocument/2006/relationships/hyperlink" Target="http://www.planalto.gov.br/ccivil_03/Leis/LCP/Lcp128.htm" TargetMode="External"/><Relationship Id="rId74" Type="http://schemas.openxmlformats.org/officeDocument/2006/relationships/hyperlink" Target="http://www.planalto.gov.br/ccivil_03/Leis/LCP/Lcp128.htm" TargetMode="External"/><Relationship Id="rId35" Type="http://schemas.openxmlformats.org/officeDocument/2006/relationships/hyperlink" Target="http://www.planalto.gov.br/ccivil_03/Leis/LCP/Lcp128.htm" TargetMode="External"/><Relationship Id="rId8" Type="http://schemas.openxmlformats.org/officeDocument/2006/relationships/hyperlink" Target="http://www.planalto.gov.br/ccivil_03/Leis/LCP/Lcp128.htm" TargetMode="External"/><Relationship Id="rId13" Type="http://schemas.openxmlformats.org/officeDocument/2006/relationships/hyperlink" Target="http://www.planalto.gov.br/ccivil_03/Leis/LCP/Lcp128.htm" TargetMode="External"/><Relationship Id="rId121" Type="http://schemas.openxmlformats.org/officeDocument/2006/relationships/hyperlink" Target="http://www.planalto.gov.br/ccivil_03/Leis/LCP/Lcp128.htm" TargetMode="External"/><Relationship Id="rId44" Type="http://schemas.openxmlformats.org/officeDocument/2006/relationships/hyperlink" Target="http://www.planalto.gov.br/ccivil_03/Leis/LCP/Lcp128.htm" TargetMode="External"/><Relationship Id="rId127" Type="http://schemas.openxmlformats.org/officeDocument/2006/relationships/drawing" Target="../drawings/worksheetdrawing2.xml"/><Relationship Id="rId5" Type="http://schemas.openxmlformats.org/officeDocument/2006/relationships/hyperlink" Target="http://www.planalto.gov.br/ccivil_03/Leis/LCP/Lcp128.htm" TargetMode="External"/><Relationship Id="rId36" Type="http://schemas.openxmlformats.org/officeDocument/2006/relationships/hyperlink" Target="http://www.planalto.gov.br/ccivil_03/Leis/LCP/Lcp128.htm" TargetMode="External"/><Relationship Id="rId98" Type="http://schemas.openxmlformats.org/officeDocument/2006/relationships/hyperlink" Target="http://www.planalto.gov.br/ccivil_03/Leis/LCP/Lcp128.htm" TargetMode="External"/><Relationship Id="rId2" Type="http://schemas.openxmlformats.org/officeDocument/2006/relationships/hyperlink" Target="http://www.planalto.gov.br/ccivil_03/Leis/LCP/Lcp128.htm" TargetMode="External"/><Relationship Id="rId23" Type="http://schemas.openxmlformats.org/officeDocument/2006/relationships/hyperlink" Target="http://www.planalto.gov.br/ccivil_03/Leis/LCP/Lcp128.htm" TargetMode="External"/><Relationship Id="rId102" Type="http://schemas.openxmlformats.org/officeDocument/2006/relationships/hyperlink" Target="http://www.planalto.gov.br/ccivil_03/Leis/LCP/Lcp128.htm" TargetMode="External"/><Relationship Id="rId59" Type="http://schemas.openxmlformats.org/officeDocument/2006/relationships/hyperlink" Target="http://www.planalto.gov.br/ccivil_03/Leis/LCP/Lcp128.htm" TargetMode="External"/><Relationship Id="rId90" Type="http://schemas.openxmlformats.org/officeDocument/2006/relationships/hyperlink" Target="http://www.planalto.gov.br/ccivil_03/Leis/LCP/Lcp128.htm" TargetMode="External"/><Relationship Id="rId116" Type="http://schemas.openxmlformats.org/officeDocument/2006/relationships/hyperlink" Target="http://www.planalto.gov.br/ccivil_03/Leis/LCP/Lcp128.htm" TargetMode="External"/><Relationship Id="rId96" Type="http://schemas.openxmlformats.org/officeDocument/2006/relationships/hyperlink" Target="http://www.planalto.gov.br/ccivil_03/Leis/LCP/Lcp128.htm" TargetMode="External"/><Relationship Id="rId110" Type="http://schemas.openxmlformats.org/officeDocument/2006/relationships/hyperlink" Target="http://www.planalto.gov.br/ccivil_03/Leis/LCP/Lcp128.htm" TargetMode="External"/><Relationship Id="rId123" Type="http://schemas.openxmlformats.org/officeDocument/2006/relationships/hyperlink" Target="http://www.planalto.gov.br/ccivil_03/Leis/LCP/Lcp128.htm" TargetMode="External"/><Relationship Id="rId57" Type="http://schemas.openxmlformats.org/officeDocument/2006/relationships/hyperlink" Target="http://www.planalto.gov.br/ccivil_03/Leis/LCP/Lcp128.htm" TargetMode="External"/><Relationship Id="rId41" Type="http://schemas.openxmlformats.org/officeDocument/2006/relationships/hyperlink" Target="http://www.planalto.gov.br/ccivil_03/Leis/LCP/Lcp128.htm" TargetMode="External"/><Relationship Id="rId56" Type="http://schemas.openxmlformats.org/officeDocument/2006/relationships/hyperlink" Target="http://www.planalto.gov.br/ccivil_03/Leis/LCP/Lcp128.htm" TargetMode="External"/><Relationship Id="rId84" Type="http://schemas.openxmlformats.org/officeDocument/2006/relationships/hyperlink" Target="http://www.planalto.gov.br/ccivil_03/Leis/LCP/Lcp128.htm" TargetMode="External"/><Relationship Id="rId100" Type="http://schemas.openxmlformats.org/officeDocument/2006/relationships/hyperlink" Target="http://www.planalto.gov.br/ccivil_03/Leis/LCP/Lcp128.htm" TargetMode="External"/><Relationship Id="rId97" Type="http://schemas.openxmlformats.org/officeDocument/2006/relationships/hyperlink" Target="http://www.planalto.gov.br/ccivil_03/Leis/LCP/Lcp128.htm" TargetMode="External"/><Relationship Id="rId39" Type="http://schemas.openxmlformats.org/officeDocument/2006/relationships/hyperlink" Target="http://www.planalto.gov.br/ccivil_03/Leis/LCP/Lcp128.htm" TargetMode="External"/><Relationship Id="rId106" Type="http://schemas.openxmlformats.org/officeDocument/2006/relationships/hyperlink" Target="http://www.planalto.gov.br/ccivil_03/Leis/LCP/Lcp128.htm" TargetMode="External"/><Relationship Id="rId105" Type="http://schemas.openxmlformats.org/officeDocument/2006/relationships/hyperlink" Target="http://www.planalto.gov.br/ccivil_03/Leis/LCP/Lcp128.htm" TargetMode="External"/><Relationship Id="rId113" Type="http://schemas.openxmlformats.org/officeDocument/2006/relationships/hyperlink" Target="http://www.planalto.gov.br/ccivil_03/Leis/LCP/Lcp128.htm" TargetMode="External"/><Relationship Id="rId124" Type="http://schemas.openxmlformats.org/officeDocument/2006/relationships/hyperlink" Target="http://www.planalto.gov.br/ccivil_03/Leis/LCP/Lcp128.htm" TargetMode="External"/><Relationship Id="rId69" Type="http://schemas.openxmlformats.org/officeDocument/2006/relationships/hyperlink" Target="http://www.planalto.gov.br/ccivil_03/Leis/LCP/Lcp128.htm" TargetMode="External"/><Relationship Id="rId34" Type="http://schemas.openxmlformats.org/officeDocument/2006/relationships/hyperlink" Target="http://www.planalto.gov.br/ccivil_03/Leis/LCP/Lcp128.htm" TargetMode="External"/><Relationship Id="rId53" Type="http://schemas.openxmlformats.org/officeDocument/2006/relationships/hyperlink" Target="http://www.planalto.gov.br/ccivil_03/Leis/LCP/Lcp128.htm" TargetMode="External"/><Relationship Id="rId77" Type="http://schemas.openxmlformats.org/officeDocument/2006/relationships/hyperlink" Target="http://www.planalto.gov.br/ccivil_03/Leis/LCP/Lcp128.htm" TargetMode="External"/><Relationship Id="rId111" Type="http://schemas.openxmlformats.org/officeDocument/2006/relationships/hyperlink" Target="http://www.planalto.gov.br/ccivil_03/Leis/LCP/Lcp128.htm" TargetMode="External"/><Relationship Id="rId83" Type="http://schemas.openxmlformats.org/officeDocument/2006/relationships/hyperlink" Target="http://www.planalto.gov.br/ccivil_03/Leis/LCP/Lcp128.htm" TargetMode="External"/><Relationship Id="rId82" Type="http://schemas.openxmlformats.org/officeDocument/2006/relationships/hyperlink" Target="http://www.planalto.gov.br/ccivil_03/Leis/LCP/Lcp128.htm" TargetMode="External"/><Relationship Id="rId1" Type="http://schemas.openxmlformats.org/officeDocument/2006/relationships/hyperlink" Target="http://www.planalto.gov.br/ccivil_03/Leis/LCP/Lcp128.htm" TargetMode="External"/><Relationship Id="rId30" Type="http://schemas.openxmlformats.org/officeDocument/2006/relationships/hyperlink" Target="http://www.planalto.gov.br/ccivil_03/Leis/LCP/Lcp128.htm" TargetMode="External"/><Relationship Id="rId18" Type="http://schemas.openxmlformats.org/officeDocument/2006/relationships/hyperlink" Target="http://www.planalto.gov.br/ccivil_03/Leis/LCP/Lcp128.htm" TargetMode="External"/><Relationship Id="rId86" Type="http://schemas.openxmlformats.org/officeDocument/2006/relationships/hyperlink" Target="http://www.planalto.gov.br/ccivil_03/Leis/LCP/Lcp128.htm" TargetMode="External"/><Relationship Id="rId75" Type="http://schemas.openxmlformats.org/officeDocument/2006/relationships/hyperlink" Target="http://www.planalto.gov.br/ccivil_03/Leis/LCP/Lcp128.htm" TargetMode="External"/><Relationship Id="rId26" Type="http://schemas.openxmlformats.org/officeDocument/2006/relationships/hyperlink" Target="http://www.planalto.gov.br/ccivil_03/Leis/LCP/Lcp128.htm" TargetMode="External"/><Relationship Id="rId92" Type="http://schemas.openxmlformats.org/officeDocument/2006/relationships/hyperlink" Target="http://www.planalto.gov.br/ccivil_03/Leis/LCP/Lcp128.htm" TargetMode="External"/><Relationship Id="rId21" Type="http://schemas.openxmlformats.org/officeDocument/2006/relationships/hyperlink" Target="http://www.planalto.gov.br/ccivil_03/Leis/LCP/Lcp128.htm" TargetMode="External"/><Relationship Id="rId49" Type="http://schemas.openxmlformats.org/officeDocument/2006/relationships/hyperlink" Target="http://www.planalto.gov.br/ccivil_03/Leis/LCP/Lcp128.htm" TargetMode="External"/><Relationship Id="rId112" Type="http://schemas.openxmlformats.org/officeDocument/2006/relationships/hyperlink" Target="http://www.planalto.gov.br/ccivil_03/Leis/LCP/Lcp128.htm" TargetMode="External"/><Relationship Id="rId32" Type="http://schemas.openxmlformats.org/officeDocument/2006/relationships/hyperlink" Target="http://www.planalto.gov.br/ccivil_03/Leis/LCP/Lcp128.htm" TargetMode="External"/><Relationship Id="rId63" Type="http://schemas.openxmlformats.org/officeDocument/2006/relationships/hyperlink" Target="http://www.planalto.gov.br/ccivil_03/Leis/LCP/Lcp128.htm" TargetMode="External"/><Relationship Id="rId67" Type="http://schemas.openxmlformats.org/officeDocument/2006/relationships/hyperlink" Target="http://www.planalto.gov.br/ccivil_03/Leis/LCP/Lcp128.htm" TargetMode="External"/><Relationship Id="rId19" Type="http://schemas.openxmlformats.org/officeDocument/2006/relationships/hyperlink" Target="http://www.planalto.gov.br/ccivil_03/Leis/LCP/Lcp128.htm" TargetMode="External"/><Relationship Id="rId118" Type="http://schemas.openxmlformats.org/officeDocument/2006/relationships/hyperlink" Target="http://www.planalto.gov.br/ccivil_03/Leis/LCP/Lcp128.htm" TargetMode="External"/><Relationship Id="rId17" Type="http://schemas.openxmlformats.org/officeDocument/2006/relationships/hyperlink" Target="http://www.planalto.gov.br/ccivil_03/Leis/LCP/Lcp128.htm" TargetMode="External"/><Relationship Id="rId55" Type="http://schemas.openxmlformats.org/officeDocument/2006/relationships/hyperlink" Target="http://www.planalto.gov.br/ccivil_03/Leis/LCP/Lcp128.htm" TargetMode="External"/><Relationship Id="rId3" Type="http://schemas.openxmlformats.org/officeDocument/2006/relationships/hyperlink" Target="http://www.planalto.gov.br/ccivil_03/Leis/LCP/Lcp128.htm" TargetMode="External"/><Relationship Id="rId93" Type="http://schemas.openxmlformats.org/officeDocument/2006/relationships/hyperlink" Target="http://www.planalto.gov.br/ccivil_03/Leis/LCP/Lcp128.htm" TargetMode="External"/><Relationship Id="rId37" Type="http://schemas.openxmlformats.org/officeDocument/2006/relationships/hyperlink" Target="http://www.planalto.gov.br/ccivil_03/Leis/LCP/Lcp128.ht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4" Type="http://schemas.openxmlformats.org/officeDocument/2006/relationships/hyperlink" Target="http://www.planalto.gov.br/ccivil_03/Leis/LCP/Lcp128.htm" TargetMode="External"/><Relationship Id="rId6" Type="http://schemas.openxmlformats.org/officeDocument/2006/relationships/drawing" Target="../drawings/worksheetdrawing4.xml"/><Relationship Id="rId5" Type="http://schemas.openxmlformats.org/officeDocument/2006/relationships/hyperlink" Target="http://www.planalto.gov.br/ccivil_03/Leis/LCP/Lcp128.htm" TargetMode="External"/><Relationship Id="rId2" Type="http://schemas.openxmlformats.org/officeDocument/2006/relationships/hyperlink" Target="http://www.planalto.gov.br/ccivil_03/Leis/LCP/Lcp128.htm" TargetMode="External"/><Relationship Id="rId1" Type="http://schemas.openxmlformats.org/officeDocument/2006/relationships/hyperlink" Target="http://www.planalto.gov.br/ccivil_03/Leis/LCP/Lcp128.htm" TargetMode="External"/><Relationship Id="rId3" Type="http://schemas.openxmlformats.org/officeDocument/2006/relationships/hyperlink" Target="http://www.planalto.gov.br/ccivil_03/Leis/LCP/Lcp128.ht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_rels/sheet6.xml.rels><?xml version="1.0" encoding="UTF-8" standalone="yes"?><Relationships xmlns="http://schemas.openxmlformats.org/package/2006/relationships"><Relationship Id="rId4" Type="http://schemas.openxmlformats.org/officeDocument/2006/relationships/hyperlink" Target="http://www.planalto.gov.br/ccivil_03/Leis/LCP/Lcp128.htm" TargetMode="External"/><Relationship Id="rId6" Type="http://schemas.openxmlformats.org/officeDocument/2006/relationships/drawing" Target="../drawings/worksheetdrawing6.xml"/><Relationship Id="rId5" Type="http://schemas.openxmlformats.org/officeDocument/2006/relationships/hyperlink" Target="http://www.planalto.gov.br/ccivil_03/Leis/LCP/Lcp128.htm" TargetMode="External"/><Relationship Id="rId2" Type="http://schemas.openxmlformats.org/officeDocument/2006/relationships/hyperlink" Target="http://www.planalto.gov.br/ccivil_03/Leis/LCP/Lcp128.htm" TargetMode="External"/><Relationship Id="rId1" Type="http://schemas.openxmlformats.org/officeDocument/2006/relationships/hyperlink" Target="http://www.planalto.gov.br/ccivil_03/Leis/LCP/Lcp128.htm" TargetMode="External"/><Relationship Id="rId3" Type="http://schemas.openxmlformats.org/officeDocument/2006/relationships/hyperlink" Target="http://www.planalto.gov.br/ccivil_03/Leis/LCP/Lcp12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.14"/>
    <col customWidth="1" min="3" max="3" width="43.86"/>
    <col customWidth="1" min="4" max="4" width="22.29"/>
    <col customWidth="1" min="5" max="5" width="2.14"/>
    <col customWidth="1" min="6" max="6" width="49.86"/>
    <col customWidth="1" min="7" max="7" width="17.0"/>
    <col customWidth="1" min="8" max="8" width="2.43"/>
    <col customWidth="1" min="9" max="9" width="45.0"/>
    <col customWidth="1" min="10" max="10" width="18.43"/>
    <col customWidth="1" min="11" max="11" width="9.14"/>
  </cols>
  <sheetData>
    <row r="1" ht="26.25" customHeight="1">
      <c r="A1" s="1"/>
      <c r="B1" s="2"/>
      <c r="C1" s="3" t="s">
        <v>0</v>
      </c>
      <c r="D1" s="1"/>
      <c r="E1" s="2"/>
      <c r="F1" s="1"/>
      <c r="G1" s="1"/>
      <c r="H1" s="1"/>
      <c r="I1" s="1"/>
      <c r="J1" s="1"/>
      <c r="K1" s="1"/>
    </row>
    <row r="2">
      <c r="A2" s="1"/>
      <c r="B2" s="2"/>
      <c r="C2" s="1"/>
      <c r="D2" s="4"/>
      <c r="E2" s="2"/>
      <c r="F2" s="1"/>
      <c r="G2" s="1"/>
      <c r="H2" s="1"/>
      <c r="I2" s="1"/>
      <c r="J2" s="1"/>
      <c r="K2" s="1"/>
    </row>
    <row r="3">
      <c r="A3" s="1"/>
      <c r="B3" s="5" t="s">
        <v>1</v>
      </c>
      <c r="C3" s="1"/>
      <c r="D3" s="4"/>
      <c r="E3" s="2"/>
      <c r="F3" s="1" t="s">
        <v>2</v>
      </c>
      <c r="G3" s="1"/>
      <c r="H3" s="1"/>
      <c r="I3" s="1"/>
      <c r="J3" s="6" t="s">
        <v>3</v>
      </c>
      <c r="K3" s="1"/>
    </row>
    <row r="4">
      <c r="A4" s="1"/>
      <c r="B4" s="2"/>
      <c r="C4" s="1"/>
      <c r="D4" s="4"/>
      <c r="E4" s="2"/>
      <c r="F4" s="1"/>
      <c r="G4" s="1"/>
      <c r="H4" s="1"/>
      <c r="I4" s="1"/>
      <c r="J4" s="1"/>
      <c r="K4" s="1"/>
    </row>
    <row r="5">
      <c r="A5" s="1"/>
      <c r="B5" s="7"/>
      <c r="C5" s="8" t="s">
        <v>4</v>
      </c>
      <c r="D5" s="9"/>
      <c r="E5" s="2"/>
      <c r="F5" s="10" t="s">
        <v>5</v>
      </c>
      <c r="G5" s="11"/>
      <c r="H5" s="1"/>
      <c r="I5" s="10" t="s">
        <v>6</v>
      </c>
      <c r="J5" s="11"/>
      <c r="K5" s="1"/>
    </row>
    <row r="6">
      <c r="A6" s="1"/>
      <c r="B6" s="12"/>
      <c r="C6" s="1"/>
      <c r="D6" s="13"/>
      <c r="E6" s="2"/>
      <c r="F6" s="14"/>
      <c r="G6" s="15"/>
      <c r="H6" s="1"/>
      <c r="I6" s="14"/>
      <c r="J6" s="15"/>
      <c r="K6" s="1"/>
    </row>
    <row r="7">
      <c r="A7" s="1"/>
      <c r="B7" s="12"/>
      <c r="C7" s="1" t="s">
        <v>7</v>
      </c>
      <c r="D7" s="16">
        <v>500000.0</v>
      </c>
      <c r="E7" s="2"/>
      <c r="F7" s="14" t="s">
        <v>7</v>
      </c>
      <c r="G7" s="13" t="str">
        <f>D7</f>
        <v>R$ 500,000.00</v>
      </c>
      <c r="H7" s="1"/>
      <c r="I7" s="14" t="s">
        <v>8</v>
      </c>
      <c r="J7" s="13" t="str">
        <f>G7</f>
        <v>R$ 500,000.00</v>
      </c>
      <c r="K7" s="1"/>
    </row>
    <row r="8">
      <c r="A8" s="1"/>
      <c r="B8" s="12"/>
      <c r="C8" s="17">
        <v>0.18</v>
      </c>
      <c r="D8" s="13" t="str">
        <f>(D7*C8)</f>
        <v>R$ 90,000.00</v>
      </c>
      <c r="E8" s="2"/>
      <c r="F8" s="18" t="str">
        <f t="shared" ref="F8:G8" si="1">C8</f>
        <v>ICMS sobre Vendas 18%</v>
      </c>
      <c r="G8" s="13" t="str">
        <f t="shared" si="1"/>
        <v>R$ 90,000.00</v>
      </c>
      <c r="H8" s="1"/>
      <c r="I8" s="14" t="s">
        <v>9</v>
      </c>
      <c r="J8" s="13" t="str">
        <f>G7*12</f>
        <v>R$ 6,000,000.00</v>
      </c>
      <c r="K8" s="1"/>
    </row>
    <row r="9">
      <c r="A9" s="1"/>
      <c r="B9" s="12"/>
      <c r="C9" s="19">
        <v>0.07</v>
      </c>
      <c r="D9" s="13" t="str">
        <f>(D13*C9)</f>
        <v>R$ 17,500.00</v>
      </c>
      <c r="E9" s="2"/>
      <c r="F9" s="20" t="str">
        <f t="shared" ref="F9:G9" si="2">C9</f>
        <v>ICMS: Crédito sobre Compras 7%</v>
      </c>
      <c r="G9" s="13" t="str">
        <f t="shared" si="2"/>
        <v>R$ 17,500.00</v>
      </c>
      <c r="H9" s="1"/>
      <c r="I9" s="14"/>
      <c r="J9" s="13"/>
      <c r="K9" s="1"/>
    </row>
    <row r="10">
      <c r="A10" s="1"/>
      <c r="B10" s="12"/>
      <c r="C10" s="21">
        <v>0.0065</v>
      </c>
      <c r="D10" s="13" t="str">
        <f>D7*C10</f>
        <v>R$ 3,250.00</v>
      </c>
      <c r="E10" s="2"/>
      <c r="F10" s="22">
        <v>0.0065</v>
      </c>
      <c r="G10" s="13" t="str">
        <f>G7*F10</f>
        <v>R$ 3,250.00</v>
      </c>
      <c r="H10" s="1"/>
      <c r="I10" s="23" t="s">
        <v>10</v>
      </c>
      <c r="J10" s="13" t="str">
        <f>IF(I10="Substituição Tributária",G8-G9,0)</f>
        <v>R$ 0.00</v>
      </c>
      <c r="K10" s="1"/>
    </row>
    <row r="11">
      <c r="A11" s="1"/>
      <c r="B11" s="12"/>
      <c r="C11" s="24">
        <v>0.03</v>
      </c>
      <c r="D11" s="13" t="str">
        <f>D7*C11</f>
        <v>R$ 15,000.00</v>
      </c>
      <c r="E11" s="2"/>
      <c r="F11" s="25">
        <v>0.03</v>
      </c>
      <c r="G11" s="13" t="str">
        <f>G7*F11</f>
        <v>R$ 15,000.00</v>
      </c>
      <c r="H11" s="1"/>
      <c r="I11" s="14"/>
      <c r="J11" s="15"/>
      <c r="K11" s="1"/>
    </row>
    <row r="12">
      <c r="A12" s="1"/>
      <c r="B12" s="12" t="s">
        <v>11</v>
      </c>
      <c r="C12" s="1" t="s">
        <v>12</v>
      </c>
      <c r="D12" s="13" t="str">
        <f>D7-D8+D9-D10-D11</f>
        <v>R$ 409,250.00</v>
      </c>
      <c r="E12" s="2"/>
      <c r="F12" s="14" t="s">
        <v>12</v>
      </c>
      <c r="G12" s="13" t="str">
        <f>G7-G8+G9-G10-G11</f>
        <v>R$ 409,250.00</v>
      </c>
      <c r="H12" s="1"/>
      <c r="I12" s="14"/>
      <c r="J12" s="15"/>
      <c r="K12" s="1"/>
    </row>
    <row r="13">
      <c r="A13" s="1"/>
      <c r="B13" s="12" t="s">
        <v>13</v>
      </c>
      <c r="C13" s="26">
        <v>0.5</v>
      </c>
      <c r="D13" s="13" t="str">
        <f>D7*C13</f>
        <v>R$ 250,000.00</v>
      </c>
      <c r="E13" s="2"/>
      <c r="F13" s="27" t="str">
        <f t="shared" ref="F13:F17" si="3">C13</f>
        <v>Custo da Mercadoria Vendida = 50.0%</v>
      </c>
      <c r="G13" s="13" t="str">
        <f>G7*F13</f>
        <v>R$ 250,000.00</v>
      </c>
      <c r="H13" s="1"/>
      <c r="I13" s="27" t="str">
        <f>C13</f>
        <v>Custo da Mercadoria Vendida = 50.0%</v>
      </c>
      <c r="J13" s="13" t="str">
        <f>J7*I13</f>
        <v>R$ 250,000.00</v>
      </c>
      <c r="K13" s="1"/>
    </row>
    <row r="14">
      <c r="A14" s="1"/>
      <c r="B14" s="12" t="s">
        <v>11</v>
      </c>
      <c r="C14" s="1" t="s">
        <v>14</v>
      </c>
      <c r="D14" s="13" t="str">
        <f>D12-D13</f>
        <v>R$ 159,250.00</v>
      </c>
      <c r="E14" s="2"/>
      <c r="F14" s="14" t="str">
        <f t="shared" si="3"/>
        <v>Margem Bruta</v>
      </c>
      <c r="G14" s="13" t="str">
        <f>G12-G13</f>
        <v>R$ 159,250.00</v>
      </c>
      <c r="H14" s="1"/>
      <c r="I14" s="14"/>
      <c r="J14" s="15"/>
      <c r="K14" s="1"/>
    </row>
    <row r="15">
      <c r="A15" s="1"/>
      <c r="B15" s="12" t="s">
        <v>13</v>
      </c>
      <c r="C15" s="28">
        <v>0.1</v>
      </c>
      <c r="D15" s="13" t="str">
        <f>D7*C15</f>
        <v>R$ 50,000.00</v>
      </c>
      <c r="E15" s="2"/>
      <c r="F15" s="29" t="str">
        <f t="shared" si="3"/>
        <v>Folha pagamento s/ Receita Bruta = 10.0%</v>
      </c>
      <c r="G15" s="13" t="str">
        <f>G7*F15</f>
        <v>R$ 50,000.00</v>
      </c>
      <c r="H15" s="1"/>
      <c r="I15" s="29" t="str">
        <f>C15</f>
        <v>Folha pagamento s/ Receita Bruta = 10.0%</v>
      </c>
      <c r="J15" s="13" t="str">
        <f>J7*I15</f>
        <v>R$ 50,000.00</v>
      </c>
      <c r="K15" s="1"/>
    </row>
    <row r="16">
      <c r="A16" s="1"/>
      <c r="B16" s="12" t="s">
        <v>13</v>
      </c>
      <c r="C16" s="30">
        <v>0.275</v>
      </c>
      <c r="D16" s="13" t="str">
        <f>D15*C16</f>
        <v>R$ 13,750.00</v>
      </c>
      <c r="E16" s="2"/>
      <c r="F16" s="31" t="str">
        <f t="shared" si="3"/>
        <v>Encargos sociais sobre folha =  27.5%</v>
      </c>
      <c r="G16" s="13" t="str">
        <f t="shared" ref="G16:G18" si="4">D16</f>
        <v>R$ 13,750.00</v>
      </c>
      <c r="H16" s="1"/>
      <c r="I16" s="32"/>
      <c r="J16" s="13"/>
      <c r="K16" s="1"/>
    </row>
    <row r="17">
      <c r="A17" s="1"/>
      <c r="B17" s="12" t="s">
        <v>13</v>
      </c>
      <c r="C17" s="33">
        <v>0.02</v>
      </c>
      <c r="D17" s="13" t="str">
        <f>D7*C17</f>
        <v>R$ 10,000.00</v>
      </c>
      <c r="E17" s="2"/>
      <c r="F17" s="34" t="str">
        <f t="shared" si="3"/>
        <v>Despesas diversas s/ Receita Bruta = 2.0%</v>
      </c>
      <c r="G17" s="13" t="str">
        <f t="shared" si="4"/>
        <v>R$ 10,000.00</v>
      </c>
      <c r="H17" s="1"/>
      <c r="I17" s="34" t="str">
        <f>C17</f>
        <v>Despesas diversas s/ Receita Bruta = 2.0%</v>
      </c>
      <c r="J17" s="13" t="str">
        <f>J7*I17</f>
        <v>R$ 10,000.00</v>
      </c>
      <c r="K17" s="1"/>
    </row>
    <row r="18">
      <c r="A18" s="1"/>
      <c r="B18" s="12" t="s">
        <v>11</v>
      </c>
      <c r="C18" s="35" t="s">
        <v>15</v>
      </c>
      <c r="D18" s="36" t="str">
        <f>D14-D15-D16-D17</f>
        <v>R$ 85,500.00</v>
      </c>
      <c r="E18" s="2"/>
      <c r="F18" s="14" t="s">
        <v>15</v>
      </c>
      <c r="G18" s="36" t="str">
        <f t="shared" si="4"/>
        <v>R$ 85,500.00</v>
      </c>
      <c r="H18" s="1"/>
      <c r="I18" s="14"/>
      <c r="J18" s="15"/>
      <c r="K18" s="1"/>
    </row>
    <row r="19">
      <c r="A19" s="1"/>
      <c r="B19" s="12"/>
      <c r="C19" s="37">
        <v>0.09</v>
      </c>
      <c r="D19" s="13" t="str">
        <f>D18*C19</f>
        <v>R$ 7,695.00</v>
      </c>
      <c r="E19" s="2"/>
      <c r="F19" s="38" t="s">
        <v>16</v>
      </c>
      <c r="G19" s="15"/>
      <c r="H19" s="1"/>
      <c r="I19" s="14"/>
      <c r="J19" s="15"/>
      <c r="K19" s="1"/>
    </row>
    <row r="20">
      <c r="A20" s="1"/>
      <c r="B20" s="12"/>
      <c r="C20" s="39" t="s">
        <v>17</v>
      </c>
      <c r="D20" s="13"/>
      <c r="E20" s="2"/>
      <c r="F20" s="40">
        <v>0.12</v>
      </c>
      <c r="G20" s="13" t="str">
        <f>G7*F20</f>
        <v>R$ 60,000.00</v>
      </c>
      <c r="H20" s="1"/>
      <c r="I20" s="14"/>
      <c r="J20" s="15"/>
      <c r="K20" s="1"/>
    </row>
    <row r="21">
      <c r="A21" s="1"/>
      <c r="B21" s="12"/>
      <c r="C21" s="41">
        <v>0.15</v>
      </c>
      <c r="D21" s="13" t="str">
        <f>D18*C21</f>
        <v>R$ 12,825.00</v>
      </c>
      <c r="E21" s="2"/>
      <c r="F21" s="42">
        <v>0.09</v>
      </c>
      <c r="G21" s="13" t="str">
        <f>G20*F21</f>
        <v>R$ 5,400.00</v>
      </c>
      <c r="H21" s="1"/>
      <c r="I21" s="14"/>
      <c r="J21" s="15"/>
      <c r="K21" s="1"/>
    </row>
    <row r="22">
      <c r="A22" s="1"/>
      <c r="B22" s="12"/>
      <c r="C22" s="1"/>
      <c r="D22" s="13"/>
      <c r="E22" s="2"/>
      <c r="F22" s="38" t="s">
        <v>18</v>
      </c>
      <c r="G22" s="15"/>
      <c r="H22" s="1"/>
      <c r="I22" s="43" t="s">
        <v>19</v>
      </c>
      <c r="J22" s="15"/>
      <c r="K22" s="1"/>
    </row>
    <row r="23">
      <c r="A23" s="1"/>
      <c r="B23" s="12"/>
      <c r="C23" s="1"/>
      <c r="D23" s="36" t="str">
        <f>D18-D19-D21</f>
        <v>R$ 64,980.00</v>
      </c>
      <c r="E23" s="2"/>
      <c r="F23" s="40">
        <v>0.08</v>
      </c>
      <c r="G23" s="13" t="str">
        <f>G7*F23</f>
        <v>R$ 40,000.00</v>
      </c>
      <c r="H23" s="1"/>
      <c r="I23" s="44" t="str">
        <f>VLOOKUP(I10,'Anexo 1'!L33:M34,2)</f>
        <v>Alíquota de 11.61%</v>
      </c>
      <c r="J23" s="13" t="str">
        <f>J7*I23</f>
        <v>R$ 58,050.00</v>
      </c>
      <c r="K23" s="1"/>
    </row>
    <row r="24">
      <c r="A24" s="1"/>
      <c r="B24" s="12"/>
      <c r="C24" s="45">
        <v>0.1</v>
      </c>
      <c r="D24" s="13" t="str">
        <f>IF(D23&gt;20000,(D23-20000)*C24,0)</f>
        <v>R$ 4,498.00</v>
      </c>
      <c r="E24" s="2"/>
      <c r="F24" s="46" t="str">
        <f>C21</f>
        <v>Alíquota do IR de 15%</v>
      </c>
      <c r="G24" s="13" t="str">
        <f>G23*F24</f>
        <v>R$ 6,000.00</v>
      </c>
      <c r="H24" s="1"/>
      <c r="I24" s="14"/>
      <c r="J24" s="15"/>
      <c r="K24" s="1"/>
    </row>
    <row r="25">
      <c r="A25" s="1"/>
      <c r="B25" s="12"/>
      <c r="C25" s="1"/>
      <c r="D25" s="13"/>
      <c r="E25" s="2"/>
      <c r="F25" s="47">
        <v>0.1</v>
      </c>
      <c r="G25" s="13" t="str">
        <f>IF(G23&gt;20000,(G23-20000)*F25,0)</f>
        <v>R$ 2,000.00</v>
      </c>
      <c r="H25" s="1"/>
      <c r="I25" s="14"/>
      <c r="J25" s="15"/>
      <c r="K25" s="1"/>
    </row>
    <row r="26">
      <c r="A26" s="1"/>
      <c r="B26" s="12"/>
      <c r="C26" s="48" t="s">
        <v>20</v>
      </c>
      <c r="D26" s="36" t="str">
        <f>D23-D24</f>
        <v>R$ 60,482.00</v>
      </c>
      <c r="E26" s="2"/>
      <c r="F26" s="43" t="s">
        <v>21</v>
      </c>
      <c r="G26" s="36" t="str">
        <f>G18-G21-G24-G25</f>
        <v>R$ 72,100.00</v>
      </c>
      <c r="H26" s="1"/>
      <c r="I26" s="43" t="s">
        <v>22</v>
      </c>
      <c r="J26" s="36" t="str">
        <f>J7-J10-J13-J15-J17-J23</f>
        <v>R$ 131,950.00</v>
      </c>
      <c r="K26" s="1"/>
    </row>
    <row r="27">
      <c r="A27" s="1"/>
      <c r="B27" s="49"/>
      <c r="C27" s="50"/>
      <c r="D27" s="51"/>
      <c r="E27" s="2"/>
      <c r="F27" s="52"/>
      <c r="G27" s="53"/>
      <c r="H27" s="1"/>
      <c r="I27" s="52"/>
      <c r="J27" s="53"/>
      <c r="K27" s="1"/>
    </row>
    <row r="28" ht="15.75" customHeight="1">
      <c r="A28" s="1"/>
      <c r="B28" s="2"/>
      <c r="C28" s="1"/>
      <c r="D28" s="4"/>
      <c r="E28" s="2"/>
      <c r="F28" s="1"/>
      <c r="G28" s="1"/>
      <c r="H28" s="1"/>
      <c r="I28" s="1"/>
      <c r="J28" s="1"/>
      <c r="K28" s="1"/>
    </row>
    <row r="29">
      <c r="A29" s="1"/>
      <c r="B29" s="2"/>
      <c r="C29" s="54" t="str">
        <f>D8-D9+D10+D11+D16+D19+D21+D24</f>
        <v>Carga Tributária:  Lucro Real R$ 129,518.00</v>
      </c>
      <c r="D29" s="4"/>
      <c r="E29" s="2"/>
      <c r="F29" s="55" t="str">
        <f>C30</f>
        <v>Carga Tributária:  Lucro Presumido R$ 135,400.00</v>
      </c>
      <c r="G29" s="1"/>
      <c r="H29" s="1"/>
      <c r="I29" s="56" t="str">
        <f>F31</f>
        <v>Carga Tributária: Simples R$ 58,050.00</v>
      </c>
      <c r="J29" s="1"/>
      <c r="K29" s="1"/>
    </row>
    <row r="30">
      <c r="A30" s="1"/>
      <c r="B30" s="2"/>
      <c r="C30" s="57" t="str">
        <f>G8+G10+G11+G16+G21+G24+G25</f>
        <v>Carga Tributária: Lucro Presumido R$ 135,400.00</v>
      </c>
      <c r="D30" s="4"/>
      <c r="E30" s="2"/>
      <c r="F30" s="58" t="str">
        <f>C29</f>
        <v>Carga Tributária:  Lucro Real R$ 129,518.00</v>
      </c>
      <c r="G30" s="1"/>
      <c r="H30" s="1"/>
      <c r="I30" s="59" t="str">
        <f t="shared" ref="I30:I31" si="5">C29</f>
        <v>Carga Tributária: Lucro Real R$ 129,518.00</v>
      </c>
      <c r="J30" s="1"/>
      <c r="K30" s="1"/>
    </row>
    <row r="31">
      <c r="A31" s="1"/>
      <c r="B31" s="2"/>
      <c r="C31" s="60" t="str">
        <f>J10+J23</f>
        <v>Carga Tributária: Simples R$ 58,050.00</v>
      </c>
      <c r="D31" s="4"/>
      <c r="E31" s="2"/>
      <c r="F31" s="60" t="str">
        <f>C31</f>
        <v>Carga Tributária: Simples R$ 58,050.00</v>
      </c>
      <c r="G31" s="1"/>
      <c r="H31" s="1"/>
      <c r="I31" s="57" t="str">
        <f t="shared" si="5"/>
        <v>Carga Tributária: Lucro Presumido R$ 135,400.00</v>
      </c>
      <c r="J31" s="1"/>
      <c r="K31" s="1"/>
    </row>
    <row r="32">
      <c r="A32" s="1"/>
      <c r="B32" s="2"/>
      <c r="C32" s="1"/>
      <c r="D32" s="4"/>
      <c r="E32" s="2"/>
      <c r="F32" s="1"/>
      <c r="G32" s="4"/>
      <c r="H32" s="1"/>
      <c r="I32" s="1"/>
      <c r="J32" s="4"/>
      <c r="K32" s="1"/>
    </row>
    <row r="33">
      <c r="A33" s="1"/>
      <c r="B33" s="2"/>
      <c r="C33" s="61" t="str">
        <f>G26</f>
        <v>Lucro: no Lucro Presumido R$ 72,100.00</v>
      </c>
      <c r="D33" s="4"/>
      <c r="E33" s="2"/>
      <c r="F33" s="62" t="str">
        <f>D26</f>
        <v>Lucro: no Lucro Real R$ 60,482.00</v>
      </c>
      <c r="G33" s="4"/>
      <c r="H33" s="1"/>
      <c r="I33" s="61" t="str">
        <f>C33</f>
        <v>Lucro: no Lucro Presumido R$ 72,100.00</v>
      </c>
      <c r="J33" s="1"/>
      <c r="K33" s="1"/>
    </row>
    <row r="34">
      <c r="A34" s="1"/>
      <c r="B34" s="2"/>
      <c r="C34" s="63" t="str">
        <f>J26</f>
        <v>Lucro: no Simples R$ 131,950.00</v>
      </c>
      <c r="D34" s="4"/>
      <c r="E34" s="2"/>
      <c r="F34" s="63" t="str">
        <f>C34</f>
        <v>Lucro: no Simples R$ 131,950.00</v>
      </c>
      <c r="G34" s="1"/>
      <c r="H34" s="1"/>
      <c r="I34" s="62" t="str">
        <f>F33</f>
        <v>Lucro: no Lucro Real R$ 60,482.00</v>
      </c>
      <c r="J34" s="1"/>
      <c r="K34" s="1"/>
    </row>
    <row r="35" ht="15.75" customHeight="1">
      <c r="A35" s="1"/>
      <c r="B35" s="2"/>
      <c r="C35" s="1"/>
      <c r="D35" s="4"/>
      <c r="E35" s="2"/>
      <c r="F35" s="1"/>
      <c r="G35" s="1"/>
      <c r="H35" s="1"/>
      <c r="I35" s="1"/>
      <c r="J35" s="1"/>
      <c r="K35" s="1"/>
    </row>
    <row r="36" ht="15.75" customHeight="1">
      <c r="A36" s="1"/>
      <c r="B36" s="2"/>
      <c r="C36" s="1"/>
      <c r="D36" s="4"/>
      <c r="E36" s="2"/>
      <c r="F36" s="1"/>
      <c r="G36" s="1"/>
      <c r="H36" s="1"/>
      <c r="I36" s="1"/>
      <c r="J36" s="1"/>
      <c r="K36" s="1"/>
    </row>
    <row r="37" ht="15.75" customHeight="1">
      <c r="A37" s="1"/>
      <c r="B37" s="2"/>
      <c r="C37" s="1"/>
      <c r="D37" s="4"/>
      <c r="E37" s="2"/>
      <c r="F37" s="1"/>
      <c r="G37" s="1"/>
      <c r="H37" s="1"/>
      <c r="I37" s="1"/>
      <c r="J37" s="1"/>
      <c r="K37" s="1"/>
    </row>
    <row r="38" ht="15.75" customHeight="1">
      <c r="A38" s="1"/>
      <c r="B38" s="2"/>
      <c r="C38" s="1"/>
      <c r="D38" s="4"/>
      <c r="E38" s="2"/>
      <c r="F38" s="1"/>
      <c r="G38" s="1"/>
      <c r="H38" s="1"/>
      <c r="I38" s="1"/>
      <c r="J38" s="1"/>
      <c r="K38" s="1"/>
    </row>
    <row r="39" ht="15.75" customHeight="1">
      <c r="A39" s="1"/>
      <c r="B39" s="2"/>
      <c r="C39" s="1"/>
      <c r="D39" s="4"/>
      <c r="E39" s="2"/>
      <c r="F39" s="1"/>
      <c r="G39" s="1"/>
      <c r="H39" s="1"/>
      <c r="I39" s="1"/>
      <c r="J39" s="1"/>
      <c r="K39" s="1"/>
    </row>
    <row r="40" ht="15.75" customHeight="1">
      <c r="A40" s="1"/>
      <c r="B40" s="2"/>
      <c r="C40" s="1"/>
      <c r="D40" s="4"/>
      <c r="E40" s="2"/>
      <c r="F40" s="1"/>
      <c r="G40" s="1"/>
      <c r="H40" s="1"/>
      <c r="I40" s="1"/>
      <c r="J40" s="1"/>
      <c r="K40" s="1"/>
    </row>
    <row r="41" ht="15.75" customHeight="1">
      <c r="A41" s="1"/>
      <c r="B41" s="2"/>
      <c r="C41" s="1"/>
      <c r="D41" s="4"/>
      <c r="E41" s="2"/>
      <c r="F41" s="1"/>
      <c r="G41" s="1"/>
      <c r="H41" s="1"/>
      <c r="I41" s="1"/>
      <c r="J41" s="1"/>
      <c r="K41" s="1"/>
    </row>
    <row r="42" ht="15.75" customHeight="1">
      <c r="A42" s="1"/>
      <c r="B42" s="2"/>
      <c r="C42" s="1"/>
      <c r="D42" s="4"/>
      <c r="E42" s="2"/>
      <c r="F42" s="1"/>
      <c r="G42" s="1"/>
      <c r="H42" s="1"/>
      <c r="I42" s="1"/>
      <c r="J42" s="1"/>
      <c r="K42" s="1"/>
    </row>
    <row r="43" ht="15.75" customHeight="1">
      <c r="A43" s="1"/>
      <c r="B43" s="2"/>
      <c r="C43" s="1"/>
      <c r="D43" s="4"/>
      <c r="E43" s="2"/>
      <c r="F43" s="1"/>
      <c r="G43" s="1"/>
      <c r="H43" s="1"/>
      <c r="I43" s="1"/>
      <c r="J43" s="1"/>
      <c r="K43" s="1"/>
    </row>
    <row r="44" ht="15.75" customHeight="1">
      <c r="A44" s="1"/>
      <c r="B44" s="2"/>
      <c r="C44" s="1"/>
      <c r="D44" s="4"/>
      <c r="E44" s="2"/>
      <c r="F44" s="1"/>
      <c r="G44" s="1"/>
      <c r="H44" s="1"/>
      <c r="I44" s="1"/>
      <c r="J44" s="1"/>
      <c r="K44" s="1"/>
    </row>
    <row r="45" ht="15.75" customHeight="1">
      <c r="A45" s="1"/>
      <c r="B45" s="2"/>
      <c r="C45" s="1"/>
      <c r="D45" s="4"/>
      <c r="E45" s="2"/>
      <c r="F45" s="1"/>
      <c r="G45" s="1"/>
      <c r="H45" s="1"/>
      <c r="I45" s="1"/>
      <c r="J45" s="1"/>
      <c r="K45" s="1"/>
    </row>
    <row r="46" ht="15.75" customHeight="1">
      <c r="A46" s="1"/>
      <c r="B46" s="2"/>
      <c r="C46" s="1"/>
      <c r="D46" s="4"/>
      <c r="E46" s="2"/>
      <c r="F46" s="1"/>
      <c r="G46" s="1"/>
      <c r="H46" s="1"/>
      <c r="I46" s="1"/>
      <c r="J46" s="1"/>
      <c r="K46" s="1"/>
    </row>
    <row r="47" ht="15.75" customHeight="1">
      <c r="A47" s="1"/>
      <c r="B47" s="2"/>
      <c r="C47" s="1"/>
      <c r="D47" s="4"/>
      <c r="E47" s="2"/>
      <c r="F47" s="1"/>
      <c r="G47" s="1"/>
      <c r="H47" s="1"/>
      <c r="I47" s="1"/>
      <c r="J47" s="1"/>
      <c r="K47" s="1"/>
    </row>
    <row r="48" ht="15.75" customHeight="1">
      <c r="A48" s="1"/>
      <c r="B48" s="2"/>
      <c r="C48" s="1"/>
      <c r="D48" s="4"/>
      <c r="E48" s="2"/>
      <c r="F48" s="1"/>
      <c r="G48" s="1"/>
      <c r="H48" s="1"/>
      <c r="I48" s="1"/>
      <c r="J48" s="1"/>
      <c r="K48" s="1"/>
    </row>
    <row r="49" ht="15.75" customHeight="1">
      <c r="A49" s="1"/>
      <c r="B49" s="2"/>
      <c r="C49" s="1"/>
      <c r="D49" s="4"/>
      <c r="E49" s="2"/>
      <c r="F49" s="1"/>
      <c r="G49" s="1"/>
      <c r="H49" s="1"/>
      <c r="I49" s="1"/>
      <c r="J49" s="1"/>
      <c r="K49" s="1"/>
    </row>
    <row r="50" ht="15.75" customHeight="1">
      <c r="A50" s="1"/>
      <c r="B50" s="2"/>
      <c r="C50" s="1"/>
      <c r="D50" s="4"/>
      <c r="E50" s="2"/>
      <c r="F50" s="1"/>
      <c r="G50" s="1"/>
      <c r="H50" s="1"/>
      <c r="I50" s="1"/>
      <c r="J50" s="1"/>
      <c r="K50" s="1"/>
    </row>
    <row r="51" ht="15.75" customHeight="1">
      <c r="A51" s="1"/>
      <c r="B51" s="2"/>
      <c r="C51" s="1"/>
      <c r="D51" s="4"/>
      <c r="E51" s="2"/>
      <c r="F51" s="1"/>
      <c r="G51" s="1"/>
      <c r="H51" s="1"/>
      <c r="I51" s="1"/>
      <c r="J51" s="1"/>
      <c r="K51" s="1"/>
    </row>
    <row r="52" ht="15.75" customHeight="1">
      <c r="A52" s="1"/>
      <c r="B52" s="2"/>
      <c r="C52" s="1"/>
      <c r="D52" s="4"/>
      <c r="E52" s="2"/>
      <c r="F52" s="1"/>
      <c r="G52" s="1"/>
      <c r="H52" s="1"/>
      <c r="I52" s="1"/>
      <c r="J52" s="1"/>
      <c r="K52" s="1"/>
    </row>
    <row r="53" ht="15.75" customHeight="1">
      <c r="A53" s="1"/>
      <c r="B53" s="2"/>
      <c r="C53" s="1"/>
      <c r="D53" s="4"/>
      <c r="E53" s="2"/>
      <c r="F53" s="1"/>
      <c r="G53" s="1"/>
      <c r="H53" s="1"/>
      <c r="I53" s="1"/>
      <c r="J53" s="1"/>
      <c r="K53" s="1"/>
    </row>
    <row r="54" ht="15.75" customHeight="1">
      <c r="A54" s="1"/>
      <c r="B54" s="2"/>
      <c r="C54" s="1"/>
      <c r="D54" s="4"/>
      <c r="E54" s="2"/>
      <c r="F54" s="1"/>
      <c r="G54" s="1"/>
      <c r="H54" s="1"/>
      <c r="I54" s="1"/>
      <c r="J54" s="1"/>
      <c r="K54" s="1"/>
    </row>
    <row r="55" ht="15.75" customHeight="1">
      <c r="A55" s="1"/>
      <c r="B55" s="2"/>
      <c r="C55" s="1"/>
      <c r="D55" s="4"/>
      <c r="E55" s="2"/>
      <c r="F55" s="1"/>
      <c r="G55" s="1"/>
      <c r="H55" s="1"/>
      <c r="I55" s="1"/>
      <c r="J55" s="1"/>
      <c r="K55" s="1"/>
    </row>
    <row r="56" ht="15.75" customHeight="1">
      <c r="A56" s="1"/>
      <c r="B56" s="2"/>
      <c r="C56" s="1"/>
      <c r="D56" s="4"/>
      <c r="E56" s="2"/>
      <c r="F56" s="1"/>
      <c r="G56" s="1"/>
      <c r="H56" s="1"/>
      <c r="I56" s="1"/>
      <c r="J56" s="1"/>
      <c r="K56" s="1"/>
    </row>
    <row r="57" ht="15.75" customHeight="1">
      <c r="A57" s="1"/>
      <c r="B57" s="2"/>
      <c r="C57" s="1"/>
      <c r="D57" s="4"/>
      <c r="E57" s="2"/>
      <c r="F57" s="1"/>
      <c r="G57" s="1"/>
      <c r="H57" s="1"/>
      <c r="I57" s="1"/>
      <c r="J57" s="1"/>
      <c r="K57" s="1"/>
    </row>
    <row r="58" ht="15.75" customHeight="1">
      <c r="A58" s="1"/>
      <c r="B58" s="2"/>
      <c r="C58" s="1"/>
      <c r="D58" s="4"/>
      <c r="E58" s="2"/>
      <c r="F58" s="1"/>
      <c r="G58" s="1"/>
      <c r="H58" s="1"/>
      <c r="I58" s="1"/>
      <c r="J58" s="1"/>
      <c r="K58" s="1"/>
    </row>
    <row r="59" ht="15.75" customHeight="1">
      <c r="A59" s="1"/>
      <c r="B59" s="2"/>
      <c r="C59" s="1"/>
      <c r="D59" s="4"/>
      <c r="E59" s="2"/>
      <c r="F59" s="1"/>
      <c r="G59" s="1"/>
      <c r="H59" s="1"/>
      <c r="I59" s="1"/>
      <c r="J59" s="1"/>
      <c r="K59" s="1"/>
    </row>
    <row r="60" ht="15.75" customHeight="1">
      <c r="A60" s="1"/>
      <c r="B60" s="2"/>
      <c r="C60" s="1"/>
      <c r="D60" s="4"/>
      <c r="E60" s="2"/>
      <c r="F60" s="1"/>
      <c r="G60" s="1"/>
      <c r="H60" s="1"/>
      <c r="I60" s="1"/>
      <c r="J60" s="1"/>
      <c r="K60" s="1"/>
    </row>
    <row r="61" ht="15.75" customHeight="1">
      <c r="A61" s="1"/>
      <c r="B61" s="2"/>
      <c r="C61" s="1"/>
      <c r="D61" s="4"/>
      <c r="E61" s="2"/>
      <c r="F61" s="1"/>
      <c r="G61" s="1"/>
      <c r="H61" s="1"/>
      <c r="I61" s="1"/>
      <c r="J61" s="1"/>
      <c r="K61" s="1"/>
    </row>
    <row r="62" ht="15.75" customHeight="1">
      <c r="A62" s="1"/>
      <c r="B62" s="2"/>
      <c r="C62" s="1"/>
      <c r="D62" s="4"/>
      <c r="E62" s="2"/>
      <c r="F62" s="1"/>
      <c r="G62" s="1"/>
      <c r="H62" s="1"/>
      <c r="I62" s="1"/>
      <c r="J62" s="1"/>
      <c r="K62" s="1"/>
    </row>
    <row r="63" ht="15.75" customHeight="1">
      <c r="A63" s="1"/>
      <c r="B63" s="2"/>
      <c r="C63" s="1"/>
      <c r="D63" s="4"/>
      <c r="E63" s="2"/>
      <c r="F63" s="1"/>
      <c r="G63" s="1"/>
      <c r="H63" s="1"/>
      <c r="I63" s="1"/>
      <c r="J63" s="1"/>
      <c r="K63" s="1"/>
    </row>
    <row r="64" ht="15.75" customHeight="1">
      <c r="A64" s="1"/>
      <c r="B64" s="2"/>
      <c r="C64" s="1"/>
      <c r="D64" s="4"/>
      <c r="E64" s="2"/>
      <c r="F64" s="1"/>
      <c r="G64" s="1"/>
      <c r="H64" s="1"/>
      <c r="I64" s="1"/>
      <c r="J64" s="1"/>
      <c r="K64" s="1"/>
    </row>
    <row r="65" ht="15.75" customHeight="1">
      <c r="A65" s="1"/>
      <c r="B65" s="2"/>
      <c r="C65" s="1"/>
      <c r="D65" s="4"/>
      <c r="E65" s="2"/>
      <c r="F65" s="1"/>
      <c r="G65" s="1"/>
      <c r="H65" s="1"/>
      <c r="I65" s="1"/>
      <c r="J65" s="1"/>
      <c r="K65" s="1"/>
    </row>
    <row r="66" ht="15.75" customHeight="1">
      <c r="A66" s="1"/>
      <c r="B66" s="2"/>
      <c r="C66" s="1"/>
      <c r="D66" s="4"/>
      <c r="E66" s="2"/>
      <c r="F66" s="1"/>
      <c r="G66" s="1"/>
      <c r="H66" s="1"/>
      <c r="I66" s="1"/>
      <c r="J66" s="1"/>
      <c r="K66" s="1"/>
    </row>
    <row r="67" ht="15.75" customHeight="1">
      <c r="A67" s="1"/>
      <c r="B67" s="2"/>
      <c r="C67" s="1"/>
      <c r="D67" s="4"/>
      <c r="E67" s="2"/>
      <c r="F67" s="1"/>
      <c r="G67" s="1"/>
      <c r="H67" s="1"/>
      <c r="I67" s="1"/>
      <c r="J67" s="1"/>
      <c r="K67" s="1"/>
    </row>
    <row r="68" ht="15.75" customHeight="1">
      <c r="A68" s="1"/>
      <c r="B68" s="2"/>
      <c r="C68" s="1"/>
      <c r="D68" s="4"/>
      <c r="E68" s="2"/>
      <c r="F68" s="1"/>
      <c r="G68" s="1"/>
      <c r="H68" s="1"/>
      <c r="I68" s="1"/>
      <c r="J68" s="1"/>
      <c r="K68" s="1"/>
    </row>
    <row r="69" ht="15.75" customHeight="1">
      <c r="A69" s="1"/>
      <c r="B69" s="2"/>
      <c r="C69" s="1"/>
      <c r="D69" s="4"/>
      <c r="E69" s="2"/>
      <c r="F69" s="1"/>
      <c r="G69" s="1"/>
      <c r="H69" s="1"/>
      <c r="I69" s="1"/>
      <c r="J69" s="1"/>
      <c r="K69" s="1"/>
    </row>
    <row r="70" ht="15.75" customHeight="1">
      <c r="A70" s="1"/>
      <c r="B70" s="2"/>
      <c r="C70" s="1"/>
      <c r="D70" s="4"/>
      <c r="E70" s="2"/>
      <c r="F70" s="1"/>
      <c r="G70" s="1"/>
      <c r="H70" s="1"/>
      <c r="I70" s="1"/>
      <c r="J70" s="1"/>
      <c r="K70" s="1"/>
    </row>
    <row r="71" ht="15.75" customHeight="1">
      <c r="A71" s="1"/>
      <c r="B71" s="2"/>
      <c r="C71" s="1"/>
      <c r="D71" s="4"/>
      <c r="E71" s="2"/>
      <c r="F71" s="1"/>
      <c r="G71" s="1"/>
      <c r="H71" s="1"/>
      <c r="I71" s="1"/>
      <c r="J71" s="1"/>
      <c r="K71" s="1"/>
    </row>
    <row r="72" ht="15.75" customHeight="1">
      <c r="A72" s="1"/>
      <c r="B72" s="2"/>
      <c r="C72" s="1"/>
      <c r="D72" s="4"/>
      <c r="E72" s="2"/>
      <c r="F72" s="1"/>
      <c r="G72" s="1"/>
      <c r="H72" s="1"/>
      <c r="I72" s="1"/>
      <c r="J72" s="1"/>
      <c r="K72" s="1"/>
    </row>
    <row r="73" ht="15.75" customHeight="1">
      <c r="A73" s="1"/>
      <c r="B73" s="2"/>
      <c r="C73" s="1"/>
      <c r="D73" s="4"/>
      <c r="E73" s="2"/>
      <c r="F73" s="1"/>
      <c r="G73" s="1"/>
      <c r="H73" s="1"/>
      <c r="I73" s="1"/>
      <c r="J73" s="1"/>
      <c r="K73" s="1"/>
    </row>
    <row r="74" ht="15.75" customHeight="1">
      <c r="A74" s="1"/>
      <c r="B74" s="2"/>
      <c r="C74" s="1"/>
      <c r="D74" s="4"/>
      <c r="E74" s="2"/>
      <c r="F74" s="1"/>
      <c r="G74" s="1"/>
      <c r="H74" s="1"/>
      <c r="I74" s="1"/>
      <c r="J74" s="1"/>
      <c r="K74" s="1"/>
    </row>
    <row r="75" ht="15.75" customHeight="1">
      <c r="A75" s="1"/>
      <c r="B75" s="2"/>
      <c r="C75" s="1"/>
      <c r="D75" s="4"/>
      <c r="E75" s="2"/>
      <c r="F75" s="1"/>
      <c r="G75" s="1"/>
      <c r="H75" s="1"/>
      <c r="I75" s="1"/>
      <c r="J75" s="1"/>
      <c r="K75" s="1"/>
    </row>
    <row r="76" ht="15.75" customHeight="1">
      <c r="A76" s="1"/>
      <c r="B76" s="2"/>
      <c r="C76" s="1"/>
      <c r="D76" s="4"/>
      <c r="E76" s="2"/>
      <c r="F76" s="1"/>
      <c r="G76" s="1"/>
      <c r="H76" s="1"/>
      <c r="I76" s="1"/>
      <c r="J76" s="1"/>
      <c r="K76" s="1"/>
    </row>
    <row r="77" ht="15.75" customHeight="1">
      <c r="A77" s="1"/>
      <c r="B77" s="2"/>
      <c r="C77" s="1"/>
      <c r="D77" s="4"/>
      <c r="E77" s="2"/>
      <c r="F77" s="1"/>
      <c r="G77" s="1"/>
      <c r="H77" s="1"/>
      <c r="I77" s="1"/>
      <c r="J77" s="1"/>
      <c r="K77" s="1"/>
    </row>
    <row r="78" ht="15.75" customHeight="1">
      <c r="A78" s="1"/>
      <c r="B78" s="2"/>
      <c r="C78" s="1"/>
      <c r="D78" s="4"/>
      <c r="E78" s="2"/>
      <c r="F78" s="1"/>
      <c r="G78" s="1"/>
      <c r="H78" s="1"/>
      <c r="I78" s="1"/>
      <c r="J78" s="1"/>
      <c r="K78" s="1"/>
    </row>
    <row r="79" ht="15.75" customHeight="1">
      <c r="A79" s="1"/>
      <c r="B79" s="2"/>
      <c r="C79" s="1"/>
      <c r="D79" s="4"/>
      <c r="E79" s="2"/>
      <c r="F79" s="1"/>
      <c r="G79" s="1"/>
      <c r="H79" s="1"/>
      <c r="I79" s="1"/>
      <c r="J79" s="1"/>
      <c r="K79" s="1"/>
    </row>
    <row r="80" ht="15.75" customHeight="1">
      <c r="A80" s="1"/>
      <c r="B80" s="2"/>
      <c r="C80" s="1"/>
      <c r="D80" s="4"/>
      <c r="E80" s="2"/>
      <c r="F80" s="1"/>
      <c r="G80" s="1"/>
      <c r="H80" s="1"/>
      <c r="I80" s="1"/>
      <c r="J80" s="1"/>
      <c r="K80" s="1"/>
    </row>
    <row r="81" ht="15.75" customHeight="1">
      <c r="A81" s="1"/>
      <c r="B81" s="2"/>
      <c r="C81" s="1"/>
      <c r="D81" s="4"/>
      <c r="E81" s="2"/>
      <c r="F81" s="1"/>
      <c r="G81" s="1"/>
      <c r="H81" s="1"/>
      <c r="I81" s="1"/>
      <c r="J81" s="1"/>
      <c r="K81" s="1"/>
    </row>
    <row r="82" ht="15.75" customHeight="1">
      <c r="A82" s="1"/>
      <c r="B82" s="2"/>
      <c r="C82" s="1"/>
      <c r="D82" s="4"/>
      <c r="E82" s="2"/>
      <c r="F82" s="1"/>
      <c r="G82" s="1"/>
      <c r="H82" s="1"/>
      <c r="I82" s="1"/>
      <c r="J82" s="1"/>
      <c r="K82" s="1"/>
    </row>
    <row r="83" ht="15.75" customHeight="1">
      <c r="A83" s="1"/>
      <c r="B83" s="2"/>
      <c r="C83" s="1"/>
      <c r="D83" s="4"/>
      <c r="E83" s="2"/>
      <c r="F83" s="1"/>
      <c r="G83" s="1"/>
      <c r="H83" s="1"/>
      <c r="I83" s="1"/>
      <c r="J83" s="1"/>
      <c r="K83" s="1"/>
    </row>
    <row r="84" ht="15.75" customHeight="1">
      <c r="A84" s="1"/>
      <c r="B84" s="2"/>
      <c r="C84" s="1"/>
      <c r="D84" s="4"/>
      <c r="E84" s="2"/>
      <c r="F84" s="1"/>
      <c r="G84" s="1"/>
      <c r="H84" s="1"/>
      <c r="I84" s="1"/>
      <c r="J84" s="1"/>
      <c r="K84" s="1"/>
    </row>
    <row r="85" ht="15.75" customHeight="1">
      <c r="A85" s="1"/>
      <c r="B85" s="2"/>
      <c r="C85" s="1"/>
      <c r="D85" s="4"/>
      <c r="E85" s="2"/>
      <c r="F85" s="1"/>
      <c r="G85" s="1"/>
      <c r="H85" s="1"/>
      <c r="I85" s="1"/>
      <c r="J85" s="1"/>
      <c r="K85" s="1"/>
    </row>
    <row r="86" ht="15.75" customHeight="1">
      <c r="A86" s="1"/>
      <c r="B86" s="2"/>
      <c r="C86" s="1"/>
      <c r="D86" s="4"/>
      <c r="E86" s="2"/>
      <c r="F86" s="1"/>
      <c r="G86" s="1"/>
      <c r="H86" s="1"/>
      <c r="I86" s="1"/>
      <c r="J86" s="1"/>
      <c r="K86" s="1"/>
    </row>
    <row r="87" ht="15.75" customHeight="1">
      <c r="A87" s="1"/>
      <c r="B87" s="2"/>
      <c r="C87" s="1"/>
      <c r="D87" s="4"/>
      <c r="E87" s="2"/>
      <c r="F87" s="1"/>
      <c r="G87" s="1"/>
      <c r="H87" s="1"/>
      <c r="I87" s="1"/>
      <c r="J87" s="1"/>
      <c r="K87" s="1"/>
    </row>
    <row r="88" ht="15.75" customHeight="1">
      <c r="A88" s="1"/>
      <c r="B88" s="2"/>
      <c r="C88" s="1"/>
      <c r="D88" s="4"/>
      <c r="E88" s="2"/>
      <c r="F88" s="1"/>
      <c r="G88" s="1"/>
      <c r="H88" s="1"/>
      <c r="I88" s="1"/>
      <c r="J88" s="1"/>
      <c r="K88" s="1"/>
    </row>
    <row r="89" ht="15.75" customHeight="1">
      <c r="A89" s="1"/>
      <c r="B89" s="2"/>
      <c r="C89" s="1"/>
      <c r="D89" s="4"/>
      <c r="E89" s="2"/>
      <c r="F89" s="1"/>
      <c r="G89" s="1"/>
      <c r="H89" s="1"/>
      <c r="I89" s="1"/>
      <c r="J89" s="1"/>
      <c r="K89" s="1"/>
    </row>
    <row r="90" ht="15.75" customHeight="1">
      <c r="A90" s="1"/>
      <c r="B90" s="2"/>
      <c r="C90" s="1"/>
      <c r="D90" s="4"/>
      <c r="E90" s="2"/>
      <c r="F90" s="1"/>
      <c r="G90" s="1"/>
      <c r="H90" s="1"/>
      <c r="I90" s="1"/>
      <c r="J90" s="1"/>
      <c r="K90" s="1"/>
    </row>
    <row r="91" ht="15.75" customHeight="1">
      <c r="A91" s="1"/>
      <c r="B91" s="2"/>
      <c r="C91" s="1"/>
      <c r="D91" s="4"/>
      <c r="E91" s="2"/>
      <c r="F91" s="1"/>
      <c r="G91" s="1"/>
      <c r="H91" s="1"/>
      <c r="I91" s="1"/>
      <c r="J91" s="1"/>
      <c r="K91" s="1"/>
    </row>
    <row r="92" ht="15.75" customHeight="1">
      <c r="A92" s="1"/>
      <c r="B92" s="2"/>
      <c r="C92" s="1"/>
      <c r="D92" s="4"/>
      <c r="E92" s="2"/>
      <c r="F92" s="1"/>
      <c r="G92" s="1"/>
      <c r="H92" s="1"/>
      <c r="I92" s="1"/>
      <c r="J92" s="1"/>
      <c r="K92" s="1"/>
    </row>
    <row r="93" ht="15.75" customHeight="1">
      <c r="A93" s="1"/>
      <c r="B93" s="2"/>
      <c r="C93" s="1"/>
      <c r="D93" s="4"/>
      <c r="E93" s="2"/>
      <c r="F93" s="1"/>
      <c r="G93" s="1"/>
      <c r="H93" s="1"/>
      <c r="I93" s="1"/>
      <c r="J93" s="1"/>
      <c r="K93" s="1"/>
    </row>
    <row r="94" ht="15.75" customHeight="1">
      <c r="A94" s="1"/>
      <c r="B94" s="2"/>
      <c r="C94" s="1"/>
      <c r="D94" s="4"/>
      <c r="E94" s="2"/>
      <c r="F94" s="1"/>
      <c r="G94" s="1"/>
      <c r="H94" s="1"/>
      <c r="I94" s="1"/>
      <c r="J94" s="1"/>
      <c r="K94" s="1"/>
    </row>
    <row r="95" ht="15.75" customHeight="1">
      <c r="A95" s="1"/>
      <c r="B95" s="2"/>
      <c r="C95" s="1"/>
      <c r="D95" s="4"/>
      <c r="E95" s="2"/>
      <c r="F95" s="1"/>
      <c r="G95" s="1"/>
      <c r="H95" s="1"/>
      <c r="I95" s="1"/>
      <c r="J95" s="1"/>
      <c r="K95" s="1"/>
    </row>
    <row r="96" ht="15.75" customHeight="1">
      <c r="A96" s="1"/>
      <c r="B96" s="2"/>
      <c r="C96" s="1"/>
      <c r="D96" s="4"/>
      <c r="E96" s="2"/>
      <c r="F96" s="1"/>
      <c r="G96" s="1"/>
      <c r="H96" s="1"/>
      <c r="I96" s="1"/>
      <c r="J96" s="1"/>
      <c r="K96" s="1"/>
    </row>
    <row r="97" ht="15.75" customHeight="1">
      <c r="A97" s="1"/>
      <c r="B97" s="2"/>
      <c r="C97" s="1"/>
      <c r="D97" s="4"/>
      <c r="E97" s="2"/>
      <c r="F97" s="1"/>
      <c r="G97" s="1"/>
      <c r="H97" s="1"/>
      <c r="I97" s="1"/>
      <c r="J97" s="1"/>
      <c r="K97" s="1"/>
    </row>
    <row r="98" ht="15.75" customHeight="1">
      <c r="A98" s="1"/>
      <c r="B98" s="2"/>
      <c r="C98" s="1"/>
      <c r="D98" s="4"/>
      <c r="E98" s="2"/>
      <c r="F98" s="1"/>
      <c r="G98" s="1"/>
      <c r="H98" s="1"/>
      <c r="I98" s="1"/>
      <c r="J98" s="1"/>
      <c r="K98" s="1"/>
    </row>
    <row r="99" ht="15.75" customHeight="1">
      <c r="A99" s="1"/>
      <c r="B99" s="2"/>
      <c r="C99" s="1"/>
      <c r="D99" s="4"/>
      <c r="E99" s="2"/>
      <c r="F99" s="1"/>
      <c r="G99" s="1"/>
      <c r="H99" s="1"/>
      <c r="I99" s="1"/>
      <c r="J99" s="1"/>
      <c r="K99" s="1"/>
    </row>
    <row r="100" ht="15.75" customHeight="1">
      <c r="A100" s="1"/>
      <c r="B100" s="2"/>
      <c r="C100" s="1"/>
      <c r="D100" s="4"/>
      <c r="E100" s="2"/>
      <c r="F100" s="1"/>
      <c r="G100" s="1"/>
      <c r="H100" s="1"/>
      <c r="I100" s="1"/>
      <c r="J100" s="1"/>
      <c r="K100" s="1"/>
    </row>
  </sheetData>
  <dataValidations>
    <dataValidation type="list" allowBlank="1" showErrorMessage="1" sqref="I10">
      <formula1>Icms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2.29"/>
    <col customWidth="1" min="3" max="11" width="8.57"/>
    <col customWidth="1" min="12" max="12" width="21.86"/>
    <col customWidth="1" min="13" max="13" width="8.57"/>
  </cols>
  <sheetData>
    <row r="1">
      <c r="A1" s="64" t="s">
        <v>23</v>
      </c>
      <c r="B1" s="65"/>
      <c r="C1" s="65"/>
      <c r="D1" s="65"/>
      <c r="E1" s="65"/>
      <c r="F1" s="66"/>
      <c r="G1" s="65"/>
      <c r="H1" s="66"/>
      <c r="I1" s="65"/>
      <c r="J1" s="65"/>
      <c r="K1" s="66"/>
    </row>
    <row r="2">
      <c r="A2" s="64"/>
      <c r="B2" s="65"/>
      <c r="C2" s="67"/>
      <c r="D2" s="65"/>
      <c r="E2" s="65"/>
      <c r="F2" s="68"/>
      <c r="G2" s="65"/>
      <c r="H2" s="66"/>
      <c r="I2" s="65"/>
      <c r="J2" s="65"/>
      <c r="K2" s="68"/>
    </row>
    <row r="3">
      <c r="A3" s="69" t="s">
        <v>24</v>
      </c>
      <c r="B3" s="70"/>
      <c r="C3" s="71" t="s">
        <v>25</v>
      </c>
      <c r="D3" s="72" t="s">
        <v>26</v>
      </c>
      <c r="E3" s="72" t="s">
        <v>27</v>
      </c>
      <c r="F3" s="72" t="s">
        <v>28</v>
      </c>
      <c r="G3" s="72" t="s">
        <v>29</v>
      </c>
      <c r="H3" s="72" t="s">
        <v>30</v>
      </c>
      <c r="I3" s="72" t="s">
        <v>31</v>
      </c>
      <c r="J3" s="73"/>
      <c r="K3" s="74" t="s">
        <v>32</v>
      </c>
    </row>
    <row r="4">
      <c r="A4" s="75">
        <v>0.0</v>
      </c>
      <c r="B4" s="75" t="str">
        <f>120000</f>
        <v>R$ 120,000.00</v>
      </c>
      <c r="C4" s="76">
        <v>0.04</v>
      </c>
      <c r="D4" s="77" t="s">
        <v>33</v>
      </c>
      <c r="E4" s="77" t="s">
        <v>33</v>
      </c>
      <c r="F4" s="77" t="s">
        <v>33</v>
      </c>
      <c r="G4" s="77" t="s">
        <v>33</v>
      </c>
      <c r="H4" s="77" t="s">
        <v>34</v>
      </c>
      <c r="I4" s="77" t="s">
        <v>35</v>
      </c>
      <c r="J4" s="78"/>
      <c r="K4" s="76" t="str">
        <f t="shared" ref="K4:K23" si="1">SUM(D4:J4)-I4</f>
        <v>-1.25%</v>
      </c>
    </row>
    <row r="5">
      <c r="A5" s="75" t="str">
        <f t="shared" ref="A5:A22" si="2">B4+0.01</f>
        <v>R$ 120,000.01</v>
      </c>
      <c r="B5" s="75" t="str">
        <f>240000</f>
        <v>R$ 240,000.00</v>
      </c>
      <c r="C5" s="76">
        <v>0.0547</v>
      </c>
      <c r="D5" s="77" t="s">
        <v>33</v>
      </c>
      <c r="E5" s="77" t="s">
        <v>33</v>
      </c>
      <c r="F5" s="77" t="s">
        <v>36</v>
      </c>
      <c r="G5" s="77" t="s">
        <v>33</v>
      </c>
      <c r="H5" s="77" t="s">
        <v>34</v>
      </c>
      <c r="I5" s="77" t="s">
        <v>37</v>
      </c>
      <c r="J5" s="78"/>
      <c r="K5" s="76" t="str">
        <f t="shared" si="1"/>
        <v>-1.86%</v>
      </c>
    </row>
    <row r="6">
      <c r="A6" s="75" t="str">
        <f t="shared" si="2"/>
        <v>R$ 240,000.01</v>
      </c>
      <c r="B6" s="75" t="str">
        <f>360000</f>
        <v>R$ 360,000.00</v>
      </c>
      <c r="C6" s="76">
        <v>0.0684</v>
      </c>
      <c r="D6" s="77" t="s">
        <v>38</v>
      </c>
      <c r="E6" s="77" t="s">
        <v>39</v>
      </c>
      <c r="F6" s="77" t="s">
        <v>40</v>
      </c>
      <c r="G6" s="77" t="s">
        <v>41</v>
      </c>
      <c r="H6" s="77" t="s">
        <v>34</v>
      </c>
      <c r="I6" s="77" t="s">
        <v>42</v>
      </c>
      <c r="J6" s="78"/>
      <c r="K6" s="76" t="str">
        <f t="shared" si="1"/>
        <v>-2.33%</v>
      </c>
    </row>
    <row r="7">
      <c r="A7" s="75" t="str">
        <f t="shared" si="2"/>
        <v>R$ 360,000.01</v>
      </c>
      <c r="B7" s="75" t="str">
        <f>480000</f>
        <v>R$ 480,000.00</v>
      </c>
      <c r="C7" s="76">
        <v>0.0754</v>
      </c>
      <c r="D7" s="77" t="s">
        <v>43</v>
      </c>
      <c r="E7" s="77" t="s">
        <v>43</v>
      </c>
      <c r="F7" s="77" t="s">
        <v>44</v>
      </c>
      <c r="G7" s="77" t="s">
        <v>45</v>
      </c>
      <c r="H7" s="77" t="s">
        <v>46</v>
      </c>
      <c r="I7" s="77" t="s">
        <v>47</v>
      </c>
      <c r="J7" s="78"/>
      <c r="K7" s="76" t="str">
        <f t="shared" si="1"/>
        <v>-2.56%</v>
      </c>
    </row>
    <row r="8">
      <c r="A8" s="75" t="str">
        <f t="shared" si="2"/>
        <v>R$ 480,000.01</v>
      </c>
      <c r="B8" s="75" t="str">
        <f>600000</f>
        <v>R$ 600,000.00</v>
      </c>
      <c r="C8" s="76">
        <v>0.076</v>
      </c>
      <c r="D8" s="77" t="s">
        <v>43</v>
      </c>
      <c r="E8" s="77" t="s">
        <v>43</v>
      </c>
      <c r="F8" s="77" t="s">
        <v>48</v>
      </c>
      <c r="G8" s="77" t="s">
        <v>45</v>
      </c>
      <c r="H8" s="77" t="s">
        <v>49</v>
      </c>
      <c r="I8" s="77" t="s">
        <v>50</v>
      </c>
      <c r="J8" s="78"/>
      <c r="K8" s="76" t="str">
        <f t="shared" si="1"/>
        <v>-2.58%</v>
      </c>
    </row>
    <row r="9">
      <c r="A9" s="75" t="str">
        <f t="shared" si="2"/>
        <v>R$ 600,000.01</v>
      </c>
      <c r="B9" s="75" t="str">
        <f>720000</f>
        <v>R$ 720,000.00</v>
      </c>
      <c r="C9" s="76">
        <v>0.0828</v>
      </c>
      <c r="D9" s="77" t="s">
        <v>51</v>
      </c>
      <c r="E9" s="77" t="s">
        <v>51</v>
      </c>
      <c r="F9" s="77" t="s">
        <v>52</v>
      </c>
      <c r="G9" s="77" t="s">
        <v>38</v>
      </c>
      <c r="H9" s="77" t="s">
        <v>53</v>
      </c>
      <c r="I9" s="77" t="s">
        <v>54</v>
      </c>
      <c r="J9" s="78"/>
      <c r="K9" s="76" t="str">
        <f t="shared" si="1"/>
        <v>-2.82%</v>
      </c>
    </row>
    <row r="10">
      <c r="A10" s="75" t="str">
        <f t="shared" si="2"/>
        <v>R$ 720,000.01</v>
      </c>
      <c r="B10" s="75" t="str">
        <f>840000</f>
        <v>R$ 840,000.00</v>
      </c>
      <c r="C10" s="76">
        <v>0.0836</v>
      </c>
      <c r="D10" s="77" t="s">
        <v>55</v>
      </c>
      <c r="E10" s="77" t="s">
        <v>55</v>
      </c>
      <c r="F10" s="77" t="s">
        <v>56</v>
      </c>
      <c r="G10" s="77" t="s">
        <v>57</v>
      </c>
      <c r="H10" s="77" t="s">
        <v>58</v>
      </c>
      <c r="I10" s="77" t="s">
        <v>59</v>
      </c>
      <c r="J10" s="78"/>
      <c r="K10" s="76" t="str">
        <f t="shared" si="1"/>
        <v>-2.84%</v>
      </c>
    </row>
    <row r="11">
      <c r="A11" s="75" t="str">
        <f t="shared" si="2"/>
        <v>R$ 840,000.01</v>
      </c>
      <c r="B11" s="75" t="str">
        <f>960000</f>
        <v>R$ 960,000.00</v>
      </c>
      <c r="C11" s="76">
        <v>0.0845</v>
      </c>
      <c r="D11" s="77" t="s">
        <v>55</v>
      </c>
      <c r="E11" s="77" t="s">
        <v>55</v>
      </c>
      <c r="F11" s="77" t="s">
        <v>60</v>
      </c>
      <c r="G11" s="77" t="s">
        <v>57</v>
      </c>
      <c r="H11" s="77" t="s">
        <v>61</v>
      </c>
      <c r="I11" s="77" t="s">
        <v>62</v>
      </c>
      <c r="J11" s="78"/>
      <c r="K11" s="76" t="str">
        <f t="shared" si="1"/>
        <v>-2.87%</v>
      </c>
    </row>
    <row r="12">
      <c r="A12" s="75" t="str">
        <f t="shared" si="2"/>
        <v>R$ 960,000.01</v>
      </c>
      <c r="B12" s="75" t="str">
        <f>1080000</f>
        <v>R$ 1,080,000.00</v>
      </c>
      <c r="C12" s="76">
        <v>0.0903</v>
      </c>
      <c r="D12" s="77" t="s">
        <v>63</v>
      </c>
      <c r="E12" s="77" t="s">
        <v>63</v>
      </c>
      <c r="F12" s="77" t="s">
        <v>35</v>
      </c>
      <c r="G12" s="77" t="s">
        <v>64</v>
      </c>
      <c r="H12" s="77" t="s">
        <v>65</v>
      </c>
      <c r="I12" s="77" t="s">
        <v>66</v>
      </c>
      <c r="J12" s="78"/>
      <c r="K12" s="76" t="str">
        <f t="shared" si="1"/>
        <v>-3.07%</v>
      </c>
    </row>
    <row r="13">
      <c r="A13" s="75" t="str">
        <f t="shared" si="2"/>
        <v>R$ 1,080,000.01</v>
      </c>
      <c r="B13" s="75" t="str">
        <f>1200000</f>
        <v>R$ 1,200,000.00</v>
      </c>
      <c r="C13" s="76">
        <v>0.0912</v>
      </c>
      <c r="D13" s="77" t="s">
        <v>67</v>
      </c>
      <c r="E13" s="77" t="s">
        <v>67</v>
      </c>
      <c r="F13" s="77" t="s">
        <v>68</v>
      </c>
      <c r="G13" s="77" t="s">
        <v>64</v>
      </c>
      <c r="H13" s="77" t="s">
        <v>69</v>
      </c>
      <c r="I13" s="77" t="s">
        <v>70</v>
      </c>
      <c r="J13" s="78"/>
      <c r="K13" s="76" t="str">
        <f t="shared" si="1"/>
        <v>-3.10%</v>
      </c>
    </row>
    <row r="14">
      <c r="A14" s="75" t="str">
        <f t="shared" si="2"/>
        <v>R$ 1,200,000.01</v>
      </c>
      <c r="B14" s="75" t="str">
        <f>1320000</f>
        <v>R$ 1,320,000.00</v>
      </c>
      <c r="C14" s="76">
        <v>0.0995</v>
      </c>
      <c r="D14" s="77" t="s">
        <v>71</v>
      </c>
      <c r="E14" s="77" t="s">
        <v>71</v>
      </c>
      <c r="F14" s="77" t="s">
        <v>72</v>
      </c>
      <c r="G14" s="77" t="s">
        <v>73</v>
      </c>
      <c r="H14" s="77" t="s">
        <v>74</v>
      </c>
      <c r="I14" s="77" t="s">
        <v>75</v>
      </c>
      <c r="J14" s="78"/>
      <c r="K14" s="76" t="str">
        <f t="shared" si="1"/>
        <v>-3.38%</v>
      </c>
    </row>
    <row r="15">
      <c r="A15" s="75" t="str">
        <f t="shared" si="2"/>
        <v>R$ 1,320,000.01</v>
      </c>
      <c r="B15" s="75" t="str">
        <f>1440000/1</f>
        <v>R$ 1,440,000.00</v>
      </c>
      <c r="C15" s="76">
        <v>0.1004</v>
      </c>
      <c r="D15" s="77" t="s">
        <v>71</v>
      </c>
      <c r="E15" s="77" t="s">
        <v>71</v>
      </c>
      <c r="F15" s="77" t="s">
        <v>76</v>
      </c>
      <c r="G15" s="77" t="s">
        <v>73</v>
      </c>
      <c r="H15" s="77" t="s">
        <v>77</v>
      </c>
      <c r="I15" s="77" t="s">
        <v>78</v>
      </c>
      <c r="J15" s="78"/>
      <c r="K15" s="76" t="str">
        <f t="shared" si="1"/>
        <v>-3.41%</v>
      </c>
    </row>
    <row r="16">
      <c r="A16" s="75" t="str">
        <f t="shared" si="2"/>
        <v>R$ 1,440,000.01</v>
      </c>
      <c r="B16" s="75" t="str">
        <f>1560000</f>
        <v>R$ 1,560,000.00</v>
      </c>
      <c r="C16" s="76">
        <v>0.1013</v>
      </c>
      <c r="D16" s="77" t="s">
        <v>79</v>
      </c>
      <c r="E16" s="77" t="s">
        <v>79</v>
      </c>
      <c r="F16" s="77" t="s">
        <v>80</v>
      </c>
      <c r="G16" s="77" t="s">
        <v>73</v>
      </c>
      <c r="H16" s="77" t="s">
        <v>81</v>
      </c>
      <c r="I16" s="77" t="s">
        <v>82</v>
      </c>
      <c r="J16" s="78"/>
      <c r="K16" s="76" t="str">
        <f t="shared" si="1"/>
        <v>-3.45%</v>
      </c>
    </row>
    <row r="17">
      <c r="A17" s="75" t="str">
        <f t="shared" si="2"/>
        <v>R$ 1,560,000.01</v>
      </c>
      <c r="B17" s="75" t="str">
        <f>1680000</f>
        <v>R$ 1,680,000.00</v>
      </c>
      <c r="C17" s="76">
        <v>0.1023</v>
      </c>
      <c r="D17" s="77" t="s">
        <v>79</v>
      </c>
      <c r="E17" s="77" t="s">
        <v>79</v>
      </c>
      <c r="F17" s="77" t="s">
        <v>83</v>
      </c>
      <c r="G17" s="77" t="s">
        <v>84</v>
      </c>
      <c r="H17" s="77" t="s">
        <v>85</v>
      </c>
      <c r="I17" s="77" t="s">
        <v>86</v>
      </c>
      <c r="J17" s="78"/>
      <c r="K17" s="76" t="str">
        <f t="shared" si="1"/>
        <v>-3.48%</v>
      </c>
    </row>
    <row r="18">
      <c r="A18" s="75" t="str">
        <f t="shared" si="2"/>
        <v>R$ 1,680,000.01</v>
      </c>
      <c r="B18" s="75" t="str">
        <f>1800000</f>
        <v>R$ 1,800,000.00</v>
      </c>
      <c r="C18" s="76">
        <v>0.1032</v>
      </c>
      <c r="D18" s="77" t="s">
        <v>87</v>
      </c>
      <c r="E18" s="77" t="s">
        <v>87</v>
      </c>
      <c r="F18" s="77" t="s">
        <v>88</v>
      </c>
      <c r="G18" s="77" t="s">
        <v>84</v>
      </c>
      <c r="H18" s="77" t="s">
        <v>89</v>
      </c>
      <c r="I18" s="77" t="s">
        <v>90</v>
      </c>
      <c r="J18" s="78"/>
      <c r="K18" s="76" t="str">
        <f t="shared" si="1"/>
        <v>-3.51%</v>
      </c>
    </row>
    <row r="19">
      <c r="A19" s="75" t="str">
        <f t="shared" si="2"/>
        <v>R$ 1,800,000.01</v>
      </c>
      <c r="B19" s="75" t="str">
        <f>1920000</f>
        <v>R$ 1,920,000.00</v>
      </c>
      <c r="C19" s="76">
        <v>0.1123</v>
      </c>
      <c r="D19" s="77" t="s">
        <v>91</v>
      </c>
      <c r="E19" s="77" t="s">
        <v>91</v>
      </c>
      <c r="F19" s="77" t="s">
        <v>92</v>
      </c>
      <c r="G19" s="77" t="s">
        <v>93</v>
      </c>
      <c r="H19" s="77" t="s">
        <v>94</v>
      </c>
      <c r="I19" s="77" t="s">
        <v>95</v>
      </c>
      <c r="J19" s="78"/>
      <c r="K19" s="76" t="str">
        <f t="shared" si="1"/>
        <v>-3.82%</v>
      </c>
    </row>
    <row r="20">
      <c r="A20" s="75" t="str">
        <f t="shared" si="2"/>
        <v>R$ 1,920,000.01</v>
      </c>
      <c r="B20" s="75" t="str">
        <f>2040000</f>
        <v>R$ 2,040,000.00</v>
      </c>
      <c r="C20" s="76">
        <v>0.1132</v>
      </c>
      <c r="D20" s="77" t="s">
        <v>91</v>
      </c>
      <c r="E20" s="77" t="s">
        <v>91</v>
      </c>
      <c r="F20" s="77" t="s">
        <v>96</v>
      </c>
      <c r="G20" s="77" t="s">
        <v>93</v>
      </c>
      <c r="H20" s="77" t="s">
        <v>97</v>
      </c>
      <c r="I20" s="77" t="s">
        <v>98</v>
      </c>
      <c r="J20" s="78"/>
      <c r="K20" s="76" t="str">
        <f t="shared" si="1"/>
        <v>-3.85%</v>
      </c>
    </row>
    <row r="21" ht="15.75" customHeight="1">
      <c r="A21" s="75" t="str">
        <f t="shared" si="2"/>
        <v>R$ 2,040,000.01</v>
      </c>
      <c r="B21" s="75" t="str">
        <f>2160000</f>
        <v>R$ 2,160,000.00</v>
      </c>
      <c r="C21" s="76">
        <v>0.1142</v>
      </c>
      <c r="D21" s="77" t="s">
        <v>99</v>
      </c>
      <c r="E21" s="77" t="s">
        <v>99</v>
      </c>
      <c r="F21" s="77" t="s">
        <v>100</v>
      </c>
      <c r="G21" s="77" t="s">
        <v>51</v>
      </c>
      <c r="H21" s="77" t="s">
        <v>101</v>
      </c>
      <c r="I21" s="77" t="s">
        <v>102</v>
      </c>
      <c r="J21" s="78"/>
      <c r="K21" s="76" t="str">
        <f t="shared" si="1"/>
        <v>-3.88%</v>
      </c>
    </row>
    <row r="22" ht="15.75" customHeight="1">
      <c r="A22" s="75" t="str">
        <f t="shared" si="2"/>
        <v>R$ 2,160,000.01</v>
      </c>
      <c r="B22" s="75" t="str">
        <f>2280000</f>
        <v>R$ 2,280,000.00</v>
      </c>
      <c r="C22" s="76">
        <v>0.1151</v>
      </c>
      <c r="D22" s="77" t="s">
        <v>99</v>
      </c>
      <c r="E22" s="77" t="s">
        <v>99</v>
      </c>
      <c r="F22" s="77" t="s">
        <v>103</v>
      </c>
      <c r="G22" s="77" t="s">
        <v>51</v>
      </c>
      <c r="H22" s="77" t="s">
        <v>104</v>
      </c>
      <c r="I22" s="77" t="s">
        <v>105</v>
      </c>
      <c r="J22" s="78"/>
      <c r="K22" s="76" t="str">
        <f t="shared" si="1"/>
        <v>-3.91%</v>
      </c>
    </row>
    <row r="23" ht="15.75" customHeight="1">
      <c r="A23" s="75" t="str">
        <f>2280000.01</f>
        <v>R$ 2,280,000.01</v>
      </c>
      <c r="B23" s="75">
        <v>2400000.0</v>
      </c>
      <c r="C23" s="76">
        <v>0.1161</v>
      </c>
      <c r="D23" s="77" t="s">
        <v>106</v>
      </c>
      <c r="E23" s="77" t="s">
        <v>106</v>
      </c>
      <c r="F23" s="77" t="s">
        <v>103</v>
      </c>
      <c r="G23" s="77" t="s">
        <v>51</v>
      </c>
      <c r="H23" s="77" t="s">
        <v>107</v>
      </c>
      <c r="I23" s="77" t="s">
        <v>108</v>
      </c>
      <c r="J23" s="78"/>
      <c r="K23" s="76" t="str">
        <f t="shared" si="1"/>
        <v>-3.95%</v>
      </c>
    </row>
    <row r="24" ht="15.75" customHeight="1">
      <c r="A24" s="79" t="str">
        <f>2400000*1.2</f>
        <v>R$ 2,880,000.00</v>
      </c>
      <c r="B24" s="79"/>
      <c r="C24" s="76">
        <v>0.1161</v>
      </c>
      <c r="D24" s="80"/>
      <c r="E24" s="81"/>
      <c r="F24" s="81"/>
      <c r="G24" s="81"/>
      <c r="H24" s="81"/>
      <c r="I24" s="81"/>
      <c r="K24" s="76" t="str">
        <f>SUM(D23:J23)-I23</f>
        <v>-3.95%</v>
      </c>
    </row>
    <row r="25" ht="15.75" customHeight="1">
      <c r="J25" s="81" t="s">
        <v>109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L33" t="s">
        <v>10</v>
      </c>
      <c r="M33" s="82" t="str">
        <f>VLOOKUP('Comércio'!J8,A4:C24,3)</f>
        <v>11.61%</v>
      </c>
    </row>
    <row r="34" ht="15.75" customHeight="1">
      <c r="L34" t="s">
        <v>110</v>
      </c>
      <c r="M34" s="82" t="str">
        <f>VLOOKUP('Comércio'!J8,A4:K24,11)</f>
        <v>-3.95%</v>
      </c>
    </row>
    <row r="35" ht="15.75" customHeight="1">
      <c r="L35" t="s">
        <v>111</v>
      </c>
      <c r="M35" s="82" t="str">
        <f>VLOOKUP('Comércio'!J8,A4:K24,11)</f>
        <v>-3.95%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3:B3"/>
  </mergeCells>
  <hyperlinks>
    <hyperlink r:id="rId1" ref="D3"/>
    <hyperlink r:id="rId2" ref="E3"/>
    <hyperlink r:id="rId3" ref="F3"/>
    <hyperlink r:id="rId4" ref="G3"/>
    <hyperlink r:id="rId5" ref="H3"/>
    <hyperlink r:id="rId6" ref="I3"/>
    <hyperlink r:id="rId7" ref="D4"/>
    <hyperlink r:id="rId8" ref="E4"/>
    <hyperlink r:id="rId9" ref="F4"/>
    <hyperlink r:id="rId10" ref="G4"/>
    <hyperlink r:id="rId11" ref="H4"/>
    <hyperlink r:id="rId12" ref="I4"/>
    <hyperlink r:id="rId13" ref="D5"/>
    <hyperlink r:id="rId14" ref="E5"/>
    <hyperlink r:id="rId15" ref="F5"/>
    <hyperlink r:id="rId16" ref="G5"/>
    <hyperlink r:id="rId17" ref="H5"/>
    <hyperlink r:id="rId18" ref="I5"/>
    <hyperlink r:id="rId19" ref="D6"/>
    <hyperlink r:id="rId20" ref="E6"/>
    <hyperlink r:id="rId21" ref="F6"/>
    <hyperlink r:id="rId22" ref="G6"/>
    <hyperlink r:id="rId23" ref="H6"/>
    <hyperlink r:id="rId24" ref="I6"/>
    <hyperlink r:id="rId25" ref="D7"/>
    <hyperlink r:id="rId26" ref="E7"/>
    <hyperlink r:id="rId27" ref="F7"/>
    <hyperlink r:id="rId28" ref="G7"/>
    <hyperlink r:id="rId29" ref="H7"/>
    <hyperlink r:id="rId30" ref="I7"/>
    <hyperlink r:id="rId31" ref="D8"/>
    <hyperlink r:id="rId32" ref="E8"/>
    <hyperlink r:id="rId33" ref="F8"/>
    <hyperlink r:id="rId34" ref="G8"/>
    <hyperlink r:id="rId35" ref="H8"/>
    <hyperlink r:id="rId36" ref="I8"/>
    <hyperlink r:id="rId37" ref="D9"/>
    <hyperlink r:id="rId38" ref="E9"/>
    <hyperlink r:id="rId39" ref="F9"/>
    <hyperlink r:id="rId40" ref="G9"/>
    <hyperlink r:id="rId41" ref="H9"/>
    <hyperlink r:id="rId42" ref="I9"/>
    <hyperlink r:id="rId43" ref="D10"/>
    <hyperlink r:id="rId44" ref="E10"/>
    <hyperlink r:id="rId45" ref="F10"/>
    <hyperlink r:id="rId46" ref="G10"/>
    <hyperlink r:id="rId47" ref="H10"/>
    <hyperlink r:id="rId48" ref="I10"/>
    <hyperlink r:id="rId49" ref="D11"/>
    <hyperlink r:id="rId50" ref="E11"/>
    <hyperlink r:id="rId51" ref="F11"/>
    <hyperlink r:id="rId52" ref="G11"/>
    <hyperlink r:id="rId53" ref="H11"/>
    <hyperlink r:id="rId54" ref="I11"/>
    <hyperlink r:id="rId55" ref="D12"/>
    <hyperlink r:id="rId56" ref="E12"/>
    <hyperlink r:id="rId57" ref="F12"/>
    <hyperlink r:id="rId58" ref="G12"/>
    <hyperlink r:id="rId59" ref="H12"/>
    <hyperlink r:id="rId60" ref="I12"/>
    <hyperlink r:id="rId61" ref="D13"/>
    <hyperlink r:id="rId62" ref="E13"/>
    <hyperlink r:id="rId63" ref="F13"/>
    <hyperlink r:id="rId64" ref="G13"/>
    <hyperlink r:id="rId65" ref="H13"/>
    <hyperlink r:id="rId66" ref="I13"/>
    <hyperlink r:id="rId67" ref="D14"/>
    <hyperlink r:id="rId68" ref="E14"/>
    <hyperlink r:id="rId69" ref="F14"/>
    <hyperlink r:id="rId70" ref="G14"/>
    <hyperlink r:id="rId71" ref="H14"/>
    <hyperlink r:id="rId72" ref="I14"/>
    <hyperlink r:id="rId73" ref="D15"/>
    <hyperlink r:id="rId74" ref="E15"/>
    <hyperlink r:id="rId75" ref="F15"/>
    <hyperlink r:id="rId76" ref="G15"/>
    <hyperlink r:id="rId77" ref="H15"/>
    <hyperlink r:id="rId78" ref="I15"/>
    <hyperlink r:id="rId79" ref="D16"/>
    <hyperlink r:id="rId80" ref="E16"/>
    <hyperlink r:id="rId81" ref="F16"/>
    <hyperlink r:id="rId82" ref="G16"/>
    <hyperlink r:id="rId83" ref="H16"/>
    <hyperlink r:id="rId84" ref="I16"/>
    <hyperlink r:id="rId85" ref="D17"/>
    <hyperlink r:id="rId86" ref="E17"/>
    <hyperlink r:id="rId87" ref="F17"/>
    <hyperlink r:id="rId88" ref="G17"/>
    <hyperlink r:id="rId89" ref="H17"/>
    <hyperlink r:id="rId90" ref="I17"/>
    <hyperlink r:id="rId91" ref="D18"/>
    <hyperlink r:id="rId92" ref="E18"/>
    <hyperlink r:id="rId93" ref="F18"/>
    <hyperlink r:id="rId94" ref="G18"/>
    <hyperlink r:id="rId95" ref="H18"/>
    <hyperlink r:id="rId96" ref="I18"/>
    <hyperlink r:id="rId97" ref="D19"/>
    <hyperlink r:id="rId98" ref="E19"/>
    <hyperlink r:id="rId99" ref="F19"/>
    <hyperlink r:id="rId100" ref="G19"/>
    <hyperlink r:id="rId101" ref="H19"/>
    <hyperlink r:id="rId102" ref="I19"/>
    <hyperlink r:id="rId103" ref="D20"/>
    <hyperlink r:id="rId104" ref="E20"/>
    <hyperlink r:id="rId105" ref="F20"/>
    <hyperlink r:id="rId106" ref="G20"/>
    <hyperlink r:id="rId107" ref="H20"/>
    <hyperlink r:id="rId108" ref="I20"/>
    <hyperlink r:id="rId109" ref="D21"/>
    <hyperlink r:id="rId110" ref="E21"/>
    <hyperlink r:id="rId111" ref="F21"/>
    <hyperlink r:id="rId112" ref="G21"/>
    <hyperlink r:id="rId113" ref="H21"/>
    <hyperlink r:id="rId114" ref="I21"/>
    <hyperlink r:id="rId115" ref="D22"/>
    <hyperlink r:id="rId116" ref="E22"/>
    <hyperlink r:id="rId117" ref="F22"/>
    <hyperlink r:id="rId118" ref="G22"/>
    <hyperlink r:id="rId119" ref="H22"/>
    <hyperlink r:id="rId120" ref="I22"/>
    <hyperlink r:id="rId121" ref="D23"/>
    <hyperlink r:id="rId122" ref="E23"/>
    <hyperlink r:id="rId123" ref="F23"/>
    <hyperlink r:id="rId124" ref="G23"/>
    <hyperlink r:id="rId125" ref="H23"/>
    <hyperlink r:id="rId126" ref="I23"/>
  </hyperlinks>
  <printOptions/>
  <pageMargins bottom="0.787401575" footer="0.0" header="0.0" left="0.511811024" right="0.511811024" top="0.787401575"/>
  <pageSetup orientation="landscape"/>
  <drawing r:id="rId1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.14"/>
    <col customWidth="1" min="3" max="3" width="42.29"/>
    <col customWidth="1" min="4" max="4" width="14.71"/>
    <col customWidth="1" min="5" max="5" width="2.14"/>
    <col customWidth="1" min="6" max="6" width="46.14"/>
    <col customWidth="1" min="7" max="7" width="14.71"/>
    <col customWidth="1" min="8" max="8" width="2.0"/>
    <col customWidth="1" min="9" max="9" width="41.71"/>
    <col customWidth="1" min="10" max="10" width="17.43"/>
    <col customWidth="1" min="11" max="11" width="9.14"/>
  </cols>
  <sheetData>
    <row r="1">
      <c r="A1" s="1"/>
      <c r="B1" s="2"/>
      <c r="C1" s="1"/>
      <c r="D1" s="4"/>
      <c r="E1" s="2"/>
      <c r="F1" s="1"/>
      <c r="G1" s="1"/>
      <c r="H1" s="1"/>
      <c r="I1" s="1"/>
      <c r="J1" s="1"/>
      <c r="K1" s="1"/>
    </row>
    <row r="2" ht="26.25" customHeight="1">
      <c r="A2" s="1"/>
      <c r="B2" s="2"/>
      <c r="C2" s="83" t="s">
        <v>112</v>
      </c>
      <c r="D2" s="1"/>
      <c r="E2" s="2"/>
      <c r="F2" s="1"/>
      <c r="G2" s="1"/>
      <c r="H2" s="1"/>
      <c r="I2" s="1"/>
      <c r="J2" s="1"/>
      <c r="K2" s="1"/>
    </row>
    <row r="3">
      <c r="A3" s="1"/>
      <c r="B3" s="2"/>
      <c r="C3" s="1"/>
      <c r="D3" s="4"/>
      <c r="E3" s="2"/>
      <c r="F3" s="1"/>
      <c r="G3" s="1"/>
      <c r="H3" s="1"/>
      <c r="I3" s="1"/>
      <c r="J3" s="1"/>
      <c r="K3" s="1"/>
    </row>
    <row r="4">
      <c r="A4" s="1"/>
      <c r="B4" s="2"/>
      <c r="C4" s="1"/>
      <c r="D4" s="4"/>
      <c r="E4" s="2"/>
      <c r="F4" s="1"/>
      <c r="G4" s="1"/>
      <c r="H4" s="1"/>
      <c r="I4" s="1"/>
      <c r="J4" s="1"/>
      <c r="K4" s="1"/>
    </row>
    <row r="5">
      <c r="A5" s="1"/>
      <c r="B5" s="84" t="s">
        <v>113</v>
      </c>
      <c r="C5" s="1"/>
      <c r="D5" s="4"/>
      <c r="E5" s="2"/>
      <c r="F5" s="1"/>
      <c r="G5" s="1" t="s">
        <v>114</v>
      </c>
      <c r="H5" s="1"/>
      <c r="I5" s="1"/>
      <c r="J5" s="6" t="s">
        <v>3</v>
      </c>
      <c r="K5" s="1"/>
    </row>
    <row r="6">
      <c r="A6" s="1"/>
      <c r="B6" s="2"/>
      <c r="C6" s="1"/>
      <c r="D6" s="4"/>
      <c r="E6" s="2"/>
      <c r="F6" s="1"/>
      <c r="G6" s="1"/>
      <c r="H6" s="1"/>
      <c r="I6" s="1"/>
      <c r="J6" s="1"/>
      <c r="K6" s="1"/>
    </row>
    <row r="7">
      <c r="A7" s="1"/>
      <c r="B7" s="7"/>
      <c r="C7" s="8" t="s">
        <v>4</v>
      </c>
      <c r="D7" s="9"/>
      <c r="E7" s="2"/>
      <c r="F7" s="10" t="s">
        <v>5</v>
      </c>
      <c r="G7" s="11"/>
      <c r="H7" s="1"/>
      <c r="I7" s="10" t="s">
        <v>6</v>
      </c>
      <c r="J7" s="11"/>
      <c r="K7" s="1"/>
    </row>
    <row r="8">
      <c r="A8" s="1"/>
      <c r="B8" s="12"/>
      <c r="C8" s="1"/>
      <c r="D8" s="13"/>
      <c r="E8" s="2"/>
      <c r="F8" s="14"/>
      <c r="G8" s="15"/>
      <c r="H8" s="1"/>
      <c r="I8" s="14"/>
      <c r="J8" s="15"/>
      <c r="K8" s="1"/>
    </row>
    <row r="9">
      <c r="A9" s="1"/>
      <c r="B9" s="12"/>
      <c r="C9" s="1" t="s">
        <v>115</v>
      </c>
      <c r="D9" s="16">
        <v>300000.0</v>
      </c>
      <c r="E9" s="2"/>
      <c r="F9" s="14" t="s">
        <v>115</v>
      </c>
      <c r="G9" s="13" t="str">
        <f>D9</f>
        <v>R$ 300,000.00</v>
      </c>
      <c r="H9" s="1"/>
      <c r="I9" s="14" t="s">
        <v>8</v>
      </c>
      <c r="J9" s="13" t="str">
        <f>G9</f>
        <v>R$ 300,000.00</v>
      </c>
      <c r="K9" s="1"/>
    </row>
    <row r="10">
      <c r="A10" s="1"/>
      <c r="B10" s="12"/>
      <c r="C10" s="85">
        <v>0.05</v>
      </c>
      <c r="D10" s="13" t="str">
        <f>(D9*C10)</f>
        <v>R$ 15,000.00</v>
      </c>
      <c r="E10" s="2"/>
      <c r="F10" s="86" t="str">
        <f t="shared" ref="F10:G10" si="1">C10</f>
        <v>ISS de 5%</v>
      </c>
      <c r="G10" s="13" t="str">
        <f t="shared" si="1"/>
        <v>R$ 15,000.00</v>
      </c>
      <c r="H10" s="1"/>
      <c r="I10" s="14" t="s">
        <v>116</v>
      </c>
      <c r="J10" s="13" t="str">
        <f>G9*12</f>
        <v>R$ 3,600,000.00</v>
      </c>
      <c r="K10" s="1"/>
    </row>
    <row r="11">
      <c r="A11" s="1"/>
      <c r="B11" s="12"/>
      <c r="C11" s="21">
        <v>0.0065</v>
      </c>
      <c r="D11" s="13" t="str">
        <f>D9*C11</f>
        <v>R$ 1,950.00</v>
      </c>
      <c r="E11" s="2"/>
      <c r="F11" s="22">
        <v>0.0065</v>
      </c>
      <c r="G11" s="13" t="str">
        <f>G9*F11</f>
        <v>R$ 1,950.00</v>
      </c>
      <c r="H11" s="1"/>
      <c r="I11" s="14"/>
      <c r="J11" s="13"/>
      <c r="K11" s="1"/>
    </row>
    <row r="12">
      <c r="A12" s="1"/>
      <c r="B12" s="12"/>
      <c r="C12" s="24">
        <v>0.03</v>
      </c>
      <c r="D12" s="13" t="str">
        <f>D9*C12</f>
        <v>R$ 9,000.00</v>
      </c>
      <c r="E12" s="2"/>
      <c r="F12" s="25">
        <v>0.03</v>
      </c>
      <c r="G12" s="13" t="str">
        <f>G9*F12</f>
        <v>R$ 9,000.00</v>
      </c>
      <c r="H12" s="1"/>
      <c r="I12" s="14"/>
      <c r="J12" s="15"/>
      <c r="K12" s="1"/>
    </row>
    <row r="13">
      <c r="A13" s="1"/>
      <c r="B13" s="12" t="s">
        <v>11</v>
      </c>
      <c r="C13" s="1" t="s">
        <v>12</v>
      </c>
      <c r="D13" s="13" t="str">
        <f>D9-D10-D11-D12</f>
        <v>R$ 274,050.00</v>
      </c>
      <c r="E13" s="2"/>
      <c r="F13" s="14" t="s">
        <v>12</v>
      </c>
      <c r="G13" s="13" t="str">
        <f>G9-G10-G11-G12</f>
        <v>R$ 274,050.00</v>
      </c>
      <c r="H13" s="1"/>
      <c r="I13" s="14"/>
      <c r="J13" s="15"/>
      <c r="K13" s="1"/>
    </row>
    <row r="14">
      <c r="A14" s="1"/>
      <c r="B14" s="12" t="s">
        <v>13</v>
      </c>
      <c r="C14" s="87">
        <v>0.58</v>
      </c>
      <c r="D14" s="13" t="str">
        <f>D9*C14</f>
        <v>R$ 174,000.00</v>
      </c>
      <c r="E14" s="2"/>
      <c r="F14" s="88" t="str">
        <f>C14</f>
        <v>Custo do Serviço = 58.0%</v>
      </c>
      <c r="G14" s="13" t="str">
        <f>G9*F14</f>
        <v>R$ 174,000.00</v>
      </c>
      <c r="H14" s="1"/>
      <c r="I14" s="88" t="str">
        <f>C14</f>
        <v>Custo do Serviço = 58.0%</v>
      </c>
      <c r="J14" s="13" t="str">
        <f>J9*I14</f>
        <v>R$ 174,000.00</v>
      </c>
      <c r="K14" s="1"/>
    </row>
    <row r="15">
      <c r="A15" s="1"/>
      <c r="B15" s="12" t="s">
        <v>11</v>
      </c>
      <c r="C15" s="1" t="s">
        <v>14</v>
      </c>
      <c r="D15" s="13" t="str">
        <f>D13-D14</f>
        <v>R$ 100,050.00</v>
      </c>
      <c r="E15" s="2"/>
      <c r="F15" s="14" t="s">
        <v>117</v>
      </c>
      <c r="G15" s="13" t="str">
        <f>G13-G14</f>
        <v>R$ 100,050.00</v>
      </c>
      <c r="H15" s="1"/>
      <c r="I15" s="14"/>
      <c r="J15" s="15"/>
      <c r="K15" s="1"/>
    </row>
    <row r="16">
      <c r="A16" s="1"/>
      <c r="B16" s="12" t="s">
        <v>13</v>
      </c>
      <c r="C16" s="89">
        <v>0.03</v>
      </c>
      <c r="D16" s="13" t="str">
        <f>D9*C16</f>
        <v>R$ 9,000.00</v>
      </c>
      <c r="E16" s="2"/>
      <c r="F16" s="90" t="str">
        <f t="shared" ref="F16:F18" si="2">C16</f>
        <v>folha salarial = 3.0%</v>
      </c>
      <c r="G16" s="13" t="str">
        <f>G9*F16</f>
        <v>R$ 9,000.00</v>
      </c>
      <c r="H16" s="1"/>
      <c r="I16" s="91" t="str">
        <f>C16</f>
        <v>folha salarial =  3.0%</v>
      </c>
      <c r="J16" s="13" t="str">
        <f>J9*I16</f>
        <v>R$ 9,000.00</v>
      </c>
      <c r="K16" s="1"/>
    </row>
    <row r="17">
      <c r="A17" s="1"/>
      <c r="B17" s="12" t="s">
        <v>13</v>
      </c>
      <c r="C17" s="92">
        <v>0.2</v>
      </c>
      <c r="D17" s="13" t="str">
        <f>D16*C17</f>
        <v>R$ 1,800.00</v>
      </c>
      <c r="E17" s="2"/>
      <c r="F17" s="93" t="str">
        <f t="shared" si="2"/>
        <v>encargos sociais =  20.0%</v>
      </c>
      <c r="G17" s="13" t="str">
        <f t="shared" ref="G17:G19" si="3">D17</f>
        <v>R$ 1,800.00</v>
      </c>
      <c r="H17" s="1"/>
      <c r="I17" s="32"/>
      <c r="J17" s="13"/>
      <c r="K17" s="1"/>
    </row>
    <row r="18">
      <c r="A18" s="1"/>
      <c r="B18" s="12" t="s">
        <v>13</v>
      </c>
      <c r="C18" s="94">
        <v>0.0</v>
      </c>
      <c r="D18" s="13" t="str">
        <f>D9*C18</f>
        <v>R$ 0.00</v>
      </c>
      <c r="E18" s="2"/>
      <c r="F18" s="95" t="str">
        <f t="shared" si="2"/>
        <v>despesas diversas = 0.0%</v>
      </c>
      <c r="G18" s="13" t="str">
        <f t="shared" si="3"/>
        <v>R$ 0.00</v>
      </c>
      <c r="H18" s="1"/>
      <c r="I18" s="95" t="str">
        <f>C18</f>
        <v>despesas diversas = 0.0%</v>
      </c>
      <c r="J18" s="13" t="str">
        <f>J9*I18</f>
        <v>R$ 0.00</v>
      </c>
      <c r="K18" s="1"/>
    </row>
    <row r="19">
      <c r="A19" s="1"/>
      <c r="B19" s="12" t="s">
        <v>11</v>
      </c>
      <c r="C19" s="35" t="s">
        <v>15</v>
      </c>
      <c r="D19" s="36" t="str">
        <f>D15-D16-D17-D18</f>
        <v>R$ 89,250.00</v>
      </c>
      <c r="E19" s="2"/>
      <c r="F19" s="14" t="s">
        <v>15</v>
      </c>
      <c r="G19" s="36" t="str">
        <f t="shared" si="3"/>
        <v>R$ 89,250.00</v>
      </c>
      <c r="H19" s="1"/>
      <c r="I19" s="14"/>
      <c r="J19" s="15"/>
      <c r="K19" s="1"/>
    </row>
    <row r="20">
      <c r="A20" s="1"/>
      <c r="B20" s="12"/>
      <c r="C20" s="37">
        <v>0.09</v>
      </c>
      <c r="D20" s="13" t="str">
        <f>D19*C20</f>
        <v>R$ 8,032.50</v>
      </c>
      <c r="E20" s="2"/>
      <c r="F20" s="38" t="s">
        <v>16</v>
      </c>
      <c r="G20" s="15"/>
      <c r="H20" s="1"/>
      <c r="I20" s="14"/>
      <c r="J20" s="15"/>
      <c r="K20" s="1"/>
    </row>
    <row r="21">
      <c r="A21" s="1"/>
      <c r="B21" s="12"/>
      <c r="C21" s="39" t="s">
        <v>17</v>
      </c>
      <c r="D21" s="13"/>
      <c r="E21" s="2"/>
      <c r="F21" s="96">
        <v>0.12</v>
      </c>
      <c r="G21" s="13" t="str">
        <f>G9*F21</f>
        <v>R$ 36,000.00</v>
      </c>
      <c r="H21" s="1"/>
      <c r="I21" s="14"/>
      <c r="J21" s="15"/>
      <c r="K21" s="1"/>
    </row>
    <row r="22">
      <c r="A22" s="1"/>
      <c r="B22" s="12"/>
      <c r="C22" s="41">
        <v>0.15</v>
      </c>
      <c r="D22" s="13" t="str">
        <f>D19*C22</f>
        <v>R$ 13,387.50</v>
      </c>
      <c r="E22" s="2"/>
      <c r="F22" s="42">
        <v>0.09</v>
      </c>
      <c r="G22" s="13" t="str">
        <f>G21*F22</f>
        <v>R$ 3,240.00</v>
      </c>
      <c r="H22" s="1"/>
      <c r="I22" s="14"/>
      <c r="J22" s="15"/>
      <c r="K22" s="1"/>
    </row>
    <row r="23">
      <c r="A23" s="1"/>
      <c r="B23" s="12"/>
      <c r="C23" s="1"/>
      <c r="D23" s="13"/>
      <c r="E23" s="2"/>
      <c r="F23" s="38" t="s">
        <v>18</v>
      </c>
      <c r="G23" s="15"/>
      <c r="H23" s="1"/>
      <c r="I23" s="43" t="s">
        <v>118</v>
      </c>
      <c r="J23" s="15"/>
      <c r="K23" s="1"/>
    </row>
    <row r="24">
      <c r="A24" s="1"/>
      <c r="B24" s="12"/>
      <c r="C24" s="1"/>
      <c r="D24" s="36" t="str">
        <f>D19-D20-D22</f>
        <v>R$ 67,830.00</v>
      </c>
      <c r="E24" s="2"/>
      <c r="F24" s="96">
        <v>0.32</v>
      </c>
      <c r="G24" s="13" t="str">
        <f>G9*F24</f>
        <v>R$ 96,000.00</v>
      </c>
      <c r="H24" s="1"/>
      <c r="I24" s="44" t="str">
        <f>VLOOKUP(J10,'Anexo III'!A4:C24,3)</f>
        <v>Alíquota de 17.42%</v>
      </c>
      <c r="J24" s="13" t="str">
        <f>J9*I24</f>
        <v>R$ 52,260.00</v>
      </c>
      <c r="K24" s="1"/>
    </row>
    <row r="25">
      <c r="A25" s="1"/>
      <c r="B25" s="12"/>
      <c r="C25" s="45">
        <v>0.1</v>
      </c>
      <c r="D25" s="13" t="str">
        <f>IF(D24&gt;20000,(D24-20000)*C25,0)</f>
        <v>R$ 4,783.00</v>
      </c>
      <c r="E25" s="2"/>
      <c r="F25" s="46" t="str">
        <f>C22</f>
        <v>Alíquota do IR de 15%</v>
      </c>
      <c r="G25" s="13" t="str">
        <f>G24*F25</f>
        <v>R$ 14,400.00</v>
      </c>
      <c r="H25" s="1"/>
      <c r="I25" s="14"/>
      <c r="J25" s="15"/>
      <c r="K25" s="1"/>
    </row>
    <row r="26">
      <c r="A26" s="1"/>
      <c r="B26" s="12"/>
      <c r="C26" s="1"/>
      <c r="D26" s="13"/>
      <c r="E26" s="2"/>
      <c r="F26" s="47">
        <v>0.1</v>
      </c>
      <c r="G26" s="13" t="str">
        <f>IF(G24&gt;20000,(G24-20000)*F26,0)</f>
        <v>R$ 7,600.00</v>
      </c>
      <c r="H26" s="1"/>
      <c r="I26" s="14"/>
      <c r="J26" s="15"/>
      <c r="K26" s="1"/>
    </row>
    <row r="27">
      <c r="A27" s="1"/>
      <c r="B27" s="12"/>
      <c r="C27" s="1"/>
      <c r="D27" s="13"/>
      <c r="E27" s="2"/>
      <c r="F27" s="14"/>
      <c r="G27" s="15"/>
      <c r="H27" s="1"/>
      <c r="I27" s="14"/>
      <c r="J27" s="15"/>
      <c r="K27" s="1"/>
    </row>
    <row r="28">
      <c r="A28" s="1"/>
      <c r="B28" s="12"/>
      <c r="C28" s="48" t="s">
        <v>20</v>
      </c>
      <c r="D28" s="36" t="str">
        <f>D24-D25</f>
        <v>R$ 63,047.00</v>
      </c>
      <c r="E28" s="2"/>
      <c r="F28" s="43" t="s">
        <v>21</v>
      </c>
      <c r="G28" s="36" t="str">
        <f>G19-G22-G25</f>
        <v>R$ 71,610.00</v>
      </c>
      <c r="H28" s="1"/>
      <c r="I28" s="43" t="s">
        <v>119</v>
      </c>
      <c r="J28" s="36" t="str">
        <f>J9-J11-J14-J16-J18-J24</f>
        <v>R$ 64,740.00</v>
      </c>
      <c r="K28" s="1"/>
    </row>
    <row r="29">
      <c r="A29" s="1"/>
      <c r="B29" s="49"/>
      <c r="C29" s="50"/>
      <c r="D29" s="51"/>
      <c r="E29" s="2"/>
      <c r="F29" s="52"/>
      <c r="G29" s="53"/>
      <c r="H29" s="1"/>
      <c r="I29" s="52"/>
      <c r="J29" s="53"/>
      <c r="K29" s="1"/>
    </row>
    <row r="30" ht="15.75" customHeight="1">
      <c r="A30" s="1"/>
      <c r="B30" s="2"/>
      <c r="C30" s="1"/>
      <c r="D30" s="4"/>
      <c r="E30" s="2"/>
      <c r="F30" s="1"/>
      <c r="G30" s="1"/>
      <c r="H30" s="1"/>
      <c r="I30" s="1"/>
      <c r="J30" s="1"/>
      <c r="K30" s="1"/>
    </row>
    <row r="31">
      <c r="A31" s="1"/>
      <c r="B31" s="2"/>
      <c r="C31" s="97" t="str">
        <f>D10+D11+D12+D17+D20+D22+D25</f>
        <v>Carga Tributária - Lucro Real R$ 53,953.00</v>
      </c>
      <c r="D31" s="4"/>
      <c r="E31" s="2"/>
      <c r="F31" s="98" t="str">
        <f t="shared" ref="F31:F33" si="4">C31</f>
        <v>Carga Tributária - Lucro Real R$ 53,953.00</v>
      </c>
      <c r="G31" s="1"/>
      <c r="H31" s="1"/>
      <c r="I31" s="98" t="str">
        <f t="shared" ref="I31:I33" si="5">C31</f>
        <v>Carga Tributária - Lucro Real R$ 53,953.00</v>
      </c>
      <c r="J31" s="1"/>
      <c r="K31" s="1"/>
    </row>
    <row r="32">
      <c r="A32" s="1"/>
      <c r="B32" s="2"/>
      <c r="C32" s="99" t="str">
        <f>G10+G11+G12+G17+G22+G25+G26</f>
        <v>Carga Tributária - Lucro Presumido R$ 52,990.00</v>
      </c>
      <c r="D32" s="4"/>
      <c r="E32" s="2"/>
      <c r="F32" s="100" t="str">
        <f t="shared" si="4"/>
        <v>Carga Tributária - Lucro Presumido R$ 52,990.00</v>
      </c>
      <c r="G32" s="1"/>
      <c r="H32" s="1"/>
      <c r="I32" s="99" t="str">
        <f t="shared" si="5"/>
        <v>Carga Tributária - Lucro Presumido R$ 52,990.00</v>
      </c>
      <c r="J32" s="1"/>
      <c r="K32" s="1"/>
    </row>
    <row r="33">
      <c r="A33" s="1"/>
      <c r="B33" s="2"/>
      <c r="C33" s="101" t="str">
        <f>J16+J24</f>
        <v>Carga Tributária- Simples R$ 61,260.00</v>
      </c>
      <c r="D33" s="4"/>
      <c r="E33" s="2"/>
      <c r="F33" s="101" t="str">
        <f t="shared" si="4"/>
        <v>Carga Tributária- Simples R$ 61,260.00</v>
      </c>
      <c r="G33" s="1"/>
      <c r="H33" s="1"/>
      <c r="I33" s="102" t="str">
        <f t="shared" si="5"/>
        <v>Carga Tributária- Simples R$ 61,260.00</v>
      </c>
      <c r="J33" s="1"/>
      <c r="K33" s="1"/>
    </row>
    <row r="34">
      <c r="A34" s="1"/>
      <c r="B34" s="2"/>
      <c r="C34" s="1"/>
      <c r="D34" s="4"/>
      <c r="E34" s="2"/>
      <c r="F34" s="1"/>
      <c r="G34" s="4"/>
      <c r="H34" s="1"/>
      <c r="I34" s="1"/>
      <c r="J34" s="4"/>
      <c r="K34" s="1"/>
    </row>
    <row r="35">
      <c r="A35" s="1"/>
      <c r="B35" s="2"/>
      <c r="C35" s="103" t="str">
        <f>G28</f>
        <v>Lucro Presumido R$ 71,610.00</v>
      </c>
      <c r="D35" s="4"/>
      <c r="E35" s="2"/>
      <c r="F35" s="104" t="str">
        <f>D28</f>
        <v>Lucro Real R$ 63,047.00</v>
      </c>
      <c r="G35" s="4"/>
      <c r="H35" s="1"/>
      <c r="I35" s="103" t="str">
        <f>G28</f>
        <v>Lucro Presumido R$ 71,610.00</v>
      </c>
      <c r="J35" s="1"/>
      <c r="K35" s="1"/>
    </row>
    <row r="36">
      <c r="A36" s="1"/>
      <c r="B36" s="2"/>
      <c r="C36" s="105" t="str">
        <f>J28</f>
        <v>Lucro no Simples R$ 64,740.00</v>
      </c>
      <c r="D36" s="4"/>
      <c r="E36" s="2"/>
      <c r="F36" s="105" t="str">
        <f>J28</f>
        <v>Lucro no Simples R$ 64,740.00</v>
      </c>
      <c r="G36" s="1"/>
      <c r="H36" s="1"/>
      <c r="I36" s="106" t="str">
        <f>D28</f>
        <v>Lucro Real R$ 63,047.00</v>
      </c>
      <c r="J36" s="1"/>
      <c r="K36" s="1"/>
    </row>
    <row r="37" ht="15.75" customHeight="1">
      <c r="A37" s="1"/>
      <c r="B37" s="2"/>
      <c r="C37" s="1"/>
      <c r="D37" s="4"/>
      <c r="E37" s="2"/>
      <c r="F37" s="1"/>
      <c r="G37" s="1"/>
      <c r="H37" s="1"/>
      <c r="I37" s="1"/>
      <c r="J37" s="1"/>
      <c r="K37" s="1"/>
    </row>
    <row r="38" ht="15.75" customHeight="1">
      <c r="A38" s="1"/>
      <c r="B38" s="2"/>
      <c r="C38" s="1"/>
      <c r="D38" s="4"/>
      <c r="E38" s="2"/>
      <c r="F38" s="1"/>
      <c r="G38" s="1"/>
      <c r="H38" s="1"/>
      <c r="I38" s="1"/>
      <c r="J38" s="1"/>
      <c r="K38" s="1"/>
    </row>
    <row r="39" ht="15.75" customHeight="1">
      <c r="A39" s="1"/>
      <c r="B39" s="2"/>
      <c r="C39" s="1"/>
      <c r="D39" s="4"/>
      <c r="E39" s="2"/>
      <c r="F39" s="1"/>
      <c r="G39" s="1"/>
      <c r="H39" s="1"/>
      <c r="I39" s="1"/>
      <c r="J39" s="1"/>
      <c r="K39" s="1"/>
    </row>
    <row r="40" ht="15.75" customHeight="1">
      <c r="A40" s="1"/>
      <c r="B40" s="2"/>
      <c r="C40" s="1"/>
      <c r="D40" s="4"/>
      <c r="E40" s="2"/>
      <c r="F40" s="1"/>
      <c r="G40" s="1"/>
      <c r="H40" s="1"/>
      <c r="I40" s="1"/>
      <c r="J40" s="1"/>
      <c r="K40" s="1"/>
    </row>
    <row r="41" ht="15.75" customHeight="1">
      <c r="A41" s="1"/>
      <c r="B41" s="2"/>
      <c r="C41" s="1"/>
      <c r="D41" s="4"/>
      <c r="E41" s="2"/>
      <c r="F41" s="1"/>
      <c r="G41" s="1"/>
      <c r="H41" s="1"/>
      <c r="I41" s="1"/>
      <c r="J41" s="1"/>
      <c r="K41" s="1"/>
    </row>
    <row r="42" ht="15.75" customHeight="1">
      <c r="A42" s="1"/>
      <c r="B42" s="2"/>
      <c r="C42" s="1"/>
      <c r="D42" s="4"/>
      <c r="E42" s="2"/>
      <c r="F42" s="1"/>
      <c r="G42" s="1"/>
      <c r="H42" s="1"/>
      <c r="I42" s="1"/>
      <c r="J42" s="1"/>
      <c r="K42" s="1"/>
    </row>
    <row r="43" ht="15.75" customHeight="1">
      <c r="A43" s="1"/>
      <c r="B43" s="2"/>
      <c r="C43" s="1"/>
      <c r="D43" s="4"/>
      <c r="E43" s="2"/>
      <c r="F43" s="1"/>
      <c r="G43" s="1"/>
      <c r="H43" s="1"/>
      <c r="I43" s="1"/>
      <c r="J43" s="1"/>
      <c r="K43" s="1"/>
    </row>
    <row r="44" ht="15.75" customHeight="1">
      <c r="A44" s="1"/>
      <c r="B44" s="2"/>
      <c r="C44" s="1"/>
      <c r="D44" s="4"/>
      <c r="E44" s="2"/>
      <c r="F44" s="1"/>
      <c r="G44" s="1"/>
      <c r="H44" s="1"/>
      <c r="I44" s="1"/>
      <c r="J44" s="1"/>
      <c r="K44" s="1"/>
    </row>
    <row r="45" ht="15.75" customHeight="1">
      <c r="A45" s="1"/>
      <c r="B45" s="2"/>
      <c r="C45" s="1"/>
      <c r="D45" s="4"/>
      <c r="E45" s="2"/>
      <c r="F45" s="1"/>
      <c r="G45" s="1"/>
      <c r="H45" s="1"/>
      <c r="I45" s="1"/>
      <c r="J45" s="1"/>
      <c r="K45" s="1"/>
    </row>
    <row r="46" ht="15.75" customHeight="1">
      <c r="A46" s="1"/>
      <c r="B46" s="2"/>
      <c r="C46" s="1"/>
      <c r="D46" s="4"/>
      <c r="E46" s="2"/>
      <c r="F46" s="1"/>
      <c r="G46" s="1"/>
      <c r="H46" s="1"/>
      <c r="I46" s="1"/>
      <c r="J46" s="1"/>
      <c r="K46" s="1"/>
    </row>
    <row r="47" ht="15.75" customHeight="1">
      <c r="A47" s="1"/>
      <c r="B47" s="2"/>
      <c r="C47" s="1"/>
      <c r="D47" s="4"/>
      <c r="E47" s="2"/>
      <c r="F47" s="1"/>
      <c r="G47" s="1"/>
      <c r="H47" s="1"/>
      <c r="I47" s="1"/>
      <c r="J47" s="1"/>
      <c r="K47" s="1"/>
    </row>
    <row r="48" ht="15.75" customHeight="1">
      <c r="A48" s="1"/>
      <c r="B48" s="2"/>
      <c r="C48" s="1"/>
      <c r="D48" s="4"/>
      <c r="E48" s="2"/>
      <c r="F48" s="1"/>
      <c r="G48" s="1"/>
      <c r="H48" s="1"/>
      <c r="I48" s="1"/>
      <c r="J48" s="1"/>
      <c r="K48" s="1"/>
    </row>
    <row r="49" ht="15.75" customHeight="1">
      <c r="A49" s="1"/>
      <c r="B49" s="2"/>
      <c r="C49" s="1"/>
      <c r="D49" s="4"/>
      <c r="E49" s="2"/>
      <c r="F49" s="1"/>
      <c r="G49" s="1"/>
      <c r="H49" s="1"/>
      <c r="I49" s="1"/>
      <c r="J49" s="1"/>
      <c r="K49" s="1"/>
    </row>
    <row r="50" ht="15.75" customHeight="1">
      <c r="A50" s="1"/>
      <c r="B50" s="2"/>
      <c r="C50" s="1"/>
      <c r="D50" s="4"/>
      <c r="E50" s="2"/>
      <c r="F50" s="1"/>
      <c r="G50" s="1"/>
      <c r="H50" s="1"/>
      <c r="I50" s="1"/>
      <c r="J50" s="1"/>
      <c r="K50" s="1"/>
    </row>
    <row r="51" ht="15.75" customHeight="1">
      <c r="A51" s="1"/>
      <c r="B51" s="2"/>
      <c r="C51" s="1"/>
      <c r="D51" s="4"/>
      <c r="E51" s="2"/>
      <c r="F51" s="1"/>
      <c r="G51" s="1"/>
      <c r="H51" s="1"/>
      <c r="I51" s="1"/>
      <c r="J51" s="1"/>
      <c r="K51" s="1"/>
    </row>
    <row r="52" ht="15.75" customHeight="1">
      <c r="A52" s="1"/>
      <c r="B52" s="2"/>
      <c r="C52" s="1"/>
      <c r="D52" s="4"/>
      <c r="E52" s="2"/>
      <c r="F52" s="1"/>
      <c r="G52" s="1"/>
      <c r="H52" s="1"/>
      <c r="I52" s="1"/>
      <c r="J52" s="1"/>
      <c r="K52" s="1"/>
    </row>
    <row r="53" ht="15.75" customHeight="1">
      <c r="A53" s="1"/>
      <c r="B53" s="2"/>
      <c r="C53" s="1"/>
      <c r="D53" s="4"/>
      <c r="E53" s="2"/>
      <c r="F53" s="1"/>
      <c r="G53" s="1"/>
      <c r="H53" s="1"/>
      <c r="I53" s="1"/>
      <c r="J53" s="1"/>
      <c r="K53" s="1"/>
    </row>
    <row r="54" ht="15.75" customHeight="1">
      <c r="A54" s="1"/>
      <c r="B54" s="2"/>
      <c r="C54" s="1"/>
      <c r="D54" s="4"/>
      <c r="E54" s="2"/>
      <c r="F54" s="1"/>
      <c r="G54" s="1"/>
      <c r="H54" s="1"/>
      <c r="I54" s="1"/>
      <c r="J54" s="1"/>
      <c r="K54" s="1"/>
    </row>
    <row r="55" ht="15.75" customHeight="1">
      <c r="A55" s="1"/>
      <c r="B55" s="2"/>
      <c r="C55" s="1"/>
      <c r="D55" s="4"/>
      <c r="E55" s="2"/>
      <c r="F55" s="1"/>
      <c r="G55" s="1"/>
      <c r="H55" s="1"/>
      <c r="I55" s="1"/>
      <c r="J55" s="1"/>
      <c r="K55" s="1"/>
    </row>
    <row r="56" ht="15.75" customHeight="1">
      <c r="A56" s="1"/>
      <c r="B56" s="2"/>
      <c r="C56" s="1"/>
      <c r="D56" s="4"/>
      <c r="E56" s="2"/>
      <c r="F56" s="1"/>
      <c r="G56" s="1"/>
      <c r="H56" s="1"/>
      <c r="I56" s="1"/>
      <c r="J56" s="1"/>
      <c r="K56" s="1"/>
    </row>
    <row r="57" ht="15.75" customHeight="1">
      <c r="A57" s="1"/>
      <c r="B57" s="2"/>
      <c r="C57" s="1"/>
      <c r="D57" s="4"/>
      <c r="E57" s="2"/>
      <c r="F57" s="1"/>
      <c r="G57" s="1"/>
      <c r="H57" s="1"/>
      <c r="I57" s="1"/>
      <c r="J57" s="1"/>
      <c r="K57" s="1"/>
    </row>
    <row r="58" ht="15.75" customHeight="1">
      <c r="A58" s="1"/>
      <c r="B58" s="2"/>
      <c r="C58" s="1"/>
      <c r="D58" s="4"/>
      <c r="E58" s="2"/>
      <c r="F58" s="1"/>
      <c r="G58" s="1"/>
      <c r="H58" s="1"/>
      <c r="I58" s="1"/>
      <c r="J58" s="1"/>
      <c r="K58" s="1"/>
    </row>
    <row r="59" ht="15.75" customHeight="1">
      <c r="A59" s="1"/>
      <c r="B59" s="2"/>
      <c r="C59" s="1"/>
      <c r="D59" s="4"/>
      <c r="E59" s="2"/>
      <c r="F59" s="1"/>
      <c r="G59" s="1"/>
      <c r="H59" s="1"/>
      <c r="I59" s="1"/>
      <c r="J59" s="1"/>
      <c r="K59" s="1"/>
    </row>
    <row r="60" ht="15.75" customHeight="1">
      <c r="A60" s="1"/>
      <c r="B60" s="2"/>
      <c r="C60" s="1"/>
      <c r="D60" s="4"/>
      <c r="E60" s="2"/>
      <c r="F60" s="1"/>
      <c r="G60" s="1"/>
      <c r="H60" s="1"/>
      <c r="I60" s="1"/>
      <c r="J60" s="1"/>
      <c r="K60" s="1"/>
    </row>
    <row r="61" ht="15.75" customHeight="1">
      <c r="A61" s="1"/>
      <c r="B61" s="2"/>
      <c r="C61" s="1"/>
      <c r="D61" s="4"/>
      <c r="E61" s="2"/>
      <c r="F61" s="1"/>
      <c r="G61" s="1"/>
      <c r="H61" s="1"/>
      <c r="I61" s="1"/>
      <c r="J61" s="1"/>
      <c r="K61" s="1"/>
    </row>
    <row r="62" ht="15.75" customHeight="1">
      <c r="A62" s="1"/>
      <c r="B62" s="2"/>
      <c r="C62" s="1"/>
      <c r="D62" s="4"/>
      <c r="E62" s="2"/>
      <c r="F62" s="1"/>
      <c r="G62" s="1"/>
      <c r="H62" s="1"/>
      <c r="I62" s="1"/>
      <c r="J62" s="1"/>
      <c r="K62" s="1"/>
    </row>
    <row r="63" ht="15.75" customHeight="1">
      <c r="A63" s="1"/>
      <c r="B63" s="2"/>
      <c r="C63" s="1"/>
      <c r="D63" s="4"/>
      <c r="E63" s="2"/>
      <c r="F63" s="1"/>
      <c r="G63" s="1"/>
      <c r="H63" s="1"/>
      <c r="I63" s="1"/>
      <c r="J63" s="1"/>
      <c r="K63" s="1"/>
    </row>
    <row r="64" ht="15.75" customHeight="1">
      <c r="A64" s="1"/>
      <c r="B64" s="2"/>
      <c r="C64" s="1"/>
      <c r="D64" s="4"/>
      <c r="E64" s="2"/>
      <c r="F64" s="1"/>
      <c r="G64" s="1"/>
      <c r="H64" s="1"/>
      <c r="I64" s="1"/>
      <c r="J64" s="1"/>
      <c r="K64" s="1"/>
    </row>
    <row r="65" ht="15.75" customHeight="1">
      <c r="A65" s="1"/>
      <c r="B65" s="2"/>
      <c r="C65" s="1"/>
      <c r="D65" s="4"/>
      <c r="E65" s="2"/>
      <c r="F65" s="1"/>
      <c r="G65" s="1"/>
      <c r="H65" s="1"/>
      <c r="I65" s="1"/>
      <c r="J65" s="1"/>
      <c r="K65" s="1"/>
    </row>
    <row r="66" ht="15.75" customHeight="1">
      <c r="A66" s="1"/>
      <c r="B66" s="2"/>
      <c r="C66" s="1"/>
      <c r="D66" s="4"/>
      <c r="E66" s="2"/>
      <c r="F66" s="1"/>
      <c r="G66" s="1"/>
      <c r="H66" s="1"/>
      <c r="I66" s="1"/>
      <c r="J66" s="1"/>
      <c r="K66" s="1"/>
    </row>
    <row r="67" ht="15.75" customHeight="1">
      <c r="A67" s="1"/>
      <c r="B67" s="2"/>
      <c r="C67" s="1"/>
      <c r="D67" s="4"/>
      <c r="E67" s="2"/>
      <c r="F67" s="1"/>
      <c r="G67" s="1"/>
      <c r="H67" s="1"/>
      <c r="I67" s="1"/>
      <c r="J67" s="1"/>
      <c r="K67" s="1"/>
    </row>
    <row r="68" ht="15.75" customHeight="1">
      <c r="A68" s="1"/>
      <c r="B68" s="2"/>
      <c r="C68" s="1"/>
      <c r="D68" s="4"/>
      <c r="E68" s="2"/>
      <c r="F68" s="1"/>
      <c r="G68" s="1"/>
      <c r="H68" s="1"/>
      <c r="I68" s="1"/>
      <c r="J68" s="1"/>
      <c r="K68" s="1"/>
    </row>
    <row r="69" ht="15.75" customHeight="1">
      <c r="A69" s="1"/>
      <c r="B69" s="2"/>
      <c r="C69" s="1"/>
      <c r="D69" s="4"/>
      <c r="E69" s="2"/>
      <c r="F69" s="1"/>
      <c r="G69" s="1"/>
      <c r="H69" s="1"/>
      <c r="I69" s="1"/>
      <c r="J69" s="1"/>
      <c r="K69" s="1"/>
    </row>
    <row r="70" ht="15.75" customHeight="1">
      <c r="A70" s="1"/>
      <c r="B70" s="2"/>
      <c r="C70" s="1"/>
      <c r="D70" s="4"/>
      <c r="E70" s="2"/>
      <c r="F70" s="1"/>
      <c r="G70" s="1"/>
      <c r="H70" s="1"/>
      <c r="I70" s="1"/>
      <c r="J70" s="1"/>
      <c r="K70" s="1"/>
    </row>
    <row r="71" ht="15.75" customHeight="1">
      <c r="A71" s="1"/>
      <c r="B71" s="2"/>
      <c r="C71" s="1"/>
      <c r="D71" s="4"/>
      <c r="E71" s="2"/>
      <c r="F71" s="1"/>
      <c r="G71" s="1"/>
      <c r="H71" s="1"/>
      <c r="I71" s="1"/>
      <c r="J71" s="1"/>
      <c r="K71" s="1"/>
    </row>
    <row r="72" ht="15.75" customHeight="1">
      <c r="A72" s="1"/>
      <c r="B72" s="2"/>
      <c r="C72" s="1"/>
      <c r="D72" s="4"/>
      <c r="E72" s="2"/>
      <c r="F72" s="1"/>
      <c r="G72" s="1"/>
      <c r="H72" s="1"/>
      <c r="I72" s="1"/>
      <c r="J72" s="1"/>
      <c r="K72" s="1"/>
    </row>
    <row r="73" ht="15.75" customHeight="1">
      <c r="A73" s="1"/>
      <c r="B73" s="2"/>
      <c r="C73" s="1"/>
      <c r="D73" s="4"/>
      <c r="E73" s="2"/>
      <c r="F73" s="1"/>
      <c r="G73" s="1"/>
      <c r="H73" s="1"/>
      <c r="I73" s="1"/>
      <c r="J73" s="1"/>
      <c r="K73" s="1"/>
    </row>
    <row r="74" ht="15.75" customHeight="1">
      <c r="A74" s="1"/>
      <c r="B74" s="2"/>
      <c r="C74" s="1"/>
      <c r="D74" s="4"/>
      <c r="E74" s="2"/>
      <c r="F74" s="1"/>
      <c r="G74" s="1"/>
      <c r="H74" s="1"/>
      <c r="I74" s="1"/>
      <c r="J74" s="1"/>
      <c r="K74" s="1"/>
    </row>
    <row r="75" ht="15.75" customHeight="1">
      <c r="A75" s="1"/>
      <c r="B75" s="2"/>
      <c r="C75" s="1"/>
      <c r="D75" s="4"/>
      <c r="E75" s="2"/>
      <c r="F75" s="1"/>
      <c r="G75" s="1"/>
      <c r="H75" s="1"/>
      <c r="I75" s="1"/>
      <c r="J75" s="1"/>
      <c r="K75" s="1"/>
    </row>
    <row r="76" ht="15.75" customHeight="1">
      <c r="A76" s="1"/>
      <c r="B76" s="2"/>
      <c r="C76" s="1"/>
      <c r="D76" s="4"/>
      <c r="E76" s="2"/>
      <c r="F76" s="1"/>
      <c r="G76" s="1"/>
      <c r="H76" s="1"/>
      <c r="I76" s="1"/>
      <c r="J76" s="1"/>
      <c r="K76" s="1"/>
    </row>
    <row r="77" ht="15.75" customHeight="1">
      <c r="A77" s="1"/>
      <c r="B77" s="2"/>
      <c r="C77" s="1"/>
      <c r="D77" s="4"/>
      <c r="E77" s="2"/>
      <c r="F77" s="1"/>
      <c r="G77" s="1"/>
      <c r="H77" s="1"/>
      <c r="I77" s="1"/>
      <c r="J77" s="1"/>
      <c r="K77" s="1"/>
    </row>
    <row r="78" ht="15.75" customHeight="1">
      <c r="A78" s="1"/>
      <c r="B78" s="2"/>
      <c r="C78" s="1"/>
      <c r="D78" s="4"/>
      <c r="E78" s="2"/>
      <c r="F78" s="1"/>
      <c r="G78" s="1"/>
      <c r="H78" s="1"/>
      <c r="I78" s="1"/>
      <c r="J78" s="1"/>
      <c r="K78" s="1"/>
    </row>
    <row r="79" ht="15.75" customHeight="1">
      <c r="A79" s="1"/>
      <c r="B79" s="2"/>
      <c r="C79" s="1"/>
      <c r="D79" s="4"/>
      <c r="E79" s="2"/>
      <c r="F79" s="1"/>
      <c r="G79" s="1"/>
      <c r="H79" s="1"/>
      <c r="I79" s="1"/>
      <c r="J79" s="1"/>
      <c r="K79" s="1"/>
    </row>
    <row r="80" ht="15.75" customHeight="1">
      <c r="A80" s="1"/>
      <c r="B80" s="2"/>
      <c r="C80" s="1"/>
      <c r="D80" s="4"/>
      <c r="E80" s="2"/>
      <c r="F80" s="1"/>
      <c r="G80" s="1"/>
      <c r="H80" s="1"/>
      <c r="I80" s="1"/>
      <c r="J80" s="1"/>
      <c r="K80" s="1"/>
    </row>
    <row r="81" ht="15.75" customHeight="1">
      <c r="A81" s="1"/>
      <c r="B81" s="2"/>
      <c r="C81" s="1"/>
      <c r="D81" s="4"/>
      <c r="E81" s="2"/>
      <c r="F81" s="1"/>
      <c r="G81" s="1"/>
      <c r="H81" s="1"/>
      <c r="I81" s="1"/>
      <c r="J81" s="1"/>
      <c r="K81" s="1"/>
    </row>
    <row r="82" ht="15.75" customHeight="1">
      <c r="A82" s="1"/>
      <c r="B82" s="2"/>
      <c r="C82" s="1"/>
      <c r="D82" s="4"/>
      <c r="E82" s="2"/>
      <c r="F82" s="1"/>
      <c r="G82" s="1"/>
      <c r="H82" s="1"/>
      <c r="I82" s="1"/>
      <c r="J82" s="1"/>
      <c r="K82" s="1"/>
    </row>
    <row r="83" ht="15.75" customHeight="1">
      <c r="A83" s="1"/>
      <c r="B83" s="2"/>
      <c r="C83" s="1"/>
      <c r="D83" s="4"/>
      <c r="E83" s="2"/>
      <c r="F83" s="1"/>
      <c r="G83" s="1"/>
      <c r="H83" s="1"/>
      <c r="I83" s="1"/>
      <c r="J83" s="1"/>
      <c r="K83" s="1"/>
    </row>
    <row r="84" ht="15.75" customHeight="1">
      <c r="A84" s="1"/>
      <c r="B84" s="2"/>
      <c r="C84" s="1"/>
      <c r="D84" s="4"/>
      <c r="E84" s="2"/>
      <c r="F84" s="1"/>
      <c r="G84" s="1"/>
      <c r="H84" s="1"/>
      <c r="I84" s="1"/>
      <c r="J84" s="1"/>
      <c r="K84" s="1"/>
    </row>
    <row r="85" ht="15.75" customHeight="1">
      <c r="A85" s="1"/>
      <c r="B85" s="2"/>
      <c r="C85" s="1"/>
      <c r="D85" s="4"/>
      <c r="E85" s="2"/>
      <c r="F85" s="1"/>
      <c r="G85" s="1"/>
      <c r="H85" s="1"/>
      <c r="I85" s="1"/>
      <c r="J85" s="1"/>
      <c r="K85" s="1"/>
    </row>
    <row r="86" ht="15.75" customHeight="1">
      <c r="A86" s="1"/>
      <c r="B86" s="2"/>
      <c r="C86" s="1"/>
      <c r="D86" s="4"/>
      <c r="E86" s="2"/>
      <c r="F86" s="1"/>
      <c r="G86" s="1"/>
      <c r="H86" s="1"/>
      <c r="I86" s="1"/>
      <c r="J86" s="1"/>
      <c r="K86" s="1"/>
    </row>
    <row r="87" ht="15.75" customHeight="1">
      <c r="A87" s="1"/>
      <c r="B87" s="2"/>
      <c r="C87" s="1"/>
      <c r="D87" s="4"/>
      <c r="E87" s="2"/>
      <c r="F87" s="1"/>
      <c r="G87" s="1"/>
      <c r="H87" s="1"/>
      <c r="I87" s="1"/>
      <c r="J87" s="1"/>
      <c r="K87" s="1"/>
    </row>
    <row r="88" ht="15.75" customHeight="1">
      <c r="A88" s="1"/>
      <c r="B88" s="2"/>
      <c r="C88" s="1"/>
      <c r="D88" s="4"/>
      <c r="E88" s="2"/>
      <c r="F88" s="1"/>
      <c r="G88" s="1"/>
      <c r="H88" s="1"/>
      <c r="I88" s="1"/>
      <c r="J88" s="1"/>
      <c r="K88" s="1"/>
    </row>
    <row r="89" ht="15.75" customHeight="1">
      <c r="A89" s="1"/>
      <c r="B89" s="2"/>
      <c r="C89" s="1"/>
      <c r="D89" s="4"/>
      <c r="E89" s="2"/>
      <c r="F89" s="1"/>
      <c r="G89" s="1"/>
      <c r="H89" s="1"/>
      <c r="I89" s="1"/>
      <c r="J89" s="1"/>
      <c r="K89" s="1"/>
    </row>
    <row r="90" ht="15.75" customHeight="1">
      <c r="A90" s="1"/>
      <c r="B90" s="2"/>
      <c r="C90" s="1"/>
      <c r="D90" s="4"/>
      <c r="E90" s="2"/>
      <c r="F90" s="1"/>
      <c r="G90" s="1"/>
      <c r="H90" s="1"/>
      <c r="I90" s="1"/>
      <c r="J90" s="1"/>
      <c r="K90" s="1"/>
    </row>
    <row r="91" ht="15.75" customHeight="1">
      <c r="A91" s="1"/>
      <c r="B91" s="2"/>
      <c r="C91" s="1"/>
      <c r="D91" s="4"/>
      <c r="E91" s="2"/>
      <c r="F91" s="1"/>
      <c r="G91" s="1"/>
      <c r="H91" s="1"/>
      <c r="I91" s="1"/>
      <c r="J91" s="1"/>
      <c r="K91" s="1"/>
    </row>
    <row r="92" ht="15.75" customHeight="1">
      <c r="A92" s="1"/>
      <c r="B92" s="2"/>
      <c r="C92" s="1"/>
      <c r="D92" s="4"/>
      <c r="E92" s="2"/>
      <c r="F92" s="1"/>
      <c r="G92" s="1"/>
      <c r="H92" s="1"/>
      <c r="I92" s="1"/>
      <c r="J92" s="1"/>
      <c r="K92" s="1"/>
    </row>
    <row r="93" ht="15.75" customHeight="1">
      <c r="A93" s="1"/>
      <c r="B93" s="2"/>
      <c r="C93" s="1"/>
      <c r="D93" s="4"/>
      <c r="E93" s="2"/>
      <c r="F93" s="1"/>
      <c r="G93" s="1"/>
      <c r="H93" s="1"/>
      <c r="I93" s="1"/>
      <c r="J93" s="1"/>
      <c r="K93" s="1"/>
    </row>
    <row r="94" ht="15.75" customHeight="1">
      <c r="A94" s="1"/>
      <c r="B94" s="2"/>
      <c r="C94" s="1"/>
      <c r="D94" s="4"/>
      <c r="E94" s="2"/>
      <c r="F94" s="1"/>
      <c r="G94" s="1"/>
      <c r="H94" s="1"/>
      <c r="I94" s="1"/>
      <c r="J94" s="1"/>
      <c r="K94" s="1"/>
    </row>
    <row r="95" ht="15.75" customHeight="1">
      <c r="A95" s="1"/>
      <c r="B95" s="2"/>
      <c r="C95" s="1"/>
      <c r="D95" s="4"/>
      <c r="E95" s="2"/>
      <c r="F95" s="1"/>
      <c r="G95" s="1"/>
      <c r="H95" s="1"/>
      <c r="I95" s="1"/>
      <c r="J95" s="1"/>
      <c r="K95" s="1"/>
    </row>
    <row r="96" ht="15.75" customHeight="1">
      <c r="A96" s="1"/>
      <c r="B96" s="2"/>
      <c r="C96" s="1"/>
      <c r="D96" s="4"/>
      <c r="E96" s="2"/>
      <c r="F96" s="1"/>
      <c r="G96" s="1"/>
      <c r="H96" s="1"/>
      <c r="I96" s="1"/>
      <c r="J96" s="1"/>
      <c r="K96" s="1"/>
    </row>
    <row r="97" ht="15.75" customHeight="1">
      <c r="A97" s="1"/>
      <c r="B97" s="2"/>
      <c r="C97" s="1"/>
      <c r="D97" s="4"/>
      <c r="E97" s="2"/>
      <c r="F97" s="1"/>
      <c r="G97" s="1"/>
      <c r="H97" s="1"/>
      <c r="I97" s="1"/>
      <c r="J97" s="1"/>
      <c r="K97" s="1"/>
    </row>
    <row r="98" ht="15.75" customHeight="1">
      <c r="A98" s="1"/>
      <c r="B98" s="2"/>
      <c r="C98" s="1"/>
      <c r="D98" s="4"/>
      <c r="E98" s="2"/>
      <c r="F98" s="1"/>
      <c r="G98" s="1"/>
      <c r="H98" s="1"/>
      <c r="I98" s="1"/>
      <c r="J98" s="1"/>
      <c r="K98" s="1"/>
    </row>
    <row r="99" ht="15.75" customHeight="1">
      <c r="A99" s="1"/>
      <c r="B99" s="2"/>
      <c r="C99" s="1"/>
      <c r="D99" s="4"/>
      <c r="E99" s="2"/>
      <c r="F99" s="1"/>
      <c r="G99" s="1"/>
      <c r="H99" s="1"/>
      <c r="I99" s="1"/>
      <c r="J99" s="1"/>
      <c r="K99" s="1"/>
    </row>
    <row r="100" ht="15.75" customHeight="1">
      <c r="A100" s="1"/>
      <c r="B100" s="2"/>
      <c r="C100" s="1"/>
      <c r="D100" s="4"/>
      <c r="E100" s="2"/>
      <c r="F100" s="1"/>
      <c r="G100" s="1"/>
      <c r="H100" s="1"/>
      <c r="I100" s="1"/>
      <c r="J100" s="1"/>
      <c r="K100" s="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2.29"/>
    <col customWidth="1" min="3" max="11" width="8.57"/>
  </cols>
  <sheetData>
    <row r="1">
      <c r="A1" s="64" t="s">
        <v>120</v>
      </c>
      <c r="B1" s="65"/>
      <c r="C1" s="65"/>
      <c r="D1" s="65"/>
      <c r="E1" s="66"/>
      <c r="F1" s="65"/>
      <c r="G1" s="66"/>
      <c r="H1" s="65"/>
      <c r="I1" s="65"/>
      <c r="J1" s="66"/>
    </row>
    <row r="2">
      <c r="A2" s="64"/>
      <c r="B2" s="65"/>
      <c r="C2" s="67"/>
      <c r="D2" s="65"/>
      <c r="E2" s="107"/>
      <c r="F2" s="65"/>
      <c r="G2" s="66"/>
      <c r="H2" s="65"/>
      <c r="I2" s="65"/>
    </row>
    <row r="3">
      <c r="A3" s="69" t="s">
        <v>121</v>
      </c>
      <c r="B3" s="70"/>
      <c r="C3" s="108" t="s">
        <v>122</v>
      </c>
      <c r="D3" s="72" t="s">
        <v>26</v>
      </c>
      <c r="E3" s="72" t="s">
        <v>27</v>
      </c>
      <c r="F3" s="72" t="s">
        <v>28</v>
      </c>
      <c r="G3" s="72" t="s">
        <v>29</v>
      </c>
      <c r="H3" s="72" t="s">
        <v>30</v>
      </c>
      <c r="I3" s="73" t="s">
        <v>123</v>
      </c>
      <c r="J3" t="s">
        <v>122</v>
      </c>
    </row>
    <row r="4">
      <c r="A4" s="75">
        <v>0.0</v>
      </c>
      <c r="B4" s="75">
        <v>120000.0</v>
      </c>
      <c r="C4" s="76">
        <v>0.06</v>
      </c>
      <c r="D4" s="78">
        <v>0.0</v>
      </c>
      <c r="E4" s="78">
        <v>0.0</v>
      </c>
      <c r="F4" s="78">
        <v>0.0</v>
      </c>
      <c r="G4" s="78">
        <v>0.0</v>
      </c>
      <c r="H4" s="78">
        <v>0.04</v>
      </c>
      <c r="I4" s="109">
        <v>0.02</v>
      </c>
      <c r="J4" s="110" t="str">
        <f t="shared" ref="J4:J23" si="1">SUM(D4:I4)</f>
        <v>6.00%</v>
      </c>
    </row>
    <row r="5">
      <c r="A5" s="75" t="str">
        <f t="shared" ref="A5:A22" si="2">B4+0.01</f>
        <v>R$ 120,000.01</v>
      </c>
      <c r="B5" s="75" t="str">
        <f>240000</f>
        <v>R$ 240,000.00</v>
      </c>
      <c r="C5" s="76">
        <v>0.0821</v>
      </c>
      <c r="D5" s="78">
        <v>0.0</v>
      </c>
      <c r="E5" s="78">
        <v>0.0</v>
      </c>
      <c r="F5" s="78">
        <v>0.0142</v>
      </c>
      <c r="G5" s="78">
        <v>0.0</v>
      </c>
      <c r="H5" s="78">
        <v>0.04</v>
      </c>
      <c r="I5" s="109">
        <v>0.0279</v>
      </c>
      <c r="J5" s="110" t="str">
        <f t="shared" si="1"/>
        <v>8.21%</v>
      </c>
    </row>
    <row r="6">
      <c r="A6" s="75" t="str">
        <f t="shared" si="2"/>
        <v>R$ 240,000.01</v>
      </c>
      <c r="B6" s="75" t="str">
        <f>360000</f>
        <v>R$ 360,000.00</v>
      </c>
      <c r="C6" s="76">
        <v>0.1026</v>
      </c>
      <c r="D6" s="78">
        <v>0.0048</v>
      </c>
      <c r="E6" s="78">
        <v>0.0043</v>
      </c>
      <c r="F6" s="78">
        <v>0.0143</v>
      </c>
      <c r="G6" s="78">
        <v>0.0035</v>
      </c>
      <c r="H6" s="78">
        <v>0.0407</v>
      </c>
      <c r="I6" s="109">
        <v>0.035</v>
      </c>
      <c r="J6" s="110" t="str">
        <f t="shared" si="1"/>
        <v>10.26%</v>
      </c>
    </row>
    <row r="7">
      <c r="A7" s="75" t="str">
        <f t="shared" si="2"/>
        <v>R$ 360,000.01</v>
      </c>
      <c r="B7" s="75" t="str">
        <f>480000</f>
        <v>R$ 480,000.00</v>
      </c>
      <c r="C7" s="76">
        <v>0.1131</v>
      </c>
      <c r="D7" s="78">
        <v>0.0053</v>
      </c>
      <c r="E7" s="78">
        <v>0.0053</v>
      </c>
      <c r="F7" s="78">
        <v>0.0156</v>
      </c>
      <c r="G7" s="78">
        <v>0.0038</v>
      </c>
      <c r="H7" s="78">
        <v>0.0447</v>
      </c>
      <c r="I7" s="109">
        <v>0.0384</v>
      </c>
      <c r="J7" s="110" t="str">
        <f t="shared" si="1"/>
        <v>11.31%</v>
      </c>
    </row>
    <row r="8">
      <c r="A8" s="75" t="str">
        <f t="shared" si="2"/>
        <v>R$ 480,000.01</v>
      </c>
      <c r="B8" s="75" t="str">
        <f>600000</f>
        <v>R$ 600,000.00</v>
      </c>
      <c r="C8" s="76">
        <v>0.114</v>
      </c>
      <c r="D8" s="78">
        <v>0.0053</v>
      </c>
      <c r="E8" s="78">
        <v>0.0052</v>
      </c>
      <c r="F8" s="78">
        <v>0.0158</v>
      </c>
      <c r="G8" s="78">
        <v>0.0038</v>
      </c>
      <c r="H8" s="78">
        <v>0.0452</v>
      </c>
      <c r="I8" s="109">
        <v>0.0387</v>
      </c>
      <c r="J8" s="110" t="str">
        <f t="shared" si="1"/>
        <v>11.40%</v>
      </c>
    </row>
    <row r="9">
      <c r="A9" s="75" t="str">
        <f t="shared" si="2"/>
        <v>R$ 600,000.01</v>
      </c>
      <c r="B9" s="75" t="str">
        <f>720000</f>
        <v>R$ 720,000.00</v>
      </c>
      <c r="C9" s="76">
        <v>0.1242</v>
      </c>
      <c r="D9" s="78">
        <v>0.0057</v>
      </c>
      <c r="E9" s="78">
        <v>0.0057</v>
      </c>
      <c r="F9" s="78">
        <v>0.0173</v>
      </c>
      <c r="G9" s="78">
        <v>0.004</v>
      </c>
      <c r="H9" s="78">
        <v>0.0492</v>
      </c>
      <c r="I9" s="109">
        <v>0.0423</v>
      </c>
      <c r="J9" s="110" t="str">
        <f t="shared" si="1"/>
        <v>12.42%</v>
      </c>
    </row>
    <row r="10">
      <c r="A10" s="75" t="str">
        <f t="shared" si="2"/>
        <v>R$ 720,000.01</v>
      </c>
      <c r="B10" s="75" t="str">
        <f>840000</f>
        <v>R$ 840,000.00</v>
      </c>
      <c r="C10" s="76">
        <v>0.1254</v>
      </c>
      <c r="D10" s="78">
        <v>0.0059</v>
      </c>
      <c r="E10" s="78">
        <v>0.0056</v>
      </c>
      <c r="F10" s="78">
        <v>0.0174</v>
      </c>
      <c r="G10" s="78">
        <v>0.0042</v>
      </c>
      <c r="H10" s="78">
        <v>0.0497</v>
      </c>
      <c r="I10" s="109">
        <v>0.0426</v>
      </c>
      <c r="J10" s="110" t="str">
        <f t="shared" si="1"/>
        <v>12.54%</v>
      </c>
    </row>
    <row r="11">
      <c r="A11" s="75" t="str">
        <f t="shared" si="2"/>
        <v>R$ 840,000.01</v>
      </c>
      <c r="B11" s="75" t="str">
        <f>960000</f>
        <v>R$ 960,000.00</v>
      </c>
      <c r="C11" s="76">
        <v>0.1268</v>
      </c>
      <c r="D11" s="78">
        <v>0.0059</v>
      </c>
      <c r="E11" s="78">
        <v>0.0057</v>
      </c>
      <c r="F11" s="78">
        <v>0.0176</v>
      </c>
      <c r="G11" s="78">
        <v>0.0042</v>
      </c>
      <c r="H11" s="78">
        <v>0.0503</v>
      </c>
      <c r="I11" s="109">
        <v>0.0431</v>
      </c>
      <c r="J11" s="110" t="str">
        <f t="shared" si="1"/>
        <v>12.68%</v>
      </c>
    </row>
    <row r="12">
      <c r="A12" s="75" t="str">
        <f t="shared" si="2"/>
        <v>R$ 960,000.01</v>
      </c>
      <c r="B12" s="75" t="str">
        <f>1080000</f>
        <v>R$ 1,080,000.00</v>
      </c>
      <c r="C12" s="76">
        <v>0.1355</v>
      </c>
      <c r="D12" s="78">
        <v>0.0063</v>
      </c>
      <c r="E12" s="78">
        <v>0.0061</v>
      </c>
      <c r="F12" s="78">
        <v>0.0188</v>
      </c>
      <c r="G12" s="78">
        <v>0.0045</v>
      </c>
      <c r="H12" s="78">
        <v>0.0537</v>
      </c>
      <c r="I12" s="109">
        <v>0.0461</v>
      </c>
      <c r="J12" s="110" t="str">
        <f t="shared" si="1"/>
        <v>13.55%</v>
      </c>
    </row>
    <row r="13">
      <c r="A13" s="75" t="str">
        <f t="shared" si="2"/>
        <v>R$ 1,080,000.01</v>
      </c>
      <c r="B13" s="75" t="str">
        <f>1200000</f>
        <v>R$ 1,200,000.00</v>
      </c>
      <c r="C13" s="76">
        <v>0.1368</v>
      </c>
      <c r="D13" s="78">
        <v>0.0063</v>
      </c>
      <c r="E13" s="78">
        <v>0.0064</v>
      </c>
      <c r="F13" s="78">
        <v>0.0189</v>
      </c>
      <c r="G13" s="78">
        <v>0.0045</v>
      </c>
      <c r="H13" s="78">
        <v>0.0542</v>
      </c>
      <c r="I13" s="109">
        <v>0.0465</v>
      </c>
      <c r="J13" s="110" t="str">
        <f t="shared" si="1"/>
        <v>13.68%</v>
      </c>
    </row>
    <row r="14">
      <c r="A14" s="75" t="str">
        <f t="shared" si="2"/>
        <v>R$ 1,200,000.01</v>
      </c>
      <c r="B14" s="75" t="str">
        <f>1320000</f>
        <v>R$ 1,320,000.00</v>
      </c>
      <c r="C14" s="76">
        <v>0.1493</v>
      </c>
      <c r="D14" s="78">
        <v>0.0069</v>
      </c>
      <c r="E14" s="78">
        <v>0.0069</v>
      </c>
      <c r="F14" s="78">
        <v>0.0207</v>
      </c>
      <c r="G14" s="78">
        <v>0.005</v>
      </c>
      <c r="H14" s="78">
        <v>0.0598</v>
      </c>
      <c r="I14" s="109">
        <v>0.05</v>
      </c>
      <c r="J14" s="110" t="str">
        <f t="shared" si="1"/>
        <v>14.93%</v>
      </c>
    </row>
    <row r="15">
      <c r="A15" s="75" t="str">
        <f t="shared" si="2"/>
        <v>R$ 1,320,000.01</v>
      </c>
      <c r="B15" s="75" t="str">
        <f>1440000</f>
        <v>R$ 1,440,000.00</v>
      </c>
      <c r="C15" s="76">
        <v>0.1506</v>
      </c>
      <c r="D15" s="78">
        <v>0.0069</v>
      </c>
      <c r="E15" s="78">
        <v>0.0069</v>
      </c>
      <c r="F15" s="78">
        <v>0.0209</v>
      </c>
      <c r="G15" s="78">
        <v>0.005</v>
      </c>
      <c r="H15" s="78">
        <v>0.0609</v>
      </c>
      <c r="I15" s="109">
        <v>0.05</v>
      </c>
      <c r="J15" s="110" t="str">
        <f t="shared" si="1"/>
        <v>15.06%</v>
      </c>
    </row>
    <row r="16">
      <c r="A16" s="75" t="str">
        <f t="shared" si="2"/>
        <v>R$ 1,440,000.01</v>
      </c>
      <c r="B16" s="75" t="str">
        <f>1560000</f>
        <v>R$ 1,560,000.00</v>
      </c>
      <c r="C16" s="76">
        <v>0.152</v>
      </c>
      <c r="D16" s="78">
        <v>0.0071</v>
      </c>
      <c r="E16" s="78">
        <v>0.007</v>
      </c>
      <c r="F16" s="78">
        <v>0.021</v>
      </c>
      <c r="G16" s="78">
        <v>0.005</v>
      </c>
      <c r="H16" s="78">
        <v>0.0619</v>
      </c>
      <c r="I16" s="109">
        <v>0.05</v>
      </c>
      <c r="J16" s="110" t="str">
        <f t="shared" si="1"/>
        <v>15.20%</v>
      </c>
    </row>
    <row r="17">
      <c r="A17" s="75" t="str">
        <f t="shared" si="2"/>
        <v>R$ 1,560,000.01</v>
      </c>
      <c r="B17" s="75" t="str">
        <f>1680000</f>
        <v>R$ 1,680,000.00</v>
      </c>
      <c r="C17" s="76">
        <v>0.1535</v>
      </c>
      <c r="D17" s="78">
        <v>0.0071</v>
      </c>
      <c r="E17" s="78">
        <v>0.007</v>
      </c>
      <c r="F17" s="78">
        <v>0.0213</v>
      </c>
      <c r="G17" s="78">
        <v>0.0051</v>
      </c>
      <c r="H17" s="78">
        <v>0.063</v>
      </c>
      <c r="I17" s="109">
        <v>0.05</v>
      </c>
      <c r="J17" s="110" t="str">
        <f t="shared" si="1"/>
        <v>15.35%</v>
      </c>
    </row>
    <row r="18">
      <c r="A18" s="75" t="str">
        <f t="shared" si="2"/>
        <v>R$ 1,680,000.01</v>
      </c>
      <c r="B18" s="75" t="str">
        <f>1800000</f>
        <v>R$ 1,800,000.00</v>
      </c>
      <c r="C18" s="76">
        <v>0.1548</v>
      </c>
      <c r="D18" s="78">
        <v>0.0072</v>
      </c>
      <c r="E18" s="78">
        <v>0.007</v>
      </c>
      <c r="F18" s="78">
        <v>0.0215</v>
      </c>
      <c r="G18" s="78">
        <v>0.0051</v>
      </c>
      <c r="H18" s="78">
        <v>0.064</v>
      </c>
      <c r="I18" s="109">
        <v>0.05</v>
      </c>
      <c r="J18" s="110" t="str">
        <f t="shared" si="1"/>
        <v>15.48%</v>
      </c>
    </row>
    <row r="19">
      <c r="A19" s="75" t="str">
        <f t="shared" si="2"/>
        <v>R$ 1,800,000.01</v>
      </c>
      <c r="B19" s="75" t="str">
        <f>1920000</f>
        <v>R$ 1,920,000.00</v>
      </c>
      <c r="C19" s="76">
        <v>0.1685</v>
      </c>
      <c r="D19" s="78">
        <v>0.0078</v>
      </c>
      <c r="E19" s="78">
        <v>0.0076</v>
      </c>
      <c r="F19" s="78">
        <v>0.0234</v>
      </c>
      <c r="G19" s="78">
        <v>0.0056</v>
      </c>
      <c r="H19" s="78">
        <v>0.0741</v>
      </c>
      <c r="I19" s="109">
        <v>0.05</v>
      </c>
      <c r="J19" s="110" t="str">
        <f t="shared" si="1"/>
        <v>16.85%</v>
      </c>
    </row>
    <row r="20">
      <c r="A20" s="75" t="str">
        <f t="shared" si="2"/>
        <v>R$ 1,920,000.01</v>
      </c>
      <c r="B20" s="75" t="str">
        <f>2040000</f>
        <v>R$ 2,040,000.00</v>
      </c>
      <c r="C20" s="76">
        <v>0.1698</v>
      </c>
      <c r="D20" s="78">
        <v>0.0078</v>
      </c>
      <c r="E20" s="78">
        <v>0.0078</v>
      </c>
      <c r="F20" s="78">
        <v>0.0236</v>
      </c>
      <c r="G20" s="78">
        <v>0.0056</v>
      </c>
      <c r="H20" s="78">
        <v>0.075</v>
      </c>
      <c r="I20" s="109">
        <v>0.05</v>
      </c>
      <c r="J20" s="110" t="str">
        <f t="shared" si="1"/>
        <v>16.98%</v>
      </c>
    </row>
    <row r="21" ht="15.75" customHeight="1">
      <c r="A21" s="75" t="str">
        <f t="shared" si="2"/>
        <v>R$ 2,040,000.01</v>
      </c>
      <c r="B21" s="75" t="str">
        <f>2160000</f>
        <v>R$ 2,160,000.00</v>
      </c>
      <c r="C21" s="76">
        <v>0.1713</v>
      </c>
      <c r="D21" s="78">
        <v>0.008</v>
      </c>
      <c r="E21" s="78">
        <v>0.0079</v>
      </c>
      <c r="F21" s="78">
        <v>0.0237</v>
      </c>
      <c r="G21" s="78">
        <v>0.0057</v>
      </c>
      <c r="H21" s="78">
        <v>0.076</v>
      </c>
      <c r="I21" s="109">
        <v>0.05</v>
      </c>
      <c r="J21" s="110" t="str">
        <f t="shared" si="1"/>
        <v>17.13%</v>
      </c>
    </row>
    <row r="22" ht="15.75" customHeight="1">
      <c r="A22" s="75" t="str">
        <f t="shared" si="2"/>
        <v>R$ 2,160,000.01</v>
      </c>
      <c r="B22" s="75" t="str">
        <f>2280000</f>
        <v>R$ 2,280,000.00</v>
      </c>
      <c r="C22" s="76">
        <v>0.1727</v>
      </c>
      <c r="D22" s="78">
        <v>0.008</v>
      </c>
      <c r="E22" s="78">
        <v>0.0079</v>
      </c>
      <c r="F22" s="78">
        <v>0.024</v>
      </c>
      <c r="G22" s="78">
        <v>0.0057</v>
      </c>
      <c r="H22" s="78">
        <v>0.0771</v>
      </c>
      <c r="I22" s="109">
        <v>0.05</v>
      </c>
      <c r="J22" s="110" t="str">
        <f t="shared" si="1"/>
        <v>17.27%</v>
      </c>
    </row>
    <row r="23" ht="15.75" customHeight="1">
      <c r="A23" s="75" t="str">
        <f>2280000.01</f>
        <v>R$ 2,280,000.01</v>
      </c>
      <c r="B23" s="75">
        <v>2400000.0</v>
      </c>
      <c r="C23" s="76">
        <v>0.1742</v>
      </c>
      <c r="D23" s="78">
        <v>0.0081</v>
      </c>
      <c r="E23" s="78">
        <v>0.0079</v>
      </c>
      <c r="F23" s="78">
        <v>0.0242</v>
      </c>
      <c r="G23" s="78">
        <v>0.0057</v>
      </c>
      <c r="H23" s="78">
        <v>0.0783</v>
      </c>
      <c r="I23" s="109">
        <v>0.05</v>
      </c>
      <c r="J23" s="110" t="str">
        <f t="shared" si="1"/>
        <v>17.42%</v>
      </c>
    </row>
    <row r="24" ht="15.75" customHeight="1">
      <c r="A24" s="75" t="str">
        <f>2400000*1.2</f>
        <v>R$ 2,880,000.00</v>
      </c>
      <c r="B24" s="75"/>
      <c r="C24" s="76">
        <v>0.1742</v>
      </c>
      <c r="D24" s="76"/>
      <c r="E24" s="76"/>
      <c r="F24" s="76"/>
      <c r="G24" s="76"/>
      <c r="H24" s="76"/>
      <c r="I24" s="7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3:B3"/>
  </mergeCells>
  <hyperlinks>
    <hyperlink r:id="rId1" ref="D3"/>
    <hyperlink r:id="rId2" ref="E3"/>
    <hyperlink r:id="rId3" ref="F3"/>
    <hyperlink r:id="rId4" ref="G3"/>
    <hyperlink r:id="rId5" ref="H3"/>
  </hyperlinks>
  <printOptions/>
  <pageMargins bottom="0.787401575" footer="0.0" header="0.0" left="0.511811024" right="0.511811024" top="0.787401575"/>
  <pageSetup paperSize="9" orientation="portrait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.14"/>
    <col customWidth="1" min="3" max="3" width="41.29"/>
    <col customWidth="1" min="4" max="4" width="14.71"/>
    <col customWidth="1" min="5" max="5" width="2.14"/>
    <col customWidth="1" min="6" max="6" width="44.57"/>
    <col customWidth="1" min="7" max="7" width="14.71"/>
    <col customWidth="1" min="8" max="8" width="2.0"/>
    <col customWidth="1" min="9" max="9" width="43.0"/>
    <col customWidth="1" min="10" max="10" width="17.43"/>
    <col customWidth="1" min="11" max="11" width="9.14"/>
  </cols>
  <sheetData>
    <row r="1">
      <c r="A1" s="1"/>
      <c r="B1" s="2"/>
      <c r="C1" s="1"/>
      <c r="D1" s="4"/>
      <c r="E1" s="2"/>
      <c r="F1" s="1"/>
      <c r="G1" s="1"/>
      <c r="H1" s="1"/>
      <c r="I1" s="1"/>
      <c r="J1" s="1"/>
      <c r="K1" s="1"/>
    </row>
    <row r="2" ht="26.25" customHeight="1">
      <c r="A2" s="1"/>
      <c r="B2" s="2"/>
      <c r="C2" s="83" t="s">
        <v>124</v>
      </c>
      <c r="D2" s="1"/>
      <c r="E2" s="2"/>
      <c r="F2" s="1"/>
      <c r="G2" s="1"/>
      <c r="H2" s="1"/>
      <c r="I2" s="1"/>
      <c r="J2" s="48"/>
      <c r="K2" s="1"/>
    </row>
    <row r="3">
      <c r="A3" s="1"/>
      <c r="B3" s="2"/>
      <c r="C3" s="1"/>
      <c r="D3" s="4"/>
      <c r="E3" s="2"/>
      <c r="F3" s="1"/>
      <c r="G3" s="1"/>
      <c r="H3" s="1"/>
      <c r="I3" s="1"/>
      <c r="J3" s="1"/>
      <c r="K3" s="1"/>
    </row>
    <row r="4">
      <c r="A4" s="1"/>
      <c r="B4" s="2"/>
      <c r="C4" s="1"/>
      <c r="D4" s="4"/>
      <c r="E4" s="2"/>
      <c r="F4" s="1"/>
      <c r="G4" s="1"/>
      <c r="H4" s="1"/>
      <c r="I4" s="1"/>
      <c r="J4" s="1"/>
      <c r="K4" s="1"/>
    </row>
    <row r="5">
      <c r="A5" s="1"/>
      <c r="B5" s="84" t="s">
        <v>113</v>
      </c>
      <c r="C5" s="1"/>
      <c r="D5" s="4"/>
      <c r="E5" s="2"/>
      <c r="F5" s="1"/>
      <c r="G5" s="1" t="s">
        <v>125</v>
      </c>
      <c r="H5" s="1"/>
      <c r="I5" s="1"/>
      <c r="J5" s="6" t="s">
        <v>3</v>
      </c>
      <c r="K5" s="1"/>
    </row>
    <row r="6">
      <c r="A6" s="1"/>
      <c r="B6" s="2"/>
      <c r="C6" s="1"/>
      <c r="D6" s="4"/>
      <c r="E6" s="2"/>
      <c r="F6" s="1"/>
      <c r="G6" s="1"/>
      <c r="H6" s="1"/>
      <c r="I6" s="1"/>
      <c r="J6" s="1"/>
      <c r="K6" s="1"/>
    </row>
    <row r="7">
      <c r="A7" s="1"/>
      <c r="B7" s="7"/>
      <c r="C7" s="8" t="s">
        <v>4</v>
      </c>
      <c r="D7" s="9"/>
      <c r="E7" s="2"/>
      <c r="F7" s="10" t="s">
        <v>5</v>
      </c>
      <c r="G7" s="11"/>
      <c r="H7" s="1"/>
      <c r="I7" s="10" t="s">
        <v>6</v>
      </c>
      <c r="J7" s="11"/>
      <c r="K7" s="1"/>
    </row>
    <row r="8">
      <c r="A8" s="1"/>
      <c r="B8" s="12"/>
      <c r="C8" s="1"/>
      <c r="D8" s="13"/>
      <c r="E8" s="2"/>
      <c r="F8" s="14"/>
      <c r="G8" s="15"/>
      <c r="H8" s="1"/>
      <c r="I8" s="14"/>
      <c r="J8" s="15"/>
      <c r="K8" s="1"/>
    </row>
    <row r="9">
      <c r="A9" s="1"/>
      <c r="B9" s="12"/>
      <c r="C9" s="1" t="s">
        <v>115</v>
      </c>
      <c r="D9" s="16">
        <v>300000.0</v>
      </c>
      <c r="E9" s="2"/>
      <c r="F9" s="14" t="s">
        <v>115</v>
      </c>
      <c r="G9" s="13" t="str">
        <f>D9</f>
        <v>R$ 300,000.00</v>
      </c>
      <c r="H9" s="1"/>
      <c r="I9" s="14" t="s">
        <v>8</v>
      </c>
      <c r="J9" s="13" t="str">
        <f>G9</f>
        <v>R$ 300,000.00</v>
      </c>
      <c r="K9" s="1"/>
    </row>
    <row r="10">
      <c r="A10" s="1"/>
      <c r="B10" s="12"/>
      <c r="C10" s="85">
        <v>0.05</v>
      </c>
      <c r="D10" s="13" t="str">
        <f>(D9*C10)</f>
        <v>R$ 15,000.00</v>
      </c>
      <c r="E10" s="2"/>
      <c r="F10" s="86" t="str">
        <f t="shared" ref="F10:G10" si="1">C10</f>
        <v>ISS de 5%</v>
      </c>
      <c r="G10" s="13" t="str">
        <f t="shared" si="1"/>
        <v>R$ 15,000.00</v>
      </c>
      <c r="H10" s="1"/>
      <c r="I10" s="14" t="s">
        <v>116</v>
      </c>
      <c r="J10" s="13" t="str">
        <f>G9*12</f>
        <v>R$ 3,600,000.00</v>
      </c>
      <c r="K10" s="1"/>
    </row>
    <row r="11">
      <c r="A11" s="1"/>
      <c r="B11" s="12"/>
      <c r="C11" s="21">
        <v>0.0065</v>
      </c>
      <c r="D11" s="13" t="str">
        <f>D9*C11</f>
        <v>R$ 1,950.00</v>
      </c>
      <c r="E11" s="2"/>
      <c r="F11" s="22">
        <v>0.0065</v>
      </c>
      <c r="G11" s="13" t="str">
        <f>G9*F11</f>
        <v>R$ 1,950.00</v>
      </c>
      <c r="H11" s="1"/>
      <c r="I11" s="14"/>
      <c r="J11" s="13"/>
      <c r="K11" s="1"/>
    </row>
    <row r="12">
      <c r="A12" s="1"/>
      <c r="B12" s="12"/>
      <c r="C12" s="24">
        <v>0.03</v>
      </c>
      <c r="D12" s="13" t="str">
        <f>D9*C12</f>
        <v>R$ 9,000.00</v>
      </c>
      <c r="E12" s="2"/>
      <c r="F12" s="25">
        <v>0.03</v>
      </c>
      <c r="G12" s="13" t="str">
        <f>G9*F12</f>
        <v>R$ 9,000.00</v>
      </c>
      <c r="H12" s="1"/>
      <c r="I12" s="14"/>
      <c r="J12" s="15"/>
      <c r="K12" s="1"/>
    </row>
    <row r="13">
      <c r="A13" s="1"/>
      <c r="B13" s="12" t="s">
        <v>11</v>
      </c>
      <c r="C13" s="1" t="s">
        <v>12</v>
      </c>
      <c r="D13" s="13" t="str">
        <f>D9-D10-D11-D12</f>
        <v>R$ 274,050.00</v>
      </c>
      <c r="E13" s="2"/>
      <c r="F13" s="14" t="s">
        <v>12</v>
      </c>
      <c r="G13" s="13" t="str">
        <f>G9-G10-G11-G12</f>
        <v>R$ 274,050.00</v>
      </c>
      <c r="H13" s="1"/>
      <c r="I13" s="14"/>
      <c r="J13" s="15"/>
      <c r="K13" s="1"/>
    </row>
    <row r="14">
      <c r="A14" s="1"/>
      <c r="B14" s="12" t="s">
        <v>13</v>
      </c>
      <c r="C14" s="111">
        <v>0.58</v>
      </c>
      <c r="D14" s="13" t="str">
        <f>D9*C14</f>
        <v>R$ 174,000.00</v>
      </c>
      <c r="E14" s="2"/>
      <c r="F14" s="88" t="str">
        <f>C14</f>
        <v>Custo do Serviço = 58.0%</v>
      </c>
      <c r="G14" s="13" t="str">
        <f>G9*F14</f>
        <v>R$ 174,000.00</v>
      </c>
      <c r="H14" s="1"/>
      <c r="I14" s="88" t="str">
        <f>C14</f>
        <v>Custo do Serviço = 58.0%</v>
      </c>
      <c r="J14" s="13" t="str">
        <f>J9*I14</f>
        <v>R$ 174,000.00</v>
      </c>
      <c r="K14" s="1"/>
    </row>
    <row r="15">
      <c r="A15" s="1"/>
      <c r="B15" s="12" t="s">
        <v>11</v>
      </c>
      <c r="C15" s="1" t="s">
        <v>14</v>
      </c>
      <c r="D15" s="13" t="str">
        <f>D13-D14</f>
        <v>R$ 100,050.00</v>
      </c>
      <c r="E15" s="2"/>
      <c r="F15" s="14" t="s">
        <v>117</v>
      </c>
      <c r="G15" s="13" t="str">
        <f>G13-G14</f>
        <v>R$ 100,050.00</v>
      </c>
      <c r="H15" s="1"/>
      <c r="I15" s="14"/>
      <c r="J15" s="15"/>
      <c r="K15" s="1"/>
    </row>
    <row r="16">
      <c r="A16" s="1"/>
      <c r="B16" s="12" t="s">
        <v>13</v>
      </c>
      <c r="C16" s="89">
        <v>0.1</v>
      </c>
      <c r="D16" s="13" t="str">
        <f>D9*C16</f>
        <v>R$ 30,000.00</v>
      </c>
      <c r="E16" s="2"/>
      <c r="F16" s="90" t="str">
        <f t="shared" ref="F16:F18" si="2">C16</f>
        <v>folha salarial = 10.0%</v>
      </c>
      <c r="G16" s="13" t="str">
        <f>G9*F16</f>
        <v>R$ 30,000.00</v>
      </c>
      <c r="H16" s="1"/>
      <c r="I16" s="91" t="str">
        <f>C16</f>
        <v>folha salarial =  10.0%</v>
      </c>
      <c r="J16" s="13" t="str">
        <f>J9*I16</f>
        <v>R$ 30,000.00</v>
      </c>
      <c r="K16" s="1"/>
    </row>
    <row r="17">
      <c r="A17" s="1"/>
      <c r="B17" s="12" t="s">
        <v>13</v>
      </c>
      <c r="C17" s="92">
        <v>0.275</v>
      </c>
      <c r="D17" s="13" t="str">
        <f>D16*C17</f>
        <v>R$ 8,250.00</v>
      </c>
      <c r="E17" s="2"/>
      <c r="F17" s="93" t="str">
        <f t="shared" si="2"/>
        <v>encargos sociais =  27.5%</v>
      </c>
      <c r="G17" s="13" t="str">
        <f t="shared" ref="G17:G19" si="3">D17</f>
        <v>R$ 8,250.00</v>
      </c>
      <c r="H17" s="1"/>
      <c r="I17" s="32"/>
      <c r="J17" s="13"/>
      <c r="K17" s="1"/>
    </row>
    <row r="18">
      <c r="A18" s="1"/>
      <c r="B18" s="12" t="s">
        <v>13</v>
      </c>
      <c r="C18" s="94">
        <v>0.02</v>
      </c>
      <c r="D18" s="13" t="str">
        <f>D9*C18</f>
        <v>R$ 6,000.00</v>
      </c>
      <c r="E18" s="2"/>
      <c r="F18" s="95" t="str">
        <f t="shared" si="2"/>
        <v>despesas diversas = 2.0%</v>
      </c>
      <c r="G18" s="13" t="str">
        <f t="shared" si="3"/>
        <v>R$ 6,000.00</v>
      </c>
      <c r="H18" s="1"/>
      <c r="I18" s="93" t="str">
        <f t="shared" ref="I18:J18" si="4">F17</f>
        <v>encargos sociais =  27.5%</v>
      </c>
      <c r="J18" s="13" t="str">
        <f t="shared" si="4"/>
        <v>R$ 8,250.00</v>
      </c>
      <c r="K18" s="1"/>
    </row>
    <row r="19">
      <c r="A19" s="1"/>
      <c r="B19" s="12" t="s">
        <v>11</v>
      </c>
      <c r="C19" s="35" t="s">
        <v>15</v>
      </c>
      <c r="D19" s="36" t="str">
        <f>D15-D16-D17-D18</f>
        <v>R$ 55,800.00</v>
      </c>
      <c r="E19" s="2"/>
      <c r="F19" s="14" t="s">
        <v>15</v>
      </c>
      <c r="G19" s="36" t="str">
        <f t="shared" si="3"/>
        <v>R$ 55,800.00</v>
      </c>
      <c r="H19" s="1"/>
      <c r="I19" s="14"/>
      <c r="J19" s="15"/>
      <c r="K19" s="1"/>
    </row>
    <row r="20">
      <c r="A20" s="1"/>
      <c r="B20" s="12"/>
      <c r="C20" s="37">
        <v>0.09</v>
      </c>
      <c r="D20" s="13" t="str">
        <f>D19*C20</f>
        <v>R$ 5,022.00</v>
      </c>
      <c r="E20" s="2"/>
      <c r="F20" s="38" t="s">
        <v>16</v>
      </c>
      <c r="G20" s="15"/>
      <c r="H20" s="1"/>
      <c r="I20" s="95" t="str">
        <f>C18</f>
        <v>despesas diversas = 2.0%</v>
      </c>
      <c r="J20" s="13" t="str">
        <f>J9*I20</f>
        <v>R$ 6,000.00</v>
      </c>
      <c r="K20" s="1"/>
    </row>
    <row r="21">
      <c r="A21" s="1"/>
      <c r="B21" s="12"/>
      <c r="C21" s="39" t="s">
        <v>17</v>
      </c>
      <c r="D21" s="13"/>
      <c r="E21" s="2"/>
      <c r="F21" s="96">
        <v>0.12</v>
      </c>
      <c r="G21" s="13" t="str">
        <f>G9*F21</f>
        <v>R$ 36,000.00</v>
      </c>
      <c r="H21" s="1"/>
      <c r="I21" s="14"/>
      <c r="J21" s="15"/>
      <c r="K21" s="1"/>
    </row>
    <row r="22">
      <c r="A22" s="1"/>
      <c r="B22" s="12"/>
      <c r="C22" s="41">
        <v>0.15</v>
      </c>
      <c r="D22" s="13" t="str">
        <f>D19*C22</f>
        <v>R$ 8,370.00</v>
      </c>
      <c r="E22" s="2"/>
      <c r="F22" s="42">
        <v>0.09</v>
      </c>
      <c r="G22" s="13" t="str">
        <f>G21*F22</f>
        <v>R$ 3,240.00</v>
      </c>
      <c r="H22" s="1"/>
      <c r="I22" s="14"/>
      <c r="J22" s="15"/>
      <c r="K22" s="1"/>
    </row>
    <row r="23">
      <c r="A23" s="1"/>
      <c r="B23" s="12"/>
      <c r="C23" s="1"/>
      <c r="D23" s="13"/>
      <c r="E23" s="2"/>
      <c r="F23" s="38" t="s">
        <v>18</v>
      </c>
      <c r="G23" s="15"/>
      <c r="H23" s="1"/>
      <c r="I23" s="43" t="s">
        <v>126</v>
      </c>
      <c r="J23" s="15"/>
      <c r="K23" s="1"/>
    </row>
    <row r="24">
      <c r="A24" s="1"/>
      <c r="B24" s="12"/>
      <c r="C24" s="1"/>
      <c r="D24" s="36" t="str">
        <f>D19-D20-D22</f>
        <v>R$ 42,408.00</v>
      </c>
      <c r="E24" s="2"/>
      <c r="F24" s="96">
        <v>0.32</v>
      </c>
      <c r="G24" s="13" t="str">
        <f>G9*F24</f>
        <v>R$ 96,000.00</v>
      </c>
      <c r="H24" s="1"/>
      <c r="I24" s="44" t="str">
        <f>VLOOKUP(J10,'Anexo IV'!A4:D24,3)</f>
        <v>Alíquota de 16.85%</v>
      </c>
      <c r="J24" s="13" t="str">
        <f>J9*I24</f>
        <v>R$ 50,550.00</v>
      </c>
      <c r="K24" s="1"/>
    </row>
    <row r="25">
      <c r="A25" s="1"/>
      <c r="B25" s="12"/>
      <c r="C25" s="45">
        <v>0.1</v>
      </c>
      <c r="D25" s="13" t="str">
        <f>IF(D24&gt;20000,(D24-20000)*C25,0)</f>
        <v>R$ 2,240.80</v>
      </c>
      <c r="E25" s="2"/>
      <c r="F25" s="46" t="str">
        <f>C22</f>
        <v>Alíquota do IR de 15%</v>
      </c>
      <c r="G25" s="13" t="str">
        <f>G24*F25</f>
        <v>R$ 14,400.00</v>
      </c>
      <c r="H25" s="1"/>
      <c r="I25" s="14"/>
      <c r="J25" s="15"/>
      <c r="K25" s="1"/>
    </row>
    <row r="26">
      <c r="A26" s="1"/>
      <c r="B26" s="12"/>
      <c r="C26" s="1"/>
      <c r="D26" s="13"/>
      <c r="E26" s="2"/>
      <c r="F26" s="47">
        <v>0.1</v>
      </c>
      <c r="G26" s="13" t="str">
        <f>IF(G24&gt;20000,(G24-20000)*F26,0)</f>
        <v>R$ 7,600.00</v>
      </c>
      <c r="H26" s="1"/>
      <c r="I26" s="14"/>
      <c r="J26" s="15"/>
      <c r="K26" s="1"/>
    </row>
    <row r="27">
      <c r="A27" s="1"/>
      <c r="B27" s="12"/>
      <c r="C27" s="1"/>
      <c r="D27" s="13"/>
      <c r="E27" s="2"/>
      <c r="F27" s="14"/>
      <c r="G27" s="15"/>
      <c r="H27" s="1"/>
      <c r="I27" s="14"/>
      <c r="J27" s="15"/>
      <c r="K27" s="1"/>
    </row>
    <row r="28">
      <c r="A28" s="1"/>
      <c r="B28" s="12"/>
      <c r="C28" s="48" t="s">
        <v>20</v>
      </c>
      <c r="D28" s="36" t="str">
        <f>D24-D25</f>
        <v>R$ 40,167.20</v>
      </c>
      <c r="E28" s="2"/>
      <c r="F28" s="43" t="s">
        <v>21</v>
      </c>
      <c r="G28" s="36" t="str">
        <f>G19-G22-G25</f>
        <v>R$ 38,160.00</v>
      </c>
      <c r="H28" s="1"/>
      <c r="I28" s="43" t="s">
        <v>119</v>
      </c>
      <c r="J28" s="36" t="str">
        <f>J9-J14-J16-J18-J20-J24</f>
        <v>R$ 31,200.00</v>
      </c>
      <c r="K28" s="1"/>
    </row>
    <row r="29">
      <c r="A29" s="1"/>
      <c r="B29" s="49"/>
      <c r="C29" s="50"/>
      <c r="D29" s="51"/>
      <c r="E29" s="2"/>
      <c r="F29" s="52"/>
      <c r="G29" s="53"/>
      <c r="H29" s="1"/>
      <c r="I29" s="52"/>
      <c r="J29" s="53"/>
      <c r="K29" s="1"/>
    </row>
    <row r="30" ht="15.75" customHeight="1">
      <c r="A30" s="1"/>
      <c r="B30" s="2"/>
      <c r="C30" s="1"/>
      <c r="D30" s="4"/>
      <c r="E30" s="2"/>
      <c r="F30" s="1"/>
      <c r="G30" s="1"/>
      <c r="H30" s="1"/>
      <c r="I30" s="1"/>
      <c r="J30" s="1"/>
      <c r="K30" s="1"/>
    </row>
    <row r="31">
      <c r="A31" s="1"/>
      <c r="B31" s="2"/>
      <c r="C31" s="97" t="str">
        <f>D10+D11+D12+D17+D20+D22+D25</f>
        <v>Carga Tributária - Lucro Real R$ 49,832.80</v>
      </c>
      <c r="D31" s="4"/>
      <c r="E31" s="2"/>
      <c r="F31" s="98" t="str">
        <f t="shared" ref="F31:F33" si="5">C31</f>
        <v>Carga Tributária - Lucro Real R$ 49,832.80</v>
      </c>
      <c r="G31" s="1"/>
      <c r="H31" s="1"/>
      <c r="I31" s="98" t="str">
        <f t="shared" ref="I31:I33" si="6">C31</f>
        <v>Carga Tributária - Lucro Real R$ 49,832.80</v>
      </c>
      <c r="J31" s="1"/>
      <c r="K31" s="1"/>
    </row>
    <row r="32">
      <c r="A32" s="1"/>
      <c r="B32" s="2"/>
      <c r="C32" s="99" t="str">
        <f>G10+G11+G12+G17+G22+G25+G26</f>
        <v>Carga Tributária - Lucro Presumido R$ 59,440.00</v>
      </c>
      <c r="D32" s="4"/>
      <c r="E32" s="2"/>
      <c r="F32" s="100" t="str">
        <f t="shared" si="5"/>
        <v>Carga Tributária - Lucro Presumido R$ 59,440.00</v>
      </c>
      <c r="G32" s="1"/>
      <c r="H32" s="1"/>
      <c r="I32" s="99" t="str">
        <f t="shared" si="6"/>
        <v>Carga Tributária - Lucro Presumido R$ 59,440.00</v>
      </c>
      <c r="J32" s="1"/>
      <c r="K32" s="1"/>
    </row>
    <row r="33">
      <c r="A33" s="1"/>
      <c r="B33" s="2"/>
      <c r="C33" s="101" t="str">
        <f>J16+J24</f>
        <v>Carga Tributária- Simples R$ 80,550.00</v>
      </c>
      <c r="D33" s="4"/>
      <c r="E33" s="2"/>
      <c r="F33" s="101" t="str">
        <f t="shared" si="5"/>
        <v>Carga Tributária- Simples R$ 80,550.00</v>
      </c>
      <c r="G33" s="1"/>
      <c r="H33" s="1"/>
      <c r="I33" s="102" t="str">
        <f t="shared" si="6"/>
        <v>Carga Tributária- Simples R$ 80,550.00</v>
      </c>
      <c r="J33" s="1"/>
      <c r="K33" s="1"/>
    </row>
    <row r="34">
      <c r="A34" s="1"/>
      <c r="B34" s="2"/>
      <c r="C34" s="1"/>
      <c r="D34" s="4"/>
      <c r="E34" s="2"/>
      <c r="F34" s="1"/>
      <c r="G34" s="4"/>
      <c r="H34" s="1"/>
      <c r="I34" s="1"/>
      <c r="J34" s="4"/>
      <c r="K34" s="1"/>
    </row>
    <row r="35">
      <c r="A35" s="1"/>
      <c r="B35" s="2"/>
      <c r="C35" s="103" t="str">
        <f>G28</f>
        <v>Lucro Presumido R$ 38,160.00</v>
      </c>
      <c r="D35" s="4"/>
      <c r="E35" s="2"/>
      <c r="F35" s="104" t="str">
        <f>D28</f>
        <v>Lucro Real R$ 40,167.20</v>
      </c>
      <c r="G35" s="4"/>
      <c r="H35" s="1"/>
      <c r="I35" s="103" t="str">
        <f>G28</f>
        <v>Lucro Presumido R$ 38,160.00</v>
      </c>
      <c r="J35" s="1"/>
      <c r="K35" s="1"/>
    </row>
    <row r="36">
      <c r="A36" s="1"/>
      <c r="B36" s="2"/>
      <c r="C36" s="105" t="str">
        <f>J28</f>
        <v>Lucro no Simples R$ 31,200.00</v>
      </c>
      <c r="D36" s="4"/>
      <c r="E36" s="2"/>
      <c r="F36" s="105" t="str">
        <f>J28</f>
        <v>Lucro no Simples R$ 31,200.00</v>
      </c>
      <c r="G36" s="1"/>
      <c r="H36" s="1"/>
      <c r="I36" s="106" t="str">
        <f>D28</f>
        <v>Lucro Real R$ 40,167.20</v>
      </c>
      <c r="J36" s="1"/>
      <c r="K36" s="1"/>
    </row>
    <row r="37" ht="15.75" customHeight="1">
      <c r="A37" s="1"/>
      <c r="B37" s="2"/>
      <c r="C37" s="1"/>
      <c r="D37" s="4"/>
      <c r="E37" s="2"/>
      <c r="F37" s="1"/>
      <c r="G37" s="1"/>
      <c r="H37" s="1"/>
      <c r="I37" s="1"/>
      <c r="J37" s="1"/>
      <c r="K37" s="1"/>
    </row>
    <row r="38" ht="15.75" customHeight="1">
      <c r="A38" s="1"/>
      <c r="B38" s="2"/>
      <c r="C38" s="1"/>
      <c r="D38" s="4"/>
      <c r="E38" s="2"/>
      <c r="F38" s="1"/>
      <c r="G38" s="1"/>
      <c r="H38" s="1"/>
      <c r="I38" s="1"/>
      <c r="J38" s="1"/>
      <c r="K38" s="1"/>
    </row>
    <row r="39" ht="15.75" customHeight="1">
      <c r="A39" s="1"/>
      <c r="B39" s="2"/>
      <c r="C39" s="1"/>
      <c r="D39" s="4"/>
      <c r="E39" s="2"/>
      <c r="F39" s="1"/>
      <c r="G39" s="1"/>
      <c r="H39" s="1"/>
      <c r="I39" s="1"/>
      <c r="J39" s="1"/>
      <c r="K39" s="1"/>
    </row>
    <row r="40" ht="15.75" customHeight="1">
      <c r="A40" s="1"/>
      <c r="B40" s="2"/>
      <c r="C40" s="1"/>
      <c r="D40" s="4"/>
      <c r="E40" s="2"/>
      <c r="F40" s="1"/>
      <c r="G40" s="1"/>
      <c r="H40" s="1"/>
      <c r="I40" s="1"/>
      <c r="J40" s="1"/>
      <c r="K40" s="1"/>
    </row>
    <row r="41" ht="15.75" customHeight="1">
      <c r="A41" s="1"/>
      <c r="B41" s="2"/>
      <c r="C41" s="1"/>
      <c r="D41" s="4"/>
      <c r="E41" s="2"/>
      <c r="F41" s="1"/>
      <c r="G41" s="1"/>
      <c r="H41" s="1"/>
      <c r="I41" s="1"/>
      <c r="J41" s="1"/>
      <c r="K41" s="1"/>
    </row>
    <row r="42" ht="15.75" customHeight="1">
      <c r="A42" s="1"/>
      <c r="B42" s="2"/>
      <c r="C42" s="1"/>
      <c r="D42" s="4"/>
      <c r="E42" s="2"/>
      <c r="F42" s="1"/>
      <c r="G42" s="1"/>
      <c r="H42" s="1"/>
      <c r="I42" s="1"/>
      <c r="J42" s="1"/>
      <c r="K42" s="1"/>
    </row>
    <row r="43" ht="15.75" customHeight="1">
      <c r="A43" s="1"/>
      <c r="B43" s="2"/>
      <c r="C43" s="1"/>
      <c r="D43" s="4"/>
      <c r="E43" s="2"/>
      <c r="F43" s="1"/>
      <c r="G43" s="1"/>
      <c r="H43" s="1"/>
      <c r="I43" s="1"/>
      <c r="J43" s="1"/>
      <c r="K43" s="1"/>
    </row>
    <row r="44" ht="15.75" customHeight="1">
      <c r="A44" s="1"/>
      <c r="B44" s="2"/>
      <c r="C44" s="1"/>
      <c r="D44" s="4"/>
      <c r="E44" s="2"/>
      <c r="F44" s="1"/>
      <c r="G44" s="1"/>
      <c r="H44" s="1"/>
      <c r="I44" s="1"/>
      <c r="J44" s="1"/>
      <c r="K44" s="1"/>
    </row>
    <row r="45" ht="15.75" customHeight="1">
      <c r="A45" s="1"/>
      <c r="B45" s="2"/>
      <c r="C45" s="1"/>
      <c r="D45" s="4"/>
      <c r="E45" s="2"/>
      <c r="F45" s="1"/>
      <c r="G45" s="1"/>
      <c r="H45" s="1"/>
      <c r="I45" s="1"/>
      <c r="J45" s="1"/>
      <c r="K45" s="1"/>
    </row>
    <row r="46" ht="15.75" customHeight="1">
      <c r="A46" s="1"/>
      <c r="B46" s="2"/>
      <c r="C46" s="1"/>
      <c r="D46" s="4"/>
      <c r="E46" s="2"/>
      <c r="F46" s="1"/>
      <c r="G46" s="1"/>
      <c r="H46" s="1"/>
      <c r="I46" s="1"/>
      <c r="J46" s="1"/>
      <c r="K46" s="1"/>
    </row>
    <row r="47" ht="15.75" customHeight="1">
      <c r="A47" s="1"/>
      <c r="B47" s="2"/>
      <c r="C47" s="1"/>
      <c r="D47" s="4"/>
      <c r="E47" s="2"/>
      <c r="F47" s="1"/>
      <c r="G47" s="1"/>
      <c r="H47" s="1"/>
      <c r="I47" s="1"/>
      <c r="J47" s="1"/>
      <c r="K47" s="1"/>
    </row>
    <row r="48" ht="15.75" customHeight="1">
      <c r="A48" s="1"/>
      <c r="B48" s="2"/>
      <c r="C48" s="1"/>
      <c r="D48" s="4"/>
      <c r="E48" s="2"/>
      <c r="F48" s="1"/>
      <c r="G48" s="1"/>
      <c r="H48" s="1"/>
      <c r="I48" s="1"/>
      <c r="J48" s="1"/>
      <c r="K48" s="1"/>
    </row>
    <row r="49" ht="15.75" customHeight="1">
      <c r="A49" s="1"/>
      <c r="B49" s="2"/>
      <c r="C49" s="1"/>
      <c r="D49" s="4"/>
      <c r="E49" s="2"/>
      <c r="F49" s="1"/>
      <c r="G49" s="1"/>
      <c r="H49" s="1"/>
      <c r="I49" s="1"/>
      <c r="J49" s="1"/>
      <c r="K49" s="1"/>
    </row>
    <row r="50" ht="15.75" customHeight="1">
      <c r="A50" s="1"/>
      <c r="B50" s="2"/>
      <c r="C50" s="1"/>
      <c r="D50" s="4"/>
      <c r="E50" s="2"/>
      <c r="F50" s="1"/>
      <c r="G50" s="1"/>
      <c r="H50" s="1"/>
      <c r="I50" s="1"/>
      <c r="J50" s="1"/>
      <c r="K50" s="1"/>
    </row>
    <row r="51" ht="15.75" customHeight="1">
      <c r="A51" s="1"/>
      <c r="B51" s="2"/>
      <c r="C51" s="1"/>
      <c r="D51" s="4"/>
      <c r="E51" s="2"/>
      <c r="F51" s="1"/>
      <c r="G51" s="1"/>
      <c r="H51" s="1"/>
      <c r="I51" s="1"/>
      <c r="J51" s="1"/>
      <c r="K51" s="1"/>
    </row>
    <row r="52" ht="15.75" customHeight="1">
      <c r="A52" s="1"/>
      <c r="B52" s="2"/>
      <c r="C52" s="1"/>
      <c r="D52" s="4"/>
      <c r="E52" s="2"/>
      <c r="F52" s="1"/>
      <c r="G52" s="1"/>
      <c r="H52" s="1"/>
      <c r="I52" s="1"/>
      <c r="J52" s="1"/>
      <c r="K52" s="1"/>
    </row>
    <row r="53" ht="15.75" customHeight="1">
      <c r="A53" s="1"/>
      <c r="B53" s="2"/>
      <c r="C53" s="1"/>
      <c r="D53" s="4"/>
      <c r="E53" s="2"/>
      <c r="F53" s="1"/>
      <c r="G53" s="1"/>
      <c r="H53" s="1"/>
      <c r="I53" s="1"/>
      <c r="J53" s="1"/>
      <c r="K53" s="1"/>
    </row>
    <row r="54" ht="15.75" customHeight="1">
      <c r="A54" s="1"/>
      <c r="B54" s="2"/>
      <c r="C54" s="1"/>
      <c r="D54" s="4"/>
      <c r="E54" s="2"/>
      <c r="F54" s="1"/>
      <c r="G54" s="1"/>
      <c r="H54" s="1"/>
      <c r="I54" s="1"/>
      <c r="J54" s="1"/>
      <c r="K54" s="1"/>
    </row>
    <row r="55" ht="15.75" customHeight="1">
      <c r="A55" s="1"/>
      <c r="B55" s="2"/>
      <c r="C55" s="1"/>
      <c r="D55" s="4"/>
      <c r="E55" s="2"/>
      <c r="F55" s="1"/>
      <c r="G55" s="1"/>
      <c r="H55" s="1"/>
      <c r="I55" s="1"/>
      <c r="J55" s="1"/>
      <c r="K55" s="1"/>
    </row>
    <row r="56" ht="15.75" customHeight="1">
      <c r="A56" s="1"/>
      <c r="B56" s="2"/>
      <c r="C56" s="1"/>
      <c r="D56" s="4"/>
      <c r="E56" s="2"/>
      <c r="F56" s="1"/>
      <c r="G56" s="1"/>
      <c r="H56" s="1"/>
      <c r="I56" s="1"/>
      <c r="J56" s="1"/>
      <c r="K56" s="1"/>
    </row>
    <row r="57" ht="15.75" customHeight="1">
      <c r="A57" s="1"/>
      <c r="B57" s="2"/>
      <c r="C57" s="1"/>
      <c r="D57" s="4"/>
      <c r="E57" s="2"/>
      <c r="F57" s="1"/>
      <c r="G57" s="1"/>
      <c r="H57" s="1"/>
      <c r="I57" s="1"/>
      <c r="J57" s="1"/>
      <c r="K57" s="1"/>
    </row>
    <row r="58" ht="15.75" customHeight="1">
      <c r="A58" s="1"/>
      <c r="B58" s="2"/>
      <c r="C58" s="1"/>
      <c r="D58" s="4"/>
      <c r="E58" s="2"/>
      <c r="F58" s="1"/>
      <c r="G58" s="1"/>
      <c r="H58" s="1"/>
      <c r="I58" s="1"/>
      <c r="J58" s="1"/>
      <c r="K58" s="1"/>
    </row>
    <row r="59" ht="15.75" customHeight="1">
      <c r="A59" s="1"/>
      <c r="B59" s="2"/>
      <c r="C59" s="1"/>
      <c r="D59" s="4"/>
      <c r="E59" s="2"/>
      <c r="F59" s="1"/>
      <c r="G59" s="1"/>
      <c r="H59" s="1"/>
      <c r="I59" s="1"/>
      <c r="J59" s="1"/>
      <c r="K59" s="1"/>
    </row>
    <row r="60" ht="15.75" customHeight="1">
      <c r="A60" s="1"/>
      <c r="B60" s="2"/>
      <c r="C60" s="1"/>
      <c r="D60" s="4"/>
      <c r="E60" s="2"/>
      <c r="F60" s="1"/>
      <c r="G60" s="1"/>
      <c r="H60" s="1"/>
      <c r="I60" s="1"/>
      <c r="J60" s="1"/>
      <c r="K60" s="1"/>
    </row>
    <row r="61" ht="15.75" customHeight="1">
      <c r="A61" s="1"/>
      <c r="B61" s="2"/>
      <c r="C61" s="1"/>
      <c r="D61" s="4"/>
      <c r="E61" s="2"/>
      <c r="F61" s="1"/>
      <c r="G61" s="1"/>
      <c r="H61" s="1"/>
      <c r="I61" s="1"/>
      <c r="J61" s="1"/>
      <c r="K61" s="1"/>
    </row>
    <row r="62" ht="15.75" customHeight="1">
      <c r="A62" s="1"/>
      <c r="B62" s="2"/>
      <c r="C62" s="1"/>
      <c r="D62" s="4"/>
      <c r="E62" s="2"/>
      <c r="F62" s="1"/>
      <c r="G62" s="1"/>
      <c r="H62" s="1"/>
      <c r="I62" s="1"/>
      <c r="J62" s="1"/>
      <c r="K62" s="1"/>
    </row>
    <row r="63" ht="15.75" customHeight="1">
      <c r="A63" s="1"/>
      <c r="B63" s="2"/>
      <c r="C63" s="1"/>
      <c r="D63" s="4"/>
      <c r="E63" s="2"/>
      <c r="F63" s="1"/>
      <c r="G63" s="1"/>
      <c r="H63" s="1"/>
      <c r="I63" s="1"/>
      <c r="J63" s="1"/>
      <c r="K63" s="1"/>
    </row>
    <row r="64" ht="15.75" customHeight="1">
      <c r="A64" s="1"/>
      <c r="B64" s="2"/>
      <c r="C64" s="1"/>
      <c r="D64" s="4"/>
      <c r="E64" s="2"/>
      <c r="F64" s="1"/>
      <c r="G64" s="1"/>
      <c r="H64" s="1"/>
      <c r="I64" s="1"/>
      <c r="J64" s="1"/>
      <c r="K64" s="1"/>
    </row>
    <row r="65" ht="15.75" customHeight="1">
      <c r="A65" s="1"/>
      <c r="B65" s="2"/>
      <c r="C65" s="1"/>
      <c r="D65" s="4"/>
      <c r="E65" s="2"/>
      <c r="F65" s="1"/>
      <c r="G65" s="1"/>
      <c r="H65" s="1"/>
      <c r="I65" s="1"/>
      <c r="J65" s="1"/>
      <c r="K65" s="1"/>
    </row>
    <row r="66" ht="15.75" customHeight="1">
      <c r="A66" s="1"/>
      <c r="B66" s="2"/>
      <c r="C66" s="1"/>
      <c r="D66" s="4"/>
      <c r="E66" s="2"/>
      <c r="F66" s="1"/>
      <c r="G66" s="1"/>
      <c r="H66" s="1"/>
      <c r="I66" s="1"/>
      <c r="J66" s="1"/>
      <c r="K66" s="1"/>
    </row>
    <row r="67" ht="15.75" customHeight="1">
      <c r="A67" s="1"/>
      <c r="B67" s="2"/>
      <c r="C67" s="1"/>
      <c r="D67" s="4"/>
      <c r="E67" s="2"/>
      <c r="F67" s="1"/>
      <c r="G67" s="1"/>
      <c r="H67" s="1"/>
      <c r="I67" s="1"/>
      <c r="J67" s="1"/>
      <c r="K67" s="1"/>
    </row>
    <row r="68" ht="15.75" customHeight="1">
      <c r="A68" s="1"/>
      <c r="B68" s="2"/>
      <c r="C68" s="1"/>
      <c r="D68" s="4"/>
      <c r="E68" s="2"/>
      <c r="F68" s="1"/>
      <c r="G68" s="1"/>
      <c r="H68" s="1"/>
      <c r="I68" s="1"/>
      <c r="J68" s="1"/>
      <c r="K68" s="1"/>
    </row>
    <row r="69" ht="15.75" customHeight="1">
      <c r="A69" s="1"/>
      <c r="B69" s="2"/>
      <c r="C69" s="1"/>
      <c r="D69" s="4"/>
      <c r="E69" s="2"/>
      <c r="F69" s="1"/>
      <c r="G69" s="1"/>
      <c r="H69" s="1"/>
      <c r="I69" s="1"/>
      <c r="J69" s="1"/>
      <c r="K69" s="1"/>
    </row>
    <row r="70" ht="15.75" customHeight="1">
      <c r="A70" s="1"/>
      <c r="B70" s="2"/>
      <c r="C70" s="1"/>
      <c r="D70" s="4"/>
      <c r="E70" s="2"/>
      <c r="F70" s="1"/>
      <c r="G70" s="1"/>
      <c r="H70" s="1"/>
      <c r="I70" s="1"/>
      <c r="J70" s="1"/>
      <c r="K70" s="1"/>
    </row>
    <row r="71" ht="15.75" customHeight="1">
      <c r="A71" s="1"/>
      <c r="B71" s="2"/>
      <c r="C71" s="1"/>
      <c r="D71" s="4"/>
      <c r="E71" s="2"/>
      <c r="F71" s="1"/>
      <c r="G71" s="1"/>
      <c r="H71" s="1"/>
      <c r="I71" s="1"/>
      <c r="J71" s="1"/>
      <c r="K71" s="1"/>
    </row>
    <row r="72" ht="15.75" customHeight="1">
      <c r="A72" s="1"/>
      <c r="B72" s="2"/>
      <c r="C72" s="1"/>
      <c r="D72" s="4"/>
      <c r="E72" s="2"/>
      <c r="F72" s="1"/>
      <c r="G72" s="1"/>
      <c r="H72" s="1"/>
      <c r="I72" s="1"/>
      <c r="J72" s="1"/>
      <c r="K72" s="1"/>
    </row>
    <row r="73" ht="15.75" customHeight="1">
      <c r="A73" s="1"/>
      <c r="B73" s="2"/>
      <c r="C73" s="1"/>
      <c r="D73" s="4"/>
      <c r="E73" s="2"/>
      <c r="F73" s="1"/>
      <c r="G73" s="1"/>
      <c r="H73" s="1"/>
      <c r="I73" s="1"/>
      <c r="J73" s="1"/>
      <c r="K73" s="1"/>
    </row>
    <row r="74" ht="15.75" customHeight="1">
      <c r="A74" s="1"/>
      <c r="B74" s="2"/>
      <c r="C74" s="1"/>
      <c r="D74" s="4"/>
      <c r="E74" s="2"/>
      <c r="F74" s="1"/>
      <c r="G74" s="1"/>
      <c r="H74" s="1"/>
      <c r="I74" s="1"/>
      <c r="J74" s="1"/>
      <c r="K74" s="1"/>
    </row>
    <row r="75" ht="15.75" customHeight="1">
      <c r="A75" s="1"/>
      <c r="B75" s="2"/>
      <c r="C75" s="1"/>
      <c r="D75" s="4"/>
      <c r="E75" s="2"/>
      <c r="F75" s="1"/>
      <c r="G75" s="1"/>
      <c r="H75" s="1"/>
      <c r="I75" s="1"/>
      <c r="J75" s="1"/>
      <c r="K75" s="1"/>
    </row>
    <row r="76" ht="15.75" customHeight="1">
      <c r="A76" s="1"/>
      <c r="B76" s="2"/>
      <c r="C76" s="1"/>
      <c r="D76" s="4"/>
      <c r="E76" s="2"/>
      <c r="F76" s="1"/>
      <c r="G76" s="1"/>
      <c r="H76" s="1"/>
      <c r="I76" s="1"/>
      <c r="J76" s="1"/>
      <c r="K76" s="1"/>
    </row>
    <row r="77" ht="15.75" customHeight="1">
      <c r="A77" s="1"/>
      <c r="B77" s="2"/>
      <c r="C77" s="1"/>
      <c r="D77" s="4"/>
      <c r="E77" s="2"/>
      <c r="F77" s="1"/>
      <c r="G77" s="1"/>
      <c r="H77" s="1"/>
      <c r="I77" s="1"/>
      <c r="J77" s="1"/>
      <c r="K77" s="1"/>
    </row>
    <row r="78" ht="15.75" customHeight="1">
      <c r="A78" s="1"/>
      <c r="B78" s="2"/>
      <c r="C78" s="1"/>
      <c r="D78" s="4"/>
      <c r="E78" s="2"/>
      <c r="F78" s="1"/>
      <c r="G78" s="1"/>
      <c r="H78" s="1"/>
      <c r="I78" s="1"/>
      <c r="J78" s="1"/>
      <c r="K78" s="1"/>
    </row>
    <row r="79" ht="15.75" customHeight="1">
      <c r="A79" s="1"/>
      <c r="B79" s="2"/>
      <c r="C79" s="1"/>
      <c r="D79" s="4"/>
      <c r="E79" s="2"/>
      <c r="F79" s="1"/>
      <c r="G79" s="1"/>
      <c r="H79" s="1"/>
      <c r="I79" s="1"/>
      <c r="J79" s="1"/>
      <c r="K79" s="1"/>
    </row>
    <row r="80" ht="15.75" customHeight="1">
      <c r="A80" s="1"/>
      <c r="B80" s="2"/>
      <c r="C80" s="1"/>
      <c r="D80" s="4"/>
      <c r="E80" s="2"/>
      <c r="F80" s="1"/>
      <c r="G80" s="1"/>
      <c r="H80" s="1"/>
      <c r="I80" s="1"/>
      <c r="J80" s="1"/>
      <c r="K80" s="1"/>
    </row>
    <row r="81" ht="15.75" customHeight="1">
      <c r="A81" s="1"/>
      <c r="B81" s="2"/>
      <c r="C81" s="1"/>
      <c r="D81" s="4"/>
      <c r="E81" s="2"/>
      <c r="F81" s="1"/>
      <c r="G81" s="1"/>
      <c r="H81" s="1"/>
      <c r="I81" s="1"/>
      <c r="J81" s="1"/>
      <c r="K81" s="1"/>
    </row>
    <row r="82" ht="15.75" customHeight="1">
      <c r="A82" s="1"/>
      <c r="B82" s="2"/>
      <c r="C82" s="1"/>
      <c r="D82" s="4"/>
      <c r="E82" s="2"/>
      <c r="F82" s="1"/>
      <c r="G82" s="1"/>
      <c r="H82" s="1"/>
      <c r="I82" s="1"/>
      <c r="J82" s="1"/>
      <c r="K82" s="1"/>
    </row>
    <row r="83" ht="15.75" customHeight="1">
      <c r="A83" s="1"/>
      <c r="B83" s="2"/>
      <c r="C83" s="1"/>
      <c r="D83" s="4"/>
      <c r="E83" s="2"/>
      <c r="F83" s="1"/>
      <c r="G83" s="1"/>
      <c r="H83" s="1"/>
      <c r="I83" s="1"/>
      <c r="J83" s="1"/>
      <c r="K83" s="1"/>
    </row>
    <row r="84" ht="15.75" customHeight="1">
      <c r="A84" s="1"/>
      <c r="B84" s="2"/>
      <c r="C84" s="1"/>
      <c r="D84" s="4"/>
      <c r="E84" s="2"/>
      <c r="F84" s="1"/>
      <c r="G84" s="1"/>
      <c r="H84" s="1"/>
      <c r="I84" s="1"/>
      <c r="J84" s="1"/>
      <c r="K84" s="1"/>
    </row>
    <row r="85" ht="15.75" customHeight="1">
      <c r="A85" s="1"/>
      <c r="B85" s="2"/>
      <c r="C85" s="1"/>
      <c r="D85" s="4"/>
      <c r="E85" s="2"/>
      <c r="F85" s="1"/>
      <c r="G85" s="1"/>
      <c r="H85" s="1"/>
      <c r="I85" s="1"/>
      <c r="J85" s="1"/>
      <c r="K85" s="1"/>
    </row>
    <row r="86" ht="15.75" customHeight="1">
      <c r="A86" s="1"/>
      <c r="B86" s="2"/>
      <c r="C86" s="1"/>
      <c r="D86" s="4"/>
      <c r="E86" s="2"/>
      <c r="F86" s="1"/>
      <c r="G86" s="1"/>
      <c r="H86" s="1"/>
      <c r="I86" s="1"/>
      <c r="J86" s="1"/>
      <c r="K86" s="1"/>
    </row>
    <row r="87" ht="15.75" customHeight="1">
      <c r="A87" s="1"/>
      <c r="B87" s="2"/>
      <c r="C87" s="1"/>
      <c r="D87" s="4"/>
      <c r="E87" s="2"/>
      <c r="F87" s="1"/>
      <c r="G87" s="1"/>
      <c r="H87" s="1"/>
      <c r="I87" s="1"/>
      <c r="J87" s="1"/>
      <c r="K87" s="1"/>
    </row>
    <row r="88" ht="15.75" customHeight="1">
      <c r="A88" s="1"/>
      <c r="B88" s="2"/>
      <c r="C88" s="1"/>
      <c r="D88" s="4"/>
      <c r="E88" s="2"/>
      <c r="F88" s="1"/>
      <c r="G88" s="1"/>
      <c r="H88" s="1"/>
      <c r="I88" s="1"/>
      <c r="J88" s="1"/>
      <c r="K88" s="1"/>
    </row>
    <row r="89" ht="15.75" customHeight="1">
      <c r="A89" s="1"/>
      <c r="B89" s="2"/>
      <c r="C89" s="1"/>
      <c r="D89" s="4"/>
      <c r="E89" s="2"/>
      <c r="F89" s="1"/>
      <c r="G89" s="1"/>
      <c r="H89" s="1"/>
      <c r="I89" s="1"/>
      <c r="J89" s="1"/>
      <c r="K89" s="1"/>
    </row>
    <row r="90" ht="15.75" customHeight="1">
      <c r="A90" s="1"/>
      <c r="B90" s="2"/>
      <c r="C90" s="1"/>
      <c r="D90" s="4"/>
      <c r="E90" s="2"/>
      <c r="F90" s="1"/>
      <c r="G90" s="1"/>
      <c r="H90" s="1"/>
      <c r="I90" s="1"/>
      <c r="J90" s="1"/>
      <c r="K90" s="1"/>
    </row>
    <row r="91" ht="15.75" customHeight="1">
      <c r="A91" s="1"/>
      <c r="B91" s="2"/>
      <c r="C91" s="1"/>
      <c r="D91" s="4"/>
      <c r="E91" s="2"/>
      <c r="F91" s="1"/>
      <c r="G91" s="1"/>
      <c r="H91" s="1"/>
      <c r="I91" s="1"/>
      <c r="J91" s="1"/>
      <c r="K91" s="1"/>
    </row>
    <row r="92" ht="15.75" customHeight="1">
      <c r="A92" s="1"/>
      <c r="B92" s="2"/>
      <c r="C92" s="1"/>
      <c r="D92" s="4"/>
      <c r="E92" s="2"/>
      <c r="F92" s="1"/>
      <c r="G92" s="1"/>
      <c r="H92" s="1"/>
      <c r="I92" s="1"/>
      <c r="J92" s="1"/>
      <c r="K92" s="1"/>
    </row>
    <row r="93" ht="15.75" customHeight="1">
      <c r="A93" s="1"/>
      <c r="B93" s="2"/>
      <c r="C93" s="1"/>
      <c r="D93" s="4"/>
      <c r="E93" s="2"/>
      <c r="F93" s="1"/>
      <c r="G93" s="1"/>
      <c r="H93" s="1"/>
      <c r="I93" s="1"/>
      <c r="J93" s="1"/>
      <c r="K93" s="1"/>
    </row>
    <row r="94" ht="15.75" customHeight="1">
      <c r="A94" s="1"/>
      <c r="B94" s="2"/>
      <c r="C94" s="1"/>
      <c r="D94" s="4"/>
      <c r="E94" s="2"/>
      <c r="F94" s="1"/>
      <c r="G94" s="1"/>
      <c r="H94" s="1"/>
      <c r="I94" s="1"/>
      <c r="J94" s="1"/>
      <c r="K94" s="1"/>
    </row>
    <row r="95" ht="15.75" customHeight="1">
      <c r="A95" s="1"/>
      <c r="B95" s="2"/>
      <c r="C95" s="1"/>
      <c r="D95" s="4"/>
      <c r="E95" s="2"/>
      <c r="F95" s="1"/>
      <c r="G95" s="1"/>
      <c r="H95" s="1"/>
      <c r="I95" s="1"/>
      <c r="J95" s="1"/>
      <c r="K95" s="1"/>
    </row>
    <row r="96" ht="15.75" customHeight="1">
      <c r="A96" s="1"/>
      <c r="B96" s="2"/>
      <c r="C96" s="1"/>
      <c r="D96" s="4"/>
      <c r="E96" s="2"/>
      <c r="F96" s="1"/>
      <c r="G96" s="1"/>
      <c r="H96" s="1"/>
      <c r="I96" s="1"/>
      <c r="J96" s="1"/>
      <c r="K96" s="1"/>
    </row>
    <row r="97" ht="15.75" customHeight="1">
      <c r="A97" s="1"/>
      <c r="B97" s="2"/>
      <c r="C97" s="1"/>
      <c r="D97" s="4"/>
      <c r="E97" s="2"/>
      <c r="F97" s="1"/>
      <c r="G97" s="1"/>
      <c r="H97" s="1"/>
      <c r="I97" s="1"/>
      <c r="J97" s="1"/>
      <c r="K97" s="1"/>
    </row>
    <row r="98" ht="15.75" customHeight="1">
      <c r="A98" s="1"/>
      <c r="B98" s="2"/>
      <c r="C98" s="1"/>
      <c r="D98" s="4"/>
      <c r="E98" s="2"/>
      <c r="F98" s="1"/>
      <c r="G98" s="1"/>
      <c r="H98" s="1"/>
      <c r="I98" s="1"/>
      <c r="J98" s="1"/>
      <c r="K98" s="1"/>
    </row>
    <row r="99" ht="15.75" customHeight="1">
      <c r="A99" s="1"/>
      <c r="B99" s="2"/>
      <c r="C99" s="1"/>
      <c r="D99" s="4"/>
      <c r="E99" s="2"/>
      <c r="F99" s="1"/>
      <c r="G99" s="1"/>
      <c r="H99" s="1"/>
      <c r="I99" s="1"/>
      <c r="J99" s="1"/>
      <c r="K99" s="1"/>
    </row>
    <row r="100" ht="15.75" customHeight="1">
      <c r="A100" s="1"/>
      <c r="B100" s="2"/>
      <c r="C100" s="1"/>
      <c r="D100" s="4"/>
      <c r="E100" s="2"/>
      <c r="F100" s="1"/>
      <c r="G100" s="1"/>
      <c r="H100" s="1"/>
      <c r="I100" s="1"/>
      <c r="J100" s="1"/>
      <c r="K100" s="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2.29"/>
    <col customWidth="1" min="3" max="11" width="8.57"/>
  </cols>
  <sheetData>
    <row r="1">
      <c r="A1" s="112" t="s">
        <v>127</v>
      </c>
      <c r="B1" s="113"/>
      <c r="C1" s="113"/>
      <c r="D1" s="113"/>
      <c r="E1" s="76"/>
      <c r="F1" s="113"/>
      <c r="G1" s="76"/>
      <c r="H1" s="113"/>
    </row>
    <row r="2">
      <c r="A2" s="112"/>
      <c r="B2" s="113"/>
      <c r="C2" s="114"/>
      <c r="D2" s="113"/>
      <c r="E2" s="115"/>
      <c r="F2" s="113"/>
      <c r="G2" s="76"/>
      <c r="H2" s="113"/>
    </row>
    <row r="3">
      <c r="A3" s="69" t="s">
        <v>121</v>
      </c>
      <c r="B3" s="70"/>
      <c r="C3" s="108" t="s">
        <v>122</v>
      </c>
      <c r="D3" s="72" t="s">
        <v>26</v>
      </c>
      <c r="E3" s="72" t="s">
        <v>27</v>
      </c>
      <c r="F3" s="72" t="s">
        <v>28</v>
      </c>
      <c r="G3" s="72" t="s">
        <v>29</v>
      </c>
      <c r="H3" s="72" t="s">
        <v>123</v>
      </c>
    </row>
    <row r="4">
      <c r="A4" s="75">
        <v>0.0</v>
      </c>
      <c r="B4" s="75">
        <v>120000.0</v>
      </c>
      <c r="C4" s="76">
        <v>0.045</v>
      </c>
      <c r="D4" s="78">
        <v>0.0</v>
      </c>
      <c r="E4" s="78">
        <v>0.0122</v>
      </c>
      <c r="F4" s="78">
        <v>0.0128</v>
      </c>
      <c r="G4" s="78">
        <v>0.0</v>
      </c>
      <c r="H4" s="78">
        <v>0.02</v>
      </c>
    </row>
    <row r="5">
      <c r="A5" s="75" t="str">
        <f t="shared" ref="A5:A22" si="1">B4+0.01</f>
        <v>R$ 120,000.01</v>
      </c>
      <c r="B5" s="75" t="str">
        <f>240000</f>
        <v>R$ 240,000.00</v>
      </c>
      <c r="C5" s="76">
        <v>0.0654</v>
      </c>
      <c r="D5" s="78">
        <v>0.0</v>
      </c>
      <c r="E5" s="78">
        <v>0.0184</v>
      </c>
      <c r="F5" s="78">
        <v>0.0191</v>
      </c>
      <c r="G5" s="78">
        <v>0.0</v>
      </c>
      <c r="H5" s="78">
        <v>0.0279</v>
      </c>
    </row>
    <row r="6">
      <c r="A6" s="75" t="str">
        <f t="shared" si="1"/>
        <v>R$ 240,000.01</v>
      </c>
      <c r="B6" s="75" t="str">
        <f>360000</f>
        <v>R$ 360,000.00</v>
      </c>
      <c r="C6" s="76">
        <v>0.077</v>
      </c>
      <c r="D6" s="78">
        <v>0.0016</v>
      </c>
      <c r="E6" s="78">
        <v>0.0185</v>
      </c>
      <c r="F6" s="78">
        <v>0.0195</v>
      </c>
      <c r="G6" s="78">
        <v>0.0024</v>
      </c>
      <c r="H6" s="78">
        <v>0.035</v>
      </c>
    </row>
    <row r="7">
      <c r="A7" s="75" t="str">
        <f t="shared" si="1"/>
        <v>R$ 360,000.01</v>
      </c>
      <c r="B7" s="75" t="str">
        <f>480000</f>
        <v>R$ 480,000.00</v>
      </c>
      <c r="C7" s="76">
        <v>0.0849</v>
      </c>
      <c r="D7" s="78">
        <v>0.0052</v>
      </c>
      <c r="E7" s="78">
        <v>0.0187</v>
      </c>
      <c r="F7" s="78">
        <v>0.0199</v>
      </c>
      <c r="G7" s="78">
        <v>0.0027</v>
      </c>
      <c r="H7" s="78">
        <v>0.0384</v>
      </c>
    </row>
    <row r="8">
      <c r="A8" s="75" t="str">
        <f t="shared" si="1"/>
        <v>R$ 480,000.01</v>
      </c>
      <c r="B8" s="75" t="str">
        <f>600000</f>
        <v>R$ 600,000.00</v>
      </c>
      <c r="C8" s="76">
        <v>0.0897</v>
      </c>
      <c r="D8" s="78">
        <v>0.0089</v>
      </c>
      <c r="E8" s="78">
        <v>0.0189</v>
      </c>
      <c r="F8" s="78">
        <v>0.0203</v>
      </c>
      <c r="G8" s="78">
        <v>0.0029</v>
      </c>
      <c r="H8" s="78">
        <v>0.0387</v>
      </c>
    </row>
    <row r="9">
      <c r="A9" s="75" t="str">
        <f t="shared" si="1"/>
        <v>R$ 600,000.01</v>
      </c>
      <c r="B9" s="75" t="str">
        <f>720000</f>
        <v>R$ 720,000.00</v>
      </c>
      <c r="C9" s="76">
        <v>0.0978</v>
      </c>
      <c r="D9" s="78">
        <v>0.0125</v>
      </c>
      <c r="E9" s="78">
        <v>0.0191</v>
      </c>
      <c r="F9" s="78">
        <v>0.0207</v>
      </c>
      <c r="G9" s="78">
        <v>0.0032</v>
      </c>
      <c r="H9" s="78">
        <v>0.0423</v>
      </c>
    </row>
    <row r="10">
      <c r="A10" s="75" t="str">
        <f t="shared" si="1"/>
        <v>R$ 720,000.01</v>
      </c>
      <c r="B10" s="75" t="str">
        <f>840000</f>
        <v>R$ 840,000.00</v>
      </c>
      <c r="C10" s="76">
        <v>0.1026</v>
      </c>
      <c r="D10" s="78">
        <v>0.0162</v>
      </c>
      <c r="E10" s="78">
        <v>0.0193</v>
      </c>
      <c r="F10" s="78">
        <v>0.0211</v>
      </c>
      <c r="G10" s="78">
        <v>0.0034</v>
      </c>
      <c r="H10" s="78">
        <v>0.0426</v>
      </c>
    </row>
    <row r="11">
      <c r="A11" s="75" t="str">
        <f t="shared" si="1"/>
        <v>R$ 840,000.01</v>
      </c>
      <c r="B11" s="75" t="str">
        <f>960000</f>
        <v>R$ 960,000.00</v>
      </c>
      <c r="C11" s="76">
        <v>0.1076</v>
      </c>
      <c r="D11" s="78">
        <v>0.02</v>
      </c>
      <c r="E11" s="78">
        <v>0.0195</v>
      </c>
      <c r="F11" s="78">
        <v>0.0215</v>
      </c>
      <c r="G11" s="78">
        <v>0.0035</v>
      </c>
      <c r="H11" s="78">
        <v>0.0431</v>
      </c>
    </row>
    <row r="12">
      <c r="A12" s="75" t="str">
        <f t="shared" si="1"/>
        <v>R$ 960,000.01</v>
      </c>
      <c r="B12" s="75" t="str">
        <f>1080000</f>
        <v>R$ 1,080,000.00</v>
      </c>
      <c r="C12" s="76">
        <v>0.1151</v>
      </c>
      <c r="D12" s="78">
        <v>0.0237</v>
      </c>
      <c r="E12" s="78">
        <v>0.0197</v>
      </c>
      <c r="F12" s="78">
        <v>0.0219</v>
      </c>
      <c r="G12" s="78">
        <v>0.0037</v>
      </c>
      <c r="H12" s="78">
        <v>0.0461</v>
      </c>
    </row>
    <row r="13">
      <c r="A13" s="75" t="str">
        <f t="shared" si="1"/>
        <v>R$ 1,080,000.01</v>
      </c>
      <c r="B13" s="75" t="str">
        <f>1200000</f>
        <v>R$ 1,200,000.00</v>
      </c>
      <c r="C13" s="76">
        <v>0.12</v>
      </c>
      <c r="D13" s="78">
        <v>0.0274</v>
      </c>
      <c r="E13" s="78">
        <v>0.02</v>
      </c>
      <c r="F13" s="78">
        <v>0.0223</v>
      </c>
      <c r="G13" s="78">
        <v>0.0038</v>
      </c>
      <c r="H13" s="78">
        <v>0.0465</v>
      </c>
    </row>
    <row r="14">
      <c r="A14" s="75" t="str">
        <f t="shared" si="1"/>
        <v>R$ 1,200,000.01</v>
      </c>
      <c r="B14" s="75" t="str">
        <f>1320000</f>
        <v>R$ 1,320,000.00</v>
      </c>
      <c r="C14" s="76">
        <v>0.128</v>
      </c>
      <c r="D14" s="78">
        <v>0.0312</v>
      </c>
      <c r="E14" s="78">
        <v>0.0201</v>
      </c>
      <c r="F14" s="78">
        <v>0.0227</v>
      </c>
      <c r="G14" s="78">
        <v>0.004</v>
      </c>
      <c r="H14" s="78">
        <v>0.05</v>
      </c>
    </row>
    <row r="15">
      <c r="A15" s="75" t="str">
        <f t="shared" si="1"/>
        <v>R$ 1,320,000.01</v>
      </c>
      <c r="B15" s="75" t="str">
        <f>1440000</f>
        <v>R$ 1,440,000.00</v>
      </c>
      <c r="C15" s="76">
        <v>0.1325</v>
      </c>
      <c r="D15" s="78">
        <v>0.0349</v>
      </c>
      <c r="E15" s="78">
        <v>0.0203</v>
      </c>
      <c r="F15" s="78">
        <v>0.0231</v>
      </c>
      <c r="G15" s="78">
        <v>0.0042</v>
      </c>
      <c r="H15" s="78">
        <v>0.05</v>
      </c>
    </row>
    <row r="16">
      <c r="A16" s="75" t="str">
        <f t="shared" si="1"/>
        <v>R$ 1,440,000.01</v>
      </c>
      <c r="B16" s="75" t="str">
        <f>1560000</f>
        <v>R$ 1,560,000.00</v>
      </c>
      <c r="C16" s="76">
        <v>0.137</v>
      </c>
      <c r="D16" s="78">
        <v>0.0386</v>
      </c>
      <c r="E16" s="78">
        <v>0.0205</v>
      </c>
      <c r="F16" s="78">
        <v>0.0235</v>
      </c>
      <c r="G16" s="78">
        <v>0.0044</v>
      </c>
      <c r="H16" s="78">
        <v>0.05</v>
      </c>
    </row>
    <row r="17">
      <c r="A17" s="75" t="str">
        <f t="shared" si="1"/>
        <v>R$ 1,560,000.01</v>
      </c>
      <c r="B17" s="75" t="str">
        <f>1680000</f>
        <v>R$ 1,680,000.00</v>
      </c>
      <c r="C17" s="76">
        <v>0.1415</v>
      </c>
      <c r="D17" s="78">
        <v>0.0423</v>
      </c>
      <c r="E17" s="78">
        <v>0.0207</v>
      </c>
      <c r="F17" s="78">
        <v>0.0239</v>
      </c>
      <c r="G17" s="78">
        <v>0.0046</v>
      </c>
      <c r="H17" s="78">
        <v>0.05</v>
      </c>
    </row>
    <row r="18">
      <c r="A18" s="75" t="str">
        <f t="shared" si="1"/>
        <v>R$ 1,680,000.01</v>
      </c>
      <c r="B18" s="75" t="str">
        <f>1800000</f>
        <v>R$ 1,800,000.00</v>
      </c>
      <c r="C18" s="76">
        <v>0.146</v>
      </c>
      <c r="D18" s="78">
        <v>0.046</v>
      </c>
      <c r="E18" s="78">
        <v>0.021</v>
      </c>
      <c r="F18" s="78">
        <v>0.0243</v>
      </c>
      <c r="G18" s="78">
        <v>0.0047</v>
      </c>
      <c r="H18" s="78">
        <v>0.05</v>
      </c>
    </row>
    <row r="19">
      <c r="A19" s="75" t="str">
        <f t="shared" si="1"/>
        <v>R$ 1,800,000.01</v>
      </c>
      <c r="B19" s="75" t="str">
        <f>1920000</f>
        <v>R$ 1,920,000.00</v>
      </c>
      <c r="C19" s="76">
        <v>0.1505</v>
      </c>
      <c r="D19" s="78">
        <v>0.049</v>
      </c>
      <c r="E19" s="78">
        <v>0.0219</v>
      </c>
      <c r="F19" s="78">
        <v>0.0247</v>
      </c>
      <c r="G19" s="78">
        <v>0.0049</v>
      </c>
      <c r="H19" s="78">
        <v>0.05</v>
      </c>
    </row>
    <row r="20">
      <c r="A20" s="75" t="str">
        <f t="shared" si="1"/>
        <v>R$ 1,920,000.01</v>
      </c>
      <c r="B20" s="75" t="str">
        <f>2040000</f>
        <v>R$ 2,040,000.00</v>
      </c>
      <c r="C20" s="76">
        <v>0.155</v>
      </c>
      <c r="D20" s="78">
        <v>0.0521</v>
      </c>
      <c r="E20" s="78">
        <v>0.0227</v>
      </c>
      <c r="F20" s="78">
        <v>0.0251</v>
      </c>
      <c r="G20" s="78">
        <v>0.0051</v>
      </c>
      <c r="H20" s="78">
        <v>0.05</v>
      </c>
    </row>
    <row r="21" ht="15.75" customHeight="1">
      <c r="A21" s="75" t="str">
        <f t="shared" si="1"/>
        <v>R$ 2,040,000.01</v>
      </c>
      <c r="B21" s="75" t="str">
        <f>2160000</f>
        <v>R$ 2,160,000.00</v>
      </c>
      <c r="C21" s="76">
        <v>0.1595</v>
      </c>
      <c r="D21" s="78">
        <v>0.0551</v>
      </c>
      <c r="E21" s="78">
        <v>0.0236</v>
      </c>
      <c r="F21" s="78">
        <v>0.0255</v>
      </c>
      <c r="G21" s="78">
        <v>0.0053</v>
      </c>
      <c r="H21" s="78">
        <v>0.05</v>
      </c>
    </row>
    <row r="22" ht="15.75" customHeight="1">
      <c r="A22" s="75" t="str">
        <f t="shared" si="1"/>
        <v>R$ 2,160,000.01</v>
      </c>
      <c r="B22" s="75" t="str">
        <f>2280000</f>
        <v>R$ 2,280,000.00</v>
      </c>
      <c r="C22" s="76">
        <v>0.164</v>
      </c>
      <c r="D22" s="78">
        <v>0.0581</v>
      </c>
      <c r="E22" s="78">
        <v>0.0245</v>
      </c>
      <c r="F22" s="78">
        <v>0.0259</v>
      </c>
      <c r="G22" s="78">
        <v>0.0055</v>
      </c>
      <c r="H22" s="78">
        <v>0.05</v>
      </c>
    </row>
    <row r="23" ht="15.75" customHeight="1">
      <c r="A23" s="75" t="str">
        <f>2280000.01</f>
        <v>R$ 2,280,000.01</v>
      </c>
      <c r="B23" s="75">
        <v>2400000.0</v>
      </c>
      <c r="C23" s="76">
        <v>0.1685</v>
      </c>
      <c r="D23" s="78">
        <v>0.0612</v>
      </c>
      <c r="E23" s="78">
        <v>0.0253</v>
      </c>
      <c r="F23" s="78">
        <v>0.0263</v>
      </c>
      <c r="G23" s="78">
        <v>0.0057</v>
      </c>
      <c r="H23" s="78">
        <v>0.05</v>
      </c>
    </row>
    <row r="24" ht="15.75" customHeight="1">
      <c r="A24" s="75" t="str">
        <f>2400000*1.2</f>
        <v>R$ 2,880,000.00</v>
      </c>
      <c r="B24" s="75"/>
      <c r="C24" s="76">
        <v>0.1685</v>
      </c>
      <c r="D24" s="76"/>
      <c r="E24" s="76"/>
      <c r="F24" s="76"/>
      <c r="G24" s="76"/>
      <c r="H24" s="7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3:B3"/>
  </mergeCells>
  <hyperlinks>
    <hyperlink r:id="rId1" ref="D3"/>
    <hyperlink r:id="rId2" ref="E3"/>
    <hyperlink r:id="rId3" ref="F3"/>
    <hyperlink r:id="rId4" ref="G3"/>
    <hyperlink r:id="rId5" ref="H3"/>
  </hyperlinks>
  <printOptions/>
  <pageMargins bottom="0.787401575" footer="0.0" header="0.0" left="0.511811024" right="0.511811024" top="0.787401575"/>
  <pageSetup orientation="landscape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Cliente</Company>
  <ScaleCrop>false</ScaleCrop>
  <HeadingPairs>
    <vt:vector baseType="variant" size="4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baseType="lpstr" size="8">
      <vt:lpstr>Comércio</vt:lpstr>
      <vt:lpstr>Anexo 1</vt:lpstr>
      <vt:lpstr>Serviços (III)</vt:lpstr>
      <vt:lpstr>Anexo III</vt:lpstr>
      <vt:lpstr>Serviços IV</vt:lpstr>
      <vt:lpstr>Anexo IV</vt:lpstr>
      <vt:lpstr>Comércio!Area_de_impressao</vt:lpstr>
      <vt:lpstr>Icms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2011-04-15T19:05:09Z</dcterms:created>
  <dc:creator>Obs.</dc:creator>
  <cp:lastModifiedBy>X</cp:lastModifiedBy>
  <dcterms:modified xsi:type="dcterms:W3CDTF">2017-07-03T20:36:07Z</dcterms:modified>
</cp:coreProperties>
</file>