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andro Rocha\Desktop\"/>
    </mc:Choice>
  </mc:AlternateContent>
  <bookViews>
    <workbookView xWindow="240" yWindow="150" windowWidth="20115" windowHeight="7440"/>
  </bookViews>
  <sheets>
    <sheet name="Início" sheetId="6" r:id="rId1"/>
    <sheet name="Custos de Abertura" sheetId="5" r:id="rId2"/>
    <sheet name="Custos Mensais" sheetId="2" r:id="rId3"/>
    <sheet name="Gráficos " sheetId="7" r:id="rId4"/>
  </sheets>
  <calcPr calcId="152511" concurrentCalc="0"/>
</workbook>
</file>

<file path=xl/calcChain.xml><?xml version="1.0" encoding="utf-8"?>
<calcChain xmlns="http://schemas.openxmlformats.org/spreadsheetml/2006/main">
  <c r="C18" i="2" l="1"/>
  <c r="C20" i="2"/>
  <c r="D18" i="2"/>
  <c r="D10" i="2"/>
  <c r="E10" i="2"/>
  <c r="D7" i="2"/>
  <c r="D8" i="2"/>
  <c r="D9" i="2"/>
  <c r="D11" i="2"/>
  <c r="D12" i="2"/>
  <c r="D13" i="2"/>
  <c r="D14" i="2"/>
  <c r="D15" i="2"/>
  <c r="D16" i="2"/>
  <c r="D17" i="2"/>
  <c r="D6" i="2"/>
  <c r="E18" i="2"/>
  <c r="E17" i="2"/>
  <c r="E7" i="2"/>
  <c r="E8" i="2"/>
  <c r="E9" i="2"/>
  <c r="E11" i="2"/>
  <c r="E12" i="2"/>
  <c r="E13" i="2"/>
  <c r="E14" i="2"/>
  <c r="E15" i="2"/>
  <c r="E16" i="2"/>
  <c r="E6" i="2"/>
  <c r="C14" i="5"/>
  <c r="D6" i="5"/>
  <c r="D7" i="5"/>
  <c r="D8" i="5"/>
  <c r="D9" i="5"/>
  <c r="D10" i="5"/>
  <c r="D11" i="5"/>
  <c r="D12" i="5"/>
  <c r="D13" i="5"/>
  <c r="D5" i="5"/>
  <c r="D14" i="5"/>
</calcChain>
</file>

<file path=xl/sharedStrings.xml><?xml version="1.0" encoding="utf-8"?>
<sst xmlns="http://schemas.openxmlformats.org/spreadsheetml/2006/main" count="60" uniqueCount="58">
  <si>
    <t>Manutenção</t>
  </si>
  <si>
    <t>Custos de Legalização</t>
  </si>
  <si>
    <t>Máquinas e Equipamentos</t>
  </si>
  <si>
    <t>Caixa de Reserva</t>
  </si>
  <si>
    <t>Outros</t>
  </si>
  <si>
    <t>Outros custos, específicos ou não, necessários para o início do seu negócio</t>
  </si>
  <si>
    <t>Total de Custos Iniciais</t>
  </si>
  <si>
    <t>Pró Labore</t>
  </si>
  <si>
    <t>Outros custos</t>
  </si>
  <si>
    <t>Total de Gastos Mensais</t>
  </si>
  <si>
    <t>Número de Meses</t>
  </si>
  <si>
    <t>CUSTOS INICIAIS DE ABERTURA</t>
  </si>
  <si>
    <t>CAPITAL DEMANDADO</t>
  </si>
  <si>
    <t>% DO TOTAL</t>
  </si>
  <si>
    <t>Recursos Tecnológicos</t>
  </si>
  <si>
    <t>Infraestrutura e Reforma</t>
  </si>
  <si>
    <t>Acessoria jurídica e administrativa, registro de contrato e razão social, obtenção de CNPJ e outros gastos com contadores.</t>
  </si>
  <si>
    <t>Equipamentos, aparelhagem para laboratório,  materiais para a execução de testes, veículos e máquinas específicas do seu negócio.</t>
  </si>
  <si>
    <t>Melhorias e reformas no estabelecimento, iluminação e decoração.</t>
  </si>
  <si>
    <t>Computadores, softwares, impressoras e sistemas de segurança.</t>
  </si>
  <si>
    <t>COMENTÁRIOS</t>
  </si>
  <si>
    <t>Logomarca e Website</t>
  </si>
  <si>
    <t>Desenvolvimento da marca e  criação de um website para divulgação da mesma.</t>
  </si>
  <si>
    <t>Materiais Gráficos e recursos para promoção do novo negócio</t>
  </si>
  <si>
    <t>Gastos com evento de abertura, campanhas online e offline.</t>
  </si>
  <si>
    <t>Mobiliário e materiais de escritório</t>
  </si>
  <si>
    <t>Móveis em geral: cadeiras, mesas, armários e materiais de escritório.</t>
  </si>
  <si>
    <t>Quantidade de capital destinada a eventuais problemas.</t>
  </si>
  <si>
    <t>CUSTOS MENSAIS</t>
  </si>
  <si>
    <t>VALOR TOTAL</t>
  </si>
  <si>
    <t>CAPITAL DEMANDADO MENSALMENTE</t>
  </si>
  <si>
    <t>Salários e benefícios</t>
  </si>
  <si>
    <t>Informática e Comunicação</t>
  </si>
  <si>
    <t>Empréstimos</t>
  </si>
  <si>
    <t>Locomoção</t>
  </si>
  <si>
    <t>Gastos Gerais</t>
  </si>
  <si>
    <t>Impostos</t>
  </si>
  <si>
    <t>Remuneração destinada aos sócios.</t>
  </si>
  <si>
    <t>Pagamento mensal dos colaboradores envolvidos no negócio, incluindo também benefícios e comissões.</t>
  </si>
  <si>
    <t>Prestadores de serviço para o negócio: serviços técnicos, manutenção, acessoria jurídica e administrativa.</t>
  </si>
  <si>
    <t>Garantia do bom funcionamento de equipamentos e máquinas necessárias ao negócio.</t>
  </si>
  <si>
    <t>Despesas da Propriedade</t>
  </si>
  <si>
    <t>Aluguel, luz, água, gás, telefone e internet.</t>
  </si>
  <si>
    <t>Pagamento das parcelas de eventuais empréstimos realizados para iniciar o negócio.</t>
  </si>
  <si>
    <t>Deslocamentos e viagens.</t>
  </si>
  <si>
    <t>Sistema de segurança e seguros</t>
  </si>
  <si>
    <t>Serviços de Terceiros + Consultoria</t>
  </si>
  <si>
    <t>Online: adwords, banners patrocinados, emails marketing e softwares. Offline: panfletos, flyers, cartazes e propagandas em geral.</t>
  </si>
  <si>
    <t>Manutenção do sistema de segurança e pagamentos de seguros.</t>
  </si>
  <si>
    <t>Impostos relacionados ao negócio.</t>
  </si>
  <si>
    <t>Gastos inerentes ao funcionamento do negócio: materiais de escritório e informática, produtos de limpeza e higiene.</t>
  </si>
  <si>
    <t>Custos, específicos ou não, necessários para o funcionamento mensal do negócio em questão.</t>
  </si>
  <si>
    <t>TOTAL GERAL</t>
  </si>
  <si>
    <t>* Se o numero de meses não é preenchido é considerado 1 ano (12 meses)</t>
  </si>
  <si>
    <r>
      <rPr>
        <b/>
        <i/>
        <sz val="18"/>
        <color theme="0"/>
        <rFont val="Calibri"/>
        <family val="2"/>
        <scheme val="minor"/>
      </rPr>
      <t xml:space="preserve">INVESTIMENTO INICIAL </t>
    </r>
    <r>
      <rPr>
        <i/>
        <sz val="16"/>
        <color theme="0"/>
        <rFont val="Calibri"/>
        <family val="2"/>
        <scheme val="minor"/>
      </rPr>
      <t>- INÍCIO</t>
    </r>
  </si>
  <si>
    <r>
      <rPr>
        <b/>
        <i/>
        <sz val="18"/>
        <color theme="0"/>
        <rFont val="Calibri"/>
        <family val="2"/>
        <scheme val="minor"/>
      </rPr>
      <t xml:space="preserve">INVESTIMENTO INICIAL </t>
    </r>
    <r>
      <rPr>
        <i/>
        <sz val="16"/>
        <color theme="0"/>
        <rFont val="Calibri"/>
        <family val="2"/>
        <scheme val="minor"/>
      </rPr>
      <t>- CUSTOS DE ABERTURA</t>
    </r>
  </si>
  <si>
    <r>
      <rPr>
        <b/>
        <i/>
        <sz val="18"/>
        <color theme="0"/>
        <rFont val="Calibri"/>
        <family val="2"/>
        <scheme val="minor"/>
      </rPr>
      <t xml:space="preserve">INVESTIMENTO INICIAL </t>
    </r>
    <r>
      <rPr>
        <i/>
        <sz val="16"/>
        <color theme="0"/>
        <rFont val="Calibri"/>
        <family val="2"/>
        <scheme val="minor"/>
      </rPr>
      <t>- CUSTOS MENSAIS</t>
    </r>
  </si>
  <si>
    <r>
      <rPr>
        <b/>
        <i/>
        <sz val="18"/>
        <color theme="0"/>
        <rFont val="Calibri"/>
        <family val="2"/>
        <scheme val="minor"/>
      </rPr>
      <t xml:space="preserve">INVESTIMENTO INICIAL </t>
    </r>
    <r>
      <rPr>
        <i/>
        <sz val="16"/>
        <color theme="0"/>
        <rFont val="Calibri"/>
        <family val="2"/>
        <scheme val="minor"/>
      </rPr>
      <t>- GRÁFICOS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</si>
</sst>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#,##0.0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808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theme="6" tint="-0.499984740745262"/>
      </bottom>
      <diagonal/>
    </border>
    <border>
      <left/>
      <right/>
      <top style="medium">
        <color indexed="64"/>
      </top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53">
    <xf numFmtId="0" fontId="0" fillId="0" borderId="0" xfId="0"/>
    <xf numFmtId="0" fontId="0" fillId="2" borderId="0" xfId="0" applyFill="1"/>
    <xf numFmtId="0" fontId="0" fillId="0" borderId="0" xfId="0" applyBorder="1" applyAlignment="1" applyProtection="1">
      <alignment horizontal="left" vertical="center" wrapText="1" indent="1"/>
      <protection locked="0"/>
    </xf>
    <xf numFmtId="0" fontId="3" fillId="0" borderId="0" xfId="2" applyAlignment="1">
      <alignment horizontal="left"/>
    </xf>
    <xf numFmtId="164" fontId="0" fillId="3" borderId="10" xfId="0" applyNumberFormat="1" applyFill="1" applyBorder="1" applyAlignment="1" applyProtection="1">
      <alignment horizontal="center" vertical="center" wrapText="1"/>
      <protection locked="0"/>
    </xf>
    <xf numFmtId="0" fontId="0" fillId="3" borderId="11" xfId="0" applyFill="1" applyBorder="1" applyAlignment="1" applyProtection="1">
      <alignment horizontal="left" vertical="center" wrapText="1" indent="1"/>
      <protection locked="0"/>
    </xf>
    <xf numFmtId="164" fontId="0" fillId="3" borderId="1" xfId="0" applyNumberFormat="1" applyFill="1" applyBorder="1" applyAlignment="1" applyProtection="1">
      <alignment horizontal="center" vertical="center" wrapText="1"/>
      <protection locked="0"/>
    </xf>
    <xf numFmtId="0" fontId="0" fillId="3" borderId="13" xfId="0" applyFill="1" applyBorder="1" applyAlignment="1" applyProtection="1">
      <alignment horizontal="left" vertical="center" wrapText="1" indent="1"/>
      <protection locked="0"/>
    </xf>
    <xf numFmtId="164" fontId="0" fillId="3" borderId="15" xfId="0" applyNumberFormat="1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left" vertical="center" wrapText="1" indent="1"/>
      <protection locked="0"/>
    </xf>
    <xf numFmtId="0" fontId="0" fillId="4" borderId="9" xfId="0" applyFill="1" applyBorder="1" applyAlignment="1" applyProtection="1">
      <alignment horizontal="left" vertical="center" wrapText="1" indent="1"/>
      <protection locked="0"/>
    </xf>
    <xf numFmtId="0" fontId="0" fillId="4" borderId="12" xfId="0" applyFill="1" applyBorder="1" applyAlignment="1" applyProtection="1">
      <alignment horizontal="left" vertical="center" wrapText="1" indent="1"/>
      <protection locked="0"/>
    </xf>
    <xf numFmtId="0" fontId="0" fillId="4" borderId="14" xfId="0" applyFill="1" applyBorder="1" applyAlignment="1" applyProtection="1">
      <alignment horizontal="left" vertical="center" wrapText="1" indent="1"/>
      <protection locked="0"/>
    </xf>
    <xf numFmtId="0" fontId="4" fillId="2" borderId="3" xfId="0" applyFont="1" applyFill="1" applyBorder="1" applyAlignment="1" applyProtection="1">
      <alignment horizontal="left" vertical="center" wrapText="1"/>
      <protection locked="0"/>
    </xf>
    <xf numFmtId="0" fontId="0" fillId="0" borderId="0" xfId="0" applyBorder="1"/>
    <xf numFmtId="0" fontId="0" fillId="0" borderId="0" xfId="0" applyBorder="1" applyAlignment="1" applyProtection="1">
      <alignment horizontal="left" vertical="center" wrapText="1"/>
      <protection locked="0"/>
    </xf>
    <xf numFmtId="0" fontId="2" fillId="3" borderId="11" xfId="0" applyFont="1" applyFill="1" applyBorder="1" applyAlignment="1" applyProtection="1">
      <alignment vertical="center" wrapText="1"/>
      <protection locked="0"/>
    </xf>
    <xf numFmtId="0" fontId="2" fillId="3" borderId="13" xfId="0" applyFont="1" applyFill="1" applyBorder="1" applyAlignment="1" applyProtection="1">
      <alignment vertical="center" wrapText="1"/>
      <protection locked="0"/>
    </xf>
    <xf numFmtId="0" fontId="2" fillId="3" borderId="16" xfId="0" applyFont="1" applyFill="1" applyBorder="1" applyAlignment="1" applyProtection="1">
      <alignment vertical="center" wrapText="1"/>
      <protection locked="0"/>
    </xf>
    <xf numFmtId="10" fontId="0" fillId="3" borderId="10" xfId="0" applyNumberFormat="1" applyFill="1" applyBorder="1" applyAlignment="1" applyProtection="1">
      <alignment horizontal="center" vertical="center" wrapText="1"/>
      <protection hidden="1"/>
    </xf>
    <xf numFmtId="10" fontId="0" fillId="3" borderId="1" xfId="0" applyNumberFormat="1" applyFill="1" applyBorder="1" applyAlignment="1" applyProtection="1">
      <alignment horizontal="center" vertical="center" wrapText="1"/>
      <protection hidden="1"/>
    </xf>
    <xf numFmtId="10" fontId="0" fillId="3" borderId="15" xfId="0" applyNumberFormat="1" applyFill="1" applyBorder="1" applyAlignment="1" applyProtection="1">
      <alignment horizontal="center" vertical="center" wrapText="1"/>
      <protection hidden="1"/>
    </xf>
    <xf numFmtId="10" fontId="4" fillId="2" borderId="5" xfId="0" applyNumberFormat="1" applyFont="1" applyFill="1" applyBorder="1" applyAlignment="1" applyProtection="1">
      <alignment horizontal="center" vertical="center" wrapText="1"/>
      <protection hidden="1"/>
    </xf>
    <xf numFmtId="164" fontId="4" fillId="2" borderId="4" xfId="0" applyNumberFormat="1" applyFont="1" applyFill="1" applyBorder="1" applyAlignment="1" applyProtection="1">
      <alignment horizontal="center" vertical="center" wrapText="1"/>
      <protection hidden="1"/>
    </xf>
    <xf numFmtId="164" fontId="0" fillId="3" borderId="10" xfId="0" applyNumberFormat="1" applyFill="1" applyBorder="1" applyAlignment="1" applyProtection="1">
      <alignment horizontal="center" vertical="center" wrapText="1"/>
      <protection hidden="1"/>
    </xf>
    <xf numFmtId="9" fontId="0" fillId="3" borderId="10" xfId="3" applyFont="1" applyFill="1" applyBorder="1" applyAlignment="1" applyProtection="1">
      <alignment horizontal="center" vertical="center" wrapText="1"/>
      <protection hidden="1"/>
    </xf>
    <xf numFmtId="164" fontId="0" fillId="3" borderId="2" xfId="0" applyNumberFormat="1" applyFill="1" applyBorder="1" applyAlignment="1" applyProtection="1">
      <alignment horizontal="center" vertical="center" wrapText="1"/>
      <protection hidden="1"/>
    </xf>
    <xf numFmtId="9" fontId="0" fillId="3" borderId="2" xfId="3" applyFont="1" applyFill="1" applyBorder="1" applyAlignment="1" applyProtection="1">
      <alignment horizontal="center" vertical="center" wrapText="1"/>
      <protection hidden="1"/>
    </xf>
    <xf numFmtId="164" fontId="0" fillId="3" borderId="20" xfId="0" applyNumberFormat="1" applyFill="1" applyBorder="1" applyAlignment="1" applyProtection="1">
      <alignment horizontal="center" vertical="center" wrapText="1"/>
      <protection hidden="1"/>
    </xf>
    <xf numFmtId="9" fontId="0" fillId="3" borderId="20" xfId="3" applyFont="1" applyFill="1" applyBorder="1" applyAlignment="1" applyProtection="1">
      <alignment horizontal="center" vertical="center" wrapText="1"/>
      <protection hidden="1"/>
    </xf>
    <xf numFmtId="0" fontId="4" fillId="0" borderId="5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/>
    <xf numFmtId="0" fontId="6" fillId="0" borderId="0" xfId="0" applyFont="1" applyFill="1"/>
    <xf numFmtId="0" fontId="3" fillId="0" borderId="0" xfId="2" applyAlignment="1">
      <alignment horizontal="center"/>
    </xf>
    <xf numFmtId="0" fontId="8" fillId="5" borderId="6" xfId="0" applyFont="1" applyFill="1" applyBorder="1" applyAlignment="1" applyProtection="1">
      <alignment horizontal="center" vertical="center" wrapText="1"/>
      <protection locked="0"/>
    </xf>
    <xf numFmtId="0" fontId="8" fillId="5" borderId="7" xfId="0" applyFont="1" applyFill="1" applyBorder="1" applyAlignment="1" applyProtection="1">
      <alignment horizontal="center" vertical="center" wrapText="1"/>
      <protection locked="0"/>
    </xf>
    <xf numFmtId="0" fontId="8" fillId="5" borderId="8" xfId="0" applyFont="1" applyFill="1" applyBorder="1" applyAlignment="1" applyProtection="1">
      <alignment horizontal="center" vertical="center" wrapText="1"/>
      <protection locked="0"/>
    </xf>
    <xf numFmtId="0" fontId="9" fillId="5" borderId="3" xfId="0" applyFont="1" applyFill="1" applyBorder="1" applyAlignment="1" applyProtection="1">
      <alignment horizontal="center" vertical="center" wrapText="1"/>
      <protection locked="0"/>
    </xf>
    <xf numFmtId="0" fontId="9" fillId="5" borderId="17" xfId="0" applyFont="1" applyFill="1" applyBorder="1" applyAlignment="1" applyProtection="1">
      <alignment horizontal="center" vertical="center" wrapText="1"/>
      <protection locked="0"/>
    </xf>
    <xf numFmtId="0" fontId="9" fillId="5" borderId="5" xfId="0" applyFont="1" applyFill="1" applyBorder="1" applyAlignment="1" applyProtection="1">
      <alignment horizontal="center" vertical="center" wrapText="1"/>
      <protection locked="0"/>
    </xf>
    <xf numFmtId="0" fontId="4" fillId="6" borderId="3" xfId="0" applyFont="1" applyFill="1" applyBorder="1" applyAlignment="1" applyProtection="1">
      <alignment horizontal="center" vertical="center" wrapText="1"/>
      <protection locked="0"/>
    </xf>
    <xf numFmtId="0" fontId="4" fillId="5" borderId="3" xfId="0" applyFont="1" applyFill="1" applyBorder="1" applyAlignment="1" applyProtection="1">
      <alignment horizontal="left" vertical="center" wrapText="1"/>
      <protection locked="0"/>
    </xf>
    <xf numFmtId="164" fontId="4" fillId="5" borderId="17" xfId="0" applyNumberFormat="1" applyFont="1" applyFill="1" applyBorder="1" applyAlignment="1" applyProtection="1">
      <alignment horizontal="center" vertical="center" wrapText="1"/>
      <protection hidden="1"/>
    </xf>
    <xf numFmtId="10" fontId="4" fillId="5" borderId="5" xfId="0" applyNumberFormat="1" applyFont="1" applyFill="1" applyBorder="1" applyAlignment="1" applyProtection="1">
      <alignment horizontal="center" vertical="center" wrapText="1"/>
      <protection hidden="1"/>
    </xf>
    <xf numFmtId="0" fontId="14" fillId="7" borderId="24" xfId="0" applyFont="1" applyFill="1" applyBorder="1" applyAlignment="1">
      <alignment vertical="center"/>
    </xf>
    <xf numFmtId="0" fontId="10" fillId="7" borderId="25" xfId="0" applyFont="1" applyFill="1" applyBorder="1"/>
    <xf numFmtId="0" fontId="11" fillId="7" borderId="24" xfId="0" applyFont="1" applyFill="1" applyBorder="1" applyAlignment="1">
      <alignment vertical="center"/>
    </xf>
    <xf numFmtId="0" fontId="11" fillId="7" borderId="23" xfId="0" applyFont="1" applyFill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164" fontId="6" fillId="5" borderId="18" xfId="0" applyNumberFormat="1" applyFont="1" applyFill="1" applyBorder="1" applyAlignment="1" applyProtection="1">
      <alignment horizontal="center" vertical="center" wrapText="1"/>
      <protection hidden="1"/>
    </xf>
    <xf numFmtId="164" fontId="6" fillId="5" borderId="19" xfId="0" applyNumberFormat="1" applyFont="1" applyFill="1" applyBorder="1" applyAlignment="1" applyProtection="1">
      <alignment horizontal="center" vertical="center" wrapText="1"/>
      <protection hidden="1"/>
    </xf>
    <xf numFmtId="0" fontId="7" fillId="0" borderId="21" xfId="0" applyNumberFormat="1" applyFont="1" applyBorder="1" applyAlignment="1" applyProtection="1">
      <alignment horizontal="left" vertical="top" wrapText="1"/>
      <protection locked="0"/>
    </xf>
    <xf numFmtId="0" fontId="7" fillId="0" borderId="22" xfId="0" applyNumberFormat="1" applyFont="1" applyBorder="1" applyAlignment="1" applyProtection="1">
      <alignment horizontal="left" vertical="top" wrapText="1"/>
      <protection locked="0"/>
    </xf>
  </cellXfs>
  <cellStyles count="4">
    <cellStyle name="Hiperlink" xfId="2" builtinId="8"/>
    <cellStyle name="Normal" xfId="0" builtinId="0"/>
    <cellStyle name="Normal 2" xfId="1"/>
    <cellStyle name="Porcentagem" xfId="3" builtinId="5"/>
  </cellStyles>
  <dxfs count="0"/>
  <tableStyles count="0" defaultTableStyle="TableStyleMedium2" defaultPivotStyle="PivotStyleLight16"/>
  <colors>
    <mruColors>
      <color rgb="FFC3D79B"/>
      <color rgb="FF1737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CUSTOS INICIAIS DE ABERTURA</a:t>
            </a:r>
          </a:p>
        </c:rich>
      </c:tx>
      <c:layout>
        <c:manualLayout>
          <c:xMode val="edge"/>
          <c:yMode val="edge"/>
          <c:x val="0.35467909460035452"/>
          <c:y val="1.8712380683356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499477208478483E-2"/>
          <c:y val="0.11783834408705199"/>
          <c:w val="0.63915683240532928"/>
          <c:h val="0.84996261615423296"/>
        </c:manualLayout>
      </c:layout>
      <c:pie3DChart>
        <c:varyColors val="1"/>
        <c:ser>
          <c:idx val="0"/>
          <c:order val="0"/>
          <c:tx>
            <c:strRef>
              <c:f>'Custos de Abertura'!$D$4</c:f>
              <c:strCache>
                <c:ptCount val="1"/>
                <c:pt idx="0">
                  <c:v>% DO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dLbl>
              <c:idx val="7"/>
              <c:layout>
                <c:manualLayout>
                  <c:x val="-1.342925982486063E-3"/>
                  <c:y val="8.29974618536453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'Custos de Abertura'!$B$5:$B$13</c:f>
              <c:strCache>
                <c:ptCount val="9"/>
                <c:pt idx="0">
                  <c:v>Custos de Legalização</c:v>
                </c:pt>
                <c:pt idx="1">
                  <c:v>Máquinas e Equipamentos</c:v>
                </c:pt>
                <c:pt idx="2">
                  <c:v>Recursos Tecnológicos</c:v>
                </c:pt>
                <c:pt idx="3">
                  <c:v>Infraestrutura e Reforma</c:v>
                </c:pt>
                <c:pt idx="4">
                  <c:v>Logomarca e Website</c:v>
                </c:pt>
                <c:pt idx="5">
                  <c:v>Materiais Gráficos e recursos para promoção do novo negócio</c:v>
                </c:pt>
                <c:pt idx="6">
                  <c:v>Mobiliário e materiais de escritório</c:v>
                </c:pt>
                <c:pt idx="7">
                  <c:v>Caixa de Reserva</c:v>
                </c:pt>
                <c:pt idx="8">
                  <c:v>Outros</c:v>
                </c:pt>
              </c:strCache>
            </c:strRef>
          </c:cat>
          <c:val>
            <c:numRef>
              <c:f>'Custos de Abertura'!$D$5:$D$13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CUSTOS MENSAIS DO NEGÓCIO</a:t>
            </a:r>
          </a:p>
        </c:rich>
      </c:tx>
      <c:layout>
        <c:manualLayout>
          <c:xMode val="edge"/>
          <c:yMode val="edge"/>
          <c:x val="0.4598602295394516"/>
          <c:y val="1.934916714785658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1805942140308938E-2"/>
          <c:y val="0.15871522545842548"/>
          <c:w val="0.55341527059930529"/>
          <c:h val="0.8266901192792358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'Custos Mensais'!$B$6:$B$17</c:f>
              <c:strCache>
                <c:ptCount val="12"/>
                <c:pt idx="0">
                  <c:v>Pró Labore</c:v>
                </c:pt>
                <c:pt idx="1">
                  <c:v>Salários e benefícios</c:v>
                </c:pt>
                <c:pt idx="2">
                  <c:v>Serviços de Terceiros + Consultoria</c:v>
                </c:pt>
                <c:pt idx="3">
                  <c:v>Manutenção</c:v>
                </c:pt>
                <c:pt idx="4">
                  <c:v>Informática e Comunicação</c:v>
                </c:pt>
                <c:pt idx="5">
                  <c:v>Despesas da Propriedade</c:v>
                </c:pt>
                <c:pt idx="6">
                  <c:v>Empréstimos</c:v>
                </c:pt>
                <c:pt idx="7">
                  <c:v>Locomoção</c:v>
                </c:pt>
                <c:pt idx="8">
                  <c:v>Gastos Gerais</c:v>
                </c:pt>
                <c:pt idx="9">
                  <c:v>Impostos</c:v>
                </c:pt>
                <c:pt idx="10">
                  <c:v>Sistema de segurança e seguros</c:v>
                </c:pt>
                <c:pt idx="11">
                  <c:v>Outros custos</c:v>
                </c:pt>
              </c:strCache>
            </c:strRef>
          </c:cat>
          <c:val>
            <c:numRef>
              <c:f>'Custos Mensais'!$E$6:$E$17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823916324706601"/>
          <c:y val="0.17348051904521763"/>
          <c:w val="0.29312300688838056"/>
          <c:h val="0.6530389619095647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CUSTOS MENSAIS DO NEGÓCIO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1805942140308938E-2"/>
          <c:y val="0.15871522545842548"/>
          <c:w val="0.55341527059930529"/>
          <c:h val="0.8266901192792358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dLbl>
              <c:idx val="6"/>
              <c:layout>
                <c:manualLayout>
                  <c:x val="-7.4197750174718149E-2"/>
                  <c:y val="1.765217916820926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2.7051957688814382E-2"/>
                  <c:y val="-5.629515757890626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5.6377385391904157E-2"/>
                  <c:y val="-6.958945739552084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0.20684486011354297"/>
                  <c:y val="-3.653463018459918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0.19187796998697446"/>
                  <c:y val="3.602474661986301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'Custos Mensais'!$B$6:$B$17</c:f>
              <c:strCache>
                <c:ptCount val="12"/>
                <c:pt idx="0">
                  <c:v>Pró Labore</c:v>
                </c:pt>
                <c:pt idx="1">
                  <c:v>Salários e benefícios</c:v>
                </c:pt>
                <c:pt idx="2">
                  <c:v>Serviços de Terceiros + Consultoria</c:v>
                </c:pt>
                <c:pt idx="3">
                  <c:v>Manutenção</c:v>
                </c:pt>
                <c:pt idx="4">
                  <c:v>Informática e Comunicação</c:v>
                </c:pt>
                <c:pt idx="5">
                  <c:v>Despesas da Propriedade</c:v>
                </c:pt>
                <c:pt idx="6">
                  <c:v>Empréstimos</c:v>
                </c:pt>
                <c:pt idx="7">
                  <c:v>Locomoção</c:v>
                </c:pt>
                <c:pt idx="8">
                  <c:v>Gastos Gerais</c:v>
                </c:pt>
                <c:pt idx="9">
                  <c:v>Impostos</c:v>
                </c:pt>
                <c:pt idx="10">
                  <c:v>Sistema de segurança e seguros</c:v>
                </c:pt>
                <c:pt idx="11">
                  <c:v>Outros custos</c:v>
                </c:pt>
              </c:strCache>
            </c:strRef>
          </c:cat>
          <c:val>
            <c:numRef>
              <c:f>'Custos Mensais'!$E$6:$E$17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823916324706601"/>
          <c:y val="0.17348051904521763"/>
          <c:w val="0.29312300688838056"/>
          <c:h val="0.6530389619095647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CUSTOS INICIAIS DE ABERTURA</a:t>
            </a:r>
          </a:p>
        </c:rich>
      </c:tx>
      <c:layout>
        <c:manualLayout>
          <c:xMode val="edge"/>
          <c:yMode val="edge"/>
          <c:x val="0.27918051910177893"/>
          <c:y val="2.46913580246913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499477208478483E-2"/>
          <c:y val="0.11783834408705199"/>
          <c:w val="0.63915683240532928"/>
          <c:h val="0.84996261615423296"/>
        </c:manualLayout>
      </c:layout>
      <c:pie3DChart>
        <c:varyColors val="1"/>
        <c:ser>
          <c:idx val="0"/>
          <c:order val="0"/>
          <c:tx>
            <c:strRef>
              <c:f>'Custos de Abertura'!$D$4</c:f>
              <c:strCache>
                <c:ptCount val="1"/>
                <c:pt idx="0">
                  <c:v>% DO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dLbl>
              <c:idx val="7"/>
              <c:layout>
                <c:manualLayout>
                  <c:x val="-1.342925982486063E-3"/>
                  <c:y val="8.29974618536453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'Custos de Abertura'!$B$5:$B$13</c:f>
              <c:strCache>
                <c:ptCount val="9"/>
                <c:pt idx="0">
                  <c:v>Custos de Legalização</c:v>
                </c:pt>
                <c:pt idx="1">
                  <c:v>Máquinas e Equipamentos</c:v>
                </c:pt>
                <c:pt idx="2">
                  <c:v>Recursos Tecnológicos</c:v>
                </c:pt>
                <c:pt idx="3">
                  <c:v>Infraestrutura e Reforma</c:v>
                </c:pt>
                <c:pt idx="4">
                  <c:v>Logomarca e Website</c:v>
                </c:pt>
                <c:pt idx="5">
                  <c:v>Materiais Gráficos e recursos para promoção do novo negócio</c:v>
                </c:pt>
                <c:pt idx="6">
                  <c:v>Mobiliário e materiais de escritório</c:v>
                </c:pt>
                <c:pt idx="7">
                  <c:v>Caixa de Reserva</c:v>
                </c:pt>
                <c:pt idx="8">
                  <c:v>Outros</c:v>
                </c:pt>
              </c:strCache>
            </c:strRef>
          </c:cat>
          <c:val>
            <c:numRef>
              <c:f>'Custos de Abertura'!$D$5:$D$13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Custos Mensais'!A1"/><Relationship Id="rId3" Type="http://schemas.openxmlformats.org/officeDocument/2006/relationships/hyperlink" Target="#'Custos de Abertura'!A1"/><Relationship Id="rId7" Type="http://schemas.openxmlformats.org/officeDocument/2006/relationships/hyperlink" Target="#An&#225;lise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6" Type="http://schemas.openxmlformats.org/officeDocument/2006/relationships/hyperlink" Target="#'Gr&#225;ficos '!A1"/><Relationship Id="rId5" Type="http://schemas.openxmlformats.org/officeDocument/2006/relationships/hyperlink" Target="#'Fatores Internos'!A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www.acelere.vc" TargetMode="External"/><Relationship Id="rId1" Type="http://schemas.openxmlformats.org/officeDocument/2006/relationships/chart" Target="../charts/chart1.xml"/><Relationship Id="rId5" Type="http://schemas.openxmlformats.org/officeDocument/2006/relationships/image" Target="../media/image3.png"/><Relationship Id="rId4" Type="http://schemas.openxmlformats.org/officeDocument/2006/relationships/hyperlink" Target="#In&#237;cio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www.acelere.vc" TargetMode="External"/><Relationship Id="rId1" Type="http://schemas.openxmlformats.org/officeDocument/2006/relationships/chart" Target="../charts/chart2.xml"/><Relationship Id="rId5" Type="http://schemas.openxmlformats.org/officeDocument/2006/relationships/image" Target="../media/image3.png"/><Relationship Id="rId4" Type="http://schemas.openxmlformats.org/officeDocument/2006/relationships/hyperlink" Target="#In&#237;cio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celere.vc" TargetMode="Externa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3.png"/><Relationship Id="rId5" Type="http://schemas.openxmlformats.org/officeDocument/2006/relationships/hyperlink" Target="#In&#237;cio!A1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361950</xdr:colOff>
      <xdr:row>0</xdr:row>
      <xdr:rowOff>0</xdr:rowOff>
    </xdr:from>
    <xdr:to>
      <xdr:col>20</xdr:col>
      <xdr:colOff>342900</xdr:colOff>
      <xdr:row>1</xdr:row>
      <xdr:rowOff>22779</xdr:rowOff>
    </xdr:to>
    <xdr:pic>
      <xdr:nvPicPr>
        <xdr:cNvPr id="10" name="Imagem 9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0" y="0"/>
          <a:ext cx="1200150" cy="479979"/>
        </a:xfrm>
        <a:prstGeom prst="rect">
          <a:avLst/>
        </a:prstGeom>
      </xdr:spPr>
    </xdr:pic>
    <xdr:clientData/>
  </xdr:twoCellAnchor>
  <xdr:twoCellAnchor>
    <xdr:from>
      <xdr:col>3</xdr:col>
      <xdr:colOff>533400</xdr:colOff>
      <xdr:row>5</xdr:row>
      <xdr:rowOff>104775</xdr:rowOff>
    </xdr:from>
    <xdr:to>
      <xdr:col>6</xdr:col>
      <xdr:colOff>600075</xdr:colOff>
      <xdr:row>8</xdr:row>
      <xdr:rowOff>72313</xdr:rowOff>
    </xdr:to>
    <xdr:grpSp>
      <xdr:nvGrpSpPr>
        <xdr:cNvPr id="13" name="Grupo 12">
          <a:hlinkClick xmlns:r="http://schemas.openxmlformats.org/officeDocument/2006/relationships" r:id="rId3"/>
        </xdr:cNvPr>
        <xdr:cNvGrpSpPr/>
      </xdr:nvGrpSpPr>
      <xdr:grpSpPr>
        <a:xfrm>
          <a:off x="2362200" y="1323975"/>
          <a:ext cx="1895475" cy="539038"/>
          <a:chOff x="285750" y="2400300"/>
          <a:chExt cx="1895475" cy="539038"/>
        </a:xfrm>
      </xdr:grpSpPr>
      <xdr:pic>
        <xdr:nvPicPr>
          <xdr:cNvPr id="14" name="Imagem 13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5" name="CaixaDeTexto 14">
            <a:hlinkClick xmlns:r="http://schemas.openxmlformats.org/officeDocument/2006/relationships" r:id="rId3"/>
          </xdr:cNvPr>
          <xdr:cNvSpPr txBox="1"/>
        </xdr:nvSpPr>
        <xdr:spPr>
          <a:xfrm>
            <a:off x="400050" y="2524125"/>
            <a:ext cx="16763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ABERTURA</a:t>
            </a:r>
          </a:p>
        </xdr:txBody>
      </xdr:sp>
    </xdr:grpSp>
    <xdr:clientData/>
  </xdr:twoCellAnchor>
  <xdr:twoCellAnchor>
    <xdr:from>
      <xdr:col>8</xdr:col>
      <xdr:colOff>295275</xdr:colOff>
      <xdr:row>13</xdr:row>
      <xdr:rowOff>19050</xdr:rowOff>
    </xdr:from>
    <xdr:to>
      <xdr:col>11</xdr:col>
      <xdr:colOff>361950</xdr:colOff>
      <xdr:row>15</xdr:row>
      <xdr:rowOff>177088</xdr:rowOff>
    </xdr:to>
    <xdr:grpSp>
      <xdr:nvGrpSpPr>
        <xdr:cNvPr id="16" name="Grupo 15">
          <a:hlinkClick xmlns:r="http://schemas.openxmlformats.org/officeDocument/2006/relationships" r:id="rId5"/>
        </xdr:cNvPr>
        <xdr:cNvGrpSpPr/>
      </xdr:nvGrpSpPr>
      <xdr:grpSpPr>
        <a:xfrm>
          <a:off x="5172075" y="2762250"/>
          <a:ext cx="1895475" cy="539038"/>
          <a:chOff x="285750" y="2400300"/>
          <a:chExt cx="1895475" cy="539038"/>
        </a:xfrm>
      </xdr:grpSpPr>
      <xdr:pic>
        <xdr:nvPicPr>
          <xdr:cNvPr id="17" name="Imagem 16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8" name="CaixaDeTexto 17">
            <a:hlinkClick xmlns:r="http://schemas.openxmlformats.org/officeDocument/2006/relationships" r:id="rId6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GRÁFICOS</a:t>
            </a:r>
          </a:p>
          <a:p>
            <a:pPr algn="ctr"/>
            <a:endParaRPr lang="pt-BR" sz="1300" i="1" u="sng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13</xdr:col>
      <xdr:colOff>161925</xdr:colOff>
      <xdr:row>5</xdr:row>
      <xdr:rowOff>104775</xdr:rowOff>
    </xdr:from>
    <xdr:to>
      <xdr:col>16</xdr:col>
      <xdr:colOff>228600</xdr:colOff>
      <xdr:row>8</xdr:row>
      <xdr:rowOff>72313</xdr:rowOff>
    </xdr:to>
    <xdr:grpSp>
      <xdr:nvGrpSpPr>
        <xdr:cNvPr id="19" name="Grupo 18">
          <a:hlinkClick xmlns:r="http://schemas.openxmlformats.org/officeDocument/2006/relationships" r:id="rId7"/>
        </xdr:cNvPr>
        <xdr:cNvGrpSpPr/>
      </xdr:nvGrpSpPr>
      <xdr:grpSpPr>
        <a:xfrm>
          <a:off x="8086725" y="1323975"/>
          <a:ext cx="1895475" cy="539038"/>
          <a:chOff x="285750" y="2400300"/>
          <a:chExt cx="1895475" cy="539038"/>
        </a:xfrm>
      </xdr:grpSpPr>
      <xdr:pic>
        <xdr:nvPicPr>
          <xdr:cNvPr id="20" name="Imagem 19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1" name="CaixaDeTexto 20">
            <a:hlinkClick xmlns:r="http://schemas.openxmlformats.org/officeDocument/2006/relationships" r:id="rId8"/>
          </xdr:cNvPr>
          <xdr:cNvSpPr txBox="1"/>
        </xdr:nvSpPr>
        <xdr:spPr>
          <a:xfrm>
            <a:off x="400050" y="2524125"/>
            <a:ext cx="16859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CUSTOS MENSAIS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15</xdr:row>
      <xdr:rowOff>19050</xdr:rowOff>
    </xdr:from>
    <xdr:to>
      <xdr:col>4</xdr:col>
      <xdr:colOff>3876675</xdr:colOff>
      <xdr:row>37</xdr:row>
      <xdr:rowOff>76200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1000125</xdr:colOff>
      <xdr:row>0</xdr:row>
      <xdr:rowOff>0</xdr:rowOff>
    </xdr:from>
    <xdr:to>
      <xdr:col>5</xdr:col>
      <xdr:colOff>2200275</xdr:colOff>
      <xdr:row>1</xdr:row>
      <xdr:rowOff>22779</xdr:rowOff>
    </xdr:to>
    <xdr:pic>
      <xdr:nvPicPr>
        <xdr:cNvPr id="10" name="Imagem 9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5700" y="0"/>
          <a:ext cx="1200150" cy="479979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66675</xdr:rowOff>
    </xdr:from>
    <xdr:to>
      <xdr:col>1</xdr:col>
      <xdr:colOff>19050</xdr:colOff>
      <xdr:row>0</xdr:row>
      <xdr:rowOff>396724</xdr:rowOff>
    </xdr:to>
    <xdr:pic>
      <xdr:nvPicPr>
        <xdr:cNvPr id="11" name="Imagem 10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580158</xdr:colOff>
      <xdr:row>21</xdr:row>
      <xdr:rowOff>51954</xdr:rowOff>
    </xdr:from>
    <xdr:to>
      <xdr:col>5</xdr:col>
      <xdr:colOff>2753590</xdr:colOff>
      <xdr:row>41</xdr:row>
      <xdr:rowOff>180108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4642138</xdr:colOff>
      <xdr:row>0</xdr:row>
      <xdr:rowOff>0</xdr:rowOff>
    </xdr:from>
    <xdr:to>
      <xdr:col>7</xdr:col>
      <xdr:colOff>586220</xdr:colOff>
      <xdr:row>1</xdr:row>
      <xdr:rowOff>21047</xdr:rowOff>
    </xdr:to>
    <xdr:pic>
      <xdr:nvPicPr>
        <xdr:cNvPr id="11" name="Imagem 10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638" y="0"/>
          <a:ext cx="1200150" cy="479979"/>
        </a:xfrm>
        <a:prstGeom prst="rect">
          <a:avLst/>
        </a:prstGeom>
      </xdr:spPr>
    </xdr:pic>
    <xdr:clientData/>
  </xdr:twoCellAnchor>
  <xdr:twoCellAnchor editAs="oneCell">
    <xdr:from>
      <xdr:col>0</xdr:col>
      <xdr:colOff>60613</xdr:colOff>
      <xdr:row>0</xdr:row>
      <xdr:rowOff>66675</xdr:rowOff>
    </xdr:from>
    <xdr:to>
      <xdr:col>0</xdr:col>
      <xdr:colOff>622588</xdr:colOff>
      <xdr:row>0</xdr:row>
      <xdr:rowOff>396724</xdr:rowOff>
    </xdr:to>
    <xdr:pic>
      <xdr:nvPicPr>
        <xdr:cNvPr id="12" name="Imagem 11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13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733425</xdr:colOff>
      <xdr:row>2</xdr:row>
      <xdr:rowOff>62346</xdr:rowOff>
    </xdr:from>
    <xdr:to>
      <xdr:col>8</xdr:col>
      <xdr:colOff>112571</xdr:colOff>
      <xdr:row>22</xdr:row>
      <xdr:rowOff>114300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118630</xdr:colOff>
      <xdr:row>2</xdr:row>
      <xdr:rowOff>65807</xdr:rowOff>
    </xdr:from>
    <xdr:to>
      <xdr:col>4</xdr:col>
      <xdr:colOff>571500</xdr:colOff>
      <xdr:row>22</xdr:row>
      <xdr:rowOff>123824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270163</xdr:colOff>
      <xdr:row>0</xdr:row>
      <xdr:rowOff>0</xdr:rowOff>
    </xdr:from>
    <xdr:to>
      <xdr:col>8</xdr:col>
      <xdr:colOff>252845</xdr:colOff>
      <xdr:row>1</xdr:row>
      <xdr:rowOff>21047</xdr:rowOff>
    </xdr:to>
    <xdr:pic>
      <xdr:nvPicPr>
        <xdr:cNvPr id="9" name="Imagem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6788" y="0"/>
          <a:ext cx="1201882" cy="478247"/>
        </a:xfrm>
        <a:prstGeom prst="rect">
          <a:avLst/>
        </a:prstGeom>
      </xdr:spPr>
    </xdr:pic>
    <xdr:clientData/>
  </xdr:twoCellAnchor>
  <xdr:twoCellAnchor editAs="oneCell">
    <xdr:from>
      <xdr:col>0</xdr:col>
      <xdr:colOff>60613</xdr:colOff>
      <xdr:row>0</xdr:row>
      <xdr:rowOff>66675</xdr:rowOff>
    </xdr:from>
    <xdr:to>
      <xdr:col>0</xdr:col>
      <xdr:colOff>622588</xdr:colOff>
      <xdr:row>0</xdr:row>
      <xdr:rowOff>396724</xdr:rowOff>
    </xdr:to>
    <xdr:pic>
      <xdr:nvPicPr>
        <xdr:cNvPr id="10" name="Imagem 9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13" y="66675"/>
          <a:ext cx="561975" cy="330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Views>
    <sheetView showGridLines="0" tabSelected="1" zoomScaleNormal="100" workbookViewId="0">
      <selection activeCell="A4" sqref="A4"/>
    </sheetView>
  </sheetViews>
  <sheetFormatPr defaultColWidth="9.140625" defaultRowHeight="15" customHeight="1" zeroHeight="1" x14ac:dyDescent="0.25"/>
  <cols>
    <col min="1" max="20" width="9.140625" customWidth="1"/>
  </cols>
  <sheetData>
    <row r="1" spans="1:25" s="45" customFormat="1" ht="36" customHeight="1" x14ac:dyDescent="0.25">
      <c r="A1" s="47" t="s">
        <v>54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4"/>
      <c r="V1" s="44"/>
      <c r="W1" s="44"/>
      <c r="X1" s="44"/>
      <c r="Y1" s="44"/>
    </row>
    <row r="2" spans="1:25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1:25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spans="1:25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5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</row>
    <row r="6" spans="1:25" x14ac:dyDescent="0.2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</row>
    <row r="7" spans="1:25" x14ac:dyDescent="0.25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</row>
    <row r="8" spans="1:25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</row>
    <row r="9" spans="1:25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</row>
    <row r="10" spans="1:25" ht="15" customHeight="1" x14ac:dyDescent="0.25">
      <c r="A10" s="31"/>
      <c r="B10" s="32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</row>
    <row r="11" spans="1:25" ht="15" customHeight="1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</row>
    <row r="12" spans="1:25" ht="15" customHeight="1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</row>
    <row r="13" spans="1:25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</row>
    <row r="14" spans="1:25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</row>
    <row r="15" spans="1:25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</row>
    <row r="16" spans="1:25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</row>
    <row r="17" spans="1:20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</row>
    <row r="18" spans="1:20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</row>
    <row r="19" spans="1:20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</row>
    <row r="20" spans="1:20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</row>
    <row r="21" spans="1:20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</row>
    <row r="22" spans="1:20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 spans="1:20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</row>
    <row r="24" spans="1:20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 spans="1:20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</row>
    <row r="26" spans="1:20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 spans="1:20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spans="1:20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 spans="1:20" hidden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idden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" customHeight="1" x14ac:dyDescent="0.25"/>
    <row r="32" spans="1:20" ht="15" customHeight="1" x14ac:dyDescent="0.25"/>
  </sheetData>
  <mergeCells count="1">
    <mergeCell ref="A1:T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Views>
    <sheetView showGridLines="0" workbookViewId="0">
      <selection activeCell="C5" sqref="C5:C13"/>
    </sheetView>
  </sheetViews>
  <sheetFormatPr defaultRowHeight="15" x14ac:dyDescent="0.25"/>
  <cols>
    <col min="2" max="2" width="37.7109375" customWidth="1"/>
    <col min="3" max="3" width="27.85546875" bestFit="1" customWidth="1"/>
    <col min="4" max="4" width="15.42578125" bestFit="1" customWidth="1"/>
    <col min="5" max="5" width="64.5703125" customWidth="1"/>
    <col min="6" max="6" width="33.5703125" customWidth="1"/>
  </cols>
  <sheetData>
    <row r="1" spans="1:25" s="45" customFormat="1" ht="36" customHeight="1" x14ac:dyDescent="0.25">
      <c r="A1" s="47" t="s">
        <v>55</v>
      </c>
      <c r="B1" s="48"/>
      <c r="C1" s="48"/>
      <c r="D1" s="48"/>
      <c r="E1" s="48"/>
      <c r="F1" s="48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4"/>
      <c r="V1" s="44"/>
      <c r="W1" s="44"/>
      <c r="X1" s="44"/>
      <c r="Y1" s="44"/>
    </row>
    <row r="2" spans="1:25" x14ac:dyDescent="0.25">
      <c r="B2" s="33"/>
    </row>
    <row r="3" spans="1:25" ht="15.75" thickBot="1" x14ac:dyDescent="0.3">
      <c r="B3" s="33"/>
    </row>
    <row r="4" spans="1:25" ht="30.75" customHeight="1" thickBot="1" x14ac:dyDescent="0.3">
      <c r="B4" s="34" t="s">
        <v>11</v>
      </c>
      <c r="C4" s="35" t="s">
        <v>12</v>
      </c>
      <c r="D4" s="35" t="s">
        <v>13</v>
      </c>
      <c r="E4" s="36" t="s">
        <v>20</v>
      </c>
    </row>
    <row r="5" spans="1:25" ht="41.25" customHeight="1" x14ac:dyDescent="0.25">
      <c r="B5" s="10" t="s">
        <v>1</v>
      </c>
      <c r="C5" s="4"/>
      <c r="D5" s="19">
        <f>IFERROR(C5/$C$14,0)</f>
        <v>0</v>
      </c>
      <c r="E5" s="5" t="s">
        <v>16</v>
      </c>
    </row>
    <row r="6" spans="1:25" ht="41.25" customHeight="1" x14ac:dyDescent="0.25">
      <c r="B6" s="11" t="s">
        <v>2</v>
      </c>
      <c r="C6" s="6"/>
      <c r="D6" s="20">
        <f t="shared" ref="D6:D13" si="0">IFERROR(C6/$C$14,0)</f>
        <v>0</v>
      </c>
      <c r="E6" s="7" t="s">
        <v>17</v>
      </c>
    </row>
    <row r="7" spans="1:25" ht="41.25" customHeight="1" x14ac:dyDescent="0.25">
      <c r="B7" s="11" t="s">
        <v>14</v>
      </c>
      <c r="C7" s="6"/>
      <c r="D7" s="20">
        <f t="shared" si="0"/>
        <v>0</v>
      </c>
      <c r="E7" s="7" t="s">
        <v>19</v>
      </c>
    </row>
    <row r="8" spans="1:25" ht="41.25" customHeight="1" x14ac:dyDescent="0.25">
      <c r="B8" s="11" t="s">
        <v>15</v>
      </c>
      <c r="C8" s="6"/>
      <c r="D8" s="20">
        <f t="shared" si="0"/>
        <v>0</v>
      </c>
      <c r="E8" s="7" t="s">
        <v>18</v>
      </c>
    </row>
    <row r="9" spans="1:25" ht="41.25" customHeight="1" x14ac:dyDescent="0.25">
      <c r="B9" s="11" t="s">
        <v>21</v>
      </c>
      <c r="C9" s="6"/>
      <c r="D9" s="20">
        <f t="shared" si="0"/>
        <v>0</v>
      </c>
      <c r="E9" s="7" t="s">
        <v>22</v>
      </c>
    </row>
    <row r="10" spans="1:25" ht="41.25" customHeight="1" x14ac:dyDescent="0.25">
      <c r="B10" s="11" t="s">
        <v>23</v>
      </c>
      <c r="C10" s="6"/>
      <c r="D10" s="20">
        <f t="shared" si="0"/>
        <v>0</v>
      </c>
      <c r="E10" s="7" t="s">
        <v>24</v>
      </c>
    </row>
    <row r="11" spans="1:25" ht="41.25" customHeight="1" x14ac:dyDescent="0.25">
      <c r="B11" s="11" t="s">
        <v>25</v>
      </c>
      <c r="C11" s="6"/>
      <c r="D11" s="20">
        <f t="shared" si="0"/>
        <v>0</v>
      </c>
      <c r="E11" s="7" t="s">
        <v>26</v>
      </c>
    </row>
    <row r="12" spans="1:25" ht="41.25" customHeight="1" x14ac:dyDescent="0.25">
      <c r="B12" s="11" t="s">
        <v>3</v>
      </c>
      <c r="C12" s="6"/>
      <c r="D12" s="20">
        <f t="shared" si="0"/>
        <v>0</v>
      </c>
      <c r="E12" s="7" t="s">
        <v>27</v>
      </c>
    </row>
    <row r="13" spans="1:25" ht="41.25" customHeight="1" thickBot="1" x14ac:dyDescent="0.3">
      <c r="B13" s="12" t="s">
        <v>4</v>
      </c>
      <c r="C13" s="8"/>
      <c r="D13" s="21">
        <f t="shared" si="0"/>
        <v>0</v>
      </c>
      <c r="E13" s="9" t="s">
        <v>5</v>
      </c>
    </row>
    <row r="14" spans="1:25" ht="21.75" customHeight="1" thickBot="1" x14ac:dyDescent="0.3">
      <c r="B14" s="13" t="s">
        <v>6</v>
      </c>
      <c r="C14" s="23">
        <f>SUM(C5:C13)</f>
        <v>0</v>
      </c>
      <c r="D14" s="22">
        <f>SUM(D5:D13)</f>
        <v>0</v>
      </c>
      <c r="E14" s="2"/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Views>
    <sheetView showGridLines="0" zoomScaleNormal="100" workbookViewId="0">
      <selection activeCell="C6" sqref="C6"/>
    </sheetView>
  </sheetViews>
  <sheetFormatPr defaultRowHeight="15" x14ac:dyDescent="0.25"/>
  <cols>
    <col min="1" max="1" width="9.5703125" customWidth="1"/>
    <col min="2" max="2" width="32.7109375" customWidth="1"/>
    <col min="3" max="3" width="26.7109375" customWidth="1"/>
    <col min="4" max="4" width="16.42578125" customWidth="1"/>
    <col min="5" max="5" width="14.42578125" customWidth="1"/>
    <col min="6" max="6" width="69.7109375" customWidth="1"/>
  </cols>
  <sheetData>
    <row r="1" spans="1:25" s="45" customFormat="1" ht="36" customHeight="1" x14ac:dyDescent="0.25">
      <c r="A1" s="47" t="s">
        <v>56</v>
      </c>
      <c r="B1" s="48"/>
      <c r="C1" s="48"/>
      <c r="D1" s="48"/>
      <c r="E1" s="48"/>
      <c r="F1" s="48"/>
      <c r="G1" s="48"/>
      <c r="H1" s="48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4"/>
      <c r="V1" s="44"/>
      <c r="W1" s="44"/>
      <c r="X1" s="44"/>
      <c r="Y1" s="44"/>
    </row>
    <row r="2" spans="1:25" x14ac:dyDescent="0.25">
      <c r="B2" s="33"/>
    </row>
    <row r="3" spans="1:25" ht="15.75" thickBot="1" x14ac:dyDescent="0.3">
      <c r="B3" s="3"/>
    </row>
    <row r="4" spans="1:25" ht="27.75" customHeight="1" thickBot="1" x14ac:dyDescent="0.3">
      <c r="B4" s="40" t="s">
        <v>10</v>
      </c>
      <c r="C4" s="30"/>
      <c r="D4" s="51" t="s">
        <v>53</v>
      </c>
      <c r="E4" s="52"/>
      <c r="F4" s="52"/>
    </row>
    <row r="5" spans="1:25" ht="34.5" customHeight="1" thickBot="1" x14ac:dyDescent="0.3">
      <c r="B5" s="37" t="s">
        <v>28</v>
      </c>
      <c r="C5" s="38" t="s">
        <v>30</v>
      </c>
      <c r="D5" s="38" t="s">
        <v>29</v>
      </c>
      <c r="E5" s="38" t="s">
        <v>13</v>
      </c>
      <c r="F5" s="39" t="s">
        <v>20</v>
      </c>
    </row>
    <row r="6" spans="1:25" ht="30.75" customHeight="1" x14ac:dyDescent="0.25">
      <c r="B6" s="10" t="s">
        <v>7</v>
      </c>
      <c r="C6" s="4"/>
      <c r="D6" s="24">
        <f>IF($C$4="",C6*12,C6*$C$4)</f>
        <v>0</v>
      </c>
      <c r="E6" s="25">
        <f>IFERROR(D6/$C$20,0)</f>
        <v>0</v>
      </c>
      <c r="F6" s="16" t="s">
        <v>37</v>
      </c>
    </row>
    <row r="7" spans="1:25" ht="30.75" customHeight="1" x14ac:dyDescent="0.25">
      <c r="B7" s="11" t="s">
        <v>31</v>
      </c>
      <c r="C7" s="6"/>
      <c r="D7" s="26">
        <f t="shared" ref="D7:D17" si="0">IF($C$4="",C7*12,C7*$C$4)</f>
        <v>0</v>
      </c>
      <c r="E7" s="27">
        <f t="shared" ref="E7:E16" si="1">IFERROR(D7/$C$20,0)</f>
        <v>0</v>
      </c>
      <c r="F7" s="17" t="s">
        <v>38</v>
      </c>
    </row>
    <row r="8" spans="1:25" ht="30.75" customHeight="1" x14ac:dyDescent="0.25">
      <c r="B8" s="11" t="s">
        <v>46</v>
      </c>
      <c r="C8" s="6"/>
      <c r="D8" s="26">
        <f t="shared" si="0"/>
        <v>0</v>
      </c>
      <c r="E8" s="27">
        <f t="shared" si="1"/>
        <v>0</v>
      </c>
      <c r="F8" s="17" t="s">
        <v>39</v>
      </c>
    </row>
    <row r="9" spans="1:25" ht="30.75" customHeight="1" x14ac:dyDescent="0.25">
      <c r="B9" s="11" t="s">
        <v>0</v>
      </c>
      <c r="C9" s="6"/>
      <c r="D9" s="26">
        <f t="shared" si="0"/>
        <v>0</v>
      </c>
      <c r="E9" s="27">
        <f t="shared" si="1"/>
        <v>0</v>
      </c>
      <c r="F9" s="17" t="s">
        <v>40</v>
      </c>
    </row>
    <row r="10" spans="1:25" ht="30.75" customHeight="1" x14ac:dyDescent="0.25">
      <c r="B10" s="11" t="s">
        <v>32</v>
      </c>
      <c r="C10" s="6"/>
      <c r="D10" s="26">
        <f t="shared" si="0"/>
        <v>0</v>
      </c>
      <c r="E10" s="27">
        <f>IFERROR(D10/$C$20,0)</f>
        <v>0</v>
      </c>
      <c r="F10" s="17" t="s">
        <v>47</v>
      </c>
    </row>
    <row r="11" spans="1:25" ht="30.75" customHeight="1" x14ac:dyDescent="0.25">
      <c r="B11" s="11" t="s">
        <v>41</v>
      </c>
      <c r="C11" s="6"/>
      <c r="D11" s="26">
        <f t="shared" si="0"/>
        <v>0</v>
      </c>
      <c r="E11" s="27">
        <f t="shared" si="1"/>
        <v>0</v>
      </c>
      <c r="F11" s="17" t="s">
        <v>42</v>
      </c>
    </row>
    <row r="12" spans="1:25" ht="30.75" customHeight="1" x14ac:dyDescent="0.25">
      <c r="B12" s="11" t="s">
        <v>33</v>
      </c>
      <c r="C12" s="6"/>
      <c r="D12" s="26">
        <f t="shared" si="0"/>
        <v>0</v>
      </c>
      <c r="E12" s="27">
        <f t="shared" si="1"/>
        <v>0</v>
      </c>
      <c r="F12" s="17" t="s">
        <v>43</v>
      </c>
    </row>
    <row r="13" spans="1:25" ht="30.75" customHeight="1" x14ac:dyDescent="0.25">
      <c r="B13" s="11" t="s">
        <v>34</v>
      </c>
      <c r="C13" s="6"/>
      <c r="D13" s="26">
        <f t="shared" si="0"/>
        <v>0</v>
      </c>
      <c r="E13" s="27">
        <f t="shared" si="1"/>
        <v>0</v>
      </c>
      <c r="F13" s="17" t="s">
        <v>44</v>
      </c>
    </row>
    <row r="14" spans="1:25" ht="30.75" customHeight="1" x14ac:dyDescent="0.25">
      <c r="B14" s="11" t="s">
        <v>35</v>
      </c>
      <c r="C14" s="6"/>
      <c r="D14" s="26">
        <f t="shared" si="0"/>
        <v>0</v>
      </c>
      <c r="E14" s="27">
        <f t="shared" si="1"/>
        <v>0</v>
      </c>
      <c r="F14" s="17" t="s">
        <v>50</v>
      </c>
    </row>
    <row r="15" spans="1:25" ht="30.75" customHeight="1" x14ac:dyDescent="0.25">
      <c r="B15" s="11" t="s">
        <v>36</v>
      </c>
      <c r="C15" s="6"/>
      <c r="D15" s="26">
        <f t="shared" si="0"/>
        <v>0</v>
      </c>
      <c r="E15" s="27">
        <f t="shared" si="1"/>
        <v>0</v>
      </c>
      <c r="F15" s="17" t="s">
        <v>49</v>
      </c>
    </row>
    <row r="16" spans="1:25" ht="30.75" customHeight="1" x14ac:dyDescent="0.25">
      <c r="B16" s="11" t="s">
        <v>45</v>
      </c>
      <c r="C16" s="6"/>
      <c r="D16" s="26">
        <f t="shared" si="0"/>
        <v>0</v>
      </c>
      <c r="E16" s="27">
        <f t="shared" si="1"/>
        <v>0</v>
      </c>
      <c r="F16" s="17" t="s">
        <v>48</v>
      </c>
    </row>
    <row r="17" spans="2:6" ht="30.75" customHeight="1" thickBot="1" x14ac:dyDescent="0.3">
      <c r="B17" s="12" t="s">
        <v>8</v>
      </c>
      <c r="C17" s="8"/>
      <c r="D17" s="28">
        <f t="shared" si="0"/>
        <v>0</v>
      </c>
      <c r="E17" s="29">
        <f>IFERROR(D17/$C$20,0)</f>
        <v>0</v>
      </c>
      <c r="F17" s="18" t="s">
        <v>51</v>
      </c>
    </row>
    <row r="18" spans="2:6" ht="32.25" customHeight="1" thickBot="1" x14ac:dyDescent="0.3">
      <c r="B18" s="41" t="s">
        <v>9</v>
      </c>
      <c r="C18" s="42">
        <f>SUM(C6:C17)</f>
        <v>0</v>
      </c>
      <c r="D18" s="42">
        <f>IF($C$4="",C18*12,C18*$C$4)</f>
        <v>0</v>
      </c>
      <c r="E18" s="43">
        <f>IFERROR(D18/$C$20,0)</f>
        <v>0</v>
      </c>
      <c r="F18" s="2"/>
    </row>
    <row r="19" spans="2:6" ht="11.25" customHeight="1" thickBot="1" x14ac:dyDescent="0.3"/>
    <row r="20" spans="2:6" ht="26.25" customHeight="1" thickBot="1" x14ac:dyDescent="0.3">
      <c r="B20" s="41" t="s">
        <v>52</v>
      </c>
      <c r="C20" s="49">
        <f>IF($C$4="",$C$18*12,$C$18*$C$4)</f>
        <v>0</v>
      </c>
      <c r="D20" s="49"/>
      <c r="E20" s="50"/>
    </row>
    <row r="21" spans="2:6" x14ac:dyDescent="0.25">
      <c r="B21" s="14"/>
    </row>
    <row r="22" spans="2:6" x14ac:dyDescent="0.25">
      <c r="B22" s="14"/>
    </row>
    <row r="23" spans="2:6" x14ac:dyDescent="0.25">
      <c r="B23" s="14"/>
    </row>
    <row r="24" spans="2:6" x14ac:dyDescent="0.25">
      <c r="B24" s="15"/>
    </row>
    <row r="25" spans="2:6" x14ac:dyDescent="0.25">
      <c r="B25" s="14"/>
    </row>
    <row r="26" spans="2:6" x14ac:dyDescent="0.25">
      <c r="B26" s="14"/>
    </row>
    <row r="27" spans="2:6" x14ac:dyDescent="0.25">
      <c r="B27" s="14"/>
    </row>
    <row r="28" spans="2:6" x14ac:dyDescent="0.25">
      <c r="B28" s="14"/>
    </row>
  </sheetData>
  <mergeCells count="3">
    <mergeCell ref="C20:E20"/>
    <mergeCell ref="D4:F4"/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Views>
    <sheetView showGridLines="0" zoomScaleNormal="100" workbookViewId="0">
      <selection sqref="A1:H1"/>
    </sheetView>
  </sheetViews>
  <sheetFormatPr defaultRowHeight="15" x14ac:dyDescent="0.25"/>
  <cols>
    <col min="1" max="1" width="9.5703125" customWidth="1"/>
    <col min="2" max="2" width="32.7109375" customWidth="1"/>
    <col min="3" max="3" width="26.7109375" customWidth="1"/>
    <col min="4" max="4" width="13.28515625" bestFit="1" customWidth="1"/>
    <col min="5" max="5" width="14.42578125" customWidth="1"/>
    <col min="6" max="6" width="69.7109375" customWidth="1"/>
  </cols>
  <sheetData>
    <row r="1" spans="1:25" s="45" customFormat="1" ht="36" customHeight="1" x14ac:dyDescent="0.25">
      <c r="A1" s="47" t="s">
        <v>57</v>
      </c>
      <c r="B1" s="48"/>
      <c r="C1" s="48"/>
      <c r="D1" s="48"/>
      <c r="E1" s="48"/>
      <c r="F1" s="48"/>
      <c r="G1" s="48"/>
      <c r="H1" s="48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4"/>
      <c r="V1" s="44"/>
      <c r="W1" s="44"/>
      <c r="X1" s="44"/>
      <c r="Y1" s="44"/>
    </row>
    <row r="2" spans="1:25" x14ac:dyDescent="0.25">
      <c r="B2" s="33"/>
    </row>
    <row r="3" spans="1:25" x14ac:dyDescent="0.25">
      <c r="B3" s="3"/>
    </row>
    <row r="4" spans="1:25" ht="21" customHeight="1" x14ac:dyDescent="0.25"/>
    <row r="5" spans="1:25" x14ac:dyDescent="0.25">
      <c r="B5" s="14"/>
    </row>
    <row r="6" spans="1:25" x14ac:dyDescent="0.25">
      <c r="B6" s="14"/>
    </row>
    <row r="7" spans="1:25" x14ac:dyDescent="0.25">
      <c r="B7" s="14"/>
    </row>
    <row r="8" spans="1:25" x14ac:dyDescent="0.25">
      <c r="B8" s="15"/>
    </row>
    <row r="9" spans="1:25" x14ac:dyDescent="0.25">
      <c r="B9" s="14"/>
    </row>
    <row r="10" spans="1:25" x14ac:dyDescent="0.25">
      <c r="B10" s="14"/>
    </row>
    <row r="11" spans="1:25" x14ac:dyDescent="0.25">
      <c r="B11" s="14"/>
    </row>
    <row r="12" spans="1:25" x14ac:dyDescent="0.25">
      <c r="B12" s="14"/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Início</vt:lpstr>
      <vt:lpstr>Custos de Abertura</vt:lpstr>
      <vt:lpstr>Custos Mensais</vt:lpstr>
      <vt:lpstr>Gráficos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 delesporte</dc:creator>
  <cp:lastModifiedBy>Usuário do Windows</cp:lastModifiedBy>
  <cp:lastPrinted>2013-12-02T19:39:57Z</cp:lastPrinted>
  <dcterms:created xsi:type="dcterms:W3CDTF">2013-11-08T16:18:50Z</dcterms:created>
  <dcterms:modified xsi:type="dcterms:W3CDTF">2018-04-19T13:06:12Z</dcterms:modified>
</cp:coreProperties>
</file>