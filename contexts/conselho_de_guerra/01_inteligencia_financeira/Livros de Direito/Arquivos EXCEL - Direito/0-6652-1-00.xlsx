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bd\AC\Temp\"/>
    </mc:Choice>
  </mc:AlternateContent>
  <xr:revisionPtr revIDLastSave="0" documentId="8_{21CC5ACD-F15B-704C-9EBB-18AD0D45778C}" xr6:coauthVersionLast="36" xr6:coauthVersionMax="36" xr10:uidLastSave="{00000000-0000-0000-0000-000000000000}"/>
  <bookViews>
    <workbookView xWindow="32760" yWindow="32760" windowWidth="15390" windowHeight="8025" xr2:uid="{00000000-000D-0000-FFFF-FFFF00000000}"/>
  </bookViews>
  <sheets>
    <sheet name="Preço Serv" sheetId="1" r:id="rId1"/>
  </sheets>
  <definedNames>
    <definedName name="_xlnm.Print_Area" localSheetId="0">'Preço Serv'!$A$1:$N$69</definedName>
  </definedNames>
  <calcPr calcId="179020"/>
</workbook>
</file>

<file path=xl/calcChain.xml><?xml version="1.0" encoding="utf-8"?>
<calcChain xmlns="http://schemas.openxmlformats.org/spreadsheetml/2006/main">
  <c r="H60" i="1" l="1"/>
  <c r="J8" i="1"/>
  <c r="J9" i="1"/>
  <c r="J10" i="1"/>
  <c r="J11" i="1"/>
  <c r="J12" i="1"/>
  <c r="H8" i="1"/>
  <c r="H9" i="1"/>
  <c r="H10" i="1"/>
  <c r="H11" i="1"/>
  <c r="H12" i="1"/>
  <c r="K12" i="1"/>
  <c r="L12" i="1"/>
  <c r="M12" i="1"/>
  <c r="M13" i="1"/>
  <c r="F39" i="1"/>
  <c r="G19" i="1"/>
  <c r="G17" i="1"/>
  <c r="M36" i="1"/>
  <c r="E37" i="1"/>
  <c r="K8" i="1"/>
  <c r="M8" i="1"/>
  <c r="K11" i="1"/>
  <c r="M11" i="1"/>
  <c r="E12" i="1"/>
  <c r="M51" i="1"/>
  <c r="M53" i="1"/>
  <c r="H59" i="1"/>
  <c r="H61" i="1"/>
  <c r="M63" i="1"/>
  <c r="K10" i="1"/>
  <c r="M10" i="1"/>
  <c r="K9" i="1"/>
  <c r="M9" i="1"/>
  <c r="M37" i="1"/>
  <c r="J37" i="1"/>
  <c r="H38" i="1"/>
  <c r="M38" i="1"/>
  <c r="K39" i="1"/>
  <c r="M39" i="1"/>
  <c r="M54" i="1"/>
  <c r="T52" i="1"/>
  <c r="M64" i="1"/>
</calcChain>
</file>

<file path=xl/sharedStrings.xml><?xml version="1.0" encoding="utf-8"?>
<sst xmlns="http://schemas.openxmlformats.org/spreadsheetml/2006/main" count="137" uniqueCount="135">
  <si>
    <t>PLANILHA DE CUSTOS E PREÇO DOS SERVIÇOS</t>
  </si>
  <si>
    <t>SERVIÇO:</t>
  </si>
  <si>
    <t>DATA:</t>
  </si>
  <si>
    <t xml:space="preserve">  /        /</t>
  </si>
  <si>
    <t>1.0</t>
  </si>
  <si>
    <t>MÃO-DE-OBRA DIRETA - MDO</t>
  </si>
  <si>
    <t>Função</t>
  </si>
  <si>
    <t xml:space="preserve">Qt </t>
  </si>
  <si>
    <t>Salário</t>
  </si>
  <si>
    <t>Encargos</t>
  </si>
  <si>
    <t>HORAS</t>
  </si>
  <si>
    <t>Custo Serviço</t>
  </si>
  <si>
    <t>R$</t>
  </si>
  <si>
    <t>%</t>
  </si>
  <si>
    <t>Empregado/ Mês</t>
  </si>
  <si>
    <t>Disponíveis / MÊS</t>
  </si>
  <si>
    <t>Custo / hora           R$</t>
  </si>
  <si>
    <t>Tempo gasto serviço (h)</t>
  </si>
  <si>
    <t>Custo MDO R$</t>
  </si>
  <si>
    <t>1.1</t>
  </si>
  <si>
    <t>1.2</t>
  </si>
  <si>
    <t>1.3</t>
  </si>
  <si>
    <t>1.4</t>
  </si>
  <si>
    <t>1.5</t>
  </si>
  <si>
    <t>Sub-total</t>
  </si>
  <si>
    <t>1.6</t>
  </si>
  <si>
    <t>2.0</t>
  </si>
  <si>
    <t>DESPESAS FIXAS</t>
  </si>
  <si>
    <t>Despesa Fixas</t>
  </si>
  <si>
    <t>2.1</t>
  </si>
  <si>
    <t>2.2</t>
  </si>
  <si>
    <t>2.3</t>
  </si>
  <si>
    <t>Salários administrativos</t>
  </si>
  <si>
    <t>2.4</t>
  </si>
  <si>
    <t>2.5</t>
  </si>
  <si>
    <t>Seguros</t>
  </si>
  <si>
    <t>2.6</t>
  </si>
  <si>
    <t>Despesas bancárias</t>
  </si>
  <si>
    <t>2.7</t>
  </si>
  <si>
    <t>Juros</t>
  </si>
  <si>
    <t>2.8</t>
  </si>
  <si>
    <t xml:space="preserve">Honorários contábeis </t>
  </si>
  <si>
    <t>2.9</t>
  </si>
  <si>
    <t>Material de expediente</t>
  </si>
  <si>
    <t>2.10</t>
  </si>
  <si>
    <t>Aluguel</t>
  </si>
  <si>
    <t>2.11</t>
  </si>
  <si>
    <t>2.12</t>
  </si>
  <si>
    <t>Água</t>
  </si>
  <si>
    <t>2.13</t>
  </si>
  <si>
    <t xml:space="preserve">Luz </t>
  </si>
  <si>
    <t>2.14</t>
  </si>
  <si>
    <t>Telefone</t>
  </si>
  <si>
    <t>2.15</t>
  </si>
  <si>
    <t>Propaganda</t>
  </si>
  <si>
    <t>2.16</t>
  </si>
  <si>
    <t>2.17</t>
  </si>
  <si>
    <t>Manutenção</t>
  </si>
  <si>
    <t>2.18</t>
  </si>
  <si>
    <t>2.19</t>
  </si>
  <si>
    <t>2.20</t>
  </si>
  <si>
    <t>TOTAL DESPESAS FIXAS</t>
  </si>
  <si>
    <t xml:space="preserve">RATEIO DAS DESPESAS FIXAS </t>
  </si>
  <si>
    <t>PELAS</t>
  </si>
  <si>
    <t xml:space="preserve"> HORAS DISPONÍVEIS NO MÊS</t>
  </si>
  <si>
    <t>X</t>
  </si>
  <si>
    <t>TEMPO GASTO SERVIÇO</t>
  </si>
  <si>
    <t>CUSTO DA TOTAL DA MDO  =</t>
  </si>
  <si>
    <t>MDO ( 1.6 )</t>
  </si>
  <si>
    <t xml:space="preserve"> +</t>
  </si>
  <si>
    <t>RATEIO DESP FIXA ( 3 )</t>
  </si>
  <si>
    <t>6.0</t>
  </si>
  <si>
    <t>DESPESAS DE COMERCIALIZAÇÃO</t>
  </si>
  <si>
    <t>6.1</t>
  </si>
  <si>
    <t>Despesas Comercialização</t>
  </si>
  <si>
    <t>6.2</t>
  </si>
  <si>
    <t>ISS</t>
  </si>
  <si>
    <t>Consulte o seu contador</t>
  </si>
  <si>
    <t>6.3</t>
  </si>
  <si>
    <t>COFINS (3 %)</t>
  </si>
  <si>
    <t>6.4</t>
  </si>
  <si>
    <t>PIS ( 0,65 %)</t>
  </si>
  <si>
    <t>6.5</t>
  </si>
  <si>
    <t>COMISSÕES</t>
  </si>
  <si>
    <t>6.6</t>
  </si>
  <si>
    <t>SIMPLES</t>
  </si>
  <si>
    <t>6.7</t>
  </si>
  <si>
    <t>CPMF</t>
  </si>
  <si>
    <t>6.8</t>
  </si>
  <si>
    <t>IPI</t>
  </si>
  <si>
    <t>6.9</t>
  </si>
  <si>
    <t>Contribuição social (1%)</t>
  </si>
  <si>
    <t>6.10</t>
  </si>
  <si>
    <t>6.11</t>
  </si>
  <si>
    <t>(%) TOTAL DE DESPESAS DE COMERCIALIZAÇÃO</t>
  </si>
  <si>
    <t>(%) LUCRO DESEJADO</t>
  </si>
  <si>
    <t>(%) DESPESAS COMERC + LUCRO</t>
  </si>
  <si>
    <t>{100 - [(%) DESP COM + (%) LUCRO]}</t>
  </si>
  <si>
    <t>CUSTO MATERIAL APLICADO  CALCULADO A PREÇO DE VENDA DO COMÉRCIO</t>
  </si>
  <si>
    <t>Materiais</t>
  </si>
  <si>
    <t>Unid</t>
  </si>
  <si>
    <t>Qt</t>
  </si>
  <si>
    <t>PREÇO R$</t>
  </si>
  <si>
    <t>Unitário</t>
  </si>
  <si>
    <t>Total</t>
  </si>
  <si>
    <t>10.1</t>
  </si>
  <si>
    <t>10.2</t>
  </si>
  <si>
    <t>10.3</t>
  </si>
  <si>
    <t>10.4</t>
  </si>
  <si>
    <t>CUSTO TOTAL MATERIAL APLICADO</t>
  </si>
  <si>
    <t>PREÇO FINAL = PREÇO DO SERVIÇO + CUSTO MATERIAL APLICADO</t>
  </si>
  <si>
    <t>ATENÇÃO: AS PLANILHAS ESTÃO PROTEGIDAS PARA EVITAR QUE ERROS DE DIGITAÇÃO MODIFIQUEM SUA ESTRUTURA.</t>
  </si>
  <si>
    <t>PARA MODIFICÁ-LA, CLIQUE EM FERRAMENTAS, DESPROTEGER PLANILHA. NÃO TEM SENHA.</t>
  </si>
  <si>
    <t>As células em verde estão liberadas para digitação de dados.</t>
  </si>
  <si>
    <t>Salário + Encargos R$</t>
  </si>
  <si>
    <t>CUSTO DA MDO</t>
  </si>
  <si>
    <t>RATEIO DA DESP FIXA</t>
  </si>
  <si>
    <t xml:space="preserve">DESP FIXA DO SERVIÇO =  </t>
  </si>
  <si>
    <t>Encargos sociais sobre pró-labore (%)</t>
  </si>
  <si>
    <t>Encargos sociais s/ sal. administrativos (%)</t>
  </si>
  <si>
    <t>Despesas de materiais de limpeza</t>
  </si>
  <si>
    <t>Depesas com Transporte (Ônibus, táxi, correios, et.)</t>
  </si>
  <si>
    <t>Outros (maq. Cartão)</t>
  </si>
  <si>
    <t>Pró-labore - administração</t>
  </si>
  <si>
    <t>potencial de lucro liquido por serviço</t>
  </si>
  <si>
    <t>PREÇO  DO  SERVIÇO =    (sugerido )</t>
  </si>
  <si>
    <t>Uniforme e EPI</t>
  </si>
  <si>
    <t>(CUSTO TOTAL DA MDO) x 100   =</t>
  </si>
  <si>
    <t>site e material diversos - cartões, folder...</t>
  </si>
  <si>
    <t>copa e descartáveis</t>
  </si>
  <si>
    <t>taxa de cartão</t>
  </si>
  <si>
    <t>Funcionário 1</t>
  </si>
  <si>
    <t>Funcionário 2</t>
  </si>
  <si>
    <t>Funcionário 3</t>
  </si>
  <si>
    <t>Funcionário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</si>
</sst>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\-??_);_(@_)"/>
    <numFmt numFmtId="165" formatCode="_(* #,##0_);_(* \(#,##0\);_(* \-??_);_(@_)"/>
    <numFmt numFmtId="166" formatCode="0.0%"/>
  </numFmts>
  <fonts count="11" x14ac:knownFonts="1"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Script"/>
      <family val="4"/>
    </font>
    <font>
      <sz val="12"/>
      <name val="Arial"/>
      <family val="2"/>
    </font>
    <font>
      <b/>
      <sz val="10"/>
      <name val="Arial"/>
      <family val="2"/>
    </font>
    <font>
      <sz val="12"/>
      <color indexed="1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31"/>
      </patternFill>
    </fill>
  </fills>
  <borders count="26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8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164" fontId="8" fillId="0" borderId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2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1" xfId="0" applyFont="1" applyBorder="1"/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0" xfId="0" applyFont="1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7" xfId="0" applyFont="1" applyBorder="1"/>
    <xf numFmtId="0" fontId="5" fillId="2" borderId="8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4" fillId="3" borderId="5" xfId="0" applyFont="1" applyFill="1" applyBorder="1" applyProtection="1"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164" fontId="4" fillId="3" borderId="5" xfId="2" applyFont="1" applyFill="1" applyBorder="1" applyAlignment="1" applyProtection="1">
      <protection locked="0"/>
    </xf>
    <xf numFmtId="164" fontId="4" fillId="4" borderId="9" xfId="2" applyFont="1" applyFill="1" applyBorder="1" applyAlignment="1" applyProtection="1"/>
    <xf numFmtId="0" fontId="4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65" fontId="4" fillId="3" borderId="5" xfId="2" applyNumberFormat="1" applyFont="1" applyFill="1" applyBorder="1" applyAlignment="1" applyProtection="1">
      <alignment horizontal="center"/>
      <protection locked="0"/>
    </xf>
    <xf numFmtId="164" fontId="4" fillId="4" borderId="5" xfId="2" applyFont="1" applyFill="1" applyBorder="1" applyAlignment="1" applyProtection="1"/>
    <xf numFmtId="0" fontId="4" fillId="0" borderId="10" xfId="0" applyFont="1" applyBorder="1"/>
    <xf numFmtId="0" fontId="4" fillId="4" borderId="10" xfId="0" applyFont="1" applyFill="1" applyBorder="1" applyAlignment="1">
      <alignment horizontal="center"/>
    </xf>
    <xf numFmtId="0" fontId="4" fillId="4" borderId="10" xfId="0" applyFont="1" applyFill="1" applyBorder="1"/>
    <xf numFmtId="164" fontId="4" fillId="4" borderId="10" xfId="2" applyFont="1" applyFill="1" applyBorder="1" applyAlignment="1" applyProtection="1"/>
    <xf numFmtId="164" fontId="4" fillId="4" borderId="10" xfId="0" applyNumberFormat="1" applyFont="1" applyFill="1" applyBorder="1" applyAlignment="1">
      <alignment horizontal="center"/>
    </xf>
    <xf numFmtId="165" fontId="4" fillId="4" borderId="10" xfId="2" applyNumberFormat="1" applyFont="1" applyFill="1" applyBorder="1" applyAlignment="1" applyProtection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164" fontId="6" fillId="0" borderId="12" xfId="2" applyFont="1" applyFill="1" applyBorder="1" applyAlignment="1" applyProtection="1">
      <alignment vertical="center"/>
    </xf>
    <xf numFmtId="164" fontId="6" fillId="0" borderId="12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4" fontId="4" fillId="0" borderId="0" xfId="2" applyFont="1" applyFill="1" applyBorder="1" applyAlignment="1" applyProtection="1">
      <alignment vertical="center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Border="1"/>
    <xf numFmtId="0" fontId="7" fillId="0" borderId="0" xfId="0" applyFont="1" applyBorder="1" applyAlignment="1">
      <alignment horizontal="right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4" fillId="0" borderId="15" xfId="0" applyFont="1" applyBorder="1"/>
    <xf numFmtId="164" fontId="4" fillId="3" borderId="10" xfId="2" applyFont="1" applyFill="1" applyBorder="1" applyAlignment="1" applyProtection="1">
      <protection locked="0"/>
    </xf>
    <xf numFmtId="0" fontId="4" fillId="0" borderId="11" xfId="0" applyFont="1" applyBorder="1" applyAlignment="1">
      <alignment horizontal="left"/>
    </xf>
    <xf numFmtId="0" fontId="4" fillId="0" borderId="12" xfId="0" applyFont="1" applyBorder="1"/>
    <xf numFmtId="0" fontId="1" fillId="0" borderId="12" xfId="0" applyFont="1" applyBorder="1"/>
    <xf numFmtId="164" fontId="4" fillId="0" borderId="12" xfId="2" applyFont="1" applyFill="1" applyBorder="1" applyAlignment="1" applyProtection="1">
      <protection locked="0"/>
    </xf>
    <xf numFmtId="164" fontId="7" fillId="4" borderId="16" xfId="0" applyNumberFormat="1" applyFont="1" applyFill="1" applyBorder="1" applyAlignment="1">
      <alignment horizontal="right"/>
    </xf>
    <xf numFmtId="164" fontId="4" fillId="4" borderId="0" xfId="0" applyNumberFormat="1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164" fontId="4" fillId="0" borderId="17" xfId="0" applyNumberFormat="1" applyFont="1" applyBorder="1" applyAlignment="1">
      <alignment vertical="center"/>
    </xf>
    <xf numFmtId="164" fontId="7" fillId="4" borderId="18" xfId="2" applyFont="1" applyFill="1" applyBorder="1" applyAlignment="1" applyProtection="1">
      <alignment horizontal="righ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4" fillId="4" borderId="17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164" fontId="4" fillId="4" borderId="12" xfId="0" applyNumberFormat="1" applyFont="1" applyFill="1" applyBorder="1" applyAlignment="1">
      <alignment vertical="center"/>
    </xf>
    <xf numFmtId="164" fontId="7" fillId="4" borderId="16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164" fontId="5" fillId="4" borderId="12" xfId="0" applyNumberFormat="1" applyFont="1" applyFill="1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vertical="center"/>
    </xf>
    <xf numFmtId="164" fontId="0" fillId="0" borderId="19" xfId="0" applyNumberFormat="1" applyFont="1" applyBorder="1" applyAlignment="1">
      <alignment vertical="center"/>
    </xf>
    <xf numFmtId="0" fontId="1" fillId="2" borderId="0" xfId="0" applyFont="1" applyFill="1" applyBorder="1"/>
    <xf numFmtId="0" fontId="1" fillId="2" borderId="5" xfId="0" applyFont="1" applyFill="1" applyBorder="1" applyAlignment="1" applyProtection="1">
      <alignment horizontal="left"/>
    </xf>
    <xf numFmtId="0" fontId="4" fillId="0" borderId="5" xfId="0" applyFont="1" applyBorder="1" applyAlignment="1" applyProtection="1">
      <alignment vertical="center"/>
      <protection locked="0"/>
    </xf>
    <xf numFmtId="0" fontId="1" fillId="0" borderId="11" xfId="0" applyFont="1" applyBorder="1"/>
    <xf numFmtId="0" fontId="4" fillId="0" borderId="19" xfId="0" applyFont="1" applyBorder="1"/>
    <xf numFmtId="0" fontId="4" fillId="0" borderId="10" xfId="0" applyFont="1" applyBorder="1" applyAlignment="1" applyProtection="1">
      <alignment vertical="center"/>
      <protection locked="0"/>
    </xf>
    <xf numFmtId="0" fontId="1" fillId="0" borderId="12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2" fontId="4" fillId="0" borderId="3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4" fillId="0" borderId="17" xfId="0" applyFont="1" applyBorder="1"/>
    <xf numFmtId="0" fontId="4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164" fontId="1" fillId="2" borderId="5" xfId="2" applyFont="1" applyFill="1" applyBorder="1" applyAlignment="1" applyProtection="1">
      <alignment horizontal="center" vertical="center"/>
    </xf>
    <xf numFmtId="164" fontId="4" fillId="4" borderId="5" xfId="2" applyFont="1" applyFill="1" applyBorder="1" applyAlignment="1" applyProtection="1">
      <alignment horizontal="center"/>
    </xf>
    <xf numFmtId="0" fontId="1" fillId="0" borderId="11" xfId="0" applyFont="1" applyBorder="1" applyAlignment="1">
      <alignment horizontal="left" vertical="center"/>
    </xf>
    <xf numFmtId="164" fontId="4" fillId="0" borderId="12" xfId="0" applyNumberFormat="1" applyFont="1" applyBorder="1" applyAlignment="1">
      <alignment vertical="center"/>
    </xf>
    <xf numFmtId="164" fontId="4" fillId="0" borderId="19" xfId="0" applyNumberFormat="1" applyFont="1" applyBorder="1" applyAlignment="1">
      <alignment vertical="center"/>
    </xf>
    <xf numFmtId="0" fontId="4" fillId="0" borderId="20" xfId="0" applyFont="1" applyBorder="1"/>
    <xf numFmtId="0" fontId="4" fillId="0" borderId="17" xfId="0" applyFont="1" applyBorder="1" applyAlignment="1">
      <alignment horizontal="right"/>
    </xf>
    <xf numFmtId="0" fontId="4" fillId="0" borderId="21" xfId="0" applyFont="1" applyBorder="1" applyAlignment="1">
      <alignment vertical="center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1" fillId="5" borderId="12" xfId="0" applyFont="1" applyFill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4" fillId="0" borderId="22" xfId="0" applyFont="1" applyBorder="1" applyAlignment="1" applyProtection="1">
      <alignment vertical="center"/>
      <protection locked="0"/>
    </xf>
    <xf numFmtId="164" fontId="9" fillId="3" borderId="5" xfId="2" applyFont="1" applyFill="1" applyBorder="1" applyAlignment="1" applyProtection="1">
      <alignment horizontal="center"/>
      <protection locked="0"/>
    </xf>
    <xf numFmtId="164" fontId="9" fillId="4" borderId="10" xfId="2" applyFont="1" applyFill="1" applyBorder="1" applyAlignment="1">
      <alignment horizontal="center"/>
    </xf>
    <xf numFmtId="43" fontId="4" fillId="4" borderId="10" xfId="0" applyNumberFormat="1" applyFont="1" applyFill="1" applyBorder="1" applyAlignment="1">
      <alignment horizontal="center"/>
    </xf>
    <xf numFmtId="164" fontId="10" fillId="4" borderId="16" xfId="0" applyNumberFormat="1" applyFont="1" applyFill="1" applyBorder="1" applyAlignment="1">
      <alignment vertical="center"/>
    </xf>
    <xf numFmtId="43" fontId="7" fillId="0" borderId="0" xfId="0" applyNumberFormat="1" applyFont="1" applyBorder="1" applyAlignment="1">
      <alignment horizontal="right"/>
    </xf>
    <xf numFmtId="2" fontId="7" fillId="0" borderId="0" xfId="0" applyNumberFormat="1" applyFont="1" applyBorder="1" applyAlignment="1">
      <alignment horizontal="right"/>
    </xf>
    <xf numFmtId="10" fontId="4" fillId="3" borderId="5" xfId="1" applyNumberFormat="1" applyFont="1" applyFill="1" applyBorder="1" applyAlignment="1" applyProtection="1">
      <alignment horizontal="center"/>
      <protection locked="0"/>
    </xf>
    <xf numFmtId="10" fontId="7" fillId="4" borderId="16" xfId="1" applyNumberFormat="1" applyFont="1" applyFill="1" applyBorder="1" applyAlignment="1" applyProtection="1">
      <alignment horizontal="right" vertical="center"/>
    </xf>
    <xf numFmtId="43" fontId="4" fillId="0" borderId="0" xfId="0" applyNumberFormat="1" applyFont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166" fontId="7" fillId="3" borderId="16" xfId="1" applyNumberFormat="1" applyFont="1" applyFill="1" applyBorder="1" applyAlignment="1" applyProtection="1">
      <alignment horizontal="right" vertical="center"/>
      <protection locked="0"/>
    </xf>
    <xf numFmtId="166" fontId="7" fillId="4" borderId="23" xfId="1" applyNumberFormat="1" applyFont="1" applyFill="1" applyBorder="1" applyAlignment="1" applyProtection="1">
      <alignment horizontal="right" vertical="center"/>
    </xf>
    <xf numFmtId="10" fontId="1" fillId="3" borderId="10" xfId="1" applyNumberFormat="1" applyFont="1" applyFill="1" applyBorder="1" applyAlignment="1" applyProtection="1">
      <alignment horizontal="center"/>
      <protection locked="0"/>
    </xf>
    <xf numFmtId="164" fontId="7" fillId="4" borderId="23" xfId="2" applyFont="1" applyFill="1" applyBorder="1" applyAlignment="1" applyProtection="1">
      <alignment vertical="center"/>
    </xf>
    <xf numFmtId="164" fontId="7" fillId="4" borderId="18" xfId="2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197"/>
  <sheetViews>
    <sheetView tabSelected="1" zoomScale="86" zoomScaleNormal="86" workbookViewId="0" xr3:uid="{AEA406A1-0E4B-5B11-9CD5-51D6E497D94C}">
      <selection activeCell="G60" sqref="G60"/>
    </sheetView>
  </sheetViews>
  <sheetFormatPr defaultRowHeight="12.75" x14ac:dyDescent="0.15"/>
  <cols>
    <col min="1" max="1" width="3.37109375" customWidth="1"/>
    <col min="2" max="2" width="6.203125" customWidth="1"/>
    <col min="3" max="3" width="4.3125" customWidth="1"/>
    <col min="4" max="4" width="33.578125" customWidth="1"/>
    <col min="5" max="5" width="12.40625" customWidth="1"/>
    <col min="6" max="7" width="11.73046875" customWidth="1"/>
    <col min="8" max="8" width="12.9453125" customWidth="1"/>
    <col min="9" max="9" width="12.80859375" customWidth="1"/>
    <col min="10" max="10" width="12.67578125" customWidth="1"/>
    <col min="11" max="12" width="12.26953125" customWidth="1"/>
    <col min="13" max="13" width="14.5625" customWidth="1"/>
    <col min="14" max="14" width="1.75" customWidth="1"/>
  </cols>
  <sheetData>
    <row r="2" spans="1:14" s="1" customFormat="1" ht="34.5" customHeight="1" x14ac:dyDescent="0.15">
      <c r="B2" s="136" t="s">
        <v>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</row>
    <row r="3" spans="1:14" s="1" customFormat="1" ht="34.5" customHeight="1" x14ac:dyDescent="0.15"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2"/>
    </row>
    <row r="4" spans="1:14" s="3" customFormat="1" ht="36" customHeight="1" x14ac:dyDescent="0.15">
      <c r="B4" s="4" t="s">
        <v>1</v>
      </c>
      <c r="C4" s="5"/>
      <c r="D4" s="5"/>
      <c r="E4" s="5"/>
      <c r="F4" s="5"/>
      <c r="G4" s="5"/>
      <c r="H4" s="5"/>
      <c r="I4" s="5"/>
      <c r="J4" s="5"/>
      <c r="K4" s="5" t="s">
        <v>2</v>
      </c>
      <c r="L4" s="5"/>
      <c r="M4" s="5" t="s">
        <v>3</v>
      </c>
      <c r="N4" s="6"/>
    </row>
    <row r="5" spans="1:14" s="7" customFormat="1" ht="23.25" customHeight="1" x14ac:dyDescent="0.15">
      <c r="B5" s="8" t="s">
        <v>4</v>
      </c>
      <c r="C5" s="9" t="s">
        <v>5</v>
      </c>
      <c r="D5" s="9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4" s="3" customFormat="1" ht="14.25" x14ac:dyDescent="0.15">
      <c r="B6" s="12"/>
      <c r="C6" s="13"/>
      <c r="D6" s="129" t="s">
        <v>6</v>
      </c>
      <c r="E6" s="129" t="s">
        <v>7</v>
      </c>
      <c r="F6" s="15" t="s">
        <v>8</v>
      </c>
      <c r="G6" s="16" t="s">
        <v>9</v>
      </c>
      <c r="H6" s="138" t="s">
        <v>114</v>
      </c>
      <c r="I6" s="139" t="s">
        <v>10</v>
      </c>
      <c r="J6" s="139"/>
      <c r="K6" s="140" t="s">
        <v>11</v>
      </c>
      <c r="L6" s="140"/>
      <c r="M6" s="140"/>
      <c r="N6" s="17"/>
    </row>
    <row r="7" spans="1:14" s="3" customFormat="1" ht="24" x14ac:dyDescent="0.15">
      <c r="B7" s="12"/>
      <c r="C7" s="13"/>
      <c r="D7" s="129"/>
      <c r="E7" s="129"/>
      <c r="F7" s="15" t="s">
        <v>12</v>
      </c>
      <c r="G7" s="16" t="s">
        <v>13</v>
      </c>
      <c r="H7" s="138"/>
      <c r="I7" s="18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7"/>
    </row>
    <row r="8" spans="1:14" s="3" customFormat="1" ht="14.25" x14ac:dyDescent="0.15">
      <c r="B8" s="12" t="s">
        <v>19</v>
      </c>
      <c r="C8" s="13"/>
      <c r="D8" s="20" t="s">
        <v>131</v>
      </c>
      <c r="E8" s="21"/>
      <c r="F8" s="113"/>
      <c r="G8" s="22"/>
      <c r="H8" s="23">
        <f>E8*F8*(100+G8)/100</f>
        <v>0</v>
      </c>
      <c r="I8" s="21"/>
      <c r="J8" s="24">
        <f>E8*I8</f>
        <v>0</v>
      </c>
      <c r="K8" s="25">
        <f>IF(J8=0,0,H8/J8)</f>
        <v>0</v>
      </c>
      <c r="L8" s="26"/>
      <c r="M8" s="27">
        <f>K8*L8</f>
        <v>0</v>
      </c>
      <c r="N8" s="17"/>
    </row>
    <row r="9" spans="1:14" s="3" customFormat="1" ht="14.25" x14ac:dyDescent="0.15">
      <c r="B9" s="12" t="s">
        <v>20</v>
      </c>
      <c r="C9" s="13"/>
      <c r="D9" s="20" t="s">
        <v>132</v>
      </c>
      <c r="E9" s="21"/>
      <c r="F9" s="113"/>
      <c r="G9" s="22"/>
      <c r="H9" s="27">
        <f>E9*F9*(100+G9)/100</f>
        <v>0</v>
      </c>
      <c r="I9" s="21"/>
      <c r="J9" s="24">
        <f>E9*I9</f>
        <v>0</v>
      </c>
      <c r="K9" s="25">
        <f>IF(J9=0,0,H9/J9)</f>
        <v>0</v>
      </c>
      <c r="L9" s="26"/>
      <c r="M9" s="27">
        <f>K9*L9</f>
        <v>0</v>
      </c>
      <c r="N9" s="17"/>
    </row>
    <row r="10" spans="1:14" s="3" customFormat="1" ht="14.25" x14ac:dyDescent="0.15">
      <c r="B10" s="12" t="s">
        <v>21</v>
      </c>
      <c r="C10" s="13"/>
      <c r="D10" s="20" t="s">
        <v>133</v>
      </c>
      <c r="E10" s="21"/>
      <c r="F10" s="113"/>
      <c r="G10" s="22"/>
      <c r="H10" s="27">
        <f>E10*F10*(100+G10)/100</f>
        <v>0</v>
      </c>
      <c r="I10" s="21"/>
      <c r="J10" s="24">
        <f>E10*I10</f>
        <v>0</v>
      </c>
      <c r="K10" s="25">
        <f>IF(J10=0,0,H10/J10)</f>
        <v>0</v>
      </c>
      <c r="L10" s="26"/>
      <c r="M10" s="27">
        <f>K10*L10</f>
        <v>0</v>
      </c>
      <c r="N10" s="17"/>
    </row>
    <row r="11" spans="1:14" s="3" customFormat="1" ht="14.25" x14ac:dyDescent="0.15">
      <c r="B11" s="12" t="s">
        <v>22</v>
      </c>
      <c r="C11" s="13"/>
      <c r="D11" s="20" t="s">
        <v>134</v>
      </c>
      <c r="E11" s="21"/>
      <c r="F11" s="113"/>
      <c r="G11" s="22"/>
      <c r="H11" s="27">
        <f>E11*F11*(100+G11)/100</f>
        <v>0</v>
      </c>
      <c r="I11" s="21"/>
      <c r="J11" s="24">
        <f>E11*I11</f>
        <v>0</v>
      </c>
      <c r="K11" s="25">
        <f>IF(J11=0,0,H11/J11)</f>
        <v>0</v>
      </c>
      <c r="L11" s="26"/>
      <c r="M11" s="27">
        <f>K11*L11</f>
        <v>0</v>
      </c>
      <c r="N11" s="17"/>
    </row>
    <row r="12" spans="1:14" s="3" customFormat="1" ht="14.25" x14ac:dyDescent="0.15">
      <c r="B12" s="12" t="s">
        <v>23</v>
      </c>
      <c r="C12" s="13"/>
      <c r="D12" s="28" t="s">
        <v>24</v>
      </c>
      <c r="E12" s="29">
        <f>SUM(E8:E11)</f>
        <v>0</v>
      </c>
      <c r="F12" s="114">
        <v>0</v>
      </c>
      <c r="G12" s="30"/>
      <c r="H12" s="31">
        <f>SUM(H8:H11)</f>
        <v>0</v>
      </c>
      <c r="I12" s="29"/>
      <c r="J12" s="29">
        <f>SUM(J8:J11)</f>
        <v>0</v>
      </c>
      <c r="K12" s="32">
        <f>IF(J12=0,0,H12/J12)</f>
        <v>0</v>
      </c>
      <c r="L12" s="33">
        <f>SUM(L8:L11)</f>
        <v>0</v>
      </c>
      <c r="M12" s="31">
        <f>K12*L12</f>
        <v>0</v>
      </c>
      <c r="N12" s="17"/>
    </row>
    <row r="13" spans="1:14" s="7" customFormat="1" ht="25.5" customHeight="1" x14ac:dyDescent="0.15">
      <c r="B13" s="34" t="s">
        <v>25</v>
      </c>
      <c r="C13" s="35" t="s">
        <v>115</v>
      </c>
      <c r="D13" s="36"/>
      <c r="E13" s="37"/>
      <c r="F13" s="37"/>
      <c r="G13" s="37"/>
      <c r="H13" s="38"/>
      <c r="I13" s="37"/>
      <c r="J13" s="37"/>
      <c r="K13" s="39"/>
      <c r="L13" s="39"/>
      <c r="M13" s="116">
        <f>M12</f>
        <v>0</v>
      </c>
      <c r="N13" s="40"/>
    </row>
    <row r="14" spans="1:14" s="7" customFormat="1" ht="24.75" customHeight="1" x14ac:dyDescent="0.15">
      <c r="A14" s="41"/>
      <c r="B14" s="42" t="s">
        <v>26</v>
      </c>
      <c r="C14" s="43" t="s">
        <v>27</v>
      </c>
      <c r="D14" s="43"/>
      <c r="E14" s="44"/>
      <c r="F14" s="44"/>
      <c r="G14" s="44"/>
      <c r="H14" s="45"/>
      <c r="I14" s="46"/>
      <c r="J14" s="46"/>
      <c r="K14" s="47"/>
      <c r="L14" s="47"/>
      <c r="M14" s="48"/>
      <c r="N14" s="40"/>
    </row>
    <row r="15" spans="1:14" s="3" customFormat="1" ht="18" x14ac:dyDescent="0.2">
      <c r="B15" s="49"/>
      <c r="C15" s="50"/>
      <c r="D15" s="128" t="s">
        <v>28</v>
      </c>
      <c r="E15" s="128"/>
      <c r="F15" s="128"/>
      <c r="G15" s="15" t="s">
        <v>12</v>
      </c>
      <c r="H15" s="13"/>
      <c r="I15" s="13"/>
      <c r="J15" s="13"/>
      <c r="K15" s="13"/>
      <c r="L15" s="13"/>
      <c r="M15" s="51"/>
      <c r="N15" s="17"/>
    </row>
    <row r="16" spans="1:14" s="3" customFormat="1" ht="18" x14ac:dyDescent="0.2">
      <c r="B16" s="12" t="s">
        <v>29</v>
      </c>
      <c r="C16" s="13"/>
      <c r="D16" s="52" t="s">
        <v>123</v>
      </c>
      <c r="E16" s="53"/>
      <c r="F16" s="54"/>
      <c r="G16" s="22"/>
      <c r="H16" s="13"/>
      <c r="I16" s="13"/>
      <c r="J16" s="13"/>
      <c r="K16" s="13"/>
      <c r="L16" s="13"/>
      <c r="M16" s="51"/>
      <c r="N16" s="17"/>
    </row>
    <row r="17" spans="2:14" s="3" customFormat="1" ht="18" x14ac:dyDescent="0.2">
      <c r="B17" s="12" t="s">
        <v>30</v>
      </c>
      <c r="C17" s="13"/>
      <c r="D17" s="52" t="s">
        <v>118</v>
      </c>
      <c r="E17" s="53"/>
      <c r="F17" s="22"/>
      <c r="G17" s="115">
        <f>+G16*F17/100</f>
        <v>0</v>
      </c>
      <c r="H17" s="13"/>
      <c r="I17" s="13"/>
      <c r="J17" s="13"/>
      <c r="K17" s="13"/>
      <c r="L17" s="13"/>
      <c r="M17" s="51"/>
      <c r="N17" s="17"/>
    </row>
    <row r="18" spans="2:14" s="3" customFormat="1" ht="18" x14ac:dyDescent="0.2">
      <c r="B18" s="12" t="s">
        <v>31</v>
      </c>
      <c r="C18" s="13"/>
      <c r="D18" s="52" t="s">
        <v>32</v>
      </c>
      <c r="E18" s="53"/>
      <c r="F18" s="54"/>
      <c r="G18" s="22">
        <v>0</v>
      </c>
      <c r="H18" s="13"/>
      <c r="I18" s="13"/>
      <c r="J18" s="13"/>
      <c r="K18" s="13"/>
      <c r="L18" s="13"/>
      <c r="M18" s="51"/>
      <c r="N18" s="17"/>
    </row>
    <row r="19" spans="2:14" s="3" customFormat="1" ht="18" x14ac:dyDescent="0.2">
      <c r="B19" s="12" t="s">
        <v>33</v>
      </c>
      <c r="C19" s="13"/>
      <c r="D19" s="52" t="s">
        <v>119</v>
      </c>
      <c r="E19" s="53"/>
      <c r="F19" s="22"/>
      <c r="G19" s="115">
        <f>+G18*F19/100</f>
        <v>0</v>
      </c>
      <c r="H19" s="13"/>
      <c r="I19" s="13"/>
      <c r="J19" s="13"/>
      <c r="K19" s="13"/>
      <c r="L19" s="13"/>
      <c r="M19" s="51"/>
      <c r="N19" s="17"/>
    </row>
    <row r="20" spans="2:14" s="3" customFormat="1" ht="18" x14ac:dyDescent="0.2">
      <c r="B20" s="12" t="s">
        <v>34</v>
      </c>
      <c r="C20" s="13"/>
      <c r="D20" s="52" t="s">
        <v>35</v>
      </c>
      <c r="E20" s="53"/>
      <c r="F20" s="54"/>
      <c r="G20" s="22">
        <v>0</v>
      </c>
      <c r="H20" s="13"/>
      <c r="I20" s="13"/>
      <c r="J20" s="13"/>
      <c r="K20" s="13"/>
      <c r="L20" s="13"/>
      <c r="M20" s="51"/>
      <c r="N20" s="17"/>
    </row>
    <row r="21" spans="2:14" s="3" customFormat="1" ht="18" x14ac:dyDescent="0.2">
      <c r="B21" s="12" t="s">
        <v>36</v>
      </c>
      <c r="C21" s="13"/>
      <c r="D21" s="52" t="s">
        <v>37</v>
      </c>
      <c r="E21" s="53"/>
      <c r="F21" s="54"/>
      <c r="G21" s="22">
        <v>0</v>
      </c>
      <c r="H21" s="13"/>
      <c r="I21" s="13"/>
      <c r="J21" s="13"/>
      <c r="K21" s="13"/>
      <c r="L21" s="13"/>
      <c r="M21" s="51"/>
      <c r="N21" s="17"/>
    </row>
    <row r="22" spans="2:14" s="3" customFormat="1" ht="18" x14ac:dyDescent="0.2">
      <c r="B22" s="12" t="s">
        <v>38</v>
      </c>
      <c r="C22" s="13"/>
      <c r="D22" s="52" t="s">
        <v>39</v>
      </c>
      <c r="E22" s="53"/>
      <c r="F22" s="54"/>
      <c r="G22" s="22">
        <v>0</v>
      </c>
      <c r="H22" s="13"/>
      <c r="I22" s="13"/>
      <c r="J22" s="13"/>
      <c r="K22" s="13"/>
      <c r="L22" s="13"/>
      <c r="M22" s="51"/>
      <c r="N22" s="17"/>
    </row>
    <row r="23" spans="2:14" s="3" customFormat="1" ht="18" x14ac:dyDescent="0.2">
      <c r="B23" s="12" t="s">
        <v>40</v>
      </c>
      <c r="C23" s="13"/>
      <c r="D23" s="52" t="s">
        <v>41</v>
      </c>
      <c r="E23" s="53"/>
      <c r="F23" s="54"/>
      <c r="G23" s="22"/>
      <c r="H23" s="13"/>
      <c r="I23" s="13"/>
      <c r="J23" s="13"/>
      <c r="K23" s="13"/>
      <c r="L23" s="13"/>
      <c r="M23" s="51"/>
      <c r="N23" s="17"/>
    </row>
    <row r="24" spans="2:14" s="3" customFormat="1" ht="18" x14ac:dyDescent="0.2">
      <c r="B24" s="12" t="s">
        <v>42</v>
      </c>
      <c r="C24" s="13"/>
      <c r="D24" s="52" t="s">
        <v>43</v>
      </c>
      <c r="E24" s="53"/>
      <c r="F24" s="54"/>
      <c r="G24" s="22"/>
      <c r="H24" s="13"/>
      <c r="I24" s="13"/>
      <c r="J24" s="13"/>
      <c r="K24" s="13"/>
      <c r="L24" s="13"/>
      <c r="M24" s="51"/>
      <c r="N24" s="17"/>
    </row>
    <row r="25" spans="2:14" s="3" customFormat="1" ht="18" x14ac:dyDescent="0.2">
      <c r="B25" s="12"/>
      <c r="C25" s="13"/>
      <c r="D25" s="52" t="s">
        <v>126</v>
      </c>
      <c r="E25" s="53"/>
      <c r="F25" s="54"/>
      <c r="G25" s="22"/>
      <c r="H25" s="13"/>
      <c r="I25" s="13"/>
      <c r="J25" s="13"/>
      <c r="K25" s="13"/>
      <c r="L25" s="13"/>
      <c r="M25" s="51"/>
      <c r="N25" s="17"/>
    </row>
    <row r="26" spans="2:14" s="3" customFormat="1" ht="18" x14ac:dyDescent="0.2">
      <c r="B26" s="12" t="s">
        <v>44</v>
      </c>
      <c r="C26" s="13"/>
      <c r="D26" s="52" t="s">
        <v>45</v>
      </c>
      <c r="E26" s="53"/>
      <c r="F26" s="54"/>
      <c r="G26" s="22"/>
      <c r="H26" s="13"/>
      <c r="I26" s="13"/>
      <c r="J26" s="13"/>
      <c r="K26" s="13"/>
      <c r="L26" s="13"/>
      <c r="M26" s="51"/>
      <c r="N26" s="17"/>
    </row>
    <row r="27" spans="2:14" s="3" customFormat="1" ht="18" x14ac:dyDescent="0.2">
      <c r="B27" s="12" t="s">
        <v>46</v>
      </c>
      <c r="C27" s="13"/>
      <c r="D27" s="52" t="s">
        <v>120</v>
      </c>
      <c r="E27" s="53"/>
      <c r="F27" s="54"/>
      <c r="G27" s="22"/>
      <c r="H27" s="13"/>
      <c r="I27" s="13"/>
      <c r="J27" s="13"/>
      <c r="K27" s="13"/>
      <c r="L27" s="13"/>
      <c r="M27" s="51"/>
      <c r="N27" s="17"/>
    </row>
    <row r="28" spans="2:14" s="3" customFormat="1" ht="18" x14ac:dyDescent="0.2">
      <c r="B28" s="12" t="s">
        <v>47</v>
      </c>
      <c r="C28" s="13"/>
      <c r="D28" s="52" t="s">
        <v>48</v>
      </c>
      <c r="E28" s="53"/>
      <c r="F28" s="54"/>
      <c r="G28" s="22"/>
      <c r="H28" s="13"/>
      <c r="I28" s="13"/>
      <c r="J28" s="13"/>
      <c r="K28" s="13"/>
      <c r="L28" s="13"/>
      <c r="M28" s="51"/>
      <c r="N28" s="17"/>
    </row>
    <row r="29" spans="2:14" s="3" customFormat="1" ht="18" x14ac:dyDescent="0.2">
      <c r="B29" s="12" t="s">
        <v>49</v>
      </c>
      <c r="C29" s="13"/>
      <c r="D29" s="52" t="s">
        <v>50</v>
      </c>
      <c r="E29" s="53"/>
      <c r="F29" s="54"/>
      <c r="G29" s="22"/>
      <c r="H29" s="13"/>
      <c r="I29" s="13"/>
      <c r="J29" s="13"/>
      <c r="K29" s="13"/>
      <c r="L29" s="13"/>
      <c r="M29" s="51"/>
      <c r="N29" s="17"/>
    </row>
    <row r="30" spans="2:14" s="3" customFormat="1" ht="18" x14ac:dyDescent="0.2">
      <c r="B30" s="12" t="s">
        <v>51</v>
      </c>
      <c r="C30" s="13"/>
      <c r="D30" s="52" t="s">
        <v>52</v>
      </c>
      <c r="E30" s="53"/>
      <c r="F30" s="54"/>
      <c r="G30" s="22"/>
      <c r="H30" s="13"/>
      <c r="I30" s="13"/>
      <c r="J30" s="13"/>
      <c r="K30" s="13"/>
      <c r="L30" s="13"/>
      <c r="M30" s="51"/>
      <c r="N30" s="17"/>
    </row>
    <row r="31" spans="2:14" s="3" customFormat="1" ht="18" x14ac:dyDescent="0.2">
      <c r="B31" s="12" t="s">
        <v>53</v>
      </c>
      <c r="C31" s="13"/>
      <c r="D31" s="52" t="s">
        <v>54</v>
      </c>
      <c r="E31" s="53"/>
      <c r="F31" s="54"/>
      <c r="G31" s="22"/>
      <c r="H31" s="13" t="s">
        <v>128</v>
      </c>
      <c r="I31" s="13"/>
      <c r="J31" s="13"/>
      <c r="K31" s="13"/>
      <c r="L31" s="13"/>
      <c r="M31" s="51"/>
      <c r="N31" s="17"/>
    </row>
    <row r="32" spans="2:14" s="3" customFormat="1" ht="18" x14ac:dyDescent="0.2">
      <c r="B32" s="12" t="s">
        <v>55</v>
      </c>
      <c r="C32" s="13"/>
      <c r="D32" s="52" t="s">
        <v>121</v>
      </c>
      <c r="E32" s="53"/>
      <c r="F32" s="54"/>
      <c r="G32" s="22">
        <v>0</v>
      </c>
      <c r="H32" s="13"/>
      <c r="I32" s="13"/>
      <c r="J32" s="13"/>
      <c r="K32" s="13"/>
      <c r="L32" s="13"/>
      <c r="M32" s="51"/>
      <c r="N32" s="17"/>
    </row>
    <row r="33" spans="2:14" s="3" customFormat="1" ht="18" x14ac:dyDescent="0.2">
      <c r="B33" s="12" t="s">
        <v>56</v>
      </c>
      <c r="C33" s="13"/>
      <c r="D33" s="52" t="s">
        <v>57</v>
      </c>
      <c r="E33" s="53"/>
      <c r="F33" s="54"/>
      <c r="G33" s="22">
        <v>0</v>
      </c>
      <c r="H33" s="13"/>
      <c r="I33" s="13"/>
      <c r="J33" s="13"/>
      <c r="K33" s="13"/>
      <c r="L33" s="13"/>
      <c r="M33" s="51"/>
      <c r="N33" s="17"/>
    </row>
    <row r="34" spans="2:14" s="3" customFormat="1" ht="18" x14ac:dyDescent="0.2">
      <c r="B34" s="12" t="s">
        <v>58</v>
      </c>
      <c r="C34" s="13"/>
      <c r="D34" s="112" t="s">
        <v>122</v>
      </c>
      <c r="E34" s="53"/>
      <c r="F34" s="54"/>
      <c r="G34" s="22"/>
      <c r="H34" s="13"/>
      <c r="I34" s="13"/>
      <c r="J34" s="13"/>
      <c r="K34" s="13"/>
      <c r="L34" s="13"/>
      <c r="M34" s="51"/>
      <c r="N34" s="17"/>
    </row>
    <row r="35" spans="2:14" s="3" customFormat="1" ht="18" x14ac:dyDescent="0.2">
      <c r="B35" s="12" t="s">
        <v>59</v>
      </c>
      <c r="C35" s="13"/>
      <c r="D35" s="3" t="s">
        <v>129</v>
      </c>
      <c r="E35" s="55"/>
      <c r="F35" s="56"/>
      <c r="G35" s="57"/>
      <c r="H35" s="13"/>
      <c r="I35" s="13"/>
      <c r="J35" s="13"/>
      <c r="K35" s="13"/>
      <c r="L35" s="13"/>
      <c r="M35" s="51"/>
      <c r="N35" s="40"/>
    </row>
    <row r="36" spans="2:14" s="3" customFormat="1" ht="18.75" thickBot="1" x14ac:dyDescent="0.25">
      <c r="B36" s="58" t="s">
        <v>60</v>
      </c>
      <c r="C36" s="59"/>
      <c r="D36" s="60" t="s">
        <v>61</v>
      </c>
      <c r="E36" s="59"/>
      <c r="F36" s="59"/>
      <c r="G36" s="61"/>
      <c r="H36" s="59"/>
      <c r="I36" s="59"/>
      <c r="J36" s="59"/>
      <c r="K36" s="59"/>
      <c r="L36" s="59"/>
      <c r="M36" s="62">
        <f>SUM(G16:G35)</f>
        <v>0</v>
      </c>
      <c r="N36" s="40"/>
    </row>
    <row r="37" spans="2:14" s="7" customFormat="1" ht="22.5" customHeight="1" thickBot="1" x14ac:dyDescent="0.2">
      <c r="B37" s="42">
        <v>3</v>
      </c>
      <c r="C37" s="43" t="s">
        <v>62</v>
      </c>
      <c r="D37" s="44"/>
      <c r="E37" s="63">
        <f>M36</f>
        <v>0</v>
      </c>
      <c r="F37" s="46" t="s">
        <v>63</v>
      </c>
      <c r="G37" s="64" t="s">
        <v>64</v>
      </c>
      <c r="H37" s="64"/>
      <c r="I37" s="64"/>
      <c r="J37" s="122">
        <f>J12</f>
        <v>0</v>
      </c>
      <c r="K37" s="65"/>
      <c r="L37" s="47"/>
      <c r="M37" s="66">
        <f>IF(J12=0,0,M36/J12)</f>
        <v>0</v>
      </c>
      <c r="N37" s="40"/>
    </row>
    <row r="38" spans="2:14" s="7" customFormat="1" ht="22.5" customHeight="1" thickBot="1" x14ac:dyDescent="0.2">
      <c r="B38" s="67">
        <v>4</v>
      </c>
      <c r="C38" s="68" t="s">
        <v>117</v>
      </c>
      <c r="D38" s="110"/>
      <c r="E38" s="69">
        <v>2</v>
      </c>
      <c r="F38" s="76" t="s">
        <v>116</v>
      </c>
      <c r="H38" s="70">
        <f>M37</f>
        <v>0</v>
      </c>
      <c r="I38" s="71" t="s">
        <v>65</v>
      </c>
      <c r="J38" s="111" t="s">
        <v>66</v>
      </c>
      <c r="L38" s="72">
        <v>8</v>
      </c>
      <c r="M38" s="73">
        <f>L12*M37</f>
        <v>0</v>
      </c>
      <c r="N38" s="40"/>
    </row>
    <row r="39" spans="2:14" s="7" customFormat="1" ht="22.5" customHeight="1" x14ac:dyDescent="0.15">
      <c r="B39" s="74">
        <v>5</v>
      </c>
      <c r="C39" s="68" t="s">
        <v>67</v>
      </c>
      <c r="D39" s="75"/>
      <c r="E39" s="76" t="s">
        <v>68</v>
      </c>
      <c r="F39" s="77">
        <f>M13/E38</f>
        <v>0</v>
      </c>
      <c r="G39" s="78" t="s">
        <v>69</v>
      </c>
      <c r="H39" s="76" t="s">
        <v>70</v>
      </c>
      <c r="I39" s="76"/>
      <c r="J39" s="76"/>
      <c r="K39" s="79">
        <f>M38</f>
        <v>0</v>
      </c>
      <c r="L39" s="80"/>
      <c r="M39" s="73">
        <f>F39+K39</f>
        <v>0</v>
      </c>
      <c r="N39" s="40"/>
    </row>
    <row r="40" spans="2:14" s="3" customFormat="1" ht="18.75" customHeight="1" x14ac:dyDescent="0.2">
      <c r="B40" s="49" t="s">
        <v>71</v>
      </c>
      <c r="C40" s="81" t="s">
        <v>72</v>
      </c>
      <c r="D40" s="81"/>
      <c r="E40" s="81"/>
      <c r="F40" s="13"/>
      <c r="G40" s="13"/>
      <c r="H40" s="13"/>
      <c r="I40" s="13"/>
      <c r="J40" s="13"/>
      <c r="K40" s="13"/>
      <c r="L40" s="13"/>
      <c r="M40" s="51"/>
      <c r="N40" s="17"/>
    </row>
    <row r="41" spans="2:14" s="3" customFormat="1" ht="18" x14ac:dyDescent="0.2">
      <c r="B41" s="12" t="s">
        <v>73</v>
      </c>
      <c r="C41" s="13"/>
      <c r="D41" s="82" t="s">
        <v>74</v>
      </c>
      <c r="E41" s="15" t="s">
        <v>13</v>
      </c>
      <c r="F41" s="13"/>
      <c r="G41" s="13"/>
      <c r="H41" s="13"/>
      <c r="I41" s="13"/>
      <c r="J41" s="13"/>
      <c r="K41" s="13"/>
      <c r="L41" s="13"/>
      <c r="M41" s="51"/>
      <c r="N41" s="17"/>
    </row>
    <row r="42" spans="2:14" s="3" customFormat="1" ht="18" x14ac:dyDescent="0.2">
      <c r="B42" s="12" t="s">
        <v>75</v>
      </c>
      <c r="C42" s="13"/>
      <c r="D42" s="83" t="s">
        <v>76</v>
      </c>
      <c r="E42" s="21"/>
      <c r="F42" s="13"/>
      <c r="G42" s="84" t="s">
        <v>77</v>
      </c>
      <c r="H42" s="59"/>
      <c r="I42" s="85"/>
      <c r="J42" s="13"/>
      <c r="K42" s="13"/>
      <c r="L42" s="13"/>
      <c r="M42" s="51"/>
      <c r="N42" s="17"/>
    </row>
    <row r="43" spans="2:14" s="3" customFormat="1" ht="18" x14ac:dyDescent="0.2">
      <c r="B43" s="12" t="s">
        <v>78</v>
      </c>
      <c r="C43" s="13"/>
      <c r="D43" s="83" t="s">
        <v>79</v>
      </c>
      <c r="E43" s="21"/>
      <c r="F43" s="13"/>
      <c r="G43" s="13"/>
      <c r="H43" s="13"/>
      <c r="I43" s="13"/>
      <c r="J43" s="13"/>
      <c r="K43" s="13"/>
      <c r="L43" s="13"/>
      <c r="M43" s="51"/>
      <c r="N43" s="17"/>
    </row>
    <row r="44" spans="2:14" s="3" customFormat="1" ht="18" x14ac:dyDescent="0.2">
      <c r="B44" s="12" t="s">
        <v>80</v>
      </c>
      <c r="C44" s="13"/>
      <c r="D44" s="83" t="s">
        <v>81</v>
      </c>
      <c r="E44" s="21"/>
      <c r="F44" s="13"/>
      <c r="G44" s="13"/>
      <c r="H44" s="13"/>
      <c r="I44" s="13"/>
      <c r="J44" s="13"/>
      <c r="K44" s="13"/>
      <c r="L44" s="13"/>
      <c r="M44" s="51"/>
      <c r="N44" s="17"/>
    </row>
    <row r="45" spans="2:14" s="3" customFormat="1" ht="18" x14ac:dyDescent="0.2">
      <c r="B45" s="12" t="s">
        <v>82</v>
      </c>
      <c r="C45" s="13"/>
      <c r="D45" s="83" t="s">
        <v>83</v>
      </c>
      <c r="E45" s="21"/>
      <c r="F45" s="13"/>
      <c r="G45" s="13"/>
      <c r="H45" s="13"/>
      <c r="I45" s="13"/>
      <c r="J45" s="13"/>
      <c r="K45" s="13"/>
      <c r="L45" s="13"/>
      <c r="M45" s="118"/>
      <c r="N45" s="17"/>
    </row>
    <row r="46" spans="2:14" s="3" customFormat="1" ht="18" x14ac:dyDescent="0.2">
      <c r="B46" s="12" t="s">
        <v>84</v>
      </c>
      <c r="C46" s="13"/>
      <c r="D46" s="83" t="s">
        <v>85</v>
      </c>
      <c r="E46" s="119"/>
      <c r="F46" s="13"/>
      <c r="G46" s="13"/>
      <c r="H46" s="13"/>
      <c r="I46" s="13"/>
      <c r="J46" s="13"/>
      <c r="K46" s="13"/>
      <c r="L46" s="13"/>
      <c r="M46" s="51"/>
      <c r="N46" s="17"/>
    </row>
    <row r="47" spans="2:14" s="3" customFormat="1" ht="18" x14ac:dyDescent="0.2">
      <c r="B47" s="12" t="s">
        <v>86</v>
      </c>
      <c r="C47" s="13"/>
      <c r="D47" s="83" t="s">
        <v>87</v>
      </c>
      <c r="E47" s="21"/>
      <c r="F47" s="13"/>
      <c r="G47" s="13"/>
      <c r="H47" s="13"/>
      <c r="I47" s="13"/>
      <c r="J47" s="13"/>
      <c r="K47" s="13"/>
      <c r="L47" s="13"/>
      <c r="M47" s="51"/>
      <c r="N47" s="17"/>
    </row>
    <row r="48" spans="2:14" s="3" customFormat="1" ht="18" x14ac:dyDescent="0.2">
      <c r="B48" s="12" t="s">
        <v>88</v>
      </c>
      <c r="C48" s="13"/>
      <c r="D48" s="83" t="s">
        <v>89</v>
      </c>
      <c r="E48" s="21"/>
      <c r="F48" s="13"/>
      <c r="G48" s="13"/>
      <c r="H48" s="13"/>
      <c r="I48" s="13"/>
      <c r="J48" s="13"/>
      <c r="K48" s="13"/>
      <c r="L48" s="13"/>
      <c r="M48" s="51"/>
      <c r="N48" s="17"/>
    </row>
    <row r="49" spans="2:20" s="3" customFormat="1" ht="18" x14ac:dyDescent="0.2">
      <c r="B49" s="12" t="s">
        <v>90</v>
      </c>
      <c r="C49" s="13"/>
      <c r="D49" s="83" t="s">
        <v>91</v>
      </c>
      <c r="E49" s="21"/>
      <c r="F49" s="13"/>
      <c r="G49" s="13"/>
      <c r="H49" s="13"/>
      <c r="I49" s="13"/>
      <c r="J49" s="13"/>
      <c r="K49" s="13"/>
      <c r="L49" s="13"/>
      <c r="M49" s="117"/>
      <c r="N49" s="17"/>
    </row>
    <row r="50" spans="2:20" s="3" customFormat="1" ht="18" x14ac:dyDescent="0.2">
      <c r="B50" s="12" t="s">
        <v>92</v>
      </c>
      <c r="C50" s="13"/>
      <c r="D50" s="86" t="s">
        <v>130</v>
      </c>
      <c r="E50" s="125"/>
      <c r="F50" s="13"/>
      <c r="G50" s="13"/>
      <c r="H50" s="13"/>
      <c r="I50" s="13"/>
      <c r="J50" s="13"/>
      <c r="K50" s="13"/>
      <c r="L50" s="13"/>
      <c r="M50" s="51"/>
      <c r="N50" s="17"/>
    </row>
    <row r="51" spans="2:20" s="7" customFormat="1" ht="24.75" customHeight="1" x14ac:dyDescent="0.15">
      <c r="B51" s="58" t="s">
        <v>93</v>
      </c>
      <c r="C51" s="35" t="s">
        <v>94</v>
      </c>
      <c r="D51" s="35"/>
      <c r="E51" s="87"/>
      <c r="F51" s="36"/>
      <c r="G51" s="36"/>
      <c r="H51" s="36"/>
      <c r="I51" s="36"/>
      <c r="J51" s="36"/>
      <c r="K51" s="36"/>
      <c r="L51" s="36"/>
      <c r="M51" s="120">
        <f>SUM(E42:E50)</f>
        <v>0</v>
      </c>
      <c r="N51" s="40"/>
    </row>
    <row r="52" spans="2:20" s="7" customFormat="1" ht="21" customHeight="1" x14ac:dyDescent="0.15">
      <c r="B52" s="67">
        <v>7</v>
      </c>
      <c r="C52" s="68" t="s">
        <v>95</v>
      </c>
      <c r="D52" s="68"/>
      <c r="E52" s="88"/>
      <c r="F52" s="89"/>
      <c r="G52" s="90"/>
      <c r="H52" s="90"/>
      <c r="I52" s="36"/>
      <c r="J52" s="36"/>
      <c r="K52" s="36"/>
      <c r="L52" s="36"/>
      <c r="M52" s="123"/>
      <c r="N52" s="40"/>
      <c r="O52" s="7" t="s">
        <v>124</v>
      </c>
      <c r="Q52" s="121"/>
      <c r="T52" s="121">
        <f>M54*M52:M53</f>
        <v>0</v>
      </c>
    </row>
    <row r="53" spans="2:20" s="7" customFormat="1" ht="21.75" customHeight="1" thickBot="1" x14ac:dyDescent="0.2">
      <c r="B53" s="8">
        <v>8</v>
      </c>
      <c r="C53" s="9" t="s">
        <v>96</v>
      </c>
      <c r="D53" s="9"/>
      <c r="E53" s="91"/>
      <c r="F53" s="92"/>
      <c r="G53" s="92"/>
      <c r="H53" s="92"/>
      <c r="I53" s="93"/>
      <c r="J53" s="93"/>
      <c r="K53" s="93"/>
      <c r="L53" s="93"/>
      <c r="M53" s="124">
        <f>M51+M52</f>
        <v>0</v>
      </c>
      <c r="N53" s="40"/>
    </row>
    <row r="54" spans="2:20" s="3" customFormat="1" ht="22.5" customHeight="1" x14ac:dyDescent="0.15">
      <c r="B54" s="132">
        <v>9</v>
      </c>
      <c r="C54" s="130" t="s">
        <v>125</v>
      </c>
      <c r="D54" s="130"/>
      <c r="E54" s="134" t="s">
        <v>127</v>
      </c>
      <c r="F54" s="134"/>
      <c r="G54" s="134"/>
      <c r="H54" s="134"/>
      <c r="I54" s="94"/>
      <c r="J54" s="95"/>
      <c r="K54" s="96"/>
      <c r="L54" s="96"/>
      <c r="M54" s="126">
        <f>M39/((100%-(M51+M52)))</f>
        <v>0</v>
      </c>
      <c r="N54" s="40"/>
    </row>
    <row r="55" spans="2:20" s="3" customFormat="1" ht="22.5" customHeight="1" thickBot="1" x14ac:dyDescent="0.2">
      <c r="B55" s="133"/>
      <c r="C55" s="131"/>
      <c r="D55" s="131"/>
      <c r="E55" s="135" t="s">
        <v>97</v>
      </c>
      <c r="F55" s="135"/>
      <c r="G55" s="135"/>
      <c r="H55" s="135"/>
      <c r="I55" s="97"/>
      <c r="J55" s="97"/>
      <c r="K55" s="97"/>
      <c r="L55" s="97"/>
      <c r="M55" s="127"/>
      <c r="N55" s="40"/>
    </row>
    <row r="56" spans="2:20" s="7" customFormat="1" ht="22.5" customHeight="1" x14ac:dyDescent="0.15">
      <c r="B56" s="42">
        <v>10</v>
      </c>
      <c r="C56" s="43" t="s">
        <v>98</v>
      </c>
      <c r="D56" s="43"/>
      <c r="E56" s="43"/>
      <c r="F56" s="43"/>
      <c r="G56" s="43"/>
      <c r="H56" s="43"/>
      <c r="I56" s="44"/>
      <c r="J56" s="44"/>
      <c r="K56" s="98"/>
      <c r="L56" s="98"/>
      <c r="M56" s="99"/>
      <c r="N56" s="40"/>
    </row>
    <row r="57" spans="2:20" s="3" customFormat="1" ht="18" x14ac:dyDescent="0.2">
      <c r="B57" s="12"/>
      <c r="C57" s="13"/>
      <c r="D57" s="129" t="s">
        <v>99</v>
      </c>
      <c r="E57" s="129" t="s">
        <v>100</v>
      </c>
      <c r="F57" s="129" t="s">
        <v>101</v>
      </c>
      <c r="G57" s="129" t="s">
        <v>102</v>
      </c>
      <c r="H57" s="129"/>
      <c r="I57" s="13"/>
      <c r="J57" s="13"/>
      <c r="K57" s="13"/>
      <c r="L57" s="13"/>
      <c r="M57" s="51"/>
      <c r="N57" s="17"/>
    </row>
    <row r="58" spans="2:20" s="3" customFormat="1" ht="18" x14ac:dyDescent="0.2">
      <c r="B58" s="12"/>
      <c r="C58" s="13"/>
      <c r="D58" s="129"/>
      <c r="E58" s="129"/>
      <c r="F58" s="129"/>
      <c r="G58" s="14" t="s">
        <v>103</v>
      </c>
      <c r="H58" s="100" t="s">
        <v>104</v>
      </c>
      <c r="I58" s="13"/>
      <c r="J58" s="13"/>
      <c r="K58" s="13"/>
      <c r="L58" s="13"/>
      <c r="M58" s="51"/>
      <c r="N58" s="17"/>
    </row>
    <row r="59" spans="2:20" s="3" customFormat="1" ht="18" x14ac:dyDescent="0.2">
      <c r="B59" s="12" t="s">
        <v>105</v>
      </c>
      <c r="C59" s="13"/>
      <c r="D59" s="20"/>
      <c r="E59" s="21"/>
      <c r="F59" s="21"/>
      <c r="G59" s="21"/>
      <c r="H59" s="101">
        <f>F59*G59</f>
        <v>0</v>
      </c>
      <c r="I59" s="13"/>
      <c r="J59" s="13"/>
      <c r="K59" s="13"/>
      <c r="L59" s="13"/>
      <c r="M59" s="51"/>
      <c r="N59" s="17"/>
    </row>
    <row r="60" spans="2:20" s="3" customFormat="1" ht="18" x14ac:dyDescent="0.2">
      <c r="B60" s="12" t="s">
        <v>106</v>
      </c>
      <c r="C60" s="13"/>
      <c r="D60" s="20"/>
      <c r="E60" s="21"/>
      <c r="F60" s="21"/>
      <c r="G60" s="21"/>
      <c r="H60" s="101">
        <f>F60*G60</f>
        <v>0</v>
      </c>
      <c r="I60" s="13"/>
      <c r="J60" s="13"/>
      <c r="K60" s="13"/>
      <c r="L60" s="13"/>
      <c r="M60" s="51"/>
      <c r="N60" s="17"/>
    </row>
    <row r="61" spans="2:20" s="3" customFormat="1" ht="18" x14ac:dyDescent="0.2">
      <c r="B61" s="12" t="s">
        <v>107</v>
      </c>
      <c r="C61" s="13"/>
      <c r="D61" s="20"/>
      <c r="E61" s="21"/>
      <c r="F61" s="21"/>
      <c r="G61" s="21"/>
      <c r="H61" s="101">
        <f>F61*G61</f>
        <v>0</v>
      </c>
      <c r="I61" s="13"/>
      <c r="J61" s="13"/>
      <c r="K61" s="13"/>
      <c r="L61" s="13"/>
      <c r="M61" s="51"/>
      <c r="N61" s="17"/>
    </row>
    <row r="62" spans="2:20" s="3" customFormat="1" ht="7.5" customHeight="1" x14ac:dyDescent="0.2"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1"/>
      <c r="N62" s="17"/>
    </row>
    <row r="63" spans="2:20" s="7" customFormat="1" ht="22.5" customHeight="1" x14ac:dyDescent="0.15">
      <c r="B63" s="102" t="s">
        <v>108</v>
      </c>
      <c r="C63" s="35" t="s">
        <v>109</v>
      </c>
      <c r="D63" s="35"/>
      <c r="E63" s="36"/>
      <c r="F63" s="36"/>
      <c r="G63" s="36"/>
      <c r="H63" s="36"/>
      <c r="I63" s="36"/>
      <c r="J63" s="36"/>
      <c r="K63" s="36"/>
      <c r="L63" s="36"/>
      <c r="M63" s="73">
        <f>SUM(H58:H61)</f>
        <v>0</v>
      </c>
      <c r="N63" s="40"/>
    </row>
    <row r="64" spans="2:20" s="7" customFormat="1" ht="22.5" customHeight="1" x14ac:dyDescent="0.15">
      <c r="B64" s="102">
        <v>13</v>
      </c>
      <c r="C64" s="35" t="s">
        <v>110</v>
      </c>
      <c r="D64" s="35"/>
      <c r="E64" s="35"/>
      <c r="F64" s="35"/>
      <c r="G64" s="36"/>
      <c r="H64" s="36"/>
      <c r="I64" s="36"/>
      <c r="J64" s="36"/>
      <c r="K64" s="103"/>
      <c r="L64" s="104"/>
      <c r="M64" s="73">
        <f>M63+M54</f>
        <v>0</v>
      </c>
      <c r="N64" s="40"/>
    </row>
    <row r="65" spans="1:14" s="3" customFormat="1" ht="7.5" customHeight="1" x14ac:dyDescent="0.15">
      <c r="B65" s="105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106"/>
      <c r="N65" s="107"/>
    </row>
    <row r="66" spans="1:14" s="3" customFormat="1" ht="14.25" x14ac:dyDescent="0.15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08"/>
    </row>
    <row r="67" spans="1:14" s="3" customFormat="1" ht="14.25" x14ac:dyDescent="0.15">
      <c r="A67"/>
      <c r="B67"/>
      <c r="C67"/>
      <c r="D67" t="s">
        <v>111</v>
      </c>
      <c r="E67"/>
      <c r="F67"/>
      <c r="G67"/>
      <c r="H67"/>
      <c r="I67"/>
      <c r="J67"/>
      <c r="K67"/>
      <c r="L67"/>
      <c r="M67"/>
    </row>
    <row r="68" spans="1:14" s="3" customFormat="1" ht="14.25" x14ac:dyDescent="0.15">
      <c r="A68"/>
      <c r="B68"/>
      <c r="C68"/>
      <c r="D68" t="s">
        <v>112</v>
      </c>
      <c r="E68"/>
      <c r="F68"/>
      <c r="G68"/>
      <c r="H68"/>
      <c r="I68"/>
      <c r="J68"/>
      <c r="K68"/>
      <c r="L68"/>
      <c r="M68"/>
    </row>
    <row r="69" spans="1:14" s="3" customFormat="1" ht="14.25" x14ac:dyDescent="0.15">
      <c r="D69" s="3" t="s">
        <v>113</v>
      </c>
      <c r="M69" s="109"/>
    </row>
    <row r="70" spans="1:14" s="3" customFormat="1" ht="14.25" x14ac:dyDescent="0.15">
      <c r="M70" s="109"/>
    </row>
    <row r="71" spans="1:14" s="3" customFormat="1" ht="14.25" x14ac:dyDescent="0.15">
      <c r="M71" s="109"/>
    </row>
    <row r="72" spans="1:14" s="3" customFormat="1" ht="14.25" x14ac:dyDescent="0.15">
      <c r="M72" s="109"/>
    </row>
    <row r="73" spans="1:14" s="3" customFormat="1" ht="14.25" x14ac:dyDescent="0.15">
      <c r="M73" s="109"/>
    </row>
    <row r="74" spans="1:14" s="3" customFormat="1" ht="14.25" x14ac:dyDescent="0.15">
      <c r="M74" s="109"/>
    </row>
    <row r="75" spans="1:14" s="3" customFormat="1" ht="14.25" x14ac:dyDescent="0.15">
      <c r="M75" s="109"/>
    </row>
    <row r="76" spans="1:14" s="3" customFormat="1" ht="14.25" x14ac:dyDescent="0.15">
      <c r="M76" s="109"/>
    </row>
    <row r="77" spans="1:14" s="3" customFormat="1" ht="14.25" x14ac:dyDescent="0.15">
      <c r="M77" s="109"/>
    </row>
    <row r="78" spans="1:14" s="3" customFormat="1" ht="14.25" x14ac:dyDescent="0.15">
      <c r="M78" s="109"/>
    </row>
    <row r="79" spans="1:14" s="3" customFormat="1" ht="14.25" x14ac:dyDescent="0.15">
      <c r="M79" s="109"/>
    </row>
    <row r="80" spans="1:14" s="3" customFormat="1" ht="14.25" x14ac:dyDescent="0.15">
      <c r="M80" s="109"/>
    </row>
    <row r="81" spans="13:13" s="3" customFormat="1" ht="14.25" x14ac:dyDescent="0.15">
      <c r="M81" s="109"/>
    </row>
    <row r="82" spans="13:13" s="3" customFormat="1" ht="14.25" x14ac:dyDescent="0.15">
      <c r="M82" s="109"/>
    </row>
    <row r="83" spans="13:13" s="3" customFormat="1" ht="14.25" x14ac:dyDescent="0.15">
      <c r="M83" s="109"/>
    </row>
    <row r="84" spans="13:13" s="3" customFormat="1" ht="14.25" x14ac:dyDescent="0.15">
      <c r="M84" s="109"/>
    </row>
    <row r="85" spans="13:13" s="3" customFormat="1" ht="14.25" x14ac:dyDescent="0.15">
      <c r="M85" s="109"/>
    </row>
    <row r="86" spans="13:13" s="3" customFormat="1" ht="14.25" x14ac:dyDescent="0.15">
      <c r="M86" s="109"/>
    </row>
    <row r="87" spans="13:13" s="3" customFormat="1" ht="14.25" x14ac:dyDescent="0.15">
      <c r="M87" s="109"/>
    </row>
    <row r="88" spans="13:13" s="3" customFormat="1" ht="14.25" x14ac:dyDescent="0.15">
      <c r="M88" s="109"/>
    </row>
    <row r="89" spans="13:13" s="3" customFormat="1" ht="14.25" x14ac:dyDescent="0.15">
      <c r="M89" s="109"/>
    </row>
    <row r="90" spans="13:13" s="3" customFormat="1" ht="14.25" x14ac:dyDescent="0.15">
      <c r="M90" s="109"/>
    </row>
    <row r="91" spans="13:13" s="3" customFormat="1" ht="14.25" x14ac:dyDescent="0.15">
      <c r="M91" s="109"/>
    </row>
    <row r="92" spans="13:13" s="3" customFormat="1" ht="14.25" x14ac:dyDescent="0.15">
      <c r="M92" s="109"/>
    </row>
    <row r="93" spans="13:13" s="3" customFormat="1" ht="14.25" x14ac:dyDescent="0.15">
      <c r="M93" s="109"/>
    </row>
    <row r="94" spans="13:13" s="3" customFormat="1" ht="14.25" x14ac:dyDescent="0.15">
      <c r="M94" s="109"/>
    </row>
    <row r="95" spans="13:13" s="3" customFormat="1" ht="14.25" x14ac:dyDescent="0.15"/>
    <row r="96" spans="13:13" s="3" customFormat="1" ht="14.25" x14ac:dyDescent="0.15"/>
    <row r="97" s="3" customFormat="1" ht="14.25" x14ac:dyDescent="0.15"/>
    <row r="98" s="3" customFormat="1" ht="14.25" x14ac:dyDescent="0.15"/>
    <row r="99" s="3" customFormat="1" ht="14.25" x14ac:dyDescent="0.15"/>
    <row r="100" s="3" customFormat="1" ht="14.25" x14ac:dyDescent="0.15"/>
    <row r="101" s="3" customFormat="1" ht="14.25" x14ac:dyDescent="0.15"/>
    <row r="102" s="3" customFormat="1" ht="14.25" x14ac:dyDescent="0.15"/>
    <row r="103" s="3" customFormat="1" ht="14.25" x14ac:dyDescent="0.15"/>
    <row r="104" s="3" customFormat="1" ht="14.25" x14ac:dyDescent="0.15"/>
    <row r="105" s="3" customFormat="1" ht="14.25" x14ac:dyDescent="0.15"/>
    <row r="106" s="3" customFormat="1" ht="14.25" x14ac:dyDescent="0.15"/>
    <row r="107" s="3" customFormat="1" ht="14.25" x14ac:dyDescent="0.15"/>
    <row r="108" s="3" customFormat="1" ht="14.25" x14ac:dyDescent="0.15"/>
    <row r="109" s="3" customFormat="1" ht="14.25" x14ac:dyDescent="0.15"/>
    <row r="110" s="3" customFormat="1" ht="14.25" x14ac:dyDescent="0.15"/>
    <row r="111" s="3" customFormat="1" ht="14.25" x14ac:dyDescent="0.15"/>
    <row r="112" s="3" customFormat="1" ht="14.25" x14ac:dyDescent="0.15"/>
    <row r="113" s="3" customFormat="1" ht="14.25" x14ac:dyDescent="0.15"/>
    <row r="114" s="3" customFormat="1" ht="14.25" x14ac:dyDescent="0.15"/>
    <row r="115" s="3" customFormat="1" ht="14.25" x14ac:dyDescent="0.15"/>
    <row r="116" s="3" customFormat="1" ht="14.25" x14ac:dyDescent="0.15"/>
    <row r="117" s="3" customFormat="1" ht="14.25" x14ac:dyDescent="0.15"/>
    <row r="118" s="3" customFormat="1" ht="14.25" x14ac:dyDescent="0.15"/>
    <row r="119" s="3" customFormat="1" ht="14.25" x14ac:dyDescent="0.15"/>
    <row r="120" s="3" customFormat="1" ht="14.25" x14ac:dyDescent="0.15"/>
    <row r="121" s="3" customFormat="1" ht="14.25" x14ac:dyDescent="0.15"/>
    <row r="122" s="3" customFormat="1" ht="14.25" x14ac:dyDescent="0.15"/>
    <row r="123" s="3" customFormat="1" ht="14.25" x14ac:dyDescent="0.15"/>
    <row r="124" s="3" customFormat="1" ht="14.25" x14ac:dyDescent="0.15"/>
    <row r="125" s="3" customFormat="1" ht="14.25" x14ac:dyDescent="0.15"/>
    <row r="126" s="3" customFormat="1" ht="14.25" x14ac:dyDescent="0.15"/>
    <row r="127" s="3" customFormat="1" ht="14.25" x14ac:dyDescent="0.15"/>
    <row r="128" s="3" customFormat="1" ht="14.25" x14ac:dyDescent="0.15"/>
    <row r="129" s="3" customFormat="1" ht="14.25" x14ac:dyDescent="0.15"/>
    <row r="130" s="3" customFormat="1" ht="14.25" x14ac:dyDescent="0.15"/>
    <row r="131" s="3" customFormat="1" ht="14.25" x14ac:dyDescent="0.15"/>
    <row r="132" s="3" customFormat="1" ht="14.25" x14ac:dyDescent="0.15"/>
    <row r="133" s="3" customFormat="1" ht="14.25" x14ac:dyDescent="0.15"/>
    <row r="134" s="3" customFormat="1" ht="14.25" x14ac:dyDescent="0.15"/>
    <row r="135" s="3" customFormat="1" ht="14.25" x14ac:dyDescent="0.15"/>
    <row r="136" s="3" customFormat="1" ht="14.25" x14ac:dyDescent="0.15"/>
    <row r="137" s="3" customFormat="1" ht="14.25" x14ac:dyDescent="0.15"/>
    <row r="138" s="3" customFormat="1" ht="14.25" x14ac:dyDescent="0.15"/>
    <row r="139" s="3" customFormat="1" ht="14.25" x14ac:dyDescent="0.15"/>
    <row r="140" s="3" customFormat="1" ht="14.25" x14ac:dyDescent="0.15"/>
    <row r="141" s="3" customFormat="1" ht="14.25" x14ac:dyDescent="0.15"/>
    <row r="142" s="3" customFormat="1" ht="14.25" x14ac:dyDescent="0.15"/>
    <row r="143" s="3" customFormat="1" ht="14.25" x14ac:dyDescent="0.15"/>
    <row r="144" s="3" customFormat="1" ht="14.25" x14ac:dyDescent="0.15"/>
    <row r="145" s="3" customFormat="1" ht="14.25" x14ac:dyDescent="0.15"/>
    <row r="146" s="3" customFormat="1" ht="14.25" x14ac:dyDescent="0.15"/>
    <row r="147" s="3" customFormat="1" ht="14.25" x14ac:dyDescent="0.15"/>
    <row r="148" s="3" customFormat="1" ht="14.25" x14ac:dyDescent="0.15"/>
    <row r="149" s="3" customFormat="1" ht="14.25" x14ac:dyDescent="0.15"/>
    <row r="150" s="3" customFormat="1" ht="14.25" x14ac:dyDescent="0.15"/>
    <row r="151" s="3" customFormat="1" ht="14.25" x14ac:dyDescent="0.15"/>
    <row r="152" s="3" customFormat="1" ht="14.25" x14ac:dyDescent="0.15"/>
    <row r="153" s="3" customFormat="1" ht="14.25" x14ac:dyDescent="0.15"/>
    <row r="154" s="3" customFormat="1" ht="14.25" x14ac:dyDescent="0.15"/>
    <row r="155" s="3" customFormat="1" ht="14.25" x14ac:dyDescent="0.15"/>
    <row r="156" s="3" customFormat="1" ht="14.25" x14ac:dyDescent="0.15"/>
    <row r="157" s="3" customFormat="1" ht="14.25" x14ac:dyDescent="0.15"/>
    <row r="158" s="3" customFormat="1" ht="14.25" x14ac:dyDescent="0.15"/>
    <row r="159" s="3" customFormat="1" ht="14.25" x14ac:dyDescent="0.15"/>
    <row r="160" s="3" customFormat="1" ht="14.25" x14ac:dyDescent="0.15"/>
    <row r="161" s="3" customFormat="1" ht="14.25" x14ac:dyDescent="0.15"/>
    <row r="162" s="3" customFormat="1" ht="14.25" x14ac:dyDescent="0.15"/>
    <row r="163" s="3" customFormat="1" ht="14.25" x14ac:dyDescent="0.15"/>
    <row r="164" s="3" customFormat="1" ht="14.25" x14ac:dyDescent="0.15"/>
    <row r="165" s="3" customFormat="1" ht="14.25" x14ac:dyDescent="0.15"/>
    <row r="166" s="3" customFormat="1" ht="14.25" x14ac:dyDescent="0.15"/>
    <row r="167" s="3" customFormat="1" ht="14.25" x14ac:dyDescent="0.15"/>
    <row r="168" s="3" customFormat="1" ht="14.25" x14ac:dyDescent="0.15"/>
    <row r="169" s="3" customFormat="1" ht="14.25" x14ac:dyDescent="0.15"/>
    <row r="170" s="3" customFormat="1" ht="14.25" x14ac:dyDescent="0.15"/>
    <row r="171" s="3" customFormat="1" ht="14.25" x14ac:dyDescent="0.15"/>
    <row r="172" s="3" customFormat="1" ht="14.25" x14ac:dyDescent="0.15"/>
    <row r="173" s="3" customFormat="1" ht="14.25" x14ac:dyDescent="0.15"/>
    <row r="174" s="3" customFormat="1" ht="14.25" x14ac:dyDescent="0.15"/>
    <row r="175" s="3" customFormat="1" ht="14.25" x14ac:dyDescent="0.15"/>
    <row r="176" s="3" customFormat="1" ht="14.25" x14ac:dyDescent="0.15"/>
    <row r="177" s="3" customFormat="1" ht="14.25" x14ac:dyDescent="0.15"/>
    <row r="178" s="3" customFormat="1" ht="14.25" x14ac:dyDescent="0.15"/>
    <row r="179" s="3" customFormat="1" ht="14.25" x14ac:dyDescent="0.15"/>
    <row r="180" s="3" customFormat="1" ht="14.25" x14ac:dyDescent="0.15"/>
    <row r="181" s="3" customFormat="1" ht="14.25" x14ac:dyDescent="0.15"/>
    <row r="182" s="3" customFormat="1" ht="14.25" x14ac:dyDescent="0.15"/>
    <row r="183" s="3" customFormat="1" ht="14.25" x14ac:dyDescent="0.15"/>
    <row r="184" s="3" customFormat="1" ht="14.25" x14ac:dyDescent="0.15"/>
    <row r="185" s="3" customFormat="1" ht="14.25" x14ac:dyDescent="0.15"/>
    <row r="186" s="3" customFormat="1" ht="14.25" x14ac:dyDescent="0.15"/>
    <row r="187" s="3" customFormat="1" ht="14.25" x14ac:dyDescent="0.15"/>
    <row r="188" s="3" customFormat="1" ht="14.25" x14ac:dyDescent="0.15"/>
    <row r="189" s="3" customFormat="1" ht="14.25" x14ac:dyDescent="0.15"/>
    <row r="190" s="3" customFormat="1" ht="14.25" x14ac:dyDescent="0.15"/>
    <row r="191" s="3" customFormat="1" ht="14.25" x14ac:dyDescent="0.15"/>
    <row r="192" s="3" customFormat="1" ht="14.25" x14ac:dyDescent="0.15"/>
    <row r="193" s="3" customFormat="1" ht="14.25" x14ac:dyDescent="0.15"/>
    <row r="194" s="3" customFormat="1" ht="14.25" x14ac:dyDescent="0.15"/>
    <row r="195" s="3" customFormat="1" ht="14.25" x14ac:dyDescent="0.15"/>
    <row r="196" s="3" customFormat="1" ht="14.25" x14ac:dyDescent="0.15"/>
    <row r="197" s="3" customFormat="1" ht="14.25" x14ac:dyDescent="0.15"/>
  </sheetData>
  <mergeCells count="17">
    <mergeCell ref="B54:B55"/>
    <mergeCell ref="E54:H54"/>
    <mergeCell ref="E55:H55"/>
    <mergeCell ref="B2:N2"/>
    <mergeCell ref="B3:M3"/>
    <mergeCell ref="D6:D7"/>
    <mergeCell ref="E6:E7"/>
    <mergeCell ref="H6:H7"/>
    <mergeCell ref="I6:J6"/>
    <mergeCell ref="K6:M6"/>
    <mergeCell ref="M54:M55"/>
    <mergeCell ref="D15:F15"/>
    <mergeCell ref="D57:D58"/>
    <mergeCell ref="E57:E58"/>
    <mergeCell ref="F57:F58"/>
    <mergeCell ref="G57:H57"/>
    <mergeCell ref="C54:D55"/>
  </mergeCells>
  <phoneticPr fontId="0" type="noConversion"/>
  <pageMargins left="0.39374999999999999" right="0.39374999999999999" top="0.39374999999999999" bottom="0.39374999999999999" header="0.51180555555555562" footer="0.51180555555555562"/>
  <pageSetup paperSize="9" scale="5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Preço Serv</vt:lpstr>
      <vt:lpstr>Preço Serv!Area_de_impressao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Tadeu Calippo Aquino de Alencar</dc:creator>
  <cp:lastModifiedBy>X</cp:lastModifiedBy>
  <cp:lastPrinted>2011-08-16T17:58:21Z</cp:lastPrinted>
  <dcterms:created xsi:type="dcterms:W3CDTF">2011-08-11T02:00:30Z</dcterms:created>
  <dcterms:modified xsi:type="dcterms:W3CDTF">2018-08-31T11:38:03Z</dcterms:modified>
</cp:coreProperties>
</file>