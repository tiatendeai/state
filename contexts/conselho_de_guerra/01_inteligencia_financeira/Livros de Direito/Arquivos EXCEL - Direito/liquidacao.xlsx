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ERÍCIAS\PERÍCIAS\PERÍCIAS\MATERIAL TRABAHLISTA\"/>
    </mc:Choice>
  </mc:AlternateContent>
  <bookViews>
    <workbookView xWindow="120" yWindow="360" windowWidth="9720" windowHeight="7080"/>
  </bookViews>
  <sheets>
    <sheet name="Anexos" sheetId="45" r:id="rId1"/>
    <sheet name="Anexo 1 PROV" sheetId="6" r:id="rId2"/>
    <sheet name="Anexo 2 RESUMO" sheetId="7" r:id="rId3"/>
    <sheet name="Anexo 3 Dif Sal" sheetId="59" r:id="rId4"/>
    <sheet name="Anexo 4 HE" sheetId="39" r:id="rId5"/>
    <sheet name="Anexo 5 Tiquete" sheetId="52" r:id="rId6"/>
    <sheet name="Anexo 6 INSS" sheetId="11" r:id="rId7"/>
    <sheet name="Multa INSS" sheetId="56" r:id="rId8"/>
    <sheet name="Anexo 7 IRRF" sheetId="23" r:id="rId9"/>
    <sheet name="Plan Aux IR" sheetId="44" r:id="rId10"/>
    <sheet name="Anexo 8 Tabela TRT" sheetId="49" r:id="rId11"/>
    <sheet name="Outros" sheetId="58" r:id="rId12"/>
  </sheets>
  <definedNames>
    <definedName name="_xlnm.Print_Area" localSheetId="1">'Anexo 1 PROV'!$A$1:$C$29</definedName>
    <definedName name="_xlnm.Print_Area" localSheetId="2">'Anexo 2 RESUMO'!$A$1:$F$51</definedName>
    <definedName name="_xlnm.Print_Area" localSheetId="8">'Anexo 7 IRRF'!$A$1:$I$38</definedName>
    <definedName name="_xlnm.Print_Titles" localSheetId="4">'Anexo 4 HE'!$9:$12</definedName>
    <definedName name="_xlnm.Print_Titles" localSheetId="6">'Anexo 6 INSS'!$9:$11</definedName>
    <definedName name="_xlnm.Print_Titles" localSheetId="8">'Anexo 7 IRRF'!#REF!</definedName>
    <definedName name="_xlnm.Print_Titles" localSheetId="7">'Multa INSS'!$11:$11</definedName>
  </definedNames>
  <calcPr calcId="152511"/>
</workbook>
</file>

<file path=xl/calcChain.xml><?xml version="1.0" encoding="utf-8"?>
<calcChain xmlns="http://schemas.openxmlformats.org/spreadsheetml/2006/main">
  <c r="D14" i="52" l="1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J24" i="39"/>
  <c r="J43" i="39"/>
  <c r="J72" i="39"/>
  <c r="D45" i="39"/>
  <c r="D46" i="39"/>
  <c r="F46" i="39" s="1"/>
  <c r="J46" i="39" s="1"/>
  <c r="D47" i="39"/>
  <c r="D48" i="39"/>
  <c r="D49" i="39"/>
  <c r="D50" i="39"/>
  <c r="D51" i="39"/>
  <c r="D52" i="39"/>
  <c r="F52" i="39" s="1"/>
  <c r="J52" i="39" s="1"/>
  <c r="D53" i="39"/>
  <c r="D28" i="39"/>
  <c r="D29" i="39"/>
  <c r="D30" i="39"/>
  <c r="D31" i="39"/>
  <c r="D32" i="39"/>
  <c r="D33" i="39"/>
  <c r="D34" i="39"/>
  <c r="D35" i="39"/>
  <c r="D36" i="39"/>
  <c r="D37" i="39"/>
  <c r="D38" i="39"/>
  <c r="F38" i="39" s="1"/>
  <c r="J38" i="39" s="1"/>
  <c r="D39" i="39"/>
  <c r="D40" i="39"/>
  <c r="D41" i="39"/>
  <c r="D42" i="39"/>
  <c r="F42" i="39" s="1"/>
  <c r="J42" i="39" s="1"/>
  <c r="D14" i="39"/>
  <c r="D15" i="39"/>
  <c r="F15" i="39" s="1"/>
  <c r="J15" i="39" s="1"/>
  <c r="D16" i="39"/>
  <c r="D17" i="39"/>
  <c r="F17" i="39" s="1"/>
  <c r="J17" i="39" s="1"/>
  <c r="D18" i="39"/>
  <c r="D19" i="39"/>
  <c r="F19" i="39" s="1"/>
  <c r="J19" i="39" s="1"/>
  <c r="D20" i="39"/>
  <c r="D21" i="39"/>
  <c r="D22" i="39"/>
  <c r="D23" i="39"/>
  <c r="D24" i="39"/>
  <c r="D25" i="39"/>
  <c r="D27" i="23"/>
  <c r="G27" i="23" s="1"/>
  <c r="N42" i="11"/>
  <c r="N54" i="11"/>
  <c r="E27" i="11"/>
  <c r="T79" i="39"/>
  <c r="T80" i="39"/>
  <c r="T77" i="39"/>
  <c r="T75" i="39"/>
  <c r="T74" i="39"/>
  <c r="T76" i="39" s="1"/>
  <c r="T73" i="39"/>
  <c r="T64" i="39"/>
  <c r="T65" i="39"/>
  <c r="T66" i="39"/>
  <c r="T67" i="39"/>
  <c r="T68" i="39"/>
  <c r="T69" i="39"/>
  <c r="T70" i="39"/>
  <c r="T71" i="39"/>
  <c r="T72" i="39" s="1"/>
  <c r="T63" i="39"/>
  <c r="T61" i="39"/>
  <c r="T57" i="39"/>
  <c r="T58" i="39"/>
  <c r="T59" i="39"/>
  <c r="T60" i="39"/>
  <c r="T62" i="39" s="1"/>
  <c r="T56" i="39"/>
  <c r="T50" i="39"/>
  <c r="T51" i="39"/>
  <c r="T52" i="39"/>
  <c r="T53" i="39"/>
  <c r="T54" i="39"/>
  <c r="T49" i="39"/>
  <c r="T47" i="39"/>
  <c r="T45" i="39"/>
  <c r="T46" i="39"/>
  <c r="T44" i="39"/>
  <c r="T36" i="39"/>
  <c r="T37" i="39"/>
  <c r="T38" i="39"/>
  <c r="T39" i="39"/>
  <c r="T40" i="39"/>
  <c r="T41" i="39"/>
  <c r="T42" i="39"/>
  <c r="T43" i="39" s="1"/>
  <c r="T35" i="39"/>
  <c r="T33" i="39"/>
  <c r="K33" i="11" s="1"/>
  <c r="T28" i="39"/>
  <c r="T29" i="39"/>
  <c r="K29" i="11" s="1"/>
  <c r="T30" i="39"/>
  <c r="T31" i="39"/>
  <c r="K31" i="11" s="1"/>
  <c r="T32" i="39"/>
  <c r="T27" i="39"/>
  <c r="K27" i="11" s="1"/>
  <c r="T22" i="39"/>
  <c r="T23" i="39"/>
  <c r="T24" i="39"/>
  <c r="T25" i="39"/>
  <c r="T26" i="39" s="1"/>
  <c r="T21" i="39"/>
  <c r="T19" i="39"/>
  <c r="K19" i="11" s="1"/>
  <c r="T14" i="39"/>
  <c r="T15" i="39"/>
  <c r="T16" i="39"/>
  <c r="T17" i="39"/>
  <c r="K17" i="11" s="1"/>
  <c r="T18" i="39"/>
  <c r="T13" i="39"/>
  <c r="K13" i="11" s="1"/>
  <c r="K76" i="39"/>
  <c r="K72" i="39"/>
  <c r="L72" i="39" s="1"/>
  <c r="K62" i="39"/>
  <c r="K55" i="39"/>
  <c r="L55" i="39" s="1"/>
  <c r="K48" i="39"/>
  <c r="K43" i="39"/>
  <c r="L43" i="39" s="1"/>
  <c r="K34" i="39"/>
  <c r="K26" i="39"/>
  <c r="L26" i="39" s="1"/>
  <c r="K20" i="39"/>
  <c r="I76" i="39"/>
  <c r="I72" i="39"/>
  <c r="I62" i="39"/>
  <c r="I55" i="39"/>
  <c r="J55" i="39" s="1"/>
  <c r="I48" i="39"/>
  <c r="I43" i="39"/>
  <c r="I34" i="39"/>
  <c r="I26" i="39"/>
  <c r="J26" i="39" s="1"/>
  <c r="I20" i="39"/>
  <c r="G76" i="39"/>
  <c r="G72" i="39"/>
  <c r="H72" i="39" s="1"/>
  <c r="M72" i="39" s="1"/>
  <c r="O72" i="39" s="1"/>
  <c r="S72" i="39" s="1"/>
  <c r="G62" i="39"/>
  <c r="G55" i="39"/>
  <c r="H55" i="39" s="1"/>
  <c r="M55" i="39" s="1"/>
  <c r="O55" i="39" s="1"/>
  <c r="S55" i="39" s="1"/>
  <c r="U55" i="39" s="1"/>
  <c r="V55" i="39" s="1"/>
  <c r="G48" i="39"/>
  <c r="G43" i="39"/>
  <c r="H43" i="39" s="1"/>
  <c r="M43" i="39" s="1"/>
  <c r="O43" i="39" s="1"/>
  <c r="S43" i="39" s="1"/>
  <c r="U43" i="39" s="1"/>
  <c r="V43" i="39" s="1"/>
  <c r="G34" i="39"/>
  <c r="G26" i="39"/>
  <c r="H26" i="39" s="1"/>
  <c r="M26" i="39" s="1"/>
  <c r="O26" i="39" s="1"/>
  <c r="S26" i="39" s="1"/>
  <c r="G20" i="39"/>
  <c r="G32" i="59"/>
  <c r="G33" i="59"/>
  <c r="G34" i="59"/>
  <c r="G35" i="59"/>
  <c r="G36" i="59" s="1"/>
  <c r="H36" i="59" s="1"/>
  <c r="G31" i="59"/>
  <c r="G20" i="59"/>
  <c r="G21" i="59"/>
  <c r="G22" i="59"/>
  <c r="G23" i="59"/>
  <c r="G24" i="59"/>
  <c r="G25" i="59"/>
  <c r="G26" i="59"/>
  <c r="G27" i="59"/>
  <c r="G28" i="59"/>
  <c r="G29" i="59"/>
  <c r="G30" i="59"/>
  <c r="G19" i="59"/>
  <c r="G14" i="59"/>
  <c r="G15" i="59"/>
  <c r="G16" i="59"/>
  <c r="G17" i="59"/>
  <c r="G18" i="59"/>
  <c r="G13" i="59"/>
  <c r="C14" i="6"/>
  <c r="C12" i="6"/>
  <c r="F51" i="7"/>
  <c r="O78" i="11"/>
  <c r="V78" i="11" s="1"/>
  <c r="O79" i="11"/>
  <c r="V79" i="11" s="1"/>
  <c r="O80" i="11"/>
  <c r="V80" i="11" s="1"/>
  <c r="O77" i="11"/>
  <c r="V77" i="11" s="1"/>
  <c r="O74" i="11"/>
  <c r="V74" i="11" s="1"/>
  <c r="O75" i="11"/>
  <c r="O76" i="11" s="1"/>
  <c r="V76" i="11" s="1"/>
  <c r="O73" i="11"/>
  <c r="V73" i="11" s="1"/>
  <c r="O64" i="11"/>
  <c r="V64" i="11" s="1"/>
  <c r="O65" i="11"/>
  <c r="V65" i="11" s="1"/>
  <c r="O66" i="11"/>
  <c r="V66" i="11" s="1"/>
  <c r="O67" i="11"/>
  <c r="V67" i="11" s="1"/>
  <c r="O68" i="11"/>
  <c r="V68" i="11" s="1"/>
  <c r="O69" i="11"/>
  <c r="V69" i="11" s="1"/>
  <c r="O70" i="11"/>
  <c r="V70" i="11" s="1"/>
  <c r="O71" i="11"/>
  <c r="O72" i="11" s="1"/>
  <c r="V72" i="11" s="1"/>
  <c r="O63" i="11"/>
  <c r="V63" i="11" s="1"/>
  <c r="O57" i="11"/>
  <c r="V57" i="11" s="1"/>
  <c r="O58" i="11"/>
  <c r="V58" i="11" s="1"/>
  <c r="O59" i="11"/>
  <c r="V59" i="11" s="1"/>
  <c r="O60" i="11"/>
  <c r="V60" i="11" s="1"/>
  <c r="O61" i="11"/>
  <c r="O62" i="11" s="1"/>
  <c r="V62" i="11" s="1"/>
  <c r="O56" i="11"/>
  <c r="V56" i="11" s="1"/>
  <c r="O50" i="11"/>
  <c r="V50" i="11" s="1"/>
  <c r="O51" i="11"/>
  <c r="V51" i="11" s="1"/>
  <c r="O52" i="11"/>
  <c r="V52" i="11" s="1"/>
  <c r="O53" i="11"/>
  <c r="V53" i="11" s="1"/>
  <c r="O54" i="11"/>
  <c r="O55" i="11" s="1"/>
  <c r="V55" i="11" s="1"/>
  <c r="O49" i="11"/>
  <c r="V49" i="11" s="1"/>
  <c r="O45" i="11"/>
  <c r="V45" i="11" s="1"/>
  <c r="O46" i="11"/>
  <c r="V46" i="11" s="1"/>
  <c r="O47" i="11"/>
  <c r="O48" i="11" s="1"/>
  <c r="V48" i="11" s="1"/>
  <c r="O44" i="11"/>
  <c r="V44" i="11" s="1"/>
  <c r="O38" i="11"/>
  <c r="V38" i="11" s="1"/>
  <c r="O39" i="11"/>
  <c r="V39" i="11" s="1"/>
  <c r="O40" i="11"/>
  <c r="V40" i="11" s="1"/>
  <c r="O41" i="11"/>
  <c r="V41" i="11" s="1"/>
  <c r="O42" i="11"/>
  <c r="O43" i="11" s="1"/>
  <c r="V43" i="11" s="1"/>
  <c r="O37" i="11"/>
  <c r="V37" i="11" s="1"/>
  <c r="E31" i="52"/>
  <c r="F31" i="52" s="1"/>
  <c r="E32" i="52"/>
  <c r="F32" i="52" s="1"/>
  <c r="E33" i="52"/>
  <c r="F33" i="52" s="1"/>
  <c r="E34" i="52"/>
  <c r="F34" i="52" s="1"/>
  <c r="E30" i="52"/>
  <c r="E19" i="52"/>
  <c r="F19" i="52" s="1"/>
  <c r="E20" i="52"/>
  <c r="F20" i="52" s="1"/>
  <c r="E21" i="52"/>
  <c r="F21" i="52" s="1"/>
  <c r="E22" i="52"/>
  <c r="E23" i="52"/>
  <c r="F23" i="52" s="1"/>
  <c r="E24" i="52"/>
  <c r="E25" i="52"/>
  <c r="F25" i="52" s="1"/>
  <c r="E26" i="52"/>
  <c r="E27" i="52"/>
  <c r="F27" i="52" s="1"/>
  <c r="E28" i="52"/>
  <c r="F28" i="52" s="1"/>
  <c r="E29" i="52"/>
  <c r="F29" i="52" s="1"/>
  <c r="E18" i="52"/>
  <c r="E14" i="52"/>
  <c r="F14" i="52" s="1"/>
  <c r="E15" i="52"/>
  <c r="F15" i="52" s="1"/>
  <c r="E16" i="52"/>
  <c r="F16" i="52" s="1"/>
  <c r="E17" i="52"/>
  <c r="F17" i="52" s="1"/>
  <c r="E13" i="52"/>
  <c r="T78" i="39"/>
  <c r="T55" i="39"/>
  <c r="Y55" i="11"/>
  <c r="Y43" i="11"/>
  <c r="B35" i="59"/>
  <c r="E25" i="6"/>
  <c r="C24" i="6" s="1"/>
  <c r="C16" i="6"/>
  <c r="Y80" i="11"/>
  <c r="Y79" i="11"/>
  <c r="Y78" i="11"/>
  <c r="Y77" i="11"/>
  <c r="Y76" i="11"/>
  <c r="Y75" i="11"/>
  <c r="Y74" i="11"/>
  <c r="Y73" i="11"/>
  <c r="Y72" i="11"/>
  <c r="Y71" i="11"/>
  <c r="Y70" i="11"/>
  <c r="Y69" i="11"/>
  <c r="Y68" i="11"/>
  <c r="Y67" i="11"/>
  <c r="Y66" i="11"/>
  <c r="Y65" i="11"/>
  <c r="Y64" i="11"/>
  <c r="M88" i="11"/>
  <c r="M90" i="11" s="1"/>
  <c r="Y63" i="11"/>
  <c r="Y62" i="11"/>
  <c r="Y61" i="11"/>
  <c r="Y60" i="11"/>
  <c r="Y59" i="11"/>
  <c r="Y58" i="11"/>
  <c r="Y57" i="11"/>
  <c r="Y56" i="11"/>
  <c r="Y54" i="11"/>
  <c r="Y53" i="11"/>
  <c r="Y52" i="11"/>
  <c r="Y51" i="11"/>
  <c r="Y50" i="11"/>
  <c r="Y49" i="11"/>
  <c r="Y48" i="11"/>
  <c r="Y47" i="11"/>
  <c r="Y46" i="11"/>
  <c r="Y45" i="11"/>
  <c r="Y44" i="11"/>
  <c r="Y42" i="11"/>
  <c r="Y41" i="11"/>
  <c r="Y40" i="11"/>
  <c r="Y39" i="11"/>
  <c r="Y38" i="11"/>
  <c r="Y37" i="11"/>
  <c r="D13" i="52"/>
  <c r="F13" i="52" s="1"/>
  <c r="K23" i="11"/>
  <c r="K32" i="11"/>
  <c r="K15" i="11"/>
  <c r="F20" i="39"/>
  <c r="J20" i="39" s="1"/>
  <c r="F24" i="39"/>
  <c r="F25" i="39"/>
  <c r="J25" i="39" s="1"/>
  <c r="D27" i="39"/>
  <c r="E27" i="39"/>
  <c r="L27" i="39" s="1"/>
  <c r="F27" i="39"/>
  <c r="J27" i="39" s="1"/>
  <c r="F28" i="39"/>
  <c r="J28" i="39" s="1"/>
  <c r="F29" i="39"/>
  <c r="J29" i="39" s="1"/>
  <c r="F30" i="39"/>
  <c r="J30" i="39" s="1"/>
  <c r="F33" i="39"/>
  <c r="J33" i="39" s="1"/>
  <c r="F34" i="39"/>
  <c r="J34" i="39" s="1"/>
  <c r="F39" i="39"/>
  <c r="J39" i="39" s="1"/>
  <c r="D44" i="39"/>
  <c r="E44" i="39" s="1"/>
  <c r="L44" i="39" s="1"/>
  <c r="F45" i="39"/>
  <c r="J45" i="39" s="1"/>
  <c r="F49" i="39"/>
  <c r="J49" i="39" s="1"/>
  <c r="F53" i="39"/>
  <c r="J53" i="39" s="1"/>
  <c r="D13" i="39"/>
  <c r="F13" i="39" s="1"/>
  <c r="J13" i="39" s="1"/>
  <c r="F14" i="39"/>
  <c r="J14" i="39" s="1"/>
  <c r="F16" i="39"/>
  <c r="J16" i="39" s="1"/>
  <c r="F18" i="39"/>
  <c r="J18" i="39" s="1"/>
  <c r="F21" i="39"/>
  <c r="J21" i="39" s="1"/>
  <c r="F22" i="39"/>
  <c r="J22" i="39" s="1"/>
  <c r="F23" i="39"/>
  <c r="J23" i="39" s="1"/>
  <c r="F35" i="39"/>
  <c r="J35" i="39" s="1"/>
  <c r="F36" i="39"/>
  <c r="J36" i="39" s="1"/>
  <c r="F37" i="39"/>
  <c r="J37" i="39" s="1"/>
  <c r="F51" i="39"/>
  <c r="J51" i="39" s="1"/>
  <c r="Q19" i="23"/>
  <c r="L4" i="58"/>
  <c r="M4" i="58" s="1"/>
  <c r="M5" i="58" s="1"/>
  <c r="D24" i="7" s="1"/>
  <c r="F4" i="58"/>
  <c r="E13" i="59"/>
  <c r="B54" i="39" s="1"/>
  <c r="F13" i="59"/>
  <c r="C54" i="11" s="1"/>
  <c r="B16" i="44"/>
  <c r="B15" i="44"/>
  <c r="B14" i="44"/>
  <c r="B13" i="44"/>
  <c r="O22" i="23"/>
  <c r="D30" i="7" s="1"/>
  <c r="E42" i="7"/>
  <c r="E49" i="7" s="1"/>
  <c r="J12" i="44"/>
  <c r="K12" i="44" s="1"/>
  <c r="J13" i="44"/>
  <c r="J14" i="44" s="1"/>
  <c r="D13" i="44"/>
  <c r="D14" i="44" s="1"/>
  <c r="F12" i="44"/>
  <c r="E12" i="44"/>
  <c r="F42" i="7"/>
  <c r="F45" i="7" s="1"/>
  <c r="E13" i="39"/>
  <c r="H13" i="39" s="1"/>
  <c r="U26" i="39" l="1"/>
  <c r="V26" i="39" s="1"/>
  <c r="U72" i="39"/>
  <c r="V72" i="39" s="1"/>
  <c r="T48" i="39"/>
  <c r="H27" i="39"/>
  <c r="M27" i="39" s="1"/>
  <c r="O27" i="39" s="1"/>
  <c r="S27" i="39" s="1"/>
  <c r="U27" i="39" s="1"/>
  <c r="F44" i="39"/>
  <c r="J44" i="39" s="1"/>
  <c r="K25" i="11"/>
  <c r="L25" i="11" s="1"/>
  <c r="K36" i="11"/>
  <c r="H44" i="39"/>
  <c r="M44" i="39" s="1"/>
  <c r="O44" i="39" s="1"/>
  <c r="F24" i="52"/>
  <c r="F30" i="52"/>
  <c r="F26" i="52"/>
  <c r="F22" i="52"/>
  <c r="F18" i="52"/>
  <c r="T20" i="39"/>
  <c r="K18" i="11"/>
  <c r="K16" i="11"/>
  <c r="K14" i="11"/>
  <c r="K21" i="11"/>
  <c r="T34" i="39"/>
  <c r="K30" i="11"/>
  <c r="D54" i="39"/>
  <c r="F54" i="39" s="1"/>
  <c r="J54" i="39" s="1"/>
  <c r="K28" i="11"/>
  <c r="K24" i="11"/>
  <c r="K22" i="11"/>
  <c r="K35" i="11"/>
  <c r="K14" i="44"/>
  <c r="J15" i="44"/>
  <c r="J16" i="44" s="1"/>
  <c r="K16" i="44" s="1"/>
  <c r="H13" i="59"/>
  <c r="E14" i="59"/>
  <c r="V54" i="11"/>
  <c r="V42" i="11"/>
  <c r="K13" i="44"/>
  <c r="V75" i="11"/>
  <c r="V71" i="11"/>
  <c r="V61" i="11"/>
  <c r="V47" i="11"/>
  <c r="M27" i="11"/>
  <c r="F27" i="11"/>
  <c r="H27" i="11" s="1"/>
  <c r="J27" i="11" s="1"/>
  <c r="L27" i="11" s="1"/>
  <c r="E25" i="39"/>
  <c r="E24" i="39"/>
  <c r="E23" i="39"/>
  <c r="E22" i="39"/>
  <c r="E21" i="39"/>
  <c r="E20" i="39"/>
  <c r="E19" i="39"/>
  <c r="E18" i="39"/>
  <c r="E17" i="39"/>
  <c r="E16" i="39"/>
  <c r="E15" i="39"/>
  <c r="E14" i="39"/>
  <c r="E42" i="39"/>
  <c r="E41" i="39"/>
  <c r="E40" i="39"/>
  <c r="E39" i="39"/>
  <c r="E38" i="39"/>
  <c r="E37" i="39"/>
  <c r="E36" i="39"/>
  <c r="E35" i="39"/>
  <c r="E34" i="39"/>
  <c r="E33" i="39"/>
  <c r="E32" i="39"/>
  <c r="E31" i="39"/>
  <c r="E30" i="39"/>
  <c r="E29" i="39"/>
  <c r="E28" i="39"/>
  <c r="E54" i="39"/>
  <c r="E53" i="39"/>
  <c r="E52" i="39"/>
  <c r="E51" i="39"/>
  <c r="E50" i="39"/>
  <c r="E49" i="39"/>
  <c r="E48" i="39"/>
  <c r="E47" i="39"/>
  <c r="E46" i="39"/>
  <c r="E45" i="39"/>
  <c r="F41" i="39"/>
  <c r="J41" i="39" s="1"/>
  <c r="F40" i="39"/>
  <c r="J40" i="39" s="1"/>
  <c r="F32" i="39"/>
  <c r="J32" i="39" s="1"/>
  <c r="F31" i="39"/>
  <c r="J31" i="39" s="1"/>
  <c r="F50" i="39"/>
  <c r="J50" i="39" s="1"/>
  <c r="F48" i="39"/>
  <c r="J48" i="39" s="1"/>
  <c r="F47" i="39"/>
  <c r="J47" i="39" s="1"/>
  <c r="D15" i="44"/>
  <c r="E14" i="44"/>
  <c r="F14" i="44"/>
  <c r="L13" i="39"/>
  <c r="M13" i="39" s="1"/>
  <c r="O13" i="39" s="1"/>
  <c r="K15" i="44"/>
  <c r="F13" i="44"/>
  <c r="E13" i="44"/>
  <c r="E15" i="59"/>
  <c r="E43" i="7"/>
  <c r="E45" i="7" s="1"/>
  <c r="E51" i="7" s="1"/>
  <c r="F35" i="52"/>
  <c r="D20" i="7" s="1"/>
  <c r="F21" i="7" s="1"/>
  <c r="K26" i="11"/>
  <c r="H46" i="39" l="1"/>
  <c r="L46" i="39"/>
  <c r="L48" i="39"/>
  <c r="H48" i="39"/>
  <c r="M48" i="39" s="1"/>
  <c r="O48" i="39" s="1"/>
  <c r="S48" i="39" s="1"/>
  <c r="H50" i="39"/>
  <c r="L50" i="39"/>
  <c r="L52" i="39"/>
  <c r="H52" i="39"/>
  <c r="M52" i="39" s="1"/>
  <c r="O52" i="39" s="1"/>
  <c r="L29" i="39"/>
  <c r="H29" i="39"/>
  <c r="M29" i="39" s="1"/>
  <c r="O29" i="39" s="1"/>
  <c r="L31" i="39"/>
  <c r="H31" i="39"/>
  <c r="M31" i="39" s="1"/>
  <c r="O31" i="39" s="1"/>
  <c r="L33" i="39"/>
  <c r="H33" i="39"/>
  <c r="M33" i="39" s="1"/>
  <c r="O33" i="39" s="1"/>
  <c r="L35" i="39"/>
  <c r="H35" i="39"/>
  <c r="M35" i="39" s="1"/>
  <c r="O35" i="39" s="1"/>
  <c r="L37" i="39"/>
  <c r="H37" i="39"/>
  <c r="M37" i="39" s="1"/>
  <c r="O37" i="39" s="1"/>
  <c r="L39" i="39"/>
  <c r="H39" i="39"/>
  <c r="M39" i="39" s="1"/>
  <c r="O39" i="39" s="1"/>
  <c r="L41" i="39"/>
  <c r="H41" i="39"/>
  <c r="M41" i="39" s="1"/>
  <c r="O41" i="39" s="1"/>
  <c r="H14" i="39"/>
  <c r="L14" i="39"/>
  <c r="L16" i="39"/>
  <c r="H16" i="39"/>
  <c r="M16" i="39" s="1"/>
  <c r="O16" i="39" s="1"/>
  <c r="H18" i="39"/>
  <c r="L18" i="39"/>
  <c r="L20" i="39"/>
  <c r="H20" i="39"/>
  <c r="M20" i="39" s="1"/>
  <c r="O20" i="39" s="1"/>
  <c r="S20" i="39" s="1"/>
  <c r="U20" i="39" s="1"/>
  <c r="V20" i="39" s="1"/>
  <c r="H22" i="39"/>
  <c r="L22" i="39"/>
  <c r="L24" i="39"/>
  <c r="H24" i="39"/>
  <c r="M24" i="39" s="1"/>
  <c r="O24" i="39" s="1"/>
  <c r="L45" i="39"/>
  <c r="H45" i="39"/>
  <c r="L47" i="39"/>
  <c r="H47" i="39"/>
  <c r="L49" i="39"/>
  <c r="H49" i="39"/>
  <c r="L51" i="39"/>
  <c r="H51" i="39"/>
  <c r="L53" i="39"/>
  <c r="H53" i="39"/>
  <c r="L28" i="39"/>
  <c r="H28" i="39"/>
  <c r="H30" i="39"/>
  <c r="M30" i="39" s="1"/>
  <c r="O30" i="39" s="1"/>
  <c r="L30" i="39"/>
  <c r="L32" i="39"/>
  <c r="H32" i="39"/>
  <c r="H34" i="39"/>
  <c r="M34" i="39" s="1"/>
  <c r="O34" i="39" s="1"/>
  <c r="S34" i="39" s="1"/>
  <c r="U34" i="39" s="1"/>
  <c r="V34" i="39" s="1"/>
  <c r="L34" i="39"/>
  <c r="L36" i="39"/>
  <c r="H36" i="39"/>
  <c r="H38" i="39"/>
  <c r="M38" i="39" s="1"/>
  <c r="O38" i="39" s="1"/>
  <c r="L38" i="39"/>
  <c r="L40" i="39"/>
  <c r="H40" i="39"/>
  <c r="H42" i="39"/>
  <c r="M42" i="39" s="1"/>
  <c r="O42" i="39" s="1"/>
  <c r="L42" i="39"/>
  <c r="L15" i="39"/>
  <c r="H15" i="39"/>
  <c r="L17" i="39"/>
  <c r="H17" i="39"/>
  <c r="L19" i="39"/>
  <c r="H19" i="39"/>
  <c r="L21" i="39"/>
  <c r="H21" i="39"/>
  <c r="L23" i="39"/>
  <c r="H23" i="39"/>
  <c r="L25" i="39"/>
  <c r="H25" i="39"/>
  <c r="U48" i="39"/>
  <c r="V48" i="39" s="1"/>
  <c r="K20" i="11"/>
  <c r="H54" i="39"/>
  <c r="L54" i="39"/>
  <c r="K34" i="11"/>
  <c r="B57" i="39"/>
  <c r="D57" i="39" s="1"/>
  <c r="F15" i="59"/>
  <c r="H15" i="59" s="1"/>
  <c r="B57" i="23" s="1"/>
  <c r="B56" i="39"/>
  <c r="D56" i="39" s="1"/>
  <c r="F14" i="59"/>
  <c r="B54" i="23"/>
  <c r="R44" i="39"/>
  <c r="S44" i="39" s="1"/>
  <c r="U44" i="39" s="1"/>
  <c r="V44" i="39" s="1"/>
  <c r="R13" i="39"/>
  <c r="S13" i="39" s="1"/>
  <c r="E16" i="59"/>
  <c r="D16" i="44"/>
  <c r="E16" i="44" s="1"/>
  <c r="E15" i="44"/>
  <c r="F15" i="44"/>
  <c r="R42" i="39" l="1"/>
  <c r="S42" i="39" s="1"/>
  <c r="U42" i="39" s="1"/>
  <c r="V42" i="39" s="1"/>
  <c r="R38" i="39"/>
  <c r="S38" i="39" s="1"/>
  <c r="U38" i="39" s="1"/>
  <c r="V38" i="39" s="1"/>
  <c r="R30" i="39"/>
  <c r="S30" i="39" s="1"/>
  <c r="U30" i="39" s="1"/>
  <c r="V30" i="39" s="1"/>
  <c r="R24" i="39"/>
  <c r="S24" i="39" s="1"/>
  <c r="U24" i="39" s="1"/>
  <c r="V24" i="39" s="1"/>
  <c r="R16" i="39"/>
  <c r="S16" i="39" s="1"/>
  <c r="U16" i="39" s="1"/>
  <c r="V16" i="39" s="1"/>
  <c r="R41" i="39"/>
  <c r="S41" i="39"/>
  <c r="U41" i="39" s="1"/>
  <c r="V41" i="39" s="1"/>
  <c r="R39" i="39"/>
  <c r="S39" i="39"/>
  <c r="U39" i="39" s="1"/>
  <c r="V39" i="39" s="1"/>
  <c r="R37" i="39"/>
  <c r="S37" i="39"/>
  <c r="U37" i="39" s="1"/>
  <c r="V37" i="39" s="1"/>
  <c r="R33" i="39"/>
  <c r="S33" i="39" s="1"/>
  <c r="U33" i="39" s="1"/>
  <c r="V33" i="39" s="1"/>
  <c r="R31" i="39"/>
  <c r="S31" i="39" s="1"/>
  <c r="U31" i="39" s="1"/>
  <c r="V31" i="39" s="1"/>
  <c r="R29" i="39"/>
  <c r="S29" i="39" s="1"/>
  <c r="U29" i="39" s="1"/>
  <c r="V29" i="39" s="1"/>
  <c r="S52" i="39"/>
  <c r="U52" i="39" s="1"/>
  <c r="V52" i="39" s="1"/>
  <c r="R52" i="39"/>
  <c r="M25" i="39"/>
  <c r="O25" i="39" s="1"/>
  <c r="M23" i="39"/>
  <c r="O23" i="39" s="1"/>
  <c r="M21" i="39"/>
  <c r="O21" i="39" s="1"/>
  <c r="M19" i="39"/>
  <c r="O19" i="39" s="1"/>
  <c r="M17" i="39"/>
  <c r="O17" i="39" s="1"/>
  <c r="M15" i="39"/>
  <c r="O15" i="39" s="1"/>
  <c r="M40" i="39"/>
  <c r="O40" i="39" s="1"/>
  <c r="M36" i="39"/>
  <c r="O36" i="39" s="1"/>
  <c r="M32" i="39"/>
  <c r="O32" i="39" s="1"/>
  <c r="M28" i="39"/>
  <c r="O28" i="39" s="1"/>
  <c r="M53" i="39"/>
  <c r="O53" i="39" s="1"/>
  <c r="M51" i="39"/>
  <c r="O51" i="39" s="1"/>
  <c r="M49" i="39"/>
  <c r="O49" i="39" s="1"/>
  <c r="M47" i="39"/>
  <c r="O47" i="39" s="1"/>
  <c r="M45" i="39"/>
  <c r="O45" i="39" s="1"/>
  <c r="M22" i="39"/>
  <c r="O22" i="39" s="1"/>
  <c r="M18" i="39"/>
  <c r="O18" i="39" s="1"/>
  <c r="M14" i="39"/>
  <c r="O14" i="39" s="1"/>
  <c r="M50" i="39"/>
  <c r="O50" i="39" s="1"/>
  <c r="M46" i="39"/>
  <c r="O46" i="39" s="1"/>
  <c r="M54" i="39"/>
  <c r="O54" i="39" s="1"/>
  <c r="D43" i="11"/>
  <c r="E43" i="11" s="1"/>
  <c r="F43" i="11" s="1"/>
  <c r="H43" i="11" s="1"/>
  <c r="J43" i="11" s="1"/>
  <c r="N43" i="11" s="1"/>
  <c r="R49" i="39"/>
  <c r="E56" i="39"/>
  <c r="F56" i="39"/>
  <c r="J56" i="39" s="1"/>
  <c r="R35" i="39"/>
  <c r="S35" i="39" s="1"/>
  <c r="U35" i="39" s="1"/>
  <c r="V35" i="39" s="1"/>
  <c r="B58" i="39"/>
  <c r="D58" i="39" s="1"/>
  <c r="F16" i="59"/>
  <c r="H16" i="59" s="1"/>
  <c r="B58" i="23" s="1"/>
  <c r="H14" i="59"/>
  <c r="C56" i="11"/>
  <c r="F57" i="39"/>
  <c r="J57" i="39" s="1"/>
  <c r="E57" i="39"/>
  <c r="D48" i="11"/>
  <c r="D34" i="11"/>
  <c r="E34" i="11" s="1"/>
  <c r="D55" i="11"/>
  <c r="E55" i="11" s="1"/>
  <c r="F55" i="11" s="1"/>
  <c r="H55" i="11" s="1"/>
  <c r="J55" i="11" s="1"/>
  <c r="N55" i="11" s="1"/>
  <c r="D26" i="11"/>
  <c r="E26" i="11" s="1"/>
  <c r="E17" i="59"/>
  <c r="C57" i="11"/>
  <c r="D13" i="11"/>
  <c r="E13" i="11" s="1"/>
  <c r="U13" i="39"/>
  <c r="D20" i="11"/>
  <c r="E20" i="11" s="1"/>
  <c r="D44" i="11"/>
  <c r="Q42" i="11"/>
  <c r="S42" i="11" s="1"/>
  <c r="P42" i="11"/>
  <c r="H42" i="23" s="1"/>
  <c r="H27" i="23"/>
  <c r="I27" i="23" s="1"/>
  <c r="H25" i="23"/>
  <c r="C26" i="23"/>
  <c r="D26" i="23" s="1"/>
  <c r="G26" i="23" s="1"/>
  <c r="C43" i="23"/>
  <c r="D43" i="23" s="1"/>
  <c r="G43" i="23" s="1"/>
  <c r="C55" i="23"/>
  <c r="D55" i="23" s="1"/>
  <c r="G55" i="23" s="1"/>
  <c r="R50" i="39" l="1"/>
  <c r="S50" i="39" s="1"/>
  <c r="R18" i="39"/>
  <c r="S18" i="39" s="1"/>
  <c r="R45" i="39"/>
  <c r="S45" i="39"/>
  <c r="U45" i="39" s="1"/>
  <c r="V45" i="39" s="1"/>
  <c r="S49" i="39"/>
  <c r="U49" i="39" s="1"/>
  <c r="V49" i="39" s="1"/>
  <c r="R53" i="39"/>
  <c r="S53" i="39" s="1"/>
  <c r="S32" i="39"/>
  <c r="U32" i="39" s="1"/>
  <c r="V32" i="39" s="1"/>
  <c r="R32" i="39"/>
  <c r="S40" i="39"/>
  <c r="U40" i="39" s="1"/>
  <c r="V40" i="39" s="1"/>
  <c r="R40" i="39"/>
  <c r="R17" i="39"/>
  <c r="S17" i="39" s="1"/>
  <c r="S21" i="39"/>
  <c r="U21" i="39" s="1"/>
  <c r="V21" i="39" s="1"/>
  <c r="R21" i="39"/>
  <c r="R25" i="39"/>
  <c r="S25" i="39" s="1"/>
  <c r="U25" i="39" s="1"/>
  <c r="V25" i="39" s="1"/>
  <c r="S46" i="39"/>
  <c r="U46" i="39" s="1"/>
  <c r="V46" i="39" s="1"/>
  <c r="R46" i="39"/>
  <c r="S14" i="39"/>
  <c r="U14" i="39" s="1"/>
  <c r="V14" i="39" s="1"/>
  <c r="R14" i="39"/>
  <c r="S22" i="39"/>
  <c r="U22" i="39" s="1"/>
  <c r="V22" i="39" s="1"/>
  <c r="R22" i="39"/>
  <c r="R47" i="39"/>
  <c r="S47" i="39" s="1"/>
  <c r="S51" i="39"/>
  <c r="U51" i="39" s="1"/>
  <c r="V51" i="39" s="1"/>
  <c r="R51" i="39"/>
  <c r="S28" i="39"/>
  <c r="U28" i="39" s="1"/>
  <c r="V28" i="39" s="1"/>
  <c r="R28" i="39"/>
  <c r="S36" i="39"/>
  <c r="U36" i="39" s="1"/>
  <c r="V36" i="39" s="1"/>
  <c r="R36" i="39"/>
  <c r="R15" i="39"/>
  <c r="S15" i="39" s="1"/>
  <c r="R19" i="39"/>
  <c r="S19" i="39" s="1"/>
  <c r="R23" i="39"/>
  <c r="S23" i="39" s="1"/>
  <c r="H56" i="39"/>
  <c r="L56" i="39"/>
  <c r="L57" i="39"/>
  <c r="H57" i="39"/>
  <c r="R54" i="39"/>
  <c r="S54" i="39" s="1"/>
  <c r="U54" i="39" s="1"/>
  <c r="V54" i="39" s="1"/>
  <c r="T43" i="11"/>
  <c r="U43" i="11" s="1"/>
  <c r="D39" i="11"/>
  <c r="E39" i="11" s="1"/>
  <c r="D35" i="11"/>
  <c r="E35" i="11" s="1"/>
  <c r="D16" i="11"/>
  <c r="E16" i="11" s="1"/>
  <c r="D49" i="11"/>
  <c r="E49" i="11" s="1"/>
  <c r="D30" i="11"/>
  <c r="E30" i="11" s="1"/>
  <c r="D52" i="11"/>
  <c r="E52" i="11" s="1"/>
  <c r="D24" i="11"/>
  <c r="E24" i="11" s="1"/>
  <c r="D38" i="11"/>
  <c r="E38" i="11" s="1"/>
  <c r="D32" i="11"/>
  <c r="E32" i="11" s="1"/>
  <c r="E44" i="11"/>
  <c r="F44" i="11" s="1"/>
  <c r="H44" i="11" s="1"/>
  <c r="J44" i="11" s="1"/>
  <c r="N44" i="11" s="1"/>
  <c r="B59" i="39"/>
  <c r="D59" i="39" s="1"/>
  <c r="F17" i="59"/>
  <c r="H17" i="59" s="1"/>
  <c r="B59" i="23" s="1"/>
  <c r="E48" i="11"/>
  <c r="F48" i="11" s="1"/>
  <c r="H48" i="11" s="1"/>
  <c r="J48" i="11" s="1"/>
  <c r="N48" i="11" s="1"/>
  <c r="F20" i="11"/>
  <c r="H20" i="11" s="1"/>
  <c r="J20" i="11" s="1"/>
  <c r="L20" i="11" s="1"/>
  <c r="M20" i="11"/>
  <c r="F26" i="11"/>
  <c r="H26" i="11" s="1"/>
  <c r="J26" i="11" s="1"/>
  <c r="L26" i="11" s="1"/>
  <c r="H26" i="23" s="1"/>
  <c r="M26" i="11"/>
  <c r="F34" i="11"/>
  <c r="H34" i="11" s="1"/>
  <c r="J34" i="11" s="1"/>
  <c r="L34" i="11" s="1"/>
  <c r="M34" i="11"/>
  <c r="D28" i="11"/>
  <c r="E28" i="11" s="1"/>
  <c r="B56" i="23"/>
  <c r="D36" i="11"/>
  <c r="E36" i="11" s="1"/>
  <c r="D14" i="11"/>
  <c r="E14" i="11" s="1"/>
  <c r="D22" i="11"/>
  <c r="E22" i="11" s="1"/>
  <c r="D45" i="11"/>
  <c r="E45" i="11" s="1"/>
  <c r="D31" i="11"/>
  <c r="E31" i="11" s="1"/>
  <c r="D29" i="11"/>
  <c r="E29" i="11" s="1"/>
  <c r="D33" i="11"/>
  <c r="E33" i="11" s="1"/>
  <c r="D41" i="11"/>
  <c r="E41" i="11" s="1"/>
  <c r="T55" i="11"/>
  <c r="U55" i="11" s="1"/>
  <c r="X43" i="11"/>
  <c r="Z43" i="11" s="1"/>
  <c r="W43" i="11"/>
  <c r="F58" i="39"/>
  <c r="J58" i="39" s="1"/>
  <c r="E58" i="39"/>
  <c r="D37" i="11"/>
  <c r="E37" i="11" s="1"/>
  <c r="F37" i="11" s="1"/>
  <c r="H37" i="11" s="1"/>
  <c r="J37" i="11" s="1"/>
  <c r="C48" i="23"/>
  <c r="D48" i="23" s="1"/>
  <c r="G48" i="23" s="1"/>
  <c r="H34" i="23"/>
  <c r="C34" i="23"/>
  <c r="D34" i="23" s="1"/>
  <c r="G34" i="23" s="1"/>
  <c r="C13" i="23"/>
  <c r="D13" i="23" s="1"/>
  <c r="G13" i="23" s="1"/>
  <c r="V13" i="39"/>
  <c r="E18" i="59"/>
  <c r="F13" i="11"/>
  <c r="H13" i="11" s="1"/>
  <c r="J13" i="11" s="1"/>
  <c r="L13" i="11" s="1"/>
  <c r="H13" i="23" s="1"/>
  <c r="M13" i="11"/>
  <c r="C58" i="11"/>
  <c r="H20" i="23"/>
  <c r="C20" i="23"/>
  <c r="D20" i="23" s="1"/>
  <c r="G20" i="23" s="1"/>
  <c r="C44" i="23"/>
  <c r="D44" i="23" s="1"/>
  <c r="G44" i="23" s="1"/>
  <c r="Q55" i="11"/>
  <c r="S55" i="11" s="1"/>
  <c r="P55" i="11"/>
  <c r="H55" i="23" s="1"/>
  <c r="Q43" i="11"/>
  <c r="S43" i="11" s="1"/>
  <c r="P43" i="11"/>
  <c r="H43" i="23" s="1"/>
  <c r="U23" i="39" l="1"/>
  <c r="V23" i="39" s="1"/>
  <c r="D23" i="11"/>
  <c r="E23" i="11" s="1"/>
  <c r="U15" i="39"/>
  <c r="V15" i="39" s="1"/>
  <c r="D15" i="11"/>
  <c r="E15" i="11" s="1"/>
  <c r="U53" i="39"/>
  <c r="V53" i="39" s="1"/>
  <c r="D53" i="11"/>
  <c r="E53" i="11" s="1"/>
  <c r="U18" i="39"/>
  <c r="V18" i="39" s="1"/>
  <c r="D18" i="11"/>
  <c r="E18" i="11" s="1"/>
  <c r="U19" i="39"/>
  <c r="V19" i="39" s="1"/>
  <c r="D19" i="11"/>
  <c r="E19" i="11" s="1"/>
  <c r="U47" i="39"/>
  <c r="V47" i="39" s="1"/>
  <c r="D47" i="11"/>
  <c r="E47" i="11" s="1"/>
  <c r="U17" i="39"/>
  <c r="V17" i="39" s="1"/>
  <c r="D17" i="11"/>
  <c r="E17" i="11" s="1"/>
  <c r="U50" i="39"/>
  <c r="V50" i="39" s="1"/>
  <c r="D50" i="11"/>
  <c r="D51" i="11"/>
  <c r="E51" i="11" s="1"/>
  <c r="D46" i="11"/>
  <c r="E46" i="11" s="1"/>
  <c r="D21" i="11"/>
  <c r="E21" i="11" s="1"/>
  <c r="D40" i="11"/>
  <c r="E40" i="11" s="1"/>
  <c r="M57" i="39"/>
  <c r="O57" i="39" s="1"/>
  <c r="L58" i="39"/>
  <c r="H58" i="39"/>
  <c r="M58" i="39" s="1"/>
  <c r="O58" i="39" s="1"/>
  <c r="R57" i="39"/>
  <c r="S57" i="39" s="1"/>
  <c r="U57" i="39" s="1"/>
  <c r="V57" i="39" s="1"/>
  <c r="I13" i="23"/>
  <c r="M56" i="39"/>
  <c r="O56" i="39" s="1"/>
  <c r="I34" i="23"/>
  <c r="D54" i="11"/>
  <c r="E54" i="11" s="1"/>
  <c r="D42" i="11"/>
  <c r="E42" i="11" s="1"/>
  <c r="B60" i="39"/>
  <c r="D60" i="39" s="1"/>
  <c r="F18" i="59"/>
  <c r="H18" i="59" s="1"/>
  <c r="C41" i="23"/>
  <c r="D41" i="23" s="1"/>
  <c r="G41" i="23" s="1"/>
  <c r="C33" i="23"/>
  <c r="D33" i="23" s="1"/>
  <c r="G33" i="23" s="1"/>
  <c r="C53" i="23"/>
  <c r="D53" i="23" s="1"/>
  <c r="G53" i="23" s="1"/>
  <c r="C29" i="23"/>
  <c r="D29" i="23" s="1"/>
  <c r="G29" i="23" s="1"/>
  <c r="C51" i="23"/>
  <c r="D51" i="23" s="1"/>
  <c r="G51" i="23" s="1"/>
  <c r="C47" i="23"/>
  <c r="D47" i="23" s="1"/>
  <c r="G47" i="23" s="1"/>
  <c r="C31" i="23"/>
  <c r="D31" i="23" s="1"/>
  <c r="G31" i="23" s="1"/>
  <c r="C45" i="23"/>
  <c r="D45" i="23" s="1"/>
  <c r="G45" i="23" s="1"/>
  <c r="C23" i="23"/>
  <c r="D23" i="23" s="1"/>
  <c r="G23" i="23" s="1"/>
  <c r="C19" i="23"/>
  <c r="D19" i="23" s="1"/>
  <c r="G19" i="23" s="1"/>
  <c r="C15" i="23"/>
  <c r="D15" i="23" s="1"/>
  <c r="G15" i="23" s="1"/>
  <c r="C22" i="23"/>
  <c r="D22" i="23" s="1"/>
  <c r="G22" i="23" s="1"/>
  <c r="C18" i="23"/>
  <c r="D18" i="23" s="1"/>
  <c r="G18" i="23" s="1"/>
  <c r="C14" i="23"/>
  <c r="D14" i="23" s="1"/>
  <c r="G14" i="23" s="1"/>
  <c r="C46" i="23"/>
  <c r="D46" i="23" s="1"/>
  <c r="G46" i="23" s="1"/>
  <c r="C36" i="23"/>
  <c r="D36" i="23" s="1"/>
  <c r="G36" i="23" s="1"/>
  <c r="C28" i="23"/>
  <c r="D28" i="23" s="1"/>
  <c r="G28" i="23" s="1"/>
  <c r="C21" i="23"/>
  <c r="D21" i="23" s="1"/>
  <c r="G21" i="23" s="1"/>
  <c r="C32" i="23"/>
  <c r="D32" i="23" s="1"/>
  <c r="G32" i="23" s="1"/>
  <c r="C38" i="23"/>
  <c r="D38" i="23" s="1"/>
  <c r="G38" i="23" s="1"/>
  <c r="C24" i="23"/>
  <c r="D24" i="23" s="1"/>
  <c r="G24" i="23" s="1"/>
  <c r="C52" i="23"/>
  <c r="D52" i="23" s="1"/>
  <c r="G52" i="23" s="1"/>
  <c r="C30" i="23"/>
  <c r="D30" i="23" s="1"/>
  <c r="G30" i="23" s="1"/>
  <c r="C40" i="23"/>
  <c r="D40" i="23" s="1"/>
  <c r="G40" i="23" s="1"/>
  <c r="C49" i="23"/>
  <c r="D49" i="23" s="1"/>
  <c r="G49" i="23" s="1"/>
  <c r="C16" i="23"/>
  <c r="D16" i="23" s="1"/>
  <c r="G16" i="23" s="1"/>
  <c r="C35" i="23"/>
  <c r="D35" i="23" s="1"/>
  <c r="G35" i="23" s="1"/>
  <c r="C39" i="23"/>
  <c r="D39" i="23" s="1"/>
  <c r="G39" i="23" s="1"/>
  <c r="C17" i="23"/>
  <c r="D17" i="23" s="1"/>
  <c r="G17" i="23" s="1"/>
  <c r="I20" i="23"/>
  <c r="T48" i="11"/>
  <c r="U48" i="11" s="1"/>
  <c r="T44" i="11"/>
  <c r="U44" i="11" s="1"/>
  <c r="E50" i="11"/>
  <c r="F50" i="11" s="1"/>
  <c r="H50" i="11" s="1"/>
  <c r="J50" i="11" s="1"/>
  <c r="N50" i="11" s="1"/>
  <c r="F41" i="11"/>
  <c r="H41" i="11" s="1"/>
  <c r="J41" i="11" s="1"/>
  <c r="N41" i="11" s="1"/>
  <c r="T41" i="11"/>
  <c r="U41" i="11" s="1"/>
  <c r="M33" i="11"/>
  <c r="F33" i="11"/>
  <c r="H33" i="11" s="1"/>
  <c r="J33" i="11" s="1"/>
  <c r="L33" i="11" s="1"/>
  <c r="H33" i="23" s="1"/>
  <c r="F53" i="11"/>
  <c r="H53" i="11" s="1"/>
  <c r="J53" i="11" s="1"/>
  <c r="N53" i="11" s="1"/>
  <c r="T53" i="11"/>
  <c r="U53" i="11" s="1"/>
  <c r="M29" i="11"/>
  <c r="F29" i="11"/>
  <c r="H29" i="11" s="1"/>
  <c r="J29" i="11" s="1"/>
  <c r="L29" i="11" s="1"/>
  <c r="H29" i="23" s="1"/>
  <c r="F51" i="11"/>
  <c r="H51" i="11" s="1"/>
  <c r="J51" i="11" s="1"/>
  <c r="N51" i="11" s="1"/>
  <c r="T51" i="11"/>
  <c r="U51" i="11" s="1"/>
  <c r="F47" i="11"/>
  <c r="H47" i="11" s="1"/>
  <c r="J47" i="11" s="1"/>
  <c r="N47" i="11" s="1"/>
  <c r="T47" i="11"/>
  <c r="U47" i="11" s="1"/>
  <c r="M31" i="11"/>
  <c r="F31" i="11"/>
  <c r="H31" i="11" s="1"/>
  <c r="J31" i="11" s="1"/>
  <c r="L31" i="11" s="1"/>
  <c r="H31" i="23" s="1"/>
  <c r="F45" i="11"/>
  <c r="H45" i="11" s="1"/>
  <c r="J45" i="11" s="1"/>
  <c r="N45" i="11" s="1"/>
  <c r="T45" i="11"/>
  <c r="U45" i="11" s="1"/>
  <c r="M23" i="11"/>
  <c r="F23" i="11"/>
  <c r="H23" i="11" s="1"/>
  <c r="J23" i="11" s="1"/>
  <c r="L23" i="11" s="1"/>
  <c r="H23" i="23" s="1"/>
  <c r="M19" i="11"/>
  <c r="F19" i="11"/>
  <c r="H19" i="11" s="1"/>
  <c r="J19" i="11" s="1"/>
  <c r="L19" i="11" s="1"/>
  <c r="H19" i="23" s="1"/>
  <c r="M15" i="11"/>
  <c r="F15" i="11"/>
  <c r="H15" i="11" s="1"/>
  <c r="J15" i="11" s="1"/>
  <c r="L15" i="11" s="1"/>
  <c r="H15" i="23" s="1"/>
  <c r="F22" i="11"/>
  <c r="H22" i="11" s="1"/>
  <c r="J22" i="11" s="1"/>
  <c r="L22" i="11" s="1"/>
  <c r="H22" i="23" s="1"/>
  <c r="M22" i="11"/>
  <c r="F18" i="11"/>
  <c r="H18" i="11" s="1"/>
  <c r="J18" i="11" s="1"/>
  <c r="L18" i="11" s="1"/>
  <c r="H18" i="23" s="1"/>
  <c r="M18" i="11"/>
  <c r="F14" i="11"/>
  <c r="H14" i="11" s="1"/>
  <c r="J14" i="11" s="1"/>
  <c r="L14" i="11" s="1"/>
  <c r="H14" i="23" s="1"/>
  <c r="M14" i="11"/>
  <c r="F46" i="11"/>
  <c r="H46" i="11" s="1"/>
  <c r="J46" i="11" s="1"/>
  <c r="N46" i="11" s="1"/>
  <c r="T46" i="11"/>
  <c r="U46" i="11" s="1"/>
  <c r="F36" i="11"/>
  <c r="H36" i="11" s="1"/>
  <c r="J36" i="11" s="1"/>
  <c r="L36" i="11" s="1"/>
  <c r="H36" i="23" s="1"/>
  <c r="M36" i="11"/>
  <c r="F28" i="11"/>
  <c r="H28" i="11" s="1"/>
  <c r="J28" i="11" s="1"/>
  <c r="L28" i="11" s="1"/>
  <c r="H28" i="23" s="1"/>
  <c r="M28" i="11"/>
  <c r="M21" i="11"/>
  <c r="F21" i="11"/>
  <c r="H21" i="11" s="1"/>
  <c r="J21" i="11" s="1"/>
  <c r="L21" i="11" s="1"/>
  <c r="H21" i="23" s="1"/>
  <c r="D25" i="11"/>
  <c r="E25" i="11" s="1"/>
  <c r="F32" i="11"/>
  <c r="H32" i="11" s="1"/>
  <c r="J32" i="11" s="1"/>
  <c r="L32" i="11" s="1"/>
  <c r="H32" i="23" s="1"/>
  <c r="M32" i="11"/>
  <c r="F38" i="11"/>
  <c r="H38" i="11" s="1"/>
  <c r="J38" i="11" s="1"/>
  <c r="N38" i="11" s="1"/>
  <c r="T38" i="11"/>
  <c r="U38" i="11" s="1"/>
  <c r="F24" i="11"/>
  <c r="H24" i="11" s="1"/>
  <c r="J24" i="11" s="1"/>
  <c r="L24" i="11" s="1"/>
  <c r="H24" i="23" s="1"/>
  <c r="M24" i="11"/>
  <c r="F52" i="11"/>
  <c r="H52" i="11" s="1"/>
  <c r="J52" i="11" s="1"/>
  <c r="N52" i="11" s="1"/>
  <c r="T52" i="11"/>
  <c r="U52" i="11" s="1"/>
  <c r="F30" i="11"/>
  <c r="H30" i="11" s="1"/>
  <c r="J30" i="11" s="1"/>
  <c r="L30" i="11" s="1"/>
  <c r="H30" i="23" s="1"/>
  <c r="M30" i="11"/>
  <c r="F40" i="11"/>
  <c r="H40" i="11" s="1"/>
  <c r="J40" i="11" s="1"/>
  <c r="N40" i="11" s="1"/>
  <c r="T40" i="11"/>
  <c r="U40" i="11" s="1"/>
  <c r="F49" i="11"/>
  <c r="H49" i="11" s="1"/>
  <c r="J49" i="11" s="1"/>
  <c r="N49" i="11" s="1"/>
  <c r="T49" i="11"/>
  <c r="U49" i="11" s="1"/>
  <c r="F16" i="11"/>
  <c r="H16" i="11" s="1"/>
  <c r="J16" i="11" s="1"/>
  <c r="L16" i="11" s="1"/>
  <c r="H16" i="23" s="1"/>
  <c r="M16" i="11"/>
  <c r="M35" i="11"/>
  <c r="F35" i="11"/>
  <c r="H35" i="11" s="1"/>
  <c r="J35" i="11" s="1"/>
  <c r="L35" i="11" s="1"/>
  <c r="H35" i="23" s="1"/>
  <c r="F39" i="11"/>
  <c r="H39" i="11" s="1"/>
  <c r="J39" i="11" s="1"/>
  <c r="N39" i="11" s="1"/>
  <c r="T39" i="11"/>
  <c r="U39" i="11" s="1"/>
  <c r="M17" i="11"/>
  <c r="F17" i="11"/>
  <c r="H17" i="11" s="1"/>
  <c r="J17" i="11" s="1"/>
  <c r="L17" i="11" s="1"/>
  <c r="H17" i="23" s="1"/>
  <c r="Q54" i="11"/>
  <c r="S54" i="11" s="1"/>
  <c r="P54" i="11"/>
  <c r="H54" i="23" s="1"/>
  <c r="X55" i="11"/>
  <c r="Z55" i="11" s="1"/>
  <c r="W55" i="11"/>
  <c r="F59" i="39"/>
  <c r="J59" i="39" s="1"/>
  <c r="E59" i="39"/>
  <c r="Q48" i="11"/>
  <c r="S48" i="11" s="1"/>
  <c r="P48" i="11"/>
  <c r="H48" i="23" s="1"/>
  <c r="I48" i="23" s="1"/>
  <c r="N37" i="11"/>
  <c r="T37" i="11"/>
  <c r="U37" i="11" s="1"/>
  <c r="C37" i="23"/>
  <c r="D37" i="23" s="1"/>
  <c r="G37" i="23" s="1"/>
  <c r="C50" i="23"/>
  <c r="D50" i="23" s="1"/>
  <c r="G50" i="23" s="1"/>
  <c r="C59" i="11"/>
  <c r="E19" i="59"/>
  <c r="Q44" i="11"/>
  <c r="S44" i="11" s="1"/>
  <c r="P44" i="11"/>
  <c r="H44" i="23" s="1"/>
  <c r="I44" i="23" s="1"/>
  <c r="R58" i="39" l="1"/>
  <c r="S58" i="39" s="1"/>
  <c r="U58" i="39" s="1"/>
  <c r="V58" i="39" s="1"/>
  <c r="L59" i="39"/>
  <c r="H59" i="39"/>
  <c r="M59" i="39" s="1"/>
  <c r="O59" i="39" s="1"/>
  <c r="T50" i="11"/>
  <c r="U50" i="11" s="1"/>
  <c r="D57" i="11"/>
  <c r="P39" i="11"/>
  <c r="H39" i="23" s="1"/>
  <c r="Q39" i="11"/>
  <c r="S39" i="11" s="1"/>
  <c r="P40" i="11"/>
  <c r="H40" i="23" s="1"/>
  <c r="Q40" i="11"/>
  <c r="S40" i="11" s="1"/>
  <c r="P52" i="11"/>
  <c r="H52" i="23" s="1"/>
  <c r="Q52" i="11"/>
  <c r="S52" i="11" s="1"/>
  <c r="Q38" i="11"/>
  <c r="S38" i="11" s="1"/>
  <c r="P38" i="11"/>
  <c r="H38" i="23" s="1"/>
  <c r="X39" i="11"/>
  <c r="Z39" i="11" s="1"/>
  <c r="W39" i="11"/>
  <c r="X49" i="11"/>
  <c r="Z49" i="11" s="1"/>
  <c r="W49" i="11"/>
  <c r="X40" i="11"/>
  <c r="Z40" i="11" s="1"/>
  <c r="W40" i="11"/>
  <c r="X52" i="11"/>
  <c r="Z52" i="11" s="1"/>
  <c r="W52" i="11"/>
  <c r="X38" i="11"/>
  <c r="Z38" i="11" s="1"/>
  <c r="W38" i="11"/>
  <c r="M25" i="11"/>
  <c r="M82" i="11" s="1"/>
  <c r="M89" i="11" s="1"/>
  <c r="M91" i="11" s="1"/>
  <c r="S86" i="11" s="1"/>
  <c r="F25" i="11"/>
  <c r="H25" i="11" s="1"/>
  <c r="X46" i="11"/>
  <c r="Z46" i="11" s="1"/>
  <c r="W46" i="11"/>
  <c r="X45" i="11"/>
  <c r="Z45" i="11" s="1"/>
  <c r="W45" i="11"/>
  <c r="X47" i="11"/>
  <c r="Z47" i="11" s="1"/>
  <c r="W47" i="11"/>
  <c r="X51" i="11"/>
  <c r="Z51" i="11" s="1"/>
  <c r="W51" i="11"/>
  <c r="X53" i="11"/>
  <c r="Z53" i="11" s="1"/>
  <c r="W53" i="11"/>
  <c r="X41" i="11"/>
  <c r="Z41" i="11" s="1"/>
  <c r="W41" i="11"/>
  <c r="X44" i="11"/>
  <c r="Z44" i="11" s="1"/>
  <c r="W44" i="11"/>
  <c r="R56" i="39"/>
  <c r="S56" i="39" s="1"/>
  <c r="U56" i="39" s="1"/>
  <c r="V56" i="39" s="1"/>
  <c r="C42" i="23"/>
  <c r="D42" i="23" s="1"/>
  <c r="G42" i="23" s="1"/>
  <c r="I42" i="23" s="1"/>
  <c r="C54" i="23"/>
  <c r="D54" i="23" s="1"/>
  <c r="G54" i="23" s="1"/>
  <c r="I54" i="23" s="1"/>
  <c r="B61" i="39"/>
  <c r="D61" i="39" s="1"/>
  <c r="F19" i="59"/>
  <c r="H19" i="59" s="1"/>
  <c r="B61" i="23" s="1"/>
  <c r="P49" i="11"/>
  <c r="H49" i="23" s="1"/>
  <c r="I49" i="23" s="1"/>
  <c r="Q49" i="11"/>
  <c r="S49" i="11" s="1"/>
  <c r="C25" i="23"/>
  <c r="D25" i="23" s="1"/>
  <c r="G25" i="23" s="1"/>
  <c r="I25" i="23" s="1"/>
  <c r="P46" i="11"/>
  <c r="H46" i="23" s="1"/>
  <c r="Q46" i="11"/>
  <c r="S46" i="11" s="1"/>
  <c r="P45" i="11"/>
  <c r="H45" i="23" s="1"/>
  <c r="Q45" i="11"/>
  <c r="S45" i="11" s="1"/>
  <c r="Q47" i="11"/>
  <c r="S47" i="11" s="1"/>
  <c r="P47" i="11"/>
  <c r="H47" i="23" s="1"/>
  <c r="P51" i="11"/>
  <c r="H51" i="23" s="1"/>
  <c r="Q51" i="11"/>
  <c r="S51" i="11" s="1"/>
  <c r="Q53" i="11"/>
  <c r="S53" i="11" s="1"/>
  <c r="P53" i="11"/>
  <c r="H53" i="23" s="1"/>
  <c r="I53" i="23" s="1"/>
  <c r="Q41" i="11"/>
  <c r="S41" i="11" s="1"/>
  <c r="P41" i="11"/>
  <c r="H41" i="23" s="1"/>
  <c r="I41" i="23" s="1"/>
  <c r="X48" i="11"/>
  <c r="Z48" i="11" s="1"/>
  <c r="W48" i="11"/>
  <c r="B60" i="23"/>
  <c r="F42" i="11"/>
  <c r="H42" i="11" s="1"/>
  <c r="T42" i="11"/>
  <c r="U42" i="11" s="1"/>
  <c r="F54" i="11"/>
  <c r="H54" i="11" s="1"/>
  <c r="T54" i="11"/>
  <c r="U54" i="11" s="1"/>
  <c r="L81" i="11"/>
  <c r="Y86" i="11" s="1"/>
  <c r="I17" i="23"/>
  <c r="I39" i="23"/>
  <c r="I35" i="23"/>
  <c r="I16" i="23"/>
  <c r="I40" i="23"/>
  <c r="I30" i="23"/>
  <c r="I52" i="23"/>
  <c r="I24" i="23"/>
  <c r="I38" i="23"/>
  <c r="I32" i="23"/>
  <c r="I21" i="23"/>
  <c r="I28" i="23"/>
  <c r="I36" i="23"/>
  <c r="I46" i="23"/>
  <c r="I14" i="23"/>
  <c r="I18" i="23"/>
  <c r="I22" i="23"/>
  <c r="I15" i="23"/>
  <c r="I19" i="23"/>
  <c r="I23" i="23"/>
  <c r="I45" i="23"/>
  <c r="I31" i="23"/>
  <c r="I47" i="23"/>
  <c r="I51" i="23"/>
  <c r="I29" i="23"/>
  <c r="I33" i="23"/>
  <c r="F60" i="39"/>
  <c r="J60" i="39" s="1"/>
  <c r="E60" i="39"/>
  <c r="Q50" i="11"/>
  <c r="S50" i="11" s="1"/>
  <c r="P50" i="11"/>
  <c r="H50" i="23" s="1"/>
  <c r="I50" i="23" s="1"/>
  <c r="X37" i="11"/>
  <c r="Z37" i="11" s="1"/>
  <c r="W37" i="11"/>
  <c r="Q37" i="11"/>
  <c r="S37" i="11" s="1"/>
  <c r="P37" i="11"/>
  <c r="H37" i="23" s="1"/>
  <c r="I37" i="23" s="1"/>
  <c r="E20" i="59"/>
  <c r="C60" i="11"/>
  <c r="R59" i="39" l="1"/>
  <c r="S59" i="39" s="1"/>
  <c r="U59" i="39" s="1"/>
  <c r="V59" i="39" s="1"/>
  <c r="H60" i="39"/>
  <c r="L60" i="39"/>
  <c r="W50" i="11"/>
  <c r="X50" i="11"/>
  <c r="Z50" i="11" s="1"/>
  <c r="B62" i="39"/>
  <c r="D62" i="39" s="1"/>
  <c r="D56" i="11"/>
  <c r="C57" i="23"/>
  <c r="D57" i="23" s="1"/>
  <c r="G57" i="23" s="1"/>
  <c r="B63" i="39"/>
  <c r="D63" i="39" s="1"/>
  <c r="F20" i="59"/>
  <c r="H20" i="59" s="1"/>
  <c r="X54" i="11"/>
  <c r="Z54" i="11" s="1"/>
  <c r="W54" i="11"/>
  <c r="X42" i="11"/>
  <c r="Z42" i="11" s="1"/>
  <c r="W42" i="11"/>
  <c r="E57" i="11"/>
  <c r="F57" i="11" s="1"/>
  <c r="H57" i="11" s="1"/>
  <c r="J57" i="11" s="1"/>
  <c r="N57" i="11" s="1"/>
  <c r="E21" i="59"/>
  <c r="C61" i="11"/>
  <c r="D58" i="11"/>
  <c r="M60" i="39" l="1"/>
  <c r="O60" i="39" s="1"/>
  <c r="E58" i="11"/>
  <c r="F58" i="11" s="1"/>
  <c r="H58" i="11" s="1"/>
  <c r="J58" i="11" s="1"/>
  <c r="N58" i="11" s="1"/>
  <c r="E63" i="39"/>
  <c r="F63" i="39"/>
  <c r="J63" i="39" s="1"/>
  <c r="C56" i="23"/>
  <c r="D56" i="23" s="1"/>
  <c r="G56" i="23" s="1"/>
  <c r="F62" i="39"/>
  <c r="J62" i="39" s="1"/>
  <c r="E62" i="39"/>
  <c r="T57" i="11"/>
  <c r="U57" i="11" s="1"/>
  <c r="F21" i="59"/>
  <c r="H21" i="59" s="1"/>
  <c r="B64" i="23" s="1"/>
  <c r="B64" i="39"/>
  <c r="D64" i="39" s="1"/>
  <c r="Q57" i="11"/>
  <c r="S57" i="11" s="1"/>
  <c r="P57" i="11"/>
  <c r="H57" i="23" s="1"/>
  <c r="I57" i="23" s="1"/>
  <c r="B63" i="23"/>
  <c r="E56" i="11"/>
  <c r="F56" i="11" s="1"/>
  <c r="H56" i="11" s="1"/>
  <c r="J56" i="11" s="1"/>
  <c r="N56" i="11" s="1"/>
  <c r="F61" i="39"/>
  <c r="J61" i="39" s="1"/>
  <c r="E61" i="39"/>
  <c r="C63" i="11"/>
  <c r="D59" i="11"/>
  <c r="E22" i="59"/>
  <c r="C58" i="23"/>
  <c r="D58" i="23" s="1"/>
  <c r="G58" i="23" s="1"/>
  <c r="L61" i="39" l="1"/>
  <c r="H61" i="39"/>
  <c r="L62" i="39"/>
  <c r="H62" i="39"/>
  <c r="L63" i="39"/>
  <c r="H63" i="39"/>
  <c r="M63" i="39" s="1"/>
  <c r="O63" i="39" s="1"/>
  <c r="R60" i="39"/>
  <c r="S60" i="39" s="1"/>
  <c r="T56" i="11"/>
  <c r="U56" i="11" s="1"/>
  <c r="B65" i="39"/>
  <c r="D65" i="39" s="1"/>
  <c r="F22" i="59"/>
  <c r="H22" i="59" s="1"/>
  <c r="B65" i="23" s="1"/>
  <c r="Q56" i="11"/>
  <c r="S56" i="11" s="1"/>
  <c r="P56" i="11"/>
  <c r="H56" i="23" s="1"/>
  <c r="I56" i="23" s="1"/>
  <c r="F64" i="39"/>
  <c r="J64" i="39" s="1"/>
  <c r="E64" i="39"/>
  <c r="X57" i="11"/>
  <c r="Z57" i="11" s="1"/>
  <c r="W57" i="11"/>
  <c r="T58" i="11"/>
  <c r="U58" i="11" s="1"/>
  <c r="E59" i="11"/>
  <c r="F59" i="11" s="1"/>
  <c r="H59" i="11" s="1"/>
  <c r="J59" i="11" s="1"/>
  <c r="N59" i="11" s="1"/>
  <c r="X56" i="11"/>
  <c r="Z56" i="11" s="1"/>
  <c r="W56" i="11"/>
  <c r="Q58" i="11"/>
  <c r="S58" i="11" s="1"/>
  <c r="P58" i="11"/>
  <c r="H58" i="23" s="1"/>
  <c r="I58" i="23" s="1"/>
  <c r="C64" i="11"/>
  <c r="E23" i="59"/>
  <c r="C59" i="23"/>
  <c r="D59" i="23" s="1"/>
  <c r="G59" i="23" s="1"/>
  <c r="M62" i="39" l="1"/>
  <c r="O62" i="39" s="1"/>
  <c r="S62" i="39" s="1"/>
  <c r="U62" i="39" s="1"/>
  <c r="V62" i="39" s="1"/>
  <c r="M61" i="39"/>
  <c r="O61" i="39" s="1"/>
  <c r="U60" i="39"/>
  <c r="V60" i="39" s="1"/>
  <c r="D60" i="11"/>
  <c r="E60" i="11" s="1"/>
  <c r="F60" i="11" s="1"/>
  <c r="H60" i="11" s="1"/>
  <c r="J60" i="11" s="1"/>
  <c r="N60" i="11" s="1"/>
  <c r="Q60" i="11" s="1"/>
  <c r="S60" i="11" s="1"/>
  <c r="H64" i="39"/>
  <c r="L64" i="39"/>
  <c r="R61" i="39"/>
  <c r="S61" i="39" s="1"/>
  <c r="U61" i="39" s="1"/>
  <c r="V61" i="39" s="1"/>
  <c r="C60" i="23"/>
  <c r="D60" i="23" s="1"/>
  <c r="G60" i="23" s="1"/>
  <c r="D62" i="11"/>
  <c r="E62" i="11" s="1"/>
  <c r="T59" i="11"/>
  <c r="U59" i="11" s="1"/>
  <c r="X59" i="11" s="1"/>
  <c r="Z59" i="11" s="1"/>
  <c r="E65" i="39"/>
  <c r="F65" i="39"/>
  <c r="J65" i="39" s="1"/>
  <c r="F23" i="59"/>
  <c r="H23" i="59" s="1"/>
  <c r="B66" i="23" s="1"/>
  <c r="B66" i="39"/>
  <c r="D66" i="39" s="1"/>
  <c r="X58" i="11"/>
  <c r="Z58" i="11" s="1"/>
  <c r="W58" i="11"/>
  <c r="Q59" i="11"/>
  <c r="S59" i="11" s="1"/>
  <c r="P59" i="11"/>
  <c r="H59" i="23" s="1"/>
  <c r="I59" i="23" s="1"/>
  <c r="C65" i="11"/>
  <c r="E24" i="59"/>
  <c r="L65" i="39" l="1"/>
  <c r="H65" i="39"/>
  <c r="M64" i="39"/>
  <c r="O64" i="39" s="1"/>
  <c r="P60" i="11"/>
  <c r="H60" i="23" s="1"/>
  <c r="I60" i="23" s="1"/>
  <c r="W59" i="11"/>
  <c r="B67" i="39"/>
  <c r="D67" i="39" s="1"/>
  <c r="F24" i="59"/>
  <c r="H24" i="59" s="1"/>
  <c r="B67" i="23" s="1"/>
  <c r="C62" i="23"/>
  <c r="D62" i="23" s="1"/>
  <c r="G62" i="23" s="1"/>
  <c r="R63" i="39"/>
  <c r="S63" i="39" s="1"/>
  <c r="U63" i="39" s="1"/>
  <c r="V63" i="39" s="1"/>
  <c r="T60" i="11"/>
  <c r="U60" i="11" s="1"/>
  <c r="F62" i="11"/>
  <c r="H62" i="11" s="1"/>
  <c r="J62" i="11" s="1"/>
  <c r="N62" i="11" s="1"/>
  <c r="T62" i="11"/>
  <c r="U62" i="11" s="1"/>
  <c r="F66" i="39"/>
  <c r="J66" i="39" s="1"/>
  <c r="E66" i="39"/>
  <c r="C66" i="11"/>
  <c r="E25" i="59"/>
  <c r="M65" i="39" l="1"/>
  <c r="O65" i="39" s="1"/>
  <c r="R65" i="39" s="1"/>
  <c r="S65" i="39" s="1"/>
  <c r="U65" i="39" s="1"/>
  <c r="V65" i="39" s="1"/>
  <c r="L66" i="39"/>
  <c r="H66" i="39"/>
  <c r="M66" i="39" s="1"/>
  <c r="O66" i="39" s="1"/>
  <c r="R64" i="39"/>
  <c r="S64" i="39" s="1"/>
  <c r="U64" i="39" s="1"/>
  <c r="V64" i="39" s="1"/>
  <c r="D61" i="11"/>
  <c r="E61" i="11" s="1"/>
  <c r="D63" i="11"/>
  <c r="E63" i="11" s="1"/>
  <c r="F25" i="59"/>
  <c r="H25" i="59" s="1"/>
  <c r="B68" i="23" s="1"/>
  <c r="B68" i="39"/>
  <c r="D68" i="39" s="1"/>
  <c r="X62" i="11"/>
  <c r="Z62" i="11" s="1"/>
  <c r="W62" i="11"/>
  <c r="X60" i="11"/>
  <c r="Z60" i="11" s="1"/>
  <c r="W60" i="11"/>
  <c r="E67" i="39"/>
  <c r="F67" i="39"/>
  <c r="J67" i="39" s="1"/>
  <c r="Q62" i="11"/>
  <c r="S62" i="11" s="1"/>
  <c r="P62" i="11"/>
  <c r="H62" i="23" s="1"/>
  <c r="I62" i="23" s="1"/>
  <c r="E26" i="59"/>
  <c r="C67" i="11"/>
  <c r="R66" i="39" l="1"/>
  <c r="S66" i="39" s="1"/>
  <c r="U66" i="39" s="1"/>
  <c r="V66" i="39" s="1"/>
  <c r="L67" i="39"/>
  <c r="H67" i="39"/>
  <c r="C63" i="23"/>
  <c r="D63" i="23" s="1"/>
  <c r="G63" i="23" s="1"/>
  <c r="C61" i="23"/>
  <c r="D61" i="23" s="1"/>
  <c r="G61" i="23" s="1"/>
  <c r="B69" i="39"/>
  <c r="D69" i="39" s="1"/>
  <c r="F26" i="59"/>
  <c r="H26" i="59" s="1"/>
  <c r="B69" i="23" s="1"/>
  <c r="D64" i="11"/>
  <c r="E64" i="11" s="1"/>
  <c r="F68" i="39"/>
  <c r="J68" i="39" s="1"/>
  <c r="E68" i="39"/>
  <c r="F63" i="11"/>
  <c r="H63" i="11" s="1"/>
  <c r="J63" i="11" s="1"/>
  <c r="N63" i="11" s="1"/>
  <c r="T63" i="11"/>
  <c r="U63" i="11" s="1"/>
  <c r="F61" i="11"/>
  <c r="H61" i="11" s="1"/>
  <c r="J61" i="11" s="1"/>
  <c r="N61" i="11" s="1"/>
  <c r="T61" i="11"/>
  <c r="U61" i="11" s="1"/>
  <c r="B4" i="58"/>
  <c r="E27" i="59"/>
  <c r="C68" i="11"/>
  <c r="M67" i="39" l="1"/>
  <c r="O67" i="39" s="1"/>
  <c r="R67" i="39" s="1"/>
  <c r="S67" i="39" s="1"/>
  <c r="U67" i="39" s="1"/>
  <c r="V67" i="39" s="1"/>
  <c r="H68" i="39"/>
  <c r="L68" i="39"/>
  <c r="D65" i="11"/>
  <c r="E65" i="11" s="1"/>
  <c r="F27" i="59"/>
  <c r="H27" i="59" s="1"/>
  <c r="B70" i="23" s="1"/>
  <c r="B70" i="39"/>
  <c r="D70" i="39" s="1"/>
  <c r="X63" i="11"/>
  <c r="Z63" i="11" s="1"/>
  <c r="W63" i="11"/>
  <c r="F64" i="11"/>
  <c r="H64" i="11" s="1"/>
  <c r="J64" i="11" s="1"/>
  <c r="N64" i="11" s="1"/>
  <c r="T64" i="11"/>
  <c r="U64" i="11" s="1"/>
  <c r="P61" i="11"/>
  <c r="H61" i="23" s="1"/>
  <c r="I61" i="23" s="1"/>
  <c r="Q61" i="11"/>
  <c r="S61" i="11" s="1"/>
  <c r="P63" i="11"/>
  <c r="H63" i="23" s="1"/>
  <c r="I63" i="23" s="1"/>
  <c r="Q63" i="11"/>
  <c r="S63" i="11" s="1"/>
  <c r="C64" i="23"/>
  <c r="D64" i="23" s="1"/>
  <c r="G64" i="23" s="1"/>
  <c r="F69" i="39"/>
  <c r="J69" i="39" s="1"/>
  <c r="E69" i="39"/>
  <c r="W61" i="11"/>
  <c r="X61" i="11"/>
  <c r="Z61" i="11" s="1"/>
  <c r="E28" i="59"/>
  <c r="C69" i="11"/>
  <c r="L69" i="39" l="1"/>
  <c r="H69" i="39"/>
  <c r="M68" i="39"/>
  <c r="O68" i="39" s="1"/>
  <c r="D66" i="11"/>
  <c r="E66" i="11" s="1"/>
  <c r="P64" i="11"/>
  <c r="H64" i="23" s="1"/>
  <c r="I64" i="23" s="1"/>
  <c r="Q64" i="11"/>
  <c r="S64" i="11" s="1"/>
  <c r="C65" i="23"/>
  <c r="D65" i="23" s="1"/>
  <c r="G65" i="23" s="1"/>
  <c r="B71" i="39"/>
  <c r="D71" i="39" s="1"/>
  <c r="F28" i="59"/>
  <c r="H28" i="59" s="1"/>
  <c r="B71" i="23" s="1"/>
  <c r="X64" i="11"/>
  <c r="Z64" i="11" s="1"/>
  <c r="W64" i="11"/>
  <c r="F70" i="39"/>
  <c r="J70" i="39" s="1"/>
  <c r="E70" i="39"/>
  <c r="F65" i="11"/>
  <c r="H65" i="11" s="1"/>
  <c r="J65" i="11" s="1"/>
  <c r="N65" i="11" s="1"/>
  <c r="T65" i="11"/>
  <c r="U65" i="11" s="1"/>
  <c r="E29" i="59"/>
  <c r="C70" i="11"/>
  <c r="M69" i="39" l="1"/>
  <c r="O69" i="39" s="1"/>
  <c r="R69" i="39" s="1"/>
  <c r="S69" i="39" s="1"/>
  <c r="U69" i="39" s="1"/>
  <c r="V69" i="39" s="1"/>
  <c r="L70" i="39"/>
  <c r="H70" i="39"/>
  <c r="R68" i="39"/>
  <c r="S68" i="39" s="1"/>
  <c r="U68" i="39" s="1"/>
  <c r="V68" i="39" s="1"/>
  <c r="D67" i="11"/>
  <c r="E67" i="11" s="1"/>
  <c r="Q65" i="11"/>
  <c r="S65" i="11" s="1"/>
  <c r="P65" i="11"/>
  <c r="H65" i="23" s="1"/>
  <c r="I65" i="23" s="1"/>
  <c r="E71" i="39"/>
  <c r="F71" i="39"/>
  <c r="J71" i="39" s="1"/>
  <c r="C66" i="23"/>
  <c r="D66" i="23" s="1"/>
  <c r="G66" i="23" s="1"/>
  <c r="B73" i="39"/>
  <c r="D73" i="39" s="1"/>
  <c r="F29" i="59"/>
  <c r="H29" i="59" s="1"/>
  <c r="B73" i="23" s="1"/>
  <c r="D73" i="23" s="1"/>
  <c r="G73" i="23" s="1"/>
  <c r="X65" i="11"/>
  <c r="Z65" i="11" s="1"/>
  <c r="W65" i="11"/>
  <c r="F66" i="11"/>
  <c r="H66" i="11" s="1"/>
  <c r="J66" i="11" s="1"/>
  <c r="N66" i="11" s="1"/>
  <c r="T66" i="11"/>
  <c r="U66" i="11" s="1"/>
  <c r="C71" i="11"/>
  <c r="E30" i="59"/>
  <c r="M70" i="39" l="1"/>
  <c r="O70" i="39" s="1"/>
  <c r="R70" i="39" s="1"/>
  <c r="S70" i="39" s="1"/>
  <c r="U70" i="39" s="1"/>
  <c r="V70" i="39" s="1"/>
  <c r="L71" i="39"/>
  <c r="H71" i="39"/>
  <c r="M71" i="39" s="1"/>
  <c r="O71" i="39" s="1"/>
  <c r="D68" i="11"/>
  <c r="E68" i="11" s="1"/>
  <c r="B74" i="39"/>
  <c r="D74" i="39" s="1"/>
  <c r="F30" i="59"/>
  <c r="H30" i="59" s="1"/>
  <c r="B74" i="23" s="1"/>
  <c r="W66" i="11"/>
  <c r="X66" i="11"/>
  <c r="Z66" i="11" s="1"/>
  <c r="C67" i="23"/>
  <c r="D67" i="23" s="1"/>
  <c r="G67" i="23" s="1"/>
  <c r="Q66" i="11"/>
  <c r="S66" i="11" s="1"/>
  <c r="P66" i="11"/>
  <c r="H66" i="23" s="1"/>
  <c r="I66" i="23" s="1"/>
  <c r="F73" i="39"/>
  <c r="J73" i="39" s="1"/>
  <c r="E73" i="39"/>
  <c r="F67" i="11"/>
  <c r="H67" i="11" s="1"/>
  <c r="J67" i="11" s="1"/>
  <c r="N67" i="11" s="1"/>
  <c r="T67" i="11"/>
  <c r="U67" i="11" s="1"/>
  <c r="E31" i="59"/>
  <c r="C73" i="11"/>
  <c r="E73" i="11" s="1"/>
  <c r="C4" i="58"/>
  <c r="E4" i="58" s="1"/>
  <c r="G4" i="58" s="1"/>
  <c r="G5" i="58" s="1"/>
  <c r="L73" i="39" l="1"/>
  <c r="H73" i="39"/>
  <c r="M73" i="39" s="1"/>
  <c r="O73" i="39" s="1"/>
  <c r="S73" i="39" s="1"/>
  <c r="U73" i="39" s="1"/>
  <c r="R71" i="39"/>
  <c r="S71" i="39" s="1"/>
  <c r="U71" i="39" s="1"/>
  <c r="V71" i="39" s="1"/>
  <c r="D69" i="11"/>
  <c r="E69" i="11" s="1"/>
  <c r="D70" i="11"/>
  <c r="E70" i="11" s="1"/>
  <c r="F73" i="11"/>
  <c r="H73" i="11" s="1"/>
  <c r="J73" i="11" s="1"/>
  <c r="N73" i="11" s="1"/>
  <c r="T73" i="11"/>
  <c r="U73" i="11" s="1"/>
  <c r="P67" i="11"/>
  <c r="H67" i="23" s="1"/>
  <c r="Q67" i="11"/>
  <c r="S67" i="11" s="1"/>
  <c r="D72" i="11"/>
  <c r="E72" i="11" s="1"/>
  <c r="F74" i="39"/>
  <c r="J74" i="39" s="1"/>
  <c r="E74" i="39"/>
  <c r="C68" i="23"/>
  <c r="D68" i="23" s="1"/>
  <c r="G68" i="23" s="1"/>
  <c r="I67" i="23"/>
  <c r="F31" i="59"/>
  <c r="H31" i="59" s="1"/>
  <c r="B75" i="23" s="1"/>
  <c r="B75" i="39"/>
  <c r="D75" i="39" s="1"/>
  <c r="X67" i="11"/>
  <c r="Z67" i="11" s="1"/>
  <c r="W67" i="11"/>
  <c r="F68" i="11"/>
  <c r="H68" i="11" s="1"/>
  <c r="J68" i="11" s="1"/>
  <c r="N68" i="11" s="1"/>
  <c r="T68" i="11"/>
  <c r="U68" i="11" s="1"/>
  <c r="C74" i="11"/>
  <c r="E32" i="59"/>
  <c r="D25" i="7"/>
  <c r="F26" i="7" s="1"/>
  <c r="L74" i="39" l="1"/>
  <c r="H74" i="39"/>
  <c r="B77" i="39"/>
  <c r="D77" i="39" s="1"/>
  <c r="F32" i="59"/>
  <c r="H32" i="59" s="1"/>
  <c r="B77" i="23" s="1"/>
  <c r="X68" i="11"/>
  <c r="Z68" i="11" s="1"/>
  <c r="W68" i="11"/>
  <c r="B76" i="39"/>
  <c r="D76" i="39" s="1"/>
  <c r="C72" i="23"/>
  <c r="D72" i="23" s="1"/>
  <c r="G72" i="23" s="1"/>
  <c r="C70" i="23"/>
  <c r="D70" i="23" s="1"/>
  <c r="G70" i="23" s="1"/>
  <c r="C69" i="23"/>
  <c r="D69" i="23" s="1"/>
  <c r="G69" i="23" s="1"/>
  <c r="Q68" i="11"/>
  <c r="S68" i="11" s="1"/>
  <c r="P68" i="11"/>
  <c r="H68" i="23" s="1"/>
  <c r="I68" i="23" s="1"/>
  <c r="D71" i="11"/>
  <c r="E71" i="11" s="1"/>
  <c r="F72" i="11"/>
  <c r="H72" i="11" s="1"/>
  <c r="J72" i="11" s="1"/>
  <c r="N72" i="11" s="1"/>
  <c r="T72" i="11"/>
  <c r="U72" i="11" s="1"/>
  <c r="W73" i="11"/>
  <c r="X73" i="11"/>
  <c r="Z73" i="11" s="1"/>
  <c r="F70" i="11"/>
  <c r="H70" i="11" s="1"/>
  <c r="J70" i="11" s="1"/>
  <c r="N70" i="11" s="1"/>
  <c r="T70" i="11"/>
  <c r="U70" i="11" s="1"/>
  <c r="F69" i="11"/>
  <c r="H69" i="11" s="1"/>
  <c r="J69" i="11" s="1"/>
  <c r="N69" i="11" s="1"/>
  <c r="T69" i="11"/>
  <c r="U69" i="11" s="1"/>
  <c r="C75" i="11"/>
  <c r="E33" i="59"/>
  <c r="Q73" i="11"/>
  <c r="S73" i="11" s="1"/>
  <c r="P73" i="11"/>
  <c r="H73" i="23" s="1"/>
  <c r="I73" i="23" s="1"/>
  <c r="M74" i="39" l="1"/>
  <c r="O74" i="39" s="1"/>
  <c r="P69" i="11"/>
  <c r="H69" i="23" s="1"/>
  <c r="I69" i="23" s="1"/>
  <c r="Q69" i="11"/>
  <c r="S69" i="11" s="1"/>
  <c r="P70" i="11"/>
  <c r="H70" i="23" s="1"/>
  <c r="I70" i="23" s="1"/>
  <c r="Q70" i="11"/>
  <c r="S70" i="11" s="1"/>
  <c r="P72" i="11"/>
  <c r="H72" i="23" s="1"/>
  <c r="I72" i="23" s="1"/>
  <c r="Q72" i="11"/>
  <c r="S72" i="11" s="1"/>
  <c r="C71" i="23"/>
  <c r="D71" i="23" s="1"/>
  <c r="G71" i="23" s="1"/>
  <c r="F76" i="39"/>
  <c r="J76" i="39" s="1"/>
  <c r="E76" i="39"/>
  <c r="F77" i="39"/>
  <c r="J77" i="39" s="1"/>
  <c r="E77" i="39"/>
  <c r="F33" i="59"/>
  <c r="H33" i="59" s="1"/>
  <c r="B78" i="23" s="1"/>
  <c r="B78" i="39"/>
  <c r="D78" i="39" s="1"/>
  <c r="X69" i="11"/>
  <c r="Z69" i="11" s="1"/>
  <c r="W69" i="11"/>
  <c r="W70" i="11"/>
  <c r="X70" i="11"/>
  <c r="Z70" i="11" s="1"/>
  <c r="X72" i="11"/>
  <c r="Z72" i="11" s="1"/>
  <c r="W72" i="11"/>
  <c r="F71" i="11"/>
  <c r="H71" i="11" s="1"/>
  <c r="J71" i="11" s="1"/>
  <c r="N71" i="11" s="1"/>
  <c r="T71" i="11"/>
  <c r="U71" i="11" s="1"/>
  <c r="F75" i="39"/>
  <c r="J75" i="39" s="1"/>
  <c r="E75" i="39"/>
  <c r="E34" i="59"/>
  <c r="C77" i="11"/>
  <c r="L75" i="39" l="1"/>
  <c r="H75" i="39"/>
  <c r="L77" i="39"/>
  <c r="H77" i="39"/>
  <c r="H76" i="39"/>
  <c r="L76" i="39"/>
  <c r="B79" i="39"/>
  <c r="D79" i="39" s="1"/>
  <c r="F34" i="59"/>
  <c r="H34" i="59" s="1"/>
  <c r="B79" i="23" s="1"/>
  <c r="P71" i="11"/>
  <c r="H71" i="23" s="1"/>
  <c r="I71" i="23" s="1"/>
  <c r="Q71" i="11"/>
  <c r="S71" i="11" s="1"/>
  <c r="X71" i="11"/>
  <c r="Z71" i="11" s="1"/>
  <c r="W71" i="11"/>
  <c r="F78" i="39"/>
  <c r="J78" i="39" s="1"/>
  <c r="E78" i="39"/>
  <c r="R74" i="39"/>
  <c r="S74" i="39" s="1"/>
  <c r="U74" i="39" s="1"/>
  <c r="V74" i="39" s="1"/>
  <c r="C78" i="11"/>
  <c r="E35" i="59"/>
  <c r="F35" i="59" s="1"/>
  <c r="H35" i="59" s="1"/>
  <c r="M77" i="39" l="1"/>
  <c r="O77" i="39" s="1"/>
  <c r="M75" i="39"/>
  <c r="O75" i="39" s="1"/>
  <c r="L78" i="39"/>
  <c r="H78" i="39"/>
  <c r="R75" i="39"/>
  <c r="S75" i="39" s="1"/>
  <c r="U75" i="39" s="1"/>
  <c r="V75" i="39" s="1"/>
  <c r="M76" i="39"/>
  <c r="O76" i="39" s="1"/>
  <c r="S76" i="39" s="1"/>
  <c r="U76" i="39" s="1"/>
  <c r="V76" i="39" s="1"/>
  <c r="R77" i="39"/>
  <c r="S77" i="39" s="1"/>
  <c r="U77" i="39" s="1"/>
  <c r="V77" i="39" s="1"/>
  <c r="B80" i="23"/>
  <c r="H37" i="59"/>
  <c r="B80" i="39"/>
  <c r="D80" i="39" s="1"/>
  <c r="D74" i="11"/>
  <c r="E74" i="11" s="1"/>
  <c r="C79" i="11"/>
  <c r="C80" i="11"/>
  <c r="M78" i="39" l="1"/>
  <c r="O78" i="39" s="1"/>
  <c r="R78" i="39" s="1"/>
  <c r="S78" i="39" s="1"/>
  <c r="U78" i="39" s="1"/>
  <c r="V78" i="39" s="1"/>
  <c r="D76" i="11"/>
  <c r="E76" i="11" s="1"/>
  <c r="D77" i="11"/>
  <c r="E77" i="11" s="1"/>
  <c r="F74" i="11"/>
  <c r="H74" i="11" s="1"/>
  <c r="J74" i="11" s="1"/>
  <c r="N74" i="11" s="1"/>
  <c r="T74" i="11"/>
  <c r="U74" i="11" s="1"/>
  <c r="C74" i="23"/>
  <c r="D74" i="23" s="1"/>
  <c r="G74" i="23" s="1"/>
  <c r="C76" i="23"/>
  <c r="D76" i="23" s="1"/>
  <c r="G76" i="23" s="1"/>
  <c r="E80" i="39"/>
  <c r="F80" i="39"/>
  <c r="J80" i="39" s="1"/>
  <c r="D75" i="11"/>
  <c r="E75" i="11" s="1"/>
  <c r="F76" i="11"/>
  <c r="H76" i="11" s="1"/>
  <c r="J76" i="11" s="1"/>
  <c r="N76" i="11" s="1"/>
  <c r="T76" i="11"/>
  <c r="U76" i="11" s="1"/>
  <c r="F79" i="39"/>
  <c r="J79" i="39" s="1"/>
  <c r="E79" i="39"/>
  <c r="D9" i="7"/>
  <c r="F10" i="7" s="1"/>
  <c r="L79" i="39" l="1"/>
  <c r="H79" i="39"/>
  <c r="H80" i="39"/>
  <c r="L80" i="39"/>
  <c r="P76" i="11"/>
  <c r="H76" i="23" s="1"/>
  <c r="Q76" i="11"/>
  <c r="S76" i="11" s="1"/>
  <c r="C75" i="23"/>
  <c r="D75" i="23" s="1"/>
  <c r="G75" i="23" s="1"/>
  <c r="Q74" i="11"/>
  <c r="S74" i="11" s="1"/>
  <c r="P74" i="11"/>
  <c r="H74" i="23" s="1"/>
  <c r="I74" i="23" s="1"/>
  <c r="C77" i="23"/>
  <c r="D77" i="23" s="1"/>
  <c r="G77" i="23" s="1"/>
  <c r="W76" i="11"/>
  <c r="X76" i="11"/>
  <c r="Z76" i="11" s="1"/>
  <c r="F75" i="11"/>
  <c r="H75" i="11" s="1"/>
  <c r="J75" i="11" s="1"/>
  <c r="N75" i="11" s="1"/>
  <c r="T75" i="11"/>
  <c r="U75" i="11" s="1"/>
  <c r="W74" i="11"/>
  <c r="X74" i="11"/>
  <c r="Z74" i="11" s="1"/>
  <c r="F77" i="11"/>
  <c r="H77" i="11" s="1"/>
  <c r="J77" i="11" s="1"/>
  <c r="N77" i="11" s="1"/>
  <c r="T77" i="11"/>
  <c r="U77" i="11" s="1"/>
  <c r="I76" i="23"/>
  <c r="M79" i="39" l="1"/>
  <c r="O79" i="39" s="1"/>
  <c r="R79" i="39" s="1"/>
  <c r="S79" i="39" s="1"/>
  <c r="U79" i="39" s="1"/>
  <c r="V79" i="39" s="1"/>
  <c r="M80" i="39"/>
  <c r="O80" i="39" s="1"/>
  <c r="X77" i="11"/>
  <c r="Z77" i="11" s="1"/>
  <c r="W77" i="11"/>
  <c r="Q77" i="11"/>
  <c r="S77" i="11" s="1"/>
  <c r="P77" i="11"/>
  <c r="H77" i="23" s="1"/>
  <c r="I77" i="23" s="1"/>
  <c r="Q75" i="11"/>
  <c r="S75" i="11" s="1"/>
  <c r="P75" i="11"/>
  <c r="H75" i="23" s="1"/>
  <c r="I75" i="23" s="1"/>
  <c r="W75" i="11"/>
  <c r="X75" i="11"/>
  <c r="Z75" i="11" s="1"/>
  <c r="D78" i="11"/>
  <c r="E78" i="11" s="1"/>
  <c r="R80" i="39" l="1"/>
  <c r="S80" i="39" s="1"/>
  <c r="U80" i="39" s="1"/>
  <c r="V80" i="39" s="1"/>
  <c r="F78" i="11"/>
  <c r="H78" i="11" s="1"/>
  <c r="J78" i="11" s="1"/>
  <c r="N78" i="11" s="1"/>
  <c r="T78" i="11"/>
  <c r="U78" i="11" s="1"/>
  <c r="C78" i="23"/>
  <c r="D78" i="23" s="1"/>
  <c r="G78" i="23" s="1"/>
  <c r="D80" i="11" l="1"/>
  <c r="E80" i="11" s="1"/>
  <c r="D79" i="11"/>
  <c r="E79" i="11" s="1"/>
  <c r="W78" i="11"/>
  <c r="X78" i="11"/>
  <c r="Z78" i="11" s="1"/>
  <c r="C80" i="23"/>
  <c r="D80" i="23" s="1"/>
  <c r="G80" i="23" s="1"/>
  <c r="Q78" i="11"/>
  <c r="S78" i="11" s="1"/>
  <c r="P78" i="11"/>
  <c r="F80" i="11"/>
  <c r="H80" i="11" s="1"/>
  <c r="J80" i="11" s="1"/>
  <c r="N80" i="11" s="1"/>
  <c r="T80" i="11"/>
  <c r="U80" i="11" s="1"/>
  <c r="W80" i="11" l="1"/>
  <c r="X80" i="11"/>
  <c r="Z80" i="11" s="1"/>
  <c r="V81" i="39"/>
  <c r="D15" i="7" s="1"/>
  <c r="C79" i="23"/>
  <c r="D79" i="23" s="1"/>
  <c r="G79" i="23" s="1"/>
  <c r="U81" i="39"/>
  <c r="D14" i="7" s="1"/>
  <c r="P80" i="11"/>
  <c r="H80" i="23" s="1"/>
  <c r="I80" i="23" s="1"/>
  <c r="Q80" i="11"/>
  <c r="S80" i="11" s="1"/>
  <c r="H78" i="23"/>
  <c r="I78" i="23" s="1"/>
  <c r="F79" i="11"/>
  <c r="H79" i="11" s="1"/>
  <c r="J79" i="11" s="1"/>
  <c r="N79" i="11" s="1"/>
  <c r="T79" i="11"/>
  <c r="U79" i="11" s="1"/>
  <c r="F16" i="7" l="1"/>
  <c r="F28" i="7" s="1"/>
  <c r="F30" i="7" s="1"/>
  <c r="F33" i="7" s="1"/>
  <c r="F39" i="7" s="1"/>
  <c r="C8" i="6" s="1"/>
  <c r="C28" i="6" s="1"/>
  <c r="W79" i="11"/>
  <c r="W81" i="11" s="1"/>
  <c r="S88" i="11" s="1"/>
  <c r="X79" i="11"/>
  <c r="Z79" i="11" s="1"/>
  <c r="Z81" i="11" s="1"/>
  <c r="S89" i="11" s="1"/>
  <c r="U81" i="11"/>
  <c r="S87" i="11" s="1"/>
  <c r="P79" i="11"/>
  <c r="P81" i="11" s="1"/>
  <c r="Y88" i="11" s="1"/>
  <c r="Q79" i="11"/>
  <c r="S79" i="11" s="1"/>
  <c r="S81" i="11" s="1"/>
  <c r="Y89" i="11" s="1"/>
  <c r="H79" i="23"/>
  <c r="I79" i="23" s="1"/>
  <c r="I81" i="23" s="1"/>
  <c r="G20" i="44" s="1"/>
  <c r="N81" i="11"/>
  <c r="Y87" i="11" s="1"/>
  <c r="S90" i="11" l="1"/>
  <c r="F49" i="7"/>
  <c r="G22" i="44"/>
  <c r="G24" i="44" s="1"/>
  <c r="Y90" i="11"/>
</calcChain>
</file>

<file path=xl/sharedStrings.xml><?xml version="1.0" encoding="utf-8"?>
<sst xmlns="http://schemas.openxmlformats.org/spreadsheetml/2006/main" count="493" uniqueCount="243">
  <si>
    <t>R$</t>
  </si>
  <si>
    <t>Despesas com Imprensa Oficial</t>
  </si>
  <si>
    <t>F.G.T.S (p/ depósito em conta vinculada)</t>
  </si>
  <si>
    <t>INSS - cota reclamante</t>
  </si>
  <si>
    <t>INSS - cota reclamada</t>
  </si>
  <si>
    <t>Honorários advocatícios ou sindical (   %)</t>
  </si>
  <si>
    <t>Valor Devido Corrigido</t>
  </si>
  <si>
    <t>F.G.T.S CORRIGIDO</t>
  </si>
  <si>
    <t>CONTRIBUIÇÃO PREVIDENCIÁRIA A RECOLHER</t>
  </si>
  <si>
    <t>SOMA CONTRIBUIÇÃO PREVIDENCIÁRIA A SER RECOLHIDA</t>
  </si>
  <si>
    <t>IMPOSTO DE RENDA RETIDO A SER RECOLHIDO</t>
  </si>
  <si>
    <t>BASE DE CÁLCULO DO IR</t>
  </si>
  <si>
    <t>IR A SER RECOLHIDO</t>
  </si>
  <si>
    <t>APURAÇÃO DA CONTRIBUIÇÃO PREVIDENCIÁRIA</t>
  </si>
  <si>
    <t>ANEXO 03</t>
  </si>
  <si>
    <t>ANEXO 04</t>
  </si>
  <si>
    <t>IRRF</t>
  </si>
  <si>
    <t>Alíquota devida à época</t>
  </si>
  <si>
    <t>Indices</t>
  </si>
  <si>
    <t>Valor Atualizado</t>
  </si>
  <si>
    <t>APURAÇÃO DO IMPOSTO DE RENDA RETIDO NA FONTE</t>
  </si>
  <si>
    <t>DEDUÇÃO INSS COTA RECLAMANTE</t>
  </si>
  <si>
    <t>Cota Reclamante</t>
  </si>
  <si>
    <t>Pensão Alimentícia</t>
  </si>
  <si>
    <t>DEDUÇÃO IRRF</t>
  </si>
  <si>
    <t>Col. 1</t>
  </si>
  <si>
    <t>Col. 2</t>
  </si>
  <si>
    <t>Col. 3</t>
  </si>
  <si>
    <t>Col. 4</t>
  </si>
  <si>
    <t>Col. 5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</si>
  <si>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</si>
  <si>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</si>
  <si>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</si>
  <si>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</si>
  <si>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</si>
  <si>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</si>
  <si>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</si>
  <si>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</si>
  <si>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</si>
  <si>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</si>
  <si>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</si>
  <si>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</si>
  <si>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PROCESSO:</t>
  </si>
  <si>
    <t>VARA:</t>
  </si>
  <si>
    <t xml:space="preserve">RECLAMANTE: </t>
  </si>
  <si>
    <t xml:space="preserve">RECLAMADA: </t>
  </si>
  <si>
    <t xml:space="preserve"> </t>
  </si>
  <si>
    <t>INSS COTA PARTE DA RECLAMANTE</t>
  </si>
  <si>
    <t>BASE DE CÁLCULO DA COTA PARTE DA RECLAMADA</t>
  </si>
  <si>
    <t>JUROS MORATÓRIOS</t>
  </si>
  <si>
    <t>PODER JUDICIÁRIO FEDERAL - JUSTIÇA DO TRABALHO</t>
  </si>
  <si>
    <t xml:space="preserve">TABELA ÚNICA PARA ATUALIZAÇÃO DE DÉBITOS TRABALHISTAS </t>
  </si>
  <si>
    <t>Col. 6</t>
  </si>
  <si>
    <t>Col. 7</t>
  </si>
  <si>
    <t>Col. 8</t>
  </si>
  <si>
    <t>Col. 9</t>
  </si>
  <si>
    <t>Mês / Ano</t>
  </si>
  <si>
    <t>Valor de uma Hora de Trab.</t>
  </si>
  <si>
    <t>Valor apurado</t>
  </si>
  <si>
    <t>Valor</t>
  </si>
  <si>
    <t>Col. 10</t>
  </si>
  <si>
    <t>Col. 11</t>
  </si>
  <si>
    <t>Col. 12</t>
  </si>
  <si>
    <t>Col. 13</t>
  </si>
  <si>
    <t>Col. 14</t>
  </si>
  <si>
    <t>Col. 15</t>
  </si>
  <si>
    <t>Col. 16</t>
  </si>
  <si>
    <t>Col. 17</t>
  </si>
  <si>
    <t>Col. 18</t>
  </si>
  <si>
    <t>ANEXO 3</t>
  </si>
  <si>
    <t>ANEXO 5</t>
  </si>
  <si>
    <t>ANEXO 1 - PROVIMENTO 04/2000</t>
  </si>
  <si>
    <t>RSR sobre as Horas Extras</t>
  </si>
  <si>
    <t>Dias Uteis</t>
  </si>
  <si>
    <t>Valor Apurado</t>
  </si>
  <si>
    <t>Diferenças Apuradas</t>
  </si>
  <si>
    <t>Total Bruto (Valor Corrigido + Juros)</t>
  </si>
  <si>
    <t>INSS cota parte do Reclamante</t>
  </si>
  <si>
    <t>Base IR com juros e líquida de INSS (RRA)</t>
  </si>
  <si>
    <t>%</t>
  </si>
  <si>
    <t>Soma</t>
  </si>
  <si>
    <t xml:space="preserve">Ajuizamento da ação </t>
  </si>
  <si>
    <t>ANEXO 6</t>
  </si>
  <si>
    <t xml:space="preserve">Base de Cálculo em R$ </t>
  </si>
  <si>
    <t>Base de Cálculo em R$ (recomposta)</t>
  </si>
  <si>
    <t>Alíquota (%)</t>
  </si>
  <si>
    <t>Parcela a deduzir</t>
  </si>
  <si>
    <t>Parcela a deduzir (recomposta)</t>
  </si>
  <si>
    <t>nº de meses incluido os 13º sal.</t>
  </si>
  <si>
    <t>De</t>
  </si>
  <si>
    <t>Até</t>
  </si>
  <si>
    <t>-</t>
  </si>
  <si>
    <t>acima</t>
  </si>
  <si>
    <t>Cálculo do Imposto de Renda de acordo com a tabela recomposta acima</t>
  </si>
  <si>
    <t>Aliquota (%)</t>
  </si>
  <si>
    <t>Valor Bruto</t>
  </si>
  <si>
    <t>Valor a recolher na fonte a título de IR categoria RRA</t>
  </si>
  <si>
    <t>PLANILHA AUXILIAR DO CÁLCULO DO IMPOSTO DE RENDA</t>
  </si>
  <si>
    <t>ANEXO 05</t>
  </si>
  <si>
    <t xml:space="preserve">HORAS EXTRAS + REFLEXOS DEFERIDOS </t>
  </si>
  <si>
    <t>ANEXO 06</t>
  </si>
  <si>
    <t>PROVIMENTO 04/2000</t>
  </si>
  <si>
    <t>ANEXO 01</t>
  </si>
  <si>
    <t>ANEXO 02</t>
  </si>
  <si>
    <t>RESUMO GERAL</t>
  </si>
  <si>
    <t>ANEXO 07</t>
  </si>
  <si>
    <t>Anexo 3</t>
  </si>
  <si>
    <t>Anexo 4</t>
  </si>
  <si>
    <t>Base de Cálculo INSS parte da Reclamada</t>
  </si>
  <si>
    <t>Col. 19</t>
  </si>
  <si>
    <t>Cota parte do Reclamante</t>
  </si>
  <si>
    <t>Diferença da Cota parte do Reclamante</t>
  </si>
  <si>
    <t>ANEXO 2 - RESUMO GERAL</t>
  </si>
  <si>
    <t>Base de Cálculo à época</t>
  </si>
  <si>
    <t>Nova Base de Cálculo</t>
  </si>
  <si>
    <t>Valor já recolhido à época</t>
  </si>
  <si>
    <t>Total</t>
  </si>
  <si>
    <t>Valores conquistados nesta ação que são base de cálculo para o INSS (Tabela de Incidências do Manual de Cálculos Judiciais TRT 3ª Região)</t>
  </si>
  <si>
    <r>
      <t xml:space="preserve">Valores conquistados nesta ação que são base de incidência do IRRF (Tabela de Incidências do Manual de Cálculos Judiciais TRT 3ª Região)                                                                                            </t>
    </r>
    <r>
      <rPr>
        <b/>
        <i/>
        <sz val="8"/>
        <rFont val="Arial"/>
        <family val="2"/>
      </rPr>
      <t xml:space="preserve">(Valores transferidos já corrigidos) </t>
    </r>
  </si>
  <si>
    <t>Não foi incluído conforme determinação do Exmo Juiz na r. sentença.</t>
  </si>
  <si>
    <t>Salário Base</t>
  </si>
  <si>
    <t>Divisor conf. Senten-ça</t>
  </si>
  <si>
    <t>TOTAL</t>
  </si>
  <si>
    <t>Col. 20</t>
  </si>
  <si>
    <t>Col. 21</t>
  </si>
  <si>
    <t>Base de Cálculo em R$                          (de acordo com a IN 1.145 / 2011 (ano calendário 2013))</t>
  </si>
  <si>
    <t>Parcela a Deduzir do Imposto (R$)                    (de acordo com a IN 1.145 / 2011 (ano calendário 2013))</t>
  </si>
  <si>
    <t>Até (1.710,78 x NM)</t>
  </si>
  <si>
    <t>Acima de (1.710,78 x NM) até (2.563,91 x NM)</t>
  </si>
  <si>
    <t>Acima de (2.563,91 x NM) até (3.418,59 x NM)</t>
  </si>
  <si>
    <t>Acima de (3.418,59 x NM) até (4.271,59 x NM)</t>
  </si>
  <si>
    <t>Acima de (4.271,59 x NM)</t>
  </si>
  <si>
    <t>128,3085 x NM</t>
  </si>
  <si>
    <t>320,60175 x NM</t>
  </si>
  <si>
    <t>576,996 x NM</t>
  </si>
  <si>
    <t>790,5755 x NM</t>
  </si>
  <si>
    <t>ANEXO 06.1</t>
  </si>
  <si>
    <t>PLANILHA AUXILIAR DE APURAÇÃO DO IRRF</t>
  </si>
  <si>
    <t>13º Salário 2009 (Média)</t>
  </si>
  <si>
    <t>13º Salário 2008 (Média)</t>
  </si>
  <si>
    <t>Dias de Repou-so</t>
  </si>
  <si>
    <t>FGTS Atualizado        (8% + 40%)</t>
  </si>
  <si>
    <t>Base Cálc. Principal</t>
  </si>
  <si>
    <t xml:space="preserve">Total </t>
  </si>
  <si>
    <t>Base Cálc.</t>
  </si>
  <si>
    <t>Total  Reclamante</t>
  </si>
  <si>
    <t>Principal (até 02/2009)</t>
  </si>
  <si>
    <t>Principal (a partir de 03/2009)</t>
  </si>
  <si>
    <t>Juros</t>
  </si>
  <si>
    <t>Col. 22</t>
  </si>
  <si>
    <t>Multa</t>
  </si>
  <si>
    <t>Col. 23</t>
  </si>
  <si>
    <t>Col. 24</t>
  </si>
  <si>
    <t>Col. 25</t>
  </si>
  <si>
    <t>Col. 26</t>
  </si>
  <si>
    <t>Compet</t>
  </si>
  <si>
    <t>Coefic. Ufir</t>
  </si>
  <si>
    <t>Juros%</t>
  </si>
  <si>
    <t>Fonte: http://www2.dataprev.gov.br/pls/sal/pr_sal2_emite_planilha</t>
  </si>
  <si>
    <t>INSS PARTE DA RECLAMADA - MEMÓRIA DE CÁLCULO</t>
  </si>
  <si>
    <t>FPAS EMPRESA</t>
  </si>
  <si>
    <t xml:space="preserve">R.A.T. </t>
  </si>
  <si>
    <t>Base de Cálculo sobre os Valores Apurados Nesta Ação</t>
  </si>
  <si>
    <t>% Parte da Reclamada</t>
  </si>
  <si>
    <t>Cota Parte do Reclamante</t>
  </si>
  <si>
    <t>Cota Parte da Reclamada</t>
  </si>
  <si>
    <t>Total  Reclamada</t>
  </si>
  <si>
    <t>Outras Verbas Deferidas:</t>
  </si>
  <si>
    <r>
      <t xml:space="preserve">Cota Reclamada </t>
    </r>
    <r>
      <rPr>
        <sz val="8"/>
        <rFont val="Arial"/>
        <family val="2"/>
      </rPr>
      <t>( sem a contribuição de terceiros)</t>
    </r>
  </si>
  <si>
    <t>APURAÇÃO DA CONTRIBUIÇÃO PREVIDENCIÁRIA (PLANILHA AUXILIAR)</t>
  </si>
  <si>
    <t>Honorários Periciais a arbitrar</t>
  </si>
  <si>
    <t>13º Salário 2007 (Média)</t>
  </si>
  <si>
    <t>13º Salário 2010 (Média)</t>
  </si>
  <si>
    <t>13º Salário 2011 (Média)</t>
  </si>
  <si>
    <t>Data base da categoria</t>
  </si>
  <si>
    <t>Quant.</t>
  </si>
  <si>
    <t>Valor devido</t>
  </si>
  <si>
    <t xml:space="preserve">Valor de cada Multa Normativa </t>
  </si>
  <si>
    <t>50% do salário mensal</t>
  </si>
  <si>
    <t>Salário Mensal recomposto</t>
  </si>
  <si>
    <t>Indices de Reajustes previstos nas CCTs acostadas aos autos</t>
  </si>
  <si>
    <t>Percentual de reajuste</t>
  </si>
  <si>
    <t>Salário Recomposto</t>
  </si>
  <si>
    <t>ANEXO 8</t>
  </si>
  <si>
    <t>Cláusula 2ª, CCT 2011/2012, fl. 45 (sobre o salário de jun/2010)</t>
  </si>
  <si>
    <t>Cláusula 2ª, CCT 2010/2011, fl. 63 (sobre o salário de jun/2011)</t>
  </si>
  <si>
    <t>DIFERENÇAS SALARIAIS NOS PARÂMETROS DO DETERMINADO EM SENTENÇA</t>
  </si>
  <si>
    <t>Indices (Súmula 381)</t>
  </si>
  <si>
    <t>Data do arbitramento</t>
  </si>
  <si>
    <t>Valor Arbitrado</t>
  </si>
  <si>
    <t>6 m</t>
  </si>
  <si>
    <t>18 dias</t>
  </si>
  <si>
    <t>Valor de uma Hora Extra (60%)</t>
  </si>
  <si>
    <t>Valor de uma Hora Extra (90%)</t>
  </si>
  <si>
    <t>Quant. de Horas extras a pagar (60%)</t>
  </si>
  <si>
    <t>Quant. de Horas extras a pagar (90%)</t>
  </si>
  <si>
    <t>Quant. de Horas em centesimais</t>
  </si>
  <si>
    <t>Horas de Intervalo Intrajornada</t>
  </si>
  <si>
    <t>Soma das Horas Extras Apuradas</t>
  </si>
  <si>
    <t>Horas Extras pagas nos recibos de salário</t>
  </si>
  <si>
    <t>Diferenças Apuradas em Horas Extras</t>
  </si>
  <si>
    <t>Valores Devidos  Horas Extras + RSR</t>
  </si>
  <si>
    <t>Férias + 1/3 (média) período aquisitivo 03/05/07 a 02/05/08</t>
  </si>
  <si>
    <t>Férias + 1/3 (média) período aquisitivo 03/05/08 a 02/05/09</t>
  </si>
  <si>
    <t>Férias + 1/3 (média) período aquisitivo 03/05/09 a 02/05/10</t>
  </si>
  <si>
    <t>Valor Unitário do Tiquete conforme CCT's acostadas aos autos</t>
  </si>
  <si>
    <t>Dias efetivamente trabalhados</t>
  </si>
  <si>
    <t>Valores Devidos</t>
  </si>
  <si>
    <t>TIQUETE REFEIÇÃO</t>
  </si>
  <si>
    <t>ANEXO 6.1 (PLANILHA AUXILIAR)</t>
  </si>
  <si>
    <t>ANEXO 7</t>
  </si>
  <si>
    <t>Férias + 1/3</t>
  </si>
  <si>
    <t>Valor transferido do Anexo 7 - IRRF</t>
  </si>
  <si>
    <t>Multa Normativa</t>
  </si>
  <si>
    <t>Danos Morais</t>
  </si>
  <si>
    <t>HORAS EXTRAS + REFLEXOS DEFERIDOS</t>
  </si>
  <si>
    <t>ANEXO 07.1</t>
  </si>
  <si>
    <t>ANEXO 08</t>
  </si>
  <si>
    <t>Cota (21%) Principal</t>
  </si>
  <si>
    <t>Reflexo no seguro desemprego (5 parcelas)</t>
  </si>
  <si>
    <t>ATÉ 30 DE NOVEMBRO DE 2013 - PARA 1º DE DEZEMBRO DE 2013*</t>
  </si>
  <si>
    <r>
      <t xml:space="preserve">*TR prefixada de 1º novembro/2013 a 1ºdezembro/2013 (Banco Central) = </t>
    </r>
    <r>
      <rPr>
        <b/>
        <sz val="14"/>
        <rFont val="Calibri"/>
        <family val="2"/>
      </rPr>
      <t>0,02070%</t>
    </r>
  </si>
  <si>
    <t>Correção Monetária - Tabela TRT para 30/11/2013</t>
  </si>
  <si>
    <t>Correção Monetária Tabela TRT para 30/11/2013</t>
  </si>
  <si>
    <t>Tabela Prática a ser aplicada nas contribuições em atraso - vigência 11/2013</t>
  </si>
  <si>
    <t>11 m</t>
  </si>
  <si>
    <t>VALOR APURADO CORRIGIDO ATÉ 30/11/2013</t>
  </si>
  <si>
    <t>SOMA DOS VALORES APURADOS E CORRIGIDOS ATÉ 30/11/2013</t>
  </si>
  <si>
    <t>Juros do ajuizamento da ação (12/06/2012) até 30/11/2013</t>
  </si>
  <si>
    <t>VALOR  BRUTO DEVIDO ATÉ 30/11/2013</t>
  </si>
  <si>
    <t>VALOR  LÍQUIDO DEVIDO ATÉ 30/11/2013</t>
  </si>
  <si>
    <t>Total Líquido devido ao reclamante, corrigido até 30/11/2013</t>
  </si>
  <si>
    <t>Custas processuais = R$ 400,00 (arbitradas em 01/04/2013) x 1,001415532 =</t>
  </si>
  <si>
    <t>TOTAL GERAL DA EXECUÇÃO ATÉ 30/11/2013</t>
  </si>
  <si>
    <t>TABELA ÚNICA PARA  ATUALIZAÇÃO DE DÉBITOS TRABALHISTAS DISPONIBILIZADA PELO TRT MG - TABELA ATÉ 30/11/2013</t>
  </si>
  <si>
    <t xml:space="preserve">PROCESSO:     </t>
  </si>
  <si>
    <t>VARA:              VARA DO TRABALHO DE BELO HORIZONTE - MG</t>
  </si>
  <si>
    <t xml:space="preserve">RECLAMADA:  </t>
  </si>
  <si>
    <t>ANEXO 4</t>
  </si>
  <si>
    <t>Salário Base para as Horas Extras (incluindo o salário recomposto)</t>
  </si>
  <si>
    <t>Juros do ajuizamento da ação (12/06/2012) até 30/11/2013 (1%am)</t>
  </si>
  <si>
    <r>
      <t>O advogado não pediu reflexos em 13</t>
    </r>
    <r>
      <rPr>
        <b/>
        <sz val="10"/>
        <rFont val="Calibri"/>
        <family val="2"/>
      </rPr>
      <t>°</t>
    </r>
    <r>
      <rPr>
        <b/>
        <sz val="10"/>
        <rFont val="Arial"/>
        <family val="2"/>
      </rPr>
      <t>salário, férias + 1/3 e FGTS</t>
    </r>
  </si>
  <si>
    <t>Não imprimir - Foram utilizados os parâmetros determinados na sentença.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</si>
</sst>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0.0%"/>
    <numFmt numFmtId="167" formatCode="mmm\-yy"/>
    <numFmt numFmtId="168" formatCode="0.000000000"/>
    <numFmt numFmtId="169" formatCode="dd/mm/yy;@"/>
    <numFmt numFmtId="170" formatCode="[$-416]mmm\-yy;@"/>
    <numFmt numFmtId="171" formatCode="#,##0.000000000"/>
    <numFmt numFmtId="172" formatCode="&quot;R$&quot;\ #,##0.00"/>
    <numFmt numFmtId="173" formatCode="#,##0.00000"/>
  </numFmts>
  <fonts count="4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1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Verdana"/>
      <family val="2"/>
    </font>
    <font>
      <i/>
      <sz val="10"/>
      <name val="Verdana"/>
      <family val="2"/>
    </font>
    <font>
      <sz val="10"/>
      <name val="Arial"/>
      <family val="2"/>
    </font>
    <font>
      <b/>
      <u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sz val="9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1"/>
      <color indexed="8"/>
      <name val="Calibri"/>
      <family val="2"/>
    </font>
    <font>
      <i/>
      <sz val="8"/>
      <name val="Arial"/>
      <family val="2"/>
    </font>
    <font>
      <sz val="10"/>
      <color indexed="8"/>
      <name val="Arial"/>
      <family val="2"/>
    </font>
    <font>
      <b/>
      <sz val="8"/>
      <name val="Arial"/>
      <family val="2"/>
    </font>
    <font>
      <b/>
      <sz val="16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i/>
      <sz val="8"/>
      <name val="Arial"/>
      <family val="2"/>
    </font>
    <font>
      <u/>
      <sz val="8"/>
      <name val="Arial"/>
      <family val="2"/>
    </font>
    <font>
      <sz val="7"/>
      <name val="Arial"/>
      <family val="2"/>
    </font>
    <font>
      <sz val="10"/>
      <name val="Times New Roman"/>
      <family val="1"/>
    </font>
    <font>
      <sz val="8"/>
      <color indexed="8"/>
      <name val="Calibri"/>
      <family val="2"/>
    </font>
    <font>
      <b/>
      <i/>
      <sz val="12"/>
      <name val="Arial"/>
      <family val="2"/>
    </font>
    <font>
      <sz val="8"/>
      <color indexed="63"/>
      <name val="Verdana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7"/>
      <name val="Verdana"/>
      <family val="2"/>
    </font>
    <font>
      <sz val="7"/>
      <name val="Verdana"/>
      <family val="2"/>
    </font>
    <font>
      <b/>
      <i/>
      <u/>
      <sz val="9"/>
      <name val="Arial"/>
      <family val="2"/>
    </font>
    <font>
      <b/>
      <sz val="26"/>
      <name val="Arial"/>
      <family val="2"/>
    </font>
    <font>
      <b/>
      <sz val="1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69">
    <xf numFmtId="0" fontId="0" fillId="0" borderId="0" xfId="0"/>
    <xf numFmtId="0" fontId="12" fillId="0" borderId="2" xfId="0" applyFont="1" applyFill="1" applyBorder="1" applyAlignment="1">
      <alignment horizontal="centerContinuous"/>
    </xf>
    <xf numFmtId="10" fontId="6" fillId="0" borderId="3" xfId="0" applyNumberFormat="1" applyFont="1" applyFill="1" applyBorder="1" applyAlignment="1">
      <alignment horizontal="centerContinuous"/>
    </xf>
    <xf numFmtId="0" fontId="6" fillId="0" borderId="3" xfId="0" applyFont="1" applyFill="1" applyBorder="1" applyAlignment="1">
      <alignment horizontal="centerContinuous"/>
    </xf>
    <xf numFmtId="0" fontId="6" fillId="0" borderId="4" xfId="0" applyFont="1" applyFill="1" applyBorder="1" applyAlignment="1">
      <alignment horizontal="centerContinuous"/>
    </xf>
    <xf numFmtId="0" fontId="0" fillId="0" borderId="0" xfId="0" applyFill="1"/>
    <xf numFmtId="0" fontId="25" fillId="0" borderId="0" xfId="0" applyFont="1" applyFill="1" applyBorder="1" applyAlignment="1">
      <alignment horizontal="left"/>
    </xf>
    <xf numFmtId="4" fontId="25" fillId="0" borderId="0" xfId="0" applyNumberFormat="1" applyFont="1" applyFill="1" applyBorder="1"/>
    <xf numFmtId="0" fontId="25" fillId="0" borderId="0" xfId="0" applyFont="1" applyFill="1" applyBorder="1"/>
    <xf numFmtId="0" fontId="7" fillId="0" borderId="0" xfId="0" applyFont="1" applyFill="1"/>
    <xf numFmtId="4" fontId="7" fillId="0" borderId="5" xfId="0" applyNumberFormat="1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4" fontId="24" fillId="0" borderId="5" xfId="0" applyNumberFormat="1" applyFont="1" applyFill="1" applyBorder="1" applyAlignment="1">
      <alignment horizontal="center" vertical="center" wrapText="1"/>
    </xf>
    <xf numFmtId="4" fontId="7" fillId="0" borderId="5" xfId="0" applyNumberFormat="1" applyFont="1" applyFill="1" applyBorder="1" applyAlignment="1">
      <alignment horizontal="right" vertical="center" wrapText="1"/>
    </xf>
    <xf numFmtId="1" fontId="7" fillId="0" borderId="5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/>
    <xf numFmtId="10" fontId="25" fillId="0" borderId="0" xfId="0" applyNumberFormat="1" applyFont="1" applyFill="1" applyBorder="1" applyAlignment="1">
      <alignment horizontal="left"/>
    </xf>
    <xf numFmtId="4" fontId="25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4" fontId="2" fillId="0" borderId="5" xfId="0" applyNumberFormat="1" applyFont="1" applyFill="1" applyBorder="1" applyAlignment="1">
      <alignment vertical="center" wrapText="1"/>
    </xf>
    <xf numFmtId="0" fontId="29" fillId="0" borderId="0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30" fillId="0" borderId="0" xfId="0" applyFont="1" applyFill="1" applyAlignment="1">
      <alignment horizontal="center"/>
    </xf>
    <xf numFmtId="10" fontId="25" fillId="0" borderId="0" xfId="0" applyNumberFormat="1" applyFont="1" applyFill="1" applyBorder="1"/>
    <xf numFmtId="170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167" fontId="11" fillId="0" borderId="0" xfId="0" applyNumberFormat="1" applyFont="1" applyFill="1" applyBorder="1" applyAlignment="1">
      <alignment vertical="center"/>
    </xf>
    <xf numFmtId="4" fontId="11" fillId="0" borderId="0" xfId="0" applyNumberFormat="1" applyFont="1" applyFill="1" applyBorder="1" applyAlignment="1">
      <alignment horizontal="center" vertical="center"/>
    </xf>
    <xf numFmtId="167" fontId="11" fillId="0" borderId="0" xfId="0" applyNumberFormat="1" applyFont="1" applyFill="1" applyBorder="1" applyAlignment="1">
      <alignment horizontal="center" vertical="center"/>
    </xf>
    <xf numFmtId="1" fontId="11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/>
    <xf numFmtId="10" fontId="8" fillId="0" borderId="0" xfId="0" applyNumberFormat="1" applyFont="1" applyFill="1"/>
    <xf numFmtId="0" fontId="8" fillId="0" borderId="0" xfId="0" applyFont="1" applyFill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17" fillId="0" borderId="6" xfId="0" applyFont="1" applyFill="1" applyBorder="1"/>
    <xf numFmtId="10" fontId="18" fillId="0" borderId="0" xfId="0" applyNumberFormat="1" applyFont="1" applyFill="1" applyBorder="1"/>
    <xf numFmtId="0" fontId="18" fillId="0" borderId="0" xfId="0" applyFont="1" applyFill="1" applyBorder="1"/>
    <xf numFmtId="0" fontId="18" fillId="0" borderId="0" xfId="0" applyFont="1" applyFill="1" applyBorder="1" applyAlignment="1">
      <alignment horizontal="center"/>
    </xf>
    <xf numFmtId="0" fontId="18" fillId="0" borderId="7" xfId="0" applyFont="1" applyFill="1" applyBorder="1"/>
    <xf numFmtId="0" fontId="18" fillId="0" borderId="6" xfId="0" applyFont="1" applyFill="1" applyBorder="1"/>
    <xf numFmtId="0" fontId="18" fillId="0" borderId="0" xfId="0" applyFont="1" applyFill="1" applyBorder="1" applyAlignment="1">
      <alignment horizontal="right"/>
    </xf>
    <xf numFmtId="4" fontId="18" fillId="0" borderId="0" xfId="0" applyNumberFormat="1" applyFont="1" applyFill="1" applyBorder="1"/>
    <xf numFmtId="0" fontId="18" fillId="0" borderId="8" xfId="0" applyFont="1" applyFill="1" applyBorder="1"/>
    <xf numFmtId="10" fontId="18" fillId="0" borderId="9" xfId="0" applyNumberFormat="1" applyFont="1" applyFill="1" applyBorder="1"/>
    <xf numFmtId="0" fontId="18" fillId="0" borderId="9" xfId="0" applyFont="1" applyFill="1" applyBorder="1" applyAlignment="1">
      <alignment horizontal="center"/>
    </xf>
    <xf numFmtId="0" fontId="18" fillId="0" borderId="10" xfId="0" applyFont="1" applyFill="1" applyBorder="1"/>
    <xf numFmtId="4" fontId="18" fillId="0" borderId="7" xfId="0" applyNumberFormat="1" applyFont="1" applyFill="1" applyBorder="1"/>
    <xf numFmtId="10" fontId="18" fillId="0" borderId="11" xfId="0" applyNumberFormat="1" applyFont="1" applyFill="1" applyBorder="1"/>
    <xf numFmtId="0" fontId="18" fillId="0" borderId="11" xfId="0" applyFont="1" applyFill="1" applyBorder="1"/>
    <xf numFmtId="0" fontId="18" fillId="0" borderId="11" xfId="0" applyFont="1" applyFill="1" applyBorder="1" applyAlignment="1">
      <alignment horizontal="center"/>
    </xf>
    <xf numFmtId="4" fontId="18" fillId="0" borderId="12" xfId="0" applyNumberFormat="1" applyFont="1" applyFill="1" applyBorder="1"/>
    <xf numFmtId="0" fontId="18" fillId="0" borderId="0" xfId="0" applyFont="1" applyFill="1"/>
    <xf numFmtId="0" fontId="12" fillId="0" borderId="3" xfId="0" applyFont="1" applyFill="1" applyBorder="1" applyAlignment="1">
      <alignment vertical="center" wrapText="1"/>
    </xf>
    <xf numFmtId="0" fontId="12" fillId="0" borderId="3" xfId="0" applyFont="1" applyFill="1" applyBorder="1" applyAlignment="1">
      <alignment horizontal="center" vertical="center" wrapText="1"/>
    </xf>
    <xf numFmtId="4" fontId="12" fillId="0" borderId="4" xfId="0" applyNumberFormat="1" applyFont="1" applyFill="1" applyBorder="1" applyAlignment="1">
      <alignment vertical="center" wrapText="1"/>
    </xf>
    <xf numFmtId="0" fontId="8" fillId="0" borderId="0" xfId="0" applyFont="1" applyFill="1" applyAlignment="1">
      <alignment vertical="center" wrapText="1"/>
    </xf>
    <xf numFmtId="14" fontId="18" fillId="0" borderId="0" xfId="0" applyNumberFormat="1" applyFont="1" applyFill="1" applyBorder="1"/>
    <xf numFmtId="0" fontId="19" fillId="0" borderId="0" xfId="0" applyFont="1" applyFill="1"/>
    <xf numFmtId="165" fontId="6" fillId="0" borderId="7" xfId="4" applyFont="1" applyFill="1" applyBorder="1"/>
    <xf numFmtId="165" fontId="8" fillId="0" borderId="0" xfId="4" applyFont="1" applyFill="1"/>
    <xf numFmtId="0" fontId="18" fillId="0" borderId="6" xfId="0" quotePrefix="1" applyFont="1" applyFill="1" applyBorder="1" applyAlignment="1">
      <alignment horizontal="left"/>
    </xf>
    <xf numFmtId="10" fontId="18" fillId="0" borderId="0" xfId="0" quotePrefix="1" applyNumberFormat="1" applyFont="1" applyFill="1" applyBorder="1" applyAlignment="1">
      <alignment horizontal="left"/>
    </xf>
    <xf numFmtId="39" fontId="6" fillId="0" borderId="7" xfId="0" applyNumberFormat="1" applyFont="1" applyFill="1" applyBorder="1"/>
    <xf numFmtId="0" fontId="10" fillId="0" borderId="0" xfId="0" applyFont="1" applyFill="1" applyAlignment="1">
      <alignment vertical="center" wrapText="1"/>
    </xf>
    <xf numFmtId="10" fontId="10" fillId="0" borderId="0" xfId="0" applyNumberFormat="1" applyFont="1" applyFill="1" applyAlignment="1">
      <alignment vertical="center" wrapText="1"/>
    </xf>
    <xf numFmtId="10" fontId="18" fillId="0" borderId="0" xfId="0" applyNumberFormat="1" applyFont="1" applyFill="1"/>
    <xf numFmtId="0" fontId="18" fillId="0" borderId="0" xfId="0" applyFont="1" applyFill="1" applyAlignment="1">
      <alignment horizontal="center"/>
    </xf>
    <xf numFmtId="10" fontId="6" fillId="0" borderId="0" xfId="0" applyNumberFormat="1" applyFont="1" applyFill="1" applyBorder="1"/>
    <xf numFmtId="0" fontId="6" fillId="0" borderId="0" xfId="0" applyFont="1" applyFill="1" applyBorder="1"/>
    <xf numFmtId="0" fontId="6" fillId="0" borderId="0" xfId="0" applyFont="1" applyFill="1" applyBorder="1" applyAlignment="1">
      <alignment horizontal="center"/>
    </xf>
    <xf numFmtId="165" fontId="6" fillId="0" borderId="7" xfId="0" applyNumberFormat="1" applyFont="1" applyFill="1" applyBorder="1"/>
    <xf numFmtId="0" fontId="6" fillId="0" borderId="6" xfId="0" applyFont="1" applyFill="1" applyBorder="1"/>
    <xf numFmtId="166" fontId="6" fillId="0" borderId="0" xfId="3" applyNumberFormat="1" applyFont="1" applyFill="1" applyBorder="1"/>
    <xf numFmtId="0" fontId="12" fillId="0" borderId="2" xfId="0" applyFont="1" applyFill="1" applyBorder="1" applyAlignment="1">
      <alignment vertical="center"/>
    </xf>
    <xf numFmtId="10" fontId="12" fillId="0" borderId="3" xfId="0" applyNumberFormat="1" applyFont="1" applyFill="1" applyBorder="1" applyAlignment="1">
      <alignment vertical="center"/>
    </xf>
    <xf numFmtId="0" fontId="12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center" vertical="center"/>
    </xf>
    <xf numFmtId="165" fontId="12" fillId="0" borderId="4" xfId="0" applyNumberFormat="1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10" fontId="8" fillId="0" borderId="0" xfId="0" applyNumberFormat="1" applyFont="1" applyFill="1" applyAlignment="1">
      <alignment vertical="center"/>
    </xf>
    <xf numFmtId="10" fontId="19" fillId="0" borderId="0" xfId="0" applyNumberFormat="1" applyFont="1" applyFill="1"/>
    <xf numFmtId="0" fontId="19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1" fillId="0" borderId="0" xfId="0" applyFont="1" applyFill="1"/>
    <xf numFmtId="0" fontId="20" fillId="0" borderId="0" xfId="0" applyFont="1" applyFill="1" applyAlignment="1">
      <alignment horizontal="center"/>
    </xf>
    <xf numFmtId="0" fontId="22" fillId="0" borderId="0" xfId="0" applyFont="1" applyFill="1" applyAlignment="1">
      <alignment horizontal="center"/>
    </xf>
    <xf numFmtId="4" fontId="21" fillId="0" borderId="0" xfId="0" applyNumberFormat="1" applyFont="1" applyFill="1"/>
    <xf numFmtId="0" fontId="6" fillId="0" borderId="0" xfId="0" applyFont="1" applyFill="1"/>
    <xf numFmtId="10" fontId="6" fillId="0" borderId="0" xfId="0" applyNumberFormat="1" applyFont="1" applyFill="1"/>
    <xf numFmtId="0" fontId="6" fillId="0" borderId="0" xfId="0" applyFont="1" applyFill="1" applyAlignment="1">
      <alignment horizontal="center"/>
    </xf>
    <xf numFmtId="10" fontId="7" fillId="0" borderId="0" xfId="0" applyNumberFormat="1" applyFont="1" applyFill="1"/>
    <xf numFmtId="0" fontId="4" fillId="0" borderId="13" xfId="0" applyFont="1" applyFill="1" applyBorder="1"/>
    <xf numFmtId="0" fontId="4" fillId="0" borderId="14" xfId="0" applyFont="1" applyFill="1" applyBorder="1" applyAlignment="1">
      <alignment horizontal="center"/>
    </xf>
    <xf numFmtId="4" fontId="4" fillId="0" borderId="15" xfId="0" applyNumberFormat="1" applyFont="1" applyFill="1" applyBorder="1"/>
    <xf numFmtId="0" fontId="14" fillId="0" borderId="6" xfId="0" applyFont="1" applyFill="1" applyBorder="1"/>
    <xf numFmtId="0" fontId="14" fillId="0" borderId="0" xfId="0" applyFont="1" applyFill="1" applyBorder="1"/>
    <xf numFmtId="0" fontId="14" fillId="0" borderId="0" xfId="0" applyFont="1" applyFill="1" applyBorder="1" applyAlignment="1">
      <alignment horizontal="center"/>
    </xf>
    <xf numFmtId="4" fontId="14" fillId="0" borderId="7" xfId="0" applyNumberFormat="1" applyFont="1" applyFill="1" applyBorder="1"/>
    <xf numFmtId="4" fontId="14" fillId="0" borderId="7" xfId="0" applyNumberFormat="1" applyFont="1" applyFill="1" applyBorder="1" applyAlignment="1">
      <alignment vertical="center" wrapText="1"/>
    </xf>
    <xf numFmtId="0" fontId="14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2" xfId="0" applyFont="1" applyFill="1" applyBorder="1"/>
    <xf numFmtId="4" fontId="5" fillId="0" borderId="4" xfId="0" applyNumberFormat="1" applyFont="1" applyFill="1" applyBorder="1"/>
    <xf numFmtId="0" fontId="14" fillId="0" borderId="0" xfId="0" applyFont="1" applyFill="1"/>
    <xf numFmtId="0" fontId="14" fillId="0" borderId="0" xfId="0" applyFont="1" applyFill="1" applyAlignment="1">
      <alignment horizontal="center"/>
    </xf>
    <xf numFmtId="4" fontId="14" fillId="0" borderId="0" xfId="0" applyNumberFormat="1" applyFont="1" applyFill="1"/>
    <xf numFmtId="4" fontId="14" fillId="0" borderId="0" xfId="0" applyNumberFormat="1" applyFont="1" applyFill="1" applyBorder="1"/>
    <xf numFmtId="0" fontId="15" fillId="0" borderId="0" xfId="0" applyFont="1" applyFill="1"/>
    <xf numFmtId="0" fontId="15" fillId="0" borderId="0" xfId="0" applyFont="1" applyFill="1" applyAlignment="1">
      <alignment horizontal="center"/>
    </xf>
    <xf numFmtId="4" fontId="15" fillId="0" borderId="0" xfId="0" applyNumberFormat="1" applyFont="1" applyFill="1"/>
    <xf numFmtId="4" fontId="14" fillId="0" borderId="0" xfId="0" applyNumberFormat="1" applyFont="1" applyFill="1" applyAlignment="1">
      <alignment horizontal="center"/>
    </xf>
    <xf numFmtId="0" fontId="16" fillId="0" borderId="0" xfId="0" applyFont="1" applyFill="1"/>
    <xf numFmtId="4" fontId="26" fillId="0" borderId="5" xfId="0" applyNumberFormat="1" applyFont="1" applyFill="1" applyBorder="1" applyAlignment="1">
      <alignment horizontal="right" vertical="center"/>
    </xf>
    <xf numFmtId="2" fontId="25" fillId="0" borderId="0" xfId="0" applyNumberFormat="1" applyFont="1" applyFill="1" applyBorder="1"/>
    <xf numFmtId="2" fontId="0" fillId="0" borderId="0" xfId="0" applyNumberFormat="1" applyFill="1"/>
    <xf numFmtId="1" fontId="25" fillId="0" borderId="0" xfId="0" applyNumberFormat="1" applyFont="1" applyFill="1" applyBorder="1"/>
    <xf numFmtId="1" fontId="25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4" fontId="7" fillId="0" borderId="0" xfId="0" applyNumberFormat="1" applyFont="1" applyFill="1" applyBorder="1" applyAlignment="1">
      <alignment horizontal="right"/>
    </xf>
    <xf numFmtId="4" fontId="11" fillId="0" borderId="0" xfId="0" applyNumberFormat="1" applyFont="1" applyFill="1" applyBorder="1"/>
    <xf numFmtId="10" fontId="11" fillId="0" borderId="0" xfId="0" applyNumberFormat="1" applyFont="1" applyFill="1" applyBorder="1"/>
    <xf numFmtId="0" fontId="7" fillId="0" borderId="0" xfId="0" applyFont="1" applyFill="1" applyBorder="1"/>
    <xf numFmtId="168" fontId="11" fillId="0" borderId="0" xfId="0" applyNumberFormat="1" applyFont="1" applyFill="1" applyBorder="1" applyAlignment="1"/>
    <xf numFmtId="4" fontId="7" fillId="0" borderId="0" xfId="4" applyNumberFormat="1" applyFont="1" applyFill="1" applyBorder="1" applyAlignment="1">
      <alignment horizontal="right"/>
    </xf>
    <xf numFmtId="4" fontId="11" fillId="0" borderId="0" xfId="4" applyNumberFormat="1" applyFont="1" applyFill="1" applyBorder="1"/>
    <xf numFmtId="10" fontId="11" fillId="0" borderId="0" xfId="4" applyNumberFormat="1" applyFont="1" applyFill="1" applyBorder="1"/>
    <xf numFmtId="168" fontId="11" fillId="0" borderId="0" xfId="4" applyNumberFormat="1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10" fontId="7" fillId="0" borderId="0" xfId="0" applyNumberFormat="1" applyFont="1" applyFill="1" applyBorder="1"/>
    <xf numFmtId="4" fontId="7" fillId="0" borderId="0" xfId="0" applyNumberFormat="1" applyFont="1" applyFill="1" applyBorder="1"/>
    <xf numFmtId="168" fontId="7" fillId="0" borderId="0" xfId="0" applyNumberFormat="1" applyFont="1" applyFill="1" applyBorder="1" applyAlignment="1"/>
    <xf numFmtId="4" fontId="7" fillId="0" borderId="5" xfId="0" applyNumberFormat="1" applyFont="1" applyFill="1" applyBorder="1" applyAlignment="1">
      <alignment vertical="center" wrapText="1"/>
    </xf>
    <xf numFmtId="0" fontId="0" fillId="0" borderId="0" xfId="0" applyAlignment="1"/>
    <xf numFmtId="2" fontId="0" fillId="0" borderId="0" xfId="0" applyNumberFormat="1" applyFill="1" applyAlignment="1">
      <alignment vertical="center" wrapText="1"/>
    </xf>
    <xf numFmtId="2" fontId="7" fillId="0" borderId="0" xfId="0" applyNumberFormat="1" applyFont="1" applyFill="1" applyBorder="1" applyAlignment="1">
      <alignment vertical="center" wrapText="1"/>
    </xf>
    <xf numFmtId="172" fontId="0" fillId="0" borderId="0" xfId="0" applyNumberFormat="1"/>
    <xf numFmtId="4" fontId="0" fillId="0" borderId="0" xfId="0" applyNumberFormat="1"/>
    <xf numFmtId="0" fontId="0" fillId="0" borderId="0" xfId="0" applyAlignment="1">
      <alignment horizontal="center" vertical="center" wrapText="1"/>
    </xf>
    <xf numFmtId="172" fontId="36" fillId="0" borderId="5" xfId="0" applyNumberFormat="1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172" fontId="2" fillId="0" borderId="5" xfId="0" applyNumberFormat="1" applyFont="1" applyBorder="1" applyAlignment="1">
      <alignment horizontal="center" vertical="center" wrapText="1"/>
    </xf>
    <xf numFmtId="164" fontId="2" fillId="0" borderId="5" xfId="1" applyFont="1" applyBorder="1" applyAlignment="1">
      <alignment vertical="center" wrapText="1"/>
    </xf>
    <xf numFmtId="4" fontId="2" fillId="0" borderId="5" xfId="0" applyNumberFormat="1" applyFont="1" applyBorder="1" applyAlignment="1">
      <alignment vertical="center" wrapText="1"/>
    </xf>
    <xf numFmtId="10" fontId="38" fillId="0" borderId="5" xfId="3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72" fontId="38" fillId="0" borderId="5" xfId="0" applyNumberFormat="1" applyFont="1" applyBorder="1" applyAlignment="1">
      <alignment horizontal="center" vertical="center" wrapText="1"/>
    </xf>
    <xf numFmtId="172" fontId="0" fillId="0" borderId="0" xfId="0" applyNumberFormat="1" applyAlignment="1">
      <alignment vertical="center" wrapText="1"/>
    </xf>
    <xf numFmtId="4" fontId="0" fillId="0" borderId="0" xfId="0" applyNumberFormat="1" applyAlignment="1">
      <alignment vertical="center" wrapText="1"/>
    </xf>
    <xf numFmtId="172" fontId="23" fillId="0" borderId="0" xfId="0" applyNumberFormat="1" applyFont="1" applyBorder="1" applyAlignment="1">
      <alignment horizontal="center" vertical="center" wrapText="1"/>
    </xf>
    <xf numFmtId="172" fontId="0" fillId="0" borderId="0" xfId="0" applyNumberFormat="1" applyBorder="1" applyAlignment="1">
      <alignment vertical="center" wrapText="1"/>
    </xf>
    <xf numFmtId="172" fontId="23" fillId="0" borderId="0" xfId="0" applyNumberFormat="1" applyFont="1" applyBorder="1" applyAlignment="1">
      <alignment vertical="center" wrapText="1"/>
    </xf>
    <xf numFmtId="10" fontId="7" fillId="0" borderId="5" xfId="0" applyNumberFormat="1" applyFont="1" applyBorder="1" applyAlignment="1">
      <alignment vertical="center" wrapText="1"/>
    </xf>
    <xf numFmtId="164" fontId="7" fillId="0" borderId="5" xfId="1" applyFont="1" applyBorder="1" applyAlignment="1">
      <alignment vertical="center" wrapText="1"/>
    </xf>
    <xf numFmtId="164" fontId="39" fillId="0" borderId="5" xfId="1" applyFont="1" applyBorder="1" applyAlignment="1">
      <alignment vertical="center" wrapText="1"/>
    </xf>
    <xf numFmtId="0" fontId="18" fillId="0" borderId="9" xfId="0" applyFont="1" applyFill="1" applyBorder="1" applyAlignment="1">
      <alignment horizontal="right"/>
    </xf>
    <xf numFmtId="4" fontId="18" fillId="0" borderId="9" xfId="0" applyNumberFormat="1" applyFont="1" applyFill="1" applyBorder="1"/>
    <xf numFmtId="0" fontId="17" fillId="0" borderId="13" xfId="0" applyFont="1" applyFill="1" applyBorder="1"/>
    <xf numFmtId="10" fontId="18" fillId="0" borderId="14" xfId="0" applyNumberFormat="1" applyFont="1" applyFill="1" applyBorder="1"/>
    <xf numFmtId="0" fontId="18" fillId="0" borderId="14" xfId="0" applyFont="1" applyFill="1" applyBorder="1"/>
    <xf numFmtId="0" fontId="18" fillId="0" borderId="14" xfId="0" applyFont="1" applyFill="1" applyBorder="1" applyAlignment="1">
      <alignment horizontal="center"/>
    </xf>
    <xf numFmtId="0" fontId="18" fillId="0" borderId="15" xfId="0" applyFont="1" applyFill="1" applyBorder="1"/>
    <xf numFmtId="0" fontId="18" fillId="0" borderId="16" xfId="0" applyFont="1" applyFill="1" applyBorder="1"/>
    <xf numFmtId="10" fontId="18" fillId="0" borderId="17" xfId="0" applyNumberFormat="1" applyFont="1" applyFill="1" applyBorder="1"/>
    <xf numFmtId="0" fontId="18" fillId="0" borderId="17" xfId="0" applyFont="1" applyFill="1" applyBorder="1"/>
    <xf numFmtId="0" fontId="18" fillId="0" borderId="17" xfId="0" applyFont="1" applyFill="1" applyBorder="1" applyAlignment="1">
      <alignment horizontal="center"/>
    </xf>
    <xf numFmtId="4" fontId="18" fillId="0" borderId="18" xfId="0" applyNumberFormat="1" applyFont="1" applyFill="1" applyBorder="1"/>
    <xf numFmtId="0" fontId="35" fillId="0" borderId="0" xfId="0" applyFont="1" applyAlignment="1">
      <alignment wrapText="1"/>
    </xf>
    <xf numFmtId="0" fontId="6" fillId="0" borderId="5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171" fontId="29" fillId="0" borderId="1" xfId="2" applyNumberFormat="1" applyFont="1" applyFill="1" applyBorder="1" applyAlignment="1" applyProtection="1">
      <alignment horizontal="center" vertical="center" shrinkToFit="1"/>
      <protection hidden="1"/>
    </xf>
    <xf numFmtId="0" fontId="11" fillId="0" borderId="0" xfId="0" applyFont="1" applyFill="1" applyBorder="1" applyAlignment="1">
      <alignment horizontal="left"/>
    </xf>
    <xf numFmtId="0" fontId="13" fillId="0" borderId="0" xfId="0" applyFont="1" applyFill="1"/>
    <xf numFmtId="171" fontId="7" fillId="0" borderId="1" xfId="2" applyNumberFormat="1" applyFont="1" applyFill="1" applyBorder="1" applyAlignment="1" applyProtection="1">
      <alignment horizontal="center" vertical="center" shrinkToFit="1"/>
      <protection hidden="1"/>
    </xf>
    <xf numFmtId="169" fontId="7" fillId="0" borderId="0" xfId="0" applyNumberFormat="1" applyFont="1" applyFill="1" applyAlignment="1">
      <alignment horizontal="center"/>
    </xf>
    <xf numFmtId="49" fontId="34" fillId="0" borderId="0" xfId="0" applyNumberFormat="1" applyFont="1" applyFill="1" applyAlignment="1">
      <alignment horizontal="center"/>
    </xf>
    <xf numFmtId="49" fontId="7" fillId="0" borderId="0" xfId="0" applyNumberFormat="1" applyFont="1" applyFill="1" applyAlignment="1">
      <alignment horizontal="right"/>
    </xf>
    <xf numFmtId="49" fontId="7" fillId="0" borderId="0" xfId="0" applyNumberFormat="1" applyFont="1" applyFill="1" applyAlignment="1">
      <alignment horizontal="center"/>
    </xf>
    <xf numFmtId="49" fontId="7" fillId="0" borderId="0" xfId="0" applyNumberFormat="1" applyFont="1" applyFill="1" applyAlignment="1">
      <alignment horizontal="left"/>
    </xf>
    <xf numFmtId="0" fontId="40" fillId="0" borderId="0" xfId="0" applyFont="1" applyFill="1" applyBorder="1" applyAlignment="1">
      <alignment horizontal="left"/>
    </xf>
    <xf numFmtId="0" fontId="40" fillId="0" borderId="0" xfId="0" applyFont="1" applyFill="1" applyBorder="1"/>
    <xf numFmtId="39" fontId="7" fillId="0" borderId="5" xfId="0" applyNumberFormat="1" applyFont="1" applyFill="1" applyBorder="1" applyAlignment="1">
      <alignment horizontal="center" vertical="center" wrapText="1"/>
    </xf>
    <xf numFmtId="39" fontId="7" fillId="0" borderId="5" xfId="0" applyNumberFormat="1" applyFont="1" applyFill="1" applyBorder="1" applyAlignment="1">
      <alignment horizontal="right" vertical="center" wrapText="1"/>
    </xf>
    <xf numFmtId="0" fontId="31" fillId="0" borderId="1" xfId="0" applyFont="1" applyFill="1" applyBorder="1" applyAlignment="1">
      <alignment horizontal="center"/>
    </xf>
    <xf numFmtId="0" fontId="34" fillId="0" borderId="5" xfId="0" applyFont="1" applyFill="1" applyBorder="1" applyAlignment="1">
      <alignment horizontal="center" vertical="center" wrapText="1"/>
    </xf>
    <xf numFmtId="10" fontId="7" fillId="0" borderId="5" xfId="0" applyNumberFormat="1" applyFont="1" applyFill="1" applyBorder="1" applyAlignment="1">
      <alignment horizontal="center" vertical="center" wrapText="1"/>
    </xf>
    <xf numFmtId="0" fontId="41" fillId="0" borderId="0" xfId="0" applyFont="1" applyFill="1"/>
    <xf numFmtId="4" fontId="13" fillId="0" borderId="0" xfId="0" applyNumberFormat="1" applyFont="1" applyFill="1"/>
    <xf numFmtId="1" fontId="13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vertical="center" wrapText="1"/>
    </xf>
    <xf numFmtId="0" fontId="11" fillId="0" borderId="0" xfId="0" applyFont="1" applyFill="1" applyAlignment="1">
      <alignment vertical="center" wrapText="1"/>
    </xf>
    <xf numFmtId="0" fontId="13" fillId="0" borderId="0" xfId="0" applyFont="1"/>
    <xf numFmtId="4" fontId="34" fillId="0" borderId="5" xfId="0" applyNumberFormat="1" applyFont="1" applyFill="1" applyBorder="1" applyAlignment="1">
      <alignment horizontal="center" vertical="center" wrapText="1"/>
    </xf>
    <xf numFmtId="170" fontId="34" fillId="0" borderId="5" xfId="0" applyNumberFormat="1" applyFont="1" applyFill="1" applyBorder="1" applyAlignment="1">
      <alignment horizontal="center" vertical="center" wrapText="1"/>
    </xf>
    <xf numFmtId="0" fontId="27" fillId="0" borderId="19" xfId="0" applyFont="1" applyFill="1" applyBorder="1" applyAlignment="1">
      <alignment horizontal="left"/>
    </xf>
    <xf numFmtId="0" fontId="28" fillId="0" borderId="20" xfId="0" applyFont="1" applyFill="1" applyBorder="1" applyAlignment="1">
      <alignment horizontal="center"/>
    </xf>
    <xf numFmtId="0" fontId="29" fillId="0" borderId="20" xfId="0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left"/>
    </xf>
    <xf numFmtId="0" fontId="30" fillId="0" borderId="23" xfId="0" applyFont="1" applyFill="1" applyBorder="1" applyAlignment="1">
      <alignment horizontal="center"/>
    </xf>
    <xf numFmtId="0" fontId="28" fillId="0" borderId="22" xfId="0" applyFont="1" applyFill="1" applyBorder="1" applyAlignment="1">
      <alignment horizontal="left"/>
    </xf>
    <xf numFmtId="0" fontId="31" fillId="0" borderId="24" xfId="0" applyFont="1" applyFill="1" applyBorder="1" applyAlignment="1">
      <alignment horizontal="left"/>
    </xf>
    <xf numFmtId="0" fontId="28" fillId="0" borderId="25" xfId="0" applyFont="1" applyFill="1" applyBorder="1" applyAlignment="1">
      <alignment horizontal="center"/>
    </xf>
    <xf numFmtId="0" fontId="30" fillId="0" borderId="25" xfId="0" applyFont="1" applyFill="1" applyBorder="1" applyAlignment="1">
      <alignment horizontal="center"/>
    </xf>
    <xf numFmtId="0" fontId="30" fillId="0" borderId="26" xfId="0" applyFont="1" applyFill="1" applyBorder="1" applyAlignment="1">
      <alignment horizontal="center"/>
    </xf>
    <xf numFmtId="0" fontId="11" fillId="0" borderId="0" xfId="0" applyFont="1" applyFill="1"/>
    <xf numFmtId="0" fontId="31" fillId="3" borderId="1" xfId="0" applyFont="1" applyFill="1" applyBorder="1" applyAlignment="1">
      <alignment horizontal="center"/>
    </xf>
    <xf numFmtId="1" fontId="7" fillId="3" borderId="5" xfId="0" applyNumberFormat="1" applyFont="1" applyFill="1" applyBorder="1" applyAlignment="1">
      <alignment horizontal="center" vertical="center" wrapText="1"/>
    </xf>
    <xf numFmtId="4" fontId="11" fillId="0" borderId="0" xfId="0" applyNumberFormat="1" applyFont="1" applyFill="1" applyBorder="1" applyAlignment="1">
      <alignment horizontal="right" vertical="center"/>
    </xf>
    <xf numFmtId="4" fontId="13" fillId="0" borderId="0" xfId="0" applyNumberFormat="1" applyFont="1" applyFill="1" applyAlignment="1">
      <alignment horizontal="right"/>
    </xf>
    <xf numFmtId="4" fontId="13" fillId="0" borderId="0" xfId="0" applyNumberFormat="1" applyFont="1" applyAlignment="1">
      <alignment horizontal="right"/>
    </xf>
    <xf numFmtId="0" fontId="8" fillId="0" borderId="0" xfId="0" applyFont="1" applyFill="1" applyAlignment="1">
      <alignment horizontal="center" vertical="center" wrapText="1"/>
    </xf>
    <xf numFmtId="10" fontId="8" fillId="0" borderId="0" xfId="0" applyNumberFormat="1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wrapText="1"/>
    </xf>
    <xf numFmtId="173" fontId="38" fillId="0" borderId="5" xfId="0" applyNumberFormat="1" applyFont="1" applyBorder="1" applyAlignment="1">
      <alignment horizontal="center" vertical="center" wrapText="1"/>
    </xf>
    <xf numFmtId="0" fontId="7" fillId="0" borderId="27" xfId="0" applyFont="1" applyFill="1" applyBorder="1"/>
    <xf numFmtId="4" fontId="7" fillId="0" borderId="28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3" fontId="6" fillId="0" borderId="5" xfId="0" applyNumberFormat="1" applyFont="1" applyBorder="1" applyAlignment="1">
      <alignment horizontal="right" vertical="center" wrapText="1"/>
    </xf>
    <xf numFmtId="43" fontId="6" fillId="0" borderId="5" xfId="0" applyNumberFormat="1" applyFont="1" applyBorder="1" applyAlignment="1">
      <alignment horizontal="center" vertical="center" wrapText="1"/>
    </xf>
    <xf numFmtId="10" fontId="7" fillId="0" borderId="5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34" fillId="0" borderId="0" xfId="0" applyFont="1" applyFill="1" applyBorder="1" applyAlignment="1">
      <alignment horizontal="center" vertical="center" wrapText="1"/>
    </xf>
    <xf numFmtId="17" fontId="44" fillId="0" borderId="41" xfId="0" applyNumberFormat="1" applyFont="1" applyFill="1" applyBorder="1" applyAlignment="1">
      <alignment horizontal="center" wrapText="1"/>
    </xf>
    <xf numFmtId="0" fontId="44" fillId="0" borderId="41" xfId="0" applyFont="1" applyFill="1" applyBorder="1" applyAlignment="1">
      <alignment horizontal="center" wrapText="1"/>
    </xf>
    <xf numFmtId="0" fontId="44" fillId="0" borderId="41" xfId="0" applyFont="1" applyFill="1" applyBorder="1" applyAlignment="1">
      <alignment horizontal="right" wrapText="1"/>
    </xf>
    <xf numFmtId="0" fontId="12" fillId="0" borderId="0" xfId="0" applyFont="1" applyFill="1" applyBorder="1"/>
    <xf numFmtId="0" fontId="11" fillId="0" borderId="0" xfId="0" applyFont="1" applyAlignment="1">
      <alignment horizontal="right"/>
    </xf>
    <xf numFmtId="10" fontId="11" fillId="0" borderId="0" xfId="3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0" fontId="0" fillId="0" borderId="0" xfId="0" applyFill="1" applyAlignment="1">
      <alignment horizontal="center"/>
    </xf>
    <xf numFmtId="168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0" fontId="11" fillId="0" borderId="29" xfId="0" applyFont="1" applyFill="1" applyBorder="1" applyAlignment="1">
      <alignment vertical="center" wrapText="1"/>
    </xf>
    <xf numFmtId="2" fontId="7" fillId="0" borderId="5" xfId="0" applyNumberFormat="1" applyFont="1" applyFill="1" applyBorder="1" applyAlignment="1">
      <alignment horizontal="right" vertical="center" wrapText="1"/>
    </xf>
    <xf numFmtId="4" fontId="42" fillId="0" borderId="5" xfId="0" applyNumberFormat="1" applyFont="1" applyFill="1" applyBorder="1"/>
    <xf numFmtId="0" fontId="45" fillId="0" borderId="6" xfId="0" applyFont="1" applyFill="1" applyBorder="1"/>
    <xf numFmtId="0" fontId="6" fillId="0" borderId="27" xfId="0" applyFont="1" applyFill="1" applyBorder="1"/>
    <xf numFmtId="0" fontId="8" fillId="0" borderId="10" xfId="0" applyFont="1" applyFill="1" applyBorder="1"/>
    <xf numFmtId="0" fontId="7" fillId="0" borderId="5" xfId="0" applyFont="1" applyBorder="1" applyAlignment="1">
      <alignment horizontal="center" vertical="center" wrapText="1"/>
    </xf>
    <xf numFmtId="0" fontId="0" fillId="4" borderId="0" xfId="0" applyFill="1"/>
    <xf numFmtId="170" fontId="7" fillId="0" borderId="30" xfId="0" applyNumberFormat="1" applyFont="1" applyFill="1" applyBorder="1" applyAlignment="1">
      <alignment horizontal="center" vertical="center" wrapText="1"/>
    </xf>
    <xf numFmtId="17" fontId="7" fillId="0" borderId="5" xfId="0" applyNumberFormat="1" applyFont="1" applyBorder="1" applyAlignment="1">
      <alignment horizontal="center"/>
    </xf>
    <xf numFmtId="4" fontId="7" fillId="0" borderId="5" xfId="0" applyNumberFormat="1" applyFont="1" applyBorder="1"/>
    <xf numFmtId="1" fontId="7" fillId="0" borderId="5" xfId="0" applyNumberFormat="1" applyFont="1" applyBorder="1" applyAlignment="1">
      <alignment horizontal="center"/>
    </xf>
    <xf numFmtId="4" fontId="42" fillId="0" borderId="5" xfId="0" applyNumberFormat="1" applyFont="1" applyBorder="1"/>
    <xf numFmtId="0" fontId="46" fillId="4" borderId="31" xfId="0" applyFont="1" applyFill="1" applyBorder="1" applyAlignment="1">
      <alignment horizontal="center" vertical="center"/>
    </xf>
    <xf numFmtId="0" fontId="46" fillId="4" borderId="29" xfId="0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right" vertical="center" wrapText="1"/>
    </xf>
    <xf numFmtId="49" fontId="34" fillId="0" borderId="5" xfId="0" applyNumberFormat="1" applyFont="1" applyFill="1" applyBorder="1" applyAlignment="1">
      <alignment horizontal="center" vertical="center" wrapText="1"/>
    </xf>
    <xf numFmtId="4" fontId="40" fillId="0" borderId="0" xfId="0" applyNumberFormat="1" applyFont="1" applyFill="1" applyBorder="1"/>
    <xf numFmtId="4" fontId="11" fillId="0" borderId="0" xfId="0" applyNumberFormat="1" applyFont="1" applyFill="1" applyBorder="1" applyAlignment="1">
      <alignment vertical="center"/>
    </xf>
    <xf numFmtId="4" fontId="7" fillId="0" borderId="5" xfId="3" applyNumberFormat="1" applyFont="1" applyFill="1" applyBorder="1" applyAlignment="1">
      <alignment vertical="center" wrapText="1"/>
    </xf>
    <xf numFmtId="0" fontId="40" fillId="0" borderId="0" xfId="0" applyFont="1" applyFill="1" applyBorder="1" applyAlignment="1">
      <alignment horizontal="center"/>
    </xf>
    <xf numFmtId="0" fontId="13" fillId="0" borderId="0" xfId="0" applyFont="1" applyFill="1" applyAlignment="1">
      <alignment horizontal="center"/>
    </xf>
    <xf numFmtId="9" fontId="7" fillId="0" borderId="5" xfId="3" applyFont="1" applyFill="1" applyBorder="1" applyAlignment="1">
      <alignment horizontal="center" vertical="center" wrapText="1"/>
    </xf>
    <xf numFmtId="168" fontId="7" fillId="0" borderId="5" xfId="0" applyNumberFormat="1" applyFont="1" applyBorder="1" applyAlignment="1">
      <alignment horizontal="center"/>
    </xf>
    <xf numFmtId="14" fontId="7" fillId="0" borderId="5" xfId="0" applyNumberFormat="1" applyFont="1" applyBorder="1" applyAlignment="1">
      <alignment horizontal="center"/>
    </xf>
    <xf numFmtId="14" fontId="7" fillId="4" borderId="5" xfId="0" applyNumberFormat="1" applyFont="1" applyFill="1" applyBorder="1" applyAlignment="1">
      <alignment horizontal="center" vertical="center" wrapText="1"/>
    </xf>
    <xf numFmtId="10" fontId="7" fillId="4" borderId="5" xfId="3" applyNumberFormat="1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center" vertical="center" wrapText="1"/>
    </xf>
    <xf numFmtId="2" fontId="7" fillId="4" borderId="5" xfId="0" applyNumberFormat="1" applyFont="1" applyFill="1" applyBorder="1" applyAlignment="1">
      <alignment vertical="center" wrapText="1"/>
    </xf>
    <xf numFmtId="0" fontId="7" fillId="4" borderId="5" xfId="0" applyFont="1" applyFill="1" applyBorder="1" applyAlignment="1">
      <alignment horizontal="center" vertical="center"/>
    </xf>
    <xf numFmtId="10" fontId="7" fillId="4" borderId="5" xfId="0" applyNumberFormat="1" applyFont="1" applyFill="1" applyBorder="1" applyAlignment="1">
      <alignment horizontal="right" vertical="center" wrapText="1"/>
    </xf>
    <xf numFmtId="2" fontId="0" fillId="4" borderId="0" xfId="0" applyNumberFormat="1" applyFill="1" applyAlignment="1">
      <alignment vertical="center" wrapText="1"/>
    </xf>
    <xf numFmtId="0" fontId="7" fillId="4" borderId="5" xfId="0" applyFont="1" applyFill="1" applyBorder="1" applyAlignment="1">
      <alignment horizontal="center"/>
    </xf>
    <xf numFmtId="4" fontId="7" fillId="3" borderId="5" xfId="0" applyNumberFormat="1" applyFont="1" applyFill="1" applyBorder="1" applyAlignment="1">
      <alignment horizontal="right" vertical="center" wrapText="1"/>
    </xf>
    <xf numFmtId="169" fontId="7" fillId="0" borderId="5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/>
    </xf>
    <xf numFmtId="4" fontId="13" fillId="0" borderId="0" xfId="0" applyNumberFormat="1" applyFont="1" applyFill="1" applyAlignment="1">
      <alignment horizontal="center"/>
    </xf>
    <xf numFmtId="0" fontId="43" fillId="0" borderId="41" xfId="0" applyFont="1" applyFill="1" applyBorder="1" applyAlignment="1">
      <alignment horizontal="center" wrapText="1"/>
    </xf>
    <xf numFmtId="10" fontId="40" fillId="0" borderId="0" xfId="0" applyNumberFormat="1" applyFont="1" applyFill="1" applyBorder="1" applyAlignment="1">
      <alignment horizontal="left"/>
    </xf>
    <xf numFmtId="10" fontId="7" fillId="0" borderId="0" xfId="4" applyNumberFormat="1" applyFont="1" applyFill="1" applyBorder="1"/>
    <xf numFmtId="4" fontId="6" fillId="0" borderId="5" xfId="0" applyNumberFormat="1" applyFont="1" applyBorder="1" applyAlignment="1">
      <alignment horizontal="center" vertical="center" wrapText="1"/>
    </xf>
    <xf numFmtId="2" fontId="7" fillId="0" borderId="5" xfId="0" applyNumberFormat="1" applyFont="1" applyFill="1" applyBorder="1" applyAlignment="1">
      <alignment horizontal="center" vertical="center" wrapText="1"/>
    </xf>
    <xf numFmtId="9" fontId="7" fillId="0" borderId="5" xfId="0" applyNumberFormat="1" applyFont="1" applyFill="1" applyBorder="1" applyAlignment="1">
      <alignment horizontal="center" vertical="center" wrapText="1"/>
    </xf>
    <xf numFmtId="4" fontId="42" fillId="2" borderId="5" xfId="0" applyNumberFormat="1" applyFont="1" applyFill="1" applyBorder="1"/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center"/>
    </xf>
    <xf numFmtId="10" fontId="0" fillId="0" borderId="0" xfId="0" applyNumberFormat="1"/>
    <xf numFmtId="166" fontId="42" fillId="0" borderId="5" xfId="0" applyNumberFormat="1" applyFont="1" applyFill="1" applyBorder="1" applyAlignment="1">
      <alignment horizontal="right" vertical="center"/>
    </xf>
    <xf numFmtId="4" fontId="7" fillId="0" borderId="5" xfId="0" applyNumberFormat="1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166" fontId="42" fillId="0" borderId="5" xfId="0" applyNumberFormat="1" applyFont="1" applyFill="1" applyBorder="1" applyAlignment="1">
      <alignment horizontal="right" vertical="center" wrapText="1"/>
    </xf>
    <xf numFmtId="4" fontId="42" fillId="0" borderId="5" xfId="1" applyNumberFormat="1" applyFont="1" applyFill="1" applyBorder="1" applyAlignment="1">
      <alignment horizontal="right" vertical="center"/>
    </xf>
    <xf numFmtId="4" fontId="0" fillId="0" borderId="0" xfId="0" applyNumberFormat="1" applyAlignment="1">
      <alignment horizontal="center"/>
    </xf>
    <xf numFmtId="169" fontId="7" fillId="0" borderId="28" xfId="0" applyNumberFormat="1" applyFont="1" applyFill="1" applyBorder="1" applyAlignment="1">
      <alignment horizontal="center" vertical="center" wrapText="1"/>
    </xf>
    <xf numFmtId="10" fontId="7" fillId="0" borderId="28" xfId="0" applyNumberFormat="1" applyFont="1" applyFill="1" applyBorder="1" applyAlignment="1">
      <alignment horizontal="center" vertical="center" wrapText="1"/>
    </xf>
    <xf numFmtId="171" fontId="7" fillId="0" borderId="32" xfId="2" applyNumberFormat="1" applyFont="1" applyFill="1" applyBorder="1" applyAlignment="1" applyProtection="1">
      <alignment horizontal="center" vertical="center" shrinkToFit="1"/>
      <protection hidden="1"/>
    </xf>
    <xf numFmtId="4" fontId="7" fillId="0" borderId="28" xfId="0" applyNumberFormat="1" applyFont="1" applyFill="1" applyBorder="1" applyAlignment="1">
      <alignment vertical="center" wrapText="1"/>
    </xf>
    <xf numFmtId="2" fontId="7" fillId="0" borderId="28" xfId="0" applyNumberFormat="1" applyFont="1" applyFill="1" applyBorder="1" applyAlignment="1">
      <alignment horizontal="center" vertical="center" wrapText="1"/>
    </xf>
    <xf numFmtId="2" fontId="7" fillId="0" borderId="28" xfId="0" applyNumberFormat="1" applyFont="1" applyFill="1" applyBorder="1" applyAlignment="1">
      <alignment horizontal="right" vertical="center" wrapText="1"/>
    </xf>
    <xf numFmtId="9" fontId="7" fillId="0" borderId="28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/>
    <xf numFmtId="0" fontId="19" fillId="0" borderId="0" xfId="0" applyFont="1" applyFill="1" applyBorder="1"/>
    <xf numFmtId="4" fontId="7" fillId="0" borderId="33" xfId="0" applyNumberFormat="1" applyFont="1" applyFill="1" applyBorder="1" applyAlignment="1">
      <alignment horizontal="center" vertical="center" wrapText="1"/>
    </xf>
    <xf numFmtId="168" fontId="7" fillId="0" borderId="33" xfId="0" applyNumberFormat="1" applyFont="1" applyFill="1" applyBorder="1" applyAlignment="1">
      <alignment horizontal="center" vertical="center" wrapText="1"/>
    </xf>
    <xf numFmtId="170" fontId="34" fillId="0" borderId="30" xfId="0" applyNumberFormat="1" applyFont="1" applyFill="1" applyBorder="1" applyAlignment="1">
      <alignment horizontal="center" vertical="center" wrapText="1"/>
    </xf>
    <xf numFmtId="169" fontId="7" fillId="0" borderId="34" xfId="0" applyNumberFormat="1" applyFont="1" applyFill="1" applyBorder="1" applyAlignment="1">
      <alignment horizontal="center" vertical="center" wrapText="1"/>
    </xf>
    <xf numFmtId="4" fontId="2" fillId="0" borderId="35" xfId="0" applyNumberFormat="1" applyFont="1" applyFill="1" applyBorder="1" applyAlignment="1">
      <alignment vertical="center" wrapText="1"/>
    </xf>
    <xf numFmtId="0" fontId="7" fillId="0" borderId="5" xfId="0" applyFont="1" applyFill="1" applyBorder="1"/>
    <xf numFmtId="4" fontId="12" fillId="0" borderId="5" xfId="0" applyNumberFormat="1" applyFont="1" applyFill="1" applyBorder="1"/>
    <xf numFmtId="0" fontId="12" fillId="0" borderId="0" xfId="0" applyFont="1" applyFill="1"/>
    <xf numFmtId="2" fontId="12" fillId="0" borderId="0" xfId="0" applyNumberFormat="1" applyFont="1" applyFill="1"/>
    <xf numFmtId="4" fontId="7" fillId="0" borderId="5" xfId="0" applyNumberFormat="1" applyFont="1" applyFill="1" applyBorder="1"/>
    <xf numFmtId="4" fontId="7" fillId="0" borderId="5" xfId="0" applyNumberFormat="1" applyFont="1" applyFill="1" applyBorder="1" applyAlignment="1">
      <alignment vertical="center"/>
    </xf>
    <xf numFmtId="0" fontId="38" fillId="0" borderId="5" xfId="0" applyFont="1" applyBorder="1" applyAlignment="1">
      <alignment horizontal="left" wrapText="1" indent="1"/>
    </xf>
    <xf numFmtId="10" fontId="6" fillId="0" borderId="0" xfId="3" applyNumberFormat="1" applyFont="1" applyFill="1" applyBorder="1" applyAlignment="1">
      <alignment horizontal="center" wrapText="1"/>
    </xf>
    <xf numFmtId="39" fontId="7" fillId="0" borderId="5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vertical="center" wrapText="1"/>
    </xf>
    <xf numFmtId="39" fontId="7" fillId="0" borderId="5" xfId="0" applyNumberFormat="1" applyFont="1" applyFill="1" applyBorder="1" applyAlignment="1">
      <alignment horizontal="center" vertical="center" wrapText="1"/>
    </xf>
    <xf numFmtId="0" fontId="11" fillId="0" borderId="42" xfId="0" applyFont="1" applyFill="1" applyBorder="1"/>
    <xf numFmtId="0" fontId="11" fillId="0" borderId="43" xfId="0" applyFont="1" applyFill="1" applyBorder="1"/>
    <xf numFmtId="0" fontId="11" fillId="0" borderId="44" xfId="0" applyFont="1" applyFill="1" applyBorder="1"/>
    <xf numFmtId="165" fontId="6" fillId="0" borderId="7" xfId="0" applyNumberFormat="1" applyFont="1" applyFill="1" applyBorder="1" applyAlignment="1">
      <alignment horizontal="right" wrapText="1"/>
    </xf>
    <xf numFmtId="0" fontId="5" fillId="0" borderId="6" xfId="0" applyFont="1" applyFill="1" applyBorder="1" applyAlignment="1">
      <alignment horizontal="left" vertical="center" wrapText="1"/>
    </xf>
    <xf numFmtId="3" fontId="25" fillId="0" borderId="0" xfId="0" applyNumberFormat="1" applyFont="1" applyFill="1" applyBorder="1"/>
    <xf numFmtId="3" fontId="11" fillId="0" borderId="0" xfId="0" applyNumberFormat="1" applyFont="1" applyFill="1" applyBorder="1" applyAlignment="1">
      <alignment horizontal="center" vertical="center"/>
    </xf>
    <xf numFmtId="3" fontId="13" fillId="0" borderId="0" xfId="0" applyNumberFormat="1" applyFont="1" applyFill="1"/>
    <xf numFmtId="3" fontId="34" fillId="0" borderId="5" xfId="0" applyNumberFormat="1" applyFont="1" applyFill="1" applyBorder="1" applyAlignment="1">
      <alignment horizontal="center" vertical="center" wrapText="1"/>
    </xf>
    <xf numFmtId="3" fontId="7" fillId="0" borderId="5" xfId="0" applyNumberFormat="1" applyFont="1" applyFill="1" applyBorder="1" applyAlignment="1">
      <alignment horizontal="center" vertical="center" wrapText="1"/>
    </xf>
    <xf numFmtId="3" fontId="13" fillId="0" borderId="0" xfId="0" applyNumberFormat="1" applyFont="1"/>
    <xf numFmtId="39" fontId="7" fillId="0" borderId="5" xfId="0" applyNumberFormat="1" applyFont="1" applyFill="1" applyBorder="1" applyAlignment="1">
      <alignment horizontal="center" vertical="center" wrapText="1"/>
    </xf>
    <xf numFmtId="4" fontId="42" fillId="0" borderId="5" xfId="0" applyNumberFormat="1" applyFont="1" applyBorder="1" applyAlignment="1">
      <alignment horizontal="right"/>
    </xf>
    <xf numFmtId="4" fontId="7" fillId="2" borderId="5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right"/>
    </xf>
    <xf numFmtId="0" fontId="7" fillId="2" borderId="5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2" fillId="0" borderId="2" xfId="0" quotePrefix="1" applyFont="1" applyFill="1" applyBorder="1" applyAlignment="1">
      <alignment horizontal="left" vertical="center" wrapText="1"/>
    </xf>
    <xf numFmtId="0" fontId="12" fillId="0" borderId="3" xfId="0" quotePrefix="1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17" fillId="0" borderId="6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9" fillId="4" borderId="34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31" xfId="0" applyFont="1" applyFill="1" applyBorder="1" applyAlignment="1">
      <alignment horizontal="center" vertical="center" wrapText="1"/>
    </xf>
    <xf numFmtId="0" fontId="9" fillId="4" borderId="40" xfId="0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 wrapText="1"/>
    </xf>
    <xf numFmtId="0" fontId="9" fillId="4" borderId="29" xfId="0" applyFont="1" applyFill="1" applyBorder="1" applyAlignment="1">
      <alignment horizontal="center" vertical="center" wrapText="1"/>
    </xf>
    <xf numFmtId="0" fontId="9" fillId="4" borderId="3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39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7" fillId="0" borderId="28" xfId="0" applyNumberFormat="1" applyFont="1" applyFill="1" applyBorder="1" applyAlignment="1">
      <alignment horizontal="center" vertical="center" wrapText="1"/>
    </xf>
    <xf numFmtId="0" fontId="7" fillId="0" borderId="36" xfId="0" applyNumberFormat="1" applyFont="1" applyFill="1" applyBorder="1" applyAlignment="1">
      <alignment horizontal="center" vertical="center" wrapText="1"/>
    </xf>
    <xf numFmtId="0" fontId="7" fillId="0" borderId="33" xfId="0" applyNumberFormat="1" applyFont="1" applyFill="1" applyBorder="1" applyAlignment="1">
      <alignment horizontal="center" vertical="center" wrapText="1"/>
    </xf>
    <xf numFmtId="4" fontId="7" fillId="0" borderId="28" xfId="0" applyNumberFormat="1" applyFont="1" applyFill="1" applyBorder="1" applyAlignment="1">
      <alignment horizontal="center" vertical="center" wrapText="1"/>
    </xf>
    <xf numFmtId="4" fontId="7" fillId="0" borderId="36" xfId="0" applyNumberFormat="1" applyFont="1" applyFill="1" applyBorder="1" applyAlignment="1">
      <alignment horizontal="center" vertical="center" wrapText="1"/>
    </xf>
    <xf numFmtId="4" fontId="7" fillId="0" borderId="33" xfId="0" applyNumberFormat="1" applyFont="1" applyFill="1" applyBorder="1" applyAlignment="1">
      <alignment horizontal="center" vertical="center" wrapText="1"/>
    </xf>
    <xf numFmtId="4" fontId="34" fillId="0" borderId="28" xfId="0" applyNumberFormat="1" applyFont="1" applyFill="1" applyBorder="1" applyAlignment="1">
      <alignment horizontal="center" vertical="center" wrapText="1"/>
    </xf>
    <xf numFmtId="4" fontId="34" fillId="0" borderId="36" xfId="0" applyNumberFormat="1" applyFont="1" applyFill="1" applyBorder="1" applyAlignment="1">
      <alignment horizontal="center" vertical="center" wrapText="1"/>
    </xf>
    <xf numFmtId="4" fontId="34" fillId="0" borderId="33" xfId="0" applyNumberFormat="1" applyFont="1" applyFill="1" applyBorder="1" applyAlignment="1">
      <alignment horizontal="center" vertical="center" wrapText="1"/>
    </xf>
    <xf numFmtId="39" fontId="7" fillId="0" borderId="28" xfId="0" applyNumberFormat="1" applyFont="1" applyFill="1" applyBorder="1" applyAlignment="1">
      <alignment horizontal="center" vertical="center" wrapText="1"/>
    </xf>
    <xf numFmtId="39" fontId="7" fillId="0" borderId="33" xfId="0" applyNumberFormat="1" applyFont="1" applyFill="1" applyBorder="1" applyAlignment="1">
      <alignment horizontal="center" vertical="center" wrapText="1"/>
    </xf>
    <xf numFmtId="0" fontId="42" fillId="0" borderId="5" xfId="0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4" fontId="7" fillId="0" borderId="5" xfId="0" applyNumberFormat="1" applyFont="1" applyFill="1" applyBorder="1" applyAlignment="1">
      <alignment horizontal="center" vertical="center" wrapText="1"/>
    </xf>
    <xf numFmtId="170" fontId="7" fillId="0" borderId="30" xfId="0" applyNumberFormat="1" applyFont="1" applyFill="1" applyBorder="1" applyAlignment="1">
      <alignment horizontal="center" vertical="center" wrapText="1"/>
    </xf>
    <xf numFmtId="170" fontId="7" fillId="0" borderId="37" xfId="0" applyNumberFormat="1" applyFont="1" applyFill="1" applyBorder="1" applyAlignment="1">
      <alignment horizontal="center" vertical="center" wrapText="1"/>
    </xf>
    <xf numFmtId="170" fontId="7" fillId="0" borderId="35" xfId="0" applyNumberFormat="1" applyFont="1" applyFill="1" applyBorder="1" applyAlignment="1">
      <alignment horizontal="center" vertical="center" wrapText="1"/>
    </xf>
    <xf numFmtId="2" fontId="34" fillId="0" borderId="28" xfId="0" applyNumberFormat="1" applyFont="1" applyFill="1" applyBorder="1" applyAlignment="1">
      <alignment horizontal="center" vertical="center" wrapText="1"/>
    </xf>
    <xf numFmtId="2" fontId="34" fillId="0" borderId="33" xfId="0" applyNumberFormat="1" applyFont="1" applyFill="1" applyBorder="1" applyAlignment="1">
      <alignment horizontal="center" vertical="center" wrapText="1"/>
    </xf>
    <xf numFmtId="4" fontId="7" fillId="0" borderId="30" xfId="0" applyNumberFormat="1" applyFont="1" applyFill="1" applyBorder="1" applyAlignment="1">
      <alignment horizontal="center" vertical="center" wrapText="1"/>
    </xf>
    <xf numFmtId="4" fontId="7" fillId="0" borderId="37" xfId="0" applyNumberFormat="1" applyFont="1" applyFill="1" applyBorder="1" applyAlignment="1">
      <alignment horizontal="center" vertical="center" wrapText="1"/>
    </xf>
    <xf numFmtId="4" fontId="7" fillId="0" borderId="35" xfId="0" applyNumberFormat="1" applyFont="1" applyFill="1" applyBorder="1" applyAlignment="1">
      <alignment horizontal="center" vertical="center" wrapText="1"/>
    </xf>
    <xf numFmtId="39" fontId="7" fillId="0" borderId="36" xfId="0" applyNumberFormat="1" applyFont="1" applyFill="1" applyBorder="1" applyAlignment="1">
      <alignment horizontal="center" vertical="center" wrapText="1"/>
    </xf>
    <xf numFmtId="1" fontId="7" fillId="0" borderId="28" xfId="0" applyNumberFormat="1" applyFont="1" applyFill="1" applyBorder="1" applyAlignment="1">
      <alignment horizontal="center" vertical="center" wrapText="1"/>
    </xf>
    <xf numFmtId="1" fontId="7" fillId="0" borderId="33" xfId="0" applyNumberFormat="1" applyFont="1" applyFill="1" applyBorder="1" applyAlignment="1">
      <alignment horizontal="center" vertical="center" wrapText="1"/>
    </xf>
    <xf numFmtId="1" fontId="34" fillId="0" borderId="28" xfId="0" applyNumberFormat="1" applyFont="1" applyFill="1" applyBorder="1" applyAlignment="1">
      <alignment horizontal="center" vertical="center" wrapText="1"/>
    </xf>
    <xf numFmtId="1" fontId="34" fillId="0" borderId="33" xfId="0" applyNumberFormat="1" applyFont="1" applyFill="1" applyBorder="1" applyAlignment="1">
      <alignment horizontal="center" vertical="center" wrapText="1"/>
    </xf>
    <xf numFmtId="3" fontId="34" fillId="0" borderId="5" xfId="0" applyNumberFormat="1" applyFont="1" applyFill="1" applyBorder="1" applyAlignment="1">
      <alignment horizontal="center" vertical="center" wrapText="1"/>
    </xf>
    <xf numFmtId="0" fontId="42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43" fontId="7" fillId="0" borderId="5" xfId="0" applyNumberFormat="1" applyFont="1" applyBorder="1" applyAlignment="1">
      <alignment horizontal="center" vertical="center"/>
    </xf>
    <xf numFmtId="43" fontId="42" fillId="0" borderId="5" xfId="0" applyNumberFormat="1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43" fontId="7" fillId="0" borderId="5" xfId="0" applyNumberFormat="1" applyFont="1" applyBorder="1" applyAlignment="1">
      <alignment vertical="center"/>
    </xf>
    <xf numFmtId="43" fontId="42" fillId="0" borderId="5" xfId="0" applyNumberFormat="1" applyFont="1" applyBorder="1" applyAlignment="1">
      <alignment vertical="center"/>
    </xf>
    <xf numFmtId="43" fontId="7" fillId="0" borderId="5" xfId="0" applyNumberFormat="1" applyFont="1" applyBorder="1" applyAlignment="1">
      <alignment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4" fontId="7" fillId="0" borderId="34" xfId="0" applyNumberFormat="1" applyFont="1" applyFill="1" applyBorder="1" applyAlignment="1">
      <alignment horizontal="center" vertical="center" wrapText="1"/>
    </xf>
    <xf numFmtId="4" fontId="7" fillId="0" borderId="11" xfId="0" applyNumberFormat="1" applyFont="1" applyFill="1" applyBorder="1" applyAlignment="1">
      <alignment horizontal="center" vertical="center" wrapText="1"/>
    </xf>
    <xf numFmtId="4" fontId="7" fillId="0" borderId="31" xfId="0" applyNumberFormat="1" applyFont="1" applyFill="1" applyBorder="1" applyAlignment="1">
      <alignment horizontal="center" vertical="center" wrapText="1"/>
    </xf>
    <xf numFmtId="4" fontId="7" fillId="0" borderId="38" xfId="0" applyNumberFormat="1" applyFont="1" applyFill="1" applyBorder="1" applyAlignment="1">
      <alignment horizontal="center" vertical="center" wrapText="1"/>
    </xf>
    <xf numFmtId="4" fontId="7" fillId="0" borderId="9" xfId="0" applyNumberFormat="1" applyFont="1" applyFill="1" applyBorder="1" applyAlignment="1">
      <alignment horizontal="center" vertical="center" wrapText="1"/>
    </xf>
    <xf numFmtId="4" fontId="7" fillId="0" borderId="39" xfId="0" applyNumberFormat="1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39" xfId="0" applyFont="1" applyFill="1" applyBorder="1" applyAlignment="1">
      <alignment horizontal="center" vertical="center" wrapText="1"/>
    </xf>
    <xf numFmtId="4" fontId="33" fillId="0" borderId="35" xfId="0" applyNumberFormat="1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10" fontId="7" fillId="0" borderId="5" xfId="0" applyNumberFormat="1" applyFont="1" applyFill="1" applyBorder="1" applyAlignment="1">
      <alignment horizontal="center" vertical="center" wrapText="1"/>
    </xf>
    <xf numFmtId="4" fontId="34" fillId="0" borderId="5" xfId="0" applyNumberFormat="1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0" fontId="12" fillId="2" borderId="37" xfId="0" applyFont="1" applyFill="1" applyBorder="1" applyAlignment="1">
      <alignment horizontal="center"/>
    </xf>
    <xf numFmtId="0" fontId="12" fillId="2" borderId="35" xfId="0" applyFont="1" applyFill="1" applyBorder="1" applyAlignment="1">
      <alignment horizontal="center"/>
    </xf>
    <xf numFmtId="0" fontId="9" fillId="0" borderId="0" xfId="0" applyFont="1" applyFill="1" applyAlignment="1">
      <alignment horizontal="center" wrapText="1"/>
    </xf>
    <xf numFmtId="0" fontId="12" fillId="0" borderId="5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39" fontId="7" fillId="0" borderId="5" xfId="0" applyNumberFormat="1" applyFont="1" applyFill="1" applyBorder="1" applyAlignment="1">
      <alignment horizontal="center" vertical="center" wrapText="1"/>
    </xf>
    <xf numFmtId="0" fontId="7" fillId="0" borderId="5" xfId="0" applyNumberFormat="1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14" fontId="7" fillId="4" borderId="5" xfId="0" applyNumberFormat="1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0" fontId="11" fillId="0" borderId="34" xfId="0" applyNumberFormat="1" applyFont="1" applyFill="1" applyBorder="1" applyAlignment="1">
      <alignment horizontal="center" vertical="center" textRotation="90" wrapText="1"/>
    </xf>
    <xf numFmtId="10" fontId="11" fillId="0" borderId="31" xfId="0" applyNumberFormat="1" applyFont="1" applyFill="1" applyBorder="1" applyAlignment="1">
      <alignment horizontal="center" vertical="center" textRotation="90" wrapText="1"/>
    </xf>
    <xf numFmtId="10" fontId="11" fillId="0" borderId="40" xfId="0" applyNumberFormat="1" applyFont="1" applyFill="1" applyBorder="1" applyAlignment="1">
      <alignment horizontal="center" vertical="center" textRotation="90" wrapText="1"/>
    </xf>
    <xf numFmtId="10" fontId="11" fillId="0" borderId="29" xfId="0" applyNumberFormat="1" applyFont="1" applyFill="1" applyBorder="1" applyAlignment="1">
      <alignment horizontal="center" vertical="center" textRotation="90" wrapText="1"/>
    </xf>
    <xf numFmtId="0" fontId="7" fillId="0" borderId="5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172" fontId="39" fillId="0" borderId="5" xfId="0" applyNumberFormat="1" applyFont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/>
    </xf>
    <xf numFmtId="172" fontId="7" fillId="0" borderId="5" xfId="0" applyNumberFormat="1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42" fillId="0" borderId="5" xfId="0" applyFont="1" applyBorder="1" applyAlignment="1">
      <alignment horizontal="center"/>
    </xf>
    <xf numFmtId="1" fontId="7" fillId="0" borderId="5" xfId="0" applyNumberFormat="1" applyFont="1" applyBorder="1" applyAlignment="1">
      <alignment horizontal="center" vertical="center" wrapText="1"/>
    </xf>
    <xf numFmtId="0" fontId="46" fillId="4" borderId="34" xfId="0" applyFont="1" applyFill="1" applyBorder="1" applyAlignment="1">
      <alignment horizontal="center" vertical="center" wrapText="1"/>
    </xf>
    <xf numFmtId="0" fontId="46" fillId="4" borderId="11" xfId="0" applyFont="1" applyFill="1" applyBorder="1" applyAlignment="1">
      <alignment horizontal="center" vertical="center" wrapText="1"/>
    </xf>
    <xf numFmtId="0" fontId="46" fillId="4" borderId="31" xfId="0" applyFont="1" applyFill="1" applyBorder="1" applyAlignment="1">
      <alignment horizontal="center" vertical="center" wrapText="1"/>
    </xf>
    <xf numFmtId="0" fontId="46" fillId="4" borderId="40" xfId="0" applyFont="1" applyFill="1" applyBorder="1" applyAlignment="1">
      <alignment horizontal="center" vertical="center" wrapText="1"/>
    </xf>
    <xf numFmtId="0" fontId="46" fillId="4" borderId="0" xfId="0" applyFont="1" applyFill="1" applyBorder="1" applyAlignment="1">
      <alignment horizontal="center" vertical="center" wrapText="1"/>
    </xf>
    <xf numFmtId="0" fontId="46" fillId="4" borderId="29" xfId="0" applyFont="1" applyFill="1" applyBorder="1" applyAlignment="1">
      <alignment horizontal="center" vertical="center" wrapText="1"/>
    </xf>
    <xf numFmtId="0" fontId="46" fillId="4" borderId="38" xfId="0" applyFont="1" applyFill="1" applyBorder="1" applyAlignment="1">
      <alignment horizontal="center" vertical="center" wrapText="1"/>
    </xf>
    <xf numFmtId="0" fontId="46" fillId="4" borderId="9" xfId="0" applyFont="1" applyFill="1" applyBorder="1" applyAlignment="1">
      <alignment horizontal="center" vertical="center" wrapText="1"/>
    </xf>
    <xf numFmtId="0" fontId="46" fillId="4" borderId="39" xfId="0" applyFont="1" applyFill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42" fillId="0" borderId="30" xfId="0" applyFont="1" applyBorder="1" applyAlignment="1">
      <alignment horizontal="center"/>
    </xf>
    <xf numFmtId="0" fontId="42" fillId="0" borderId="37" xfId="0" applyFont="1" applyBorder="1" applyAlignment="1">
      <alignment horizontal="center"/>
    </xf>
    <xf numFmtId="0" fontId="42" fillId="0" borderId="35" xfId="0" applyFont="1" applyBorder="1" applyAlignment="1">
      <alignment horizontal="center"/>
    </xf>
  </cellXfs>
  <cellStyles count="5">
    <cellStyle name="Moeda" xfId="1" builtinId="4"/>
    <cellStyle name="Normal" xfId="0" builtinId="0"/>
    <cellStyle name="Normal_Atualização" xfId="2"/>
    <cellStyle name="Porcentagem" xfId="3" builtinId="5"/>
    <cellStyle name="Vírgula" xfId="4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750277</xdr:colOff>
      <xdr:row>85</xdr:row>
      <xdr:rowOff>57150</xdr:rowOff>
    </xdr:from>
    <xdr:to>
      <xdr:col>15</xdr:col>
      <xdr:colOff>9525</xdr:colOff>
      <xdr:row>90</xdr:row>
      <xdr:rowOff>73271</xdr:rowOff>
    </xdr:to>
    <xdr:cxnSp macro="">
      <xdr:nvCxnSpPr>
        <xdr:cNvPr id="2" name="Conector de seta reta 18"/>
        <xdr:cNvCxnSpPr/>
      </xdr:nvCxnSpPr>
      <xdr:spPr>
        <a:xfrm flipV="1">
          <a:off x="7322527" y="14192250"/>
          <a:ext cx="1002323" cy="825746"/>
        </a:xfrm>
        <a:prstGeom prst="curvedConnector3">
          <a:avLst>
            <a:gd name="adj1" fmla="val 50000"/>
          </a:avLst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742950</xdr:colOff>
      <xdr:row>81</xdr:row>
      <xdr:rowOff>85725</xdr:rowOff>
    </xdr:from>
    <xdr:to>
      <xdr:col>13</xdr:col>
      <xdr:colOff>344487</xdr:colOff>
      <xdr:row>88</xdr:row>
      <xdr:rowOff>114300</xdr:rowOff>
    </xdr:to>
    <xdr:sp macro="" textlink="">
      <xdr:nvSpPr>
        <xdr:cNvPr id="6" name="Forma livre 5"/>
        <xdr:cNvSpPr/>
      </xdr:nvSpPr>
      <xdr:spPr>
        <a:xfrm>
          <a:off x="7315200" y="13439775"/>
          <a:ext cx="354012" cy="1295400"/>
        </a:xfrm>
        <a:custGeom>
          <a:avLst/>
          <a:gdLst>
            <a:gd name="connsiteX0" fmla="*/ 52387 w 434974"/>
            <a:gd name="connsiteY0" fmla="*/ 0 h 1241425"/>
            <a:gd name="connsiteX1" fmla="*/ 433387 w 434974"/>
            <a:gd name="connsiteY1" fmla="*/ 695325 h 1241425"/>
            <a:gd name="connsiteX2" fmla="*/ 61912 w 434974"/>
            <a:gd name="connsiteY2" fmla="*/ 1162050 h 1241425"/>
            <a:gd name="connsiteX3" fmla="*/ 61912 w 434974"/>
            <a:gd name="connsiteY3" fmla="*/ 1171575 h 12414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434974" h="1241425">
              <a:moveTo>
                <a:pt x="52387" y="0"/>
              </a:moveTo>
              <a:cubicBezTo>
                <a:pt x="242093" y="250825"/>
                <a:pt x="431800" y="501650"/>
                <a:pt x="433387" y="695325"/>
              </a:cubicBezTo>
              <a:cubicBezTo>
                <a:pt x="434974" y="889000"/>
                <a:pt x="123824" y="1082675"/>
                <a:pt x="61912" y="1162050"/>
              </a:cubicBezTo>
              <a:cubicBezTo>
                <a:pt x="0" y="1241425"/>
                <a:pt x="61912" y="1171575"/>
                <a:pt x="61912" y="11715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endParaRPr lang="pt-BR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11</xdr:row>
      <xdr:rowOff>142875</xdr:rowOff>
    </xdr:from>
    <xdr:to>
      <xdr:col>6</xdr:col>
      <xdr:colOff>419100</xdr:colOff>
      <xdr:row>19</xdr:row>
      <xdr:rowOff>28575</xdr:rowOff>
    </xdr:to>
    <xdr:sp macro="" textlink="">
      <xdr:nvSpPr>
        <xdr:cNvPr id="4746" name="Line 1"/>
        <xdr:cNvSpPr>
          <a:spLocks noChangeShapeType="1"/>
        </xdr:cNvSpPr>
      </xdr:nvSpPr>
      <xdr:spPr bwMode="auto">
        <a:xfrm flipH="1" flipV="1">
          <a:off x="3486150" y="2495550"/>
          <a:ext cx="1238250" cy="1524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7</xdr:col>
      <xdr:colOff>9525</xdr:colOff>
      <xdr:row>11</xdr:row>
      <xdr:rowOff>142876</xdr:rowOff>
    </xdr:from>
    <xdr:to>
      <xdr:col>10</xdr:col>
      <xdr:colOff>295275</xdr:colOff>
      <xdr:row>20</xdr:row>
      <xdr:rowOff>95250</xdr:rowOff>
    </xdr:to>
    <xdr:cxnSp macro="">
      <xdr:nvCxnSpPr>
        <xdr:cNvPr id="4" name="Conector de seta reta 3"/>
        <xdr:cNvCxnSpPr/>
      </xdr:nvCxnSpPr>
      <xdr:spPr>
        <a:xfrm flipV="1">
          <a:off x="5153025" y="2495551"/>
          <a:ext cx="2114550" cy="17621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/>
  </sheetViews>
  <sheetFormatPr defaultRowHeight="12.75" x14ac:dyDescent="0.2"/>
  <cols>
    <col min="1" max="1" width="11" style="171" customWidth="1"/>
    <col min="2" max="2" width="56.42578125" style="171" customWidth="1"/>
  </cols>
  <sheetData>
    <row r="1" spans="1:3" s="135" customFormat="1" x14ac:dyDescent="0.2">
      <c r="A1" s="170" t="s">
        <v>102</v>
      </c>
      <c r="B1" s="170" t="s">
        <v>101</v>
      </c>
      <c r="C1" s="169"/>
    </row>
    <row r="2" spans="1:3" s="135" customFormat="1" x14ac:dyDescent="0.2">
      <c r="A2" s="170" t="s">
        <v>103</v>
      </c>
      <c r="B2" s="170" t="s">
        <v>104</v>
      </c>
      <c r="C2" s="169"/>
    </row>
    <row r="3" spans="1:3" s="135" customFormat="1" ht="24" x14ac:dyDescent="0.2">
      <c r="A3" s="170" t="s">
        <v>14</v>
      </c>
      <c r="B3" s="170" t="s">
        <v>186</v>
      </c>
      <c r="C3" s="169"/>
    </row>
    <row r="4" spans="1:3" s="135" customFormat="1" x14ac:dyDescent="0.2">
      <c r="A4" s="170" t="s">
        <v>15</v>
      </c>
      <c r="B4" s="170" t="s">
        <v>215</v>
      </c>
      <c r="C4" s="169"/>
    </row>
    <row r="5" spans="1:3" s="135" customFormat="1" x14ac:dyDescent="0.2">
      <c r="A5" s="170" t="s">
        <v>98</v>
      </c>
      <c r="B5" s="170" t="s">
        <v>208</v>
      </c>
      <c r="C5" s="169"/>
    </row>
    <row r="6" spans="1:3" s="135" customFormat="1" x14ac:dyDescent="0.2">
      <c r="A6" s="170" t="s">
        <v>100</v>
      </c>
      <c r="B6" s="170" t="s">
        <v>13</v>
      </c>
      <c r="C6" s="169"/>
    </row>
    <row r="7" spans="1:3" s="135" customFormat="1" ht="24" x14ac:dyDescent="0.2">
      <c r="A7" s="170" t="s">
        <v>136</v>
      </c>
      <c r="B7" s="170" t="s">
        <v>169</v>
      </c>
      <c r="C7" s="169"/>
    </row>
    <row r="8" spans="1:3" s="135" customFormat="1" x14ac:dyDescent="0.2">
      <c r="A8" s="170" t="s">
        <v>105</v>
      </c>
      <c r="B8" s="170" t="s">
        <v>20</v>
      </c>
      <c r="C8" s="169"/>
    </row>
    <row r="9" spans="1:3" s="135" customFormat="1" x14ac:dyDescent="0.2">
      <c r="A9" s="170" t="s">
        <v>216</v>
      </c>
      <c r="B9" s="172" t="s">
        <v>137</v>
      </c>
      <c r="C9" s="169"/>
    </row>
    <row r="10" spans="1:3" s="135" customFormat="1" ht="24" x14ac:dyDescent="0.2">
      <c r="A10" s="170" t="s">
        <v>217</v>
      </c>
      <c r="B10" s="170" t="s">
        <v>234</v>
      </c>
      <c r="C10" s="169"/>
    </row>
  </sheetData>
  <phoneticPr fontId="2" type="noConversion"/>
  <pageMargins left="0.78740157499999996" right="0.78740157499999996" top="0.984251969" bottom="0.984251969" header="0.49212598499999999" footer="0.49212598499999999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213"/>
  <sheetViews>
    <sheetView workbookViewId="0"/>
  </sheetViews>
  <sheetFormatPr defaultRowHeight="12.75" x14ac:dyDescent="0.2"/>
  <cols>
    <col min="1" max="1" width="65.5703125" style="5" customWidth="1"/>
    <col min="2" max="2" width="4.140625" style="5" customWidth="1"/>
    <col min="3" max="3" width="13.42578125" style="5" customWidth="1"/>
    <col min="4" max="4" width="9.140625" style="5"/>
    <col min="5" max="5" width="29.28515625" style="5" customWidth="1"/>
    <col min="6" max="16384" width="9.140625" style="5"/>
  </cols>
  <sheetData>
    <row r="1" spans="1:3" x14ac:dyDescent="0.2">
      <c r="A1" s="6" t="s">
        <v>235</v>
      </c>
    </row>
    <row r="2" spans="1:3" x14ac:dyDescent="0.2">
      <c r="A2" s="6" t="s">
        <v>236</v>
      </c>
    </row>
    <row r="3" spans="1:3" x14ac:dyDescent="0.2">
      <c r="A3" s="6" t="s">
        <v>44</v>
      </c>
    </row>
    <row r="4" spans="1:3" x14ac:dyDescent="0.2">
      <c r="A4" s="6" t="s">
        <v>237</v>
      </c>
    </row>
    <row r="5" spans="1:3" ht="13.5" thickBot="1" x14ac:dyDescent="0.25"/>
    <row r="6" spans="1:3" ht="15.75" thickTop="1" thickBot="1" x14ac:dyDescent="0.25">
      <c r="A6" s="336" t="s">
        <v>71</v>
      </c>
      <c r="B6" s="337"/>
      <c r="C6" s="338"/>
    </row>
    <row r="7" spans="1:3" ht="13.5" thickTop="1" x14ac:dyDescent="0.2">
      <c r="A7" s="94"/>
      <c r="B7" s="95"/>
      <c r="C7" s="96"/>
    </row>
    <row r="8" spans="1:3" x14ac:dyDescent="0.2">
      <c r="A8" s="97" t="s">
        <v>231</v>
      </c>
      <c r="B8" s="99" t="s">
        <v>0</v>
      </c>
      <c r="C8" s="100">
        <f>'Anexo 2 RESUMO'!F39</f>
        <v>46023.160518980658</v>
      </c>
    </row>
    <row r="9" spans="1:3" x14ac:dyDescent="0.2">
      <c r="A9" s="97"/>
      <c r="B9" s="99"/>
      <c r="C9" s="100"/>
    </row>
    <row r="10" spans="1:3" x14ac:dyDescent="0.2">
      <c r="A10" s="97" t="s">
        <v>2</v>
      </c>
      <c r="B10" s="99" t="s">
        <v>0</v>
      </c>
      <c r="C10" s="100">
        <v>0</v>
      </c>
    </row>
    <row r="11" spans="1:3" x14ac:dyDescent="0.2">
      <c r="A11" s="97"/>
      <c r="B11" s="99"/>
      <c r="C11" s="100"/>
    </row>
    <row r="12" spans="1:3" x14ac:dyDescent="0.2">
      <c r="A12" s="97" t="s">
        <v>3</v>
      </c>
      <c r="B12" s="99" t="s">
        <v>0</v>
      </c>
      <c r="C12" s="100">
        <f>'Anexo 2 RESUMO'!F35</f>
        <v>4067.95</v>
      </c>
    </row>
    <row r="13" spans="1:3" x14ac:dyDescent="0.2">
      <c r="A13" s="97"/>
      <c r="B13" s="99"/>
      <c r="C13" s="100"/>
    </row>
    <row r="14" spans="1:3" x14ac:dyDescent="0.2">
      <c r="A14" s="97" t="s">
        <v>4</v>
      </c>
      <c r="B14" s="99" t="s">
        <v>0</v>
      </c>
      <c r="C14" s="100">
        <f>'Anexo 2 RESUMO'!F43</f>
        <v>6729</v>
      </c>
    </row>
    <row r="15" spans="1:3" x14ac:dyDescent="0.2">
      <c r="A15" s="97"/>
      <c r="B15" s="99"/>
      <c r="C15" s="100"/>
    </row>
    <row r="16" spans="1:3" x14ac:dyDescent="0.2">
      <c r="A16" s="97" t="s">
        <v>16</v>
      </c>
      <c r="B16" s="99" t="s">
        <v>0</v>
      </c>
      <c r="C16" s="100">
        <f>'Anexo 2 RESUMO'!F37</f>
        <v>0</v>
      </c>
    </row>
    <row r="17" spans="1:5" x14ac:dyDescent="0.2">
      <c r="A17" s="97"/>
      <c r="B17" s="99"/>
      <c r="C17" s="100"/>
    </row>
    <row r="18" spans="1:5" x14ac:dyDescent="0.2">
      <c r="A18" s="97" t="s">
        <v>23</v>
      </c>
      <c r="B18" s="99" t="s">
        <v>0</v>
      </c>
      <c r="C18" s="100">
        <v>0</v>
      </c>
    </row>
    <row r="19" spans="1:5" x14ac:dyDescent="0.2">
      <c r="A19" s="97"/>
      <c r="B19" s="99"/>
      <c r="C19" s="100"/>
    </row>
    <row r="20" spans="1:5" x14ac:dyDescent="0.2">
      <c r="A20" s="97" t="s">
        <v>5</v>
      </c>
      <c r="B20" s="99" t="s">
        <v>0</v>
      </c>
      <c r="C20" s="100">
        <v>0</v>
      </c>
    </row>
    <row r="21" spans="1:5" x14ac:dyDescent="0.2">
      <c r="A21" s="97"/>
      <c r="B21" s="99"/>
      <c r="C21" s="100"/>
    </row>
    <row r="22" spans="1:5" s="15" customFormat="1" ht="12.75" customHeight="1" x14ac:dyDescent="0.2">
      <c r="A22" s="324" t="s">
        <v>170</v>
      </c>
      <c r="B22" s="102" t="s">
        <v>0</v>
      </c>
      <c r="C22" s="101">
        <v>0</v>
      </c>
    </row>
    <row r="23" spans="1:5" x14ac:dyDescent="0.2">
      <c r="A23" s="97"/>
      <c r="B23" s="99"/>
      <c r="C23" s="100"/>
    </row>
    <row r="24" spans="1:5" s="103" customFormat="1" ht="12.75" customHeight="1" x14ac:dyDescent="0.2">
      <c r="A24" s="318" t="s">
        <v>232</v>
      </c>
      <c r="B24" s="102" t="s">
        <v>0</v>
      </c>
      <c r="C24" s="101">
        <f>400*E25</f>
        <v>400.56621264018304</v>
      </c>
      <c r="E24" s="103" t="s">
        <v>46</v>
      </c>
    </row>
    <row r="25" spans="1:5" x14ac:dyDescent="0.2">
      <c r="A25" s="97"/>
      <c r="B25" s="99"/>
      <c r="C25" s="100"/>
      <c r="E25" s="5">
        <f>'Anexo 8 Tabela TRT'!L58</f>
        <v>1.0014155316004576</v>
      </c>
    </row>
    <row r="26" spans="1:5" x14ac:dyDescent="0.2">
      <c r="A26" s="97" t="s">
        <v>1</v>
      </c>
      <c r="B26" s="99" t="s">
        <v>0</v>
      </c>
      <c r="C26" s="100">
        <v>0</v>
      </c>
    </row>
    <row r="27" spans="1:5" ht="13.5" thickBot="1" x14ac:dyDescent="0.25">
      <c r="A27" s="97"/>
      <c r="B27" s="99"/>
      <c r="C27" s="100"/>
    </row>
    <row r="28" spans="1:5" ht="14.25" thickTop="1" thickBot="1" x14ac:dyDescent="0.25">
      <c r="A28" s="104" t="s">
        <v>233</v>
      </c>
      <c r="B28" s="36" t="s">
        <v>0</v>
      </c>
      <c r="C28" s="105">
        <f>SUM(C8:C27)</f>
        <v>57220.676731620835</v>
      </c>
    </row>
    <row r="29" spans="1:5" ht="13.5" thickTop="1" x14ac:dyDescent="0.2">
      <c r="A29" s="106"/>
      <c r="B29" s="107"/>
      <c r="C29" s="108"/>
    </row>
    <row r="30" spans="1:5" x14ac:dyDescent="0.2">
      <c r="A30" s="98"/>
      <c r="B30" s="99"/>
      <c r="C30" s="109"/>
    </row>
    <row r="31" spans="1:5" x14ac:dyDescent="0.2">
      <c r="A31" s="98"/>
      <c r="B31" s="99"/>
      <c r="C31" s="109"/>
    </row>
    <row r="32" spans="1:5" x14ac:dyDescent="0.2">
      <c r="A32" s="110"/>
      <c r="B32" s="111"/>
      <c r="C32" s="112"/>
    </row>
    <row r="33" spans="1:3" x14ac:dyDescent="0.2">
      <c r="A33" s="110"/>
      <c r="B33" s="111"/>
      <c r="C33" s="112"/>
    </row>
    <row r="34" spans="1:3" x14ac:dyDescent="0.2">
      <c r="A34" s="110"/>
      <c r="B34" s="111"/>
      <c r="C34" s="113"/>
    </row>
    <row r="35" spans="1:3" x14ac:dyDescent="0.2">
      <c r="A35" s="110"/>
      <c r="B35" s="111"/>
      <c r="C35" s="113"/>
    </row>
    <row r="36" spans="1:3" x14ac:dyDescent="0.2">
      <c r="A36" s="110"/>
      <c r="B36" s="111"/>
      <c r="C36" s="113"/>
    </row>
    <row r="37" spans="1:3" x14ac:dyDescent="0.2">
      <c r="A37" s="110"/>
      <c r="B37" s="111"/>
      <c r="C37" s="113"/>
    </row>
    <row r="38" spans="1:3" x14ac:dyDescent="0.2">
      <c r="A38" s="110"/>
      <c r="B38" s="111"/>
      <c r="C38" s="113"/>
    </row>
    <row r="39" spans="1:3" x14ac:dyDescent="0.2">
      <c r="A39" s="106"/>
      <c r="B39" s="107"/>
      <c r="C39" s="108"/>
    </row>
    <row r="40" spans="1:3" x14ac:dyDescent="0.2">
      <c r="A40" s="106"/>
      <c r="B40" s="107"/>
      <c r="C40" s="108"/>
    </row>
    <row r="41" spans="1:3" x14ac:dyDescent="0.2">
      <c r="A41" s="106"/>
      <c r="B41" s="107"/>
      <c r="C41" s="108"/>
    </row>
    <row r="42" spans="1:3" x14ac:dyDescent="0.2">
      <c r="A42" s="106"/>
      <c r="B42" s="107"/>
      <c r="C42" s="108"/>
    </row>
    <row r="43" spans="1:3" x14ac:dyDescent="0.2">
      <c r="A43" s="110"/>
      <c r="B43" s="111"/>
      <c r="C43" s="112"/>
    </row>
    <row r="44" spans="1:3" x14ac:dyDescent="0.2">
      <c r="A44" s="110"/>
      <c r="B44" s="111"/>
      <c r="C44" s="112"/>
    </row>
    <row r="45" spans="1:3" x14ac:dyDescent="0.2">
      <c r="A45" s="114"/>
      <c r="B45" s="114"/>
      <c r="C45" s="114"/>
    </row>
    <row r="46" spans="1:3" x14ac:dyDescent="0.2">
      <c r="A46" s="114"/>
      <c r="B46" s="114"/>
      <c r="C46" s="114"/>
    </row>
    <row r="47" spans="1:3" x14ac:dyDescent="0.2">
      <c r="A47" s="114"/>
      <c r="B47" s="114"/>
      <c r="C47" s="114"/>
    </row>
    <row r="48" spans="1:3" x14ac:dyDescent="0.2">
      <c r="A48" s="114"/>
      <c r="B48" s="114"/>
      <c r="C48" s="114"/>
    </row>
    <row r="49" spans="1:3" x14ac:dyDescent="0.2">
      <c r="A49" s="114"/>
      <c r="B49" s="114"/>
      <c r="C49" s="114"/>
    </row>
    <row r="50" spans="1:3" x14ac:dyDescent="0.2">
      <c r="A50" s="114"/>
      <c r="B50" s="114"/>
      <c r="C50" s="114"/>
    </row>
    <row r="51" spans="1:3" x14ac:dyDescent="0.2">
      <c r="A51" s="114"/>
      <c r="B51" s="114"/>
      <c r="C51" s="114"/>
    </row>
    <row r="52" spans="1:3" x14ac:dyDescent="0.2">
      <c r="A52" s="114"/>
      <c r="B52" s="114"/>
      <c r="C52" s="114"/>
    </row>
    <row r="53" spans="1:3" x14ac:dyDescent="0.2">
      <c r="A53" s="114"/>
      <c r="B53" s="114"/>
      <c r="C53" s="114"/>
    </row>
    <row r="54" spans="1:3" x14ac:dyDescent="0.2">
      <c r="A54" s="114"/>
      <c r="B54" s="114"/>
      <c r="C54" s="114"/>
    </row>
    <row r="55" spans="1:3" x14ac:dyDescent="0.2">
      <c r="A55" s="114"/>
      <c r="B55" s="114"/>
      <c r="C55" s="114"/>
    </row>
    <row r="56" spans="1:3" x14ac:dyDescent="0.2">
      <c r="A56" s="114"/>
      <c r="B56" s="114"/>
      <c r="C56" s="114"/>
    </row>
    <row r="57" spans="1:3" x14ac:dyDescent="0.2">
      <c r="A57" s="114"/>
      <c r="B57" s="114"/>
      <c r="C57" s="114"/>
    </row>
    <row r="58" spans="1:3" x14ac:dyDescent="0.2">
      <c r="A58" s="114"/>
      <c r="B58" s="114"/>
      <c r="C58" s="114"/>
    </row>
    <row r="59" spans="1:3" x14ac:dyDescent="0.2">
      <c r="A59" s="114"/>
      <c r="B59" s="114"/>
      <c r="C59" s="114"/>
    </row>
    <row r="60" spans="1:3" x14ac:dyDescent="0.2">
      <c r="A60" s="114"/>
      <c r="B60" s="114"/>
      <c r="C60" s="114"/>
    </row>
    <row r="61" spans="1:3" x14ac:dyDescent="0.2">
      <c r="A61" s="114"/>
      <c r="B61" s="114"/>
      <c r="C61" s="114"/>
    </row>
    <row r="62" spans="1:3" x14ac:dyDescent="0.2">
      <c r="A62" s="114"/>
      <c r="B62" s="114"/>
      <c r="C62" s="114"/>
    </row>
    <row r="63" spans="1:3" x14ac:dyDescent="0.2">
      <c r="A63" s="114"/>
      <c r="B63" s="114"/>
      <c r="C63" s="114"/>
    </row>
    <row r="64" spans="1:3" x14ac:dyDescent="0.2">
      <c r="A64" s="114"/>
      <c r="B64" s="114"/>
      <c r="C64" s="114"/>
    </row>
    <row r="65" spans="1:3" x14ac:dyDescent="0.2">
      <c r="A65" s="114"/>
      <c r="B65" s="114"/>
      <c r="C65" s="114"/>
    </row>
    <row r="66" spans="1:3" x14ac:dyDescent="0.2">
      <c r="A66" s="114"/>
      <c r="B66" s="114"/>
      <c r="C66" s="114"/>
    </row>
    <row r="67" spans="1:3" x14ac:dyDescent="0.2">
      <c r="A67" s="114"/>
      <c r="B67" s="114"/>
      <c r="C67" s="114"/>
    </row>
    <row r="68" spans="1:3" x14ac:dyDescent="0.2">
      <c r="A68" s="114"/>
      <c r="B68" s="114"/>
      <c r="C68" s="114"/>
    </row>
    <row r="69" spans="1:3" x14ac:dyDescent="0.2">
      <c r="A69" s="114"/>
      <c r="B69" s="114"/>
      <c r="C69" s="114"/>
    </row>
    <row r="70" spans="1:3" x14ac:dyDescent="0.2">
      <c r="A70" s="114"/>
      <c r="B70" s="114"/>
      <c r="C70" s="114"/>
    </row>
    <row r="71" spans="1:3" x14ac:dyDescent="0.2">
      <c r="A71" s="114"/>
      <c r="B71" s="114"/>
      <c r="C71" s="114"/>
    </row>
    <row r="72" spans="1:3" x14ac:dyDescent="0.2">
      <c r="A72" s="114"/>
      <c r="B72" s="114"/>
      <c r="C72" s="114"/>
    </row>
    <row r="73" spans="1:3" x14ac:dyDescent="0.2">
      <c r="A73" s="114"/>
      <c r="B73" s="114"/>
      <c r="C73" s="114"/>
    </row>
    <row r="74" spans="1:3" x14ac:dyDescent="0.2">
      <c r="A74" s="114"/>
      <c r="B74" s="114"/>
      <c r="C74" s="114"/>
    </row>
    <row r="75" spans="1:3" x14ac:dyDescent="0.2">
      <c r="A75" s="114"/>
      <c r="B75" s="114"/>
      <c r="C75" s="114"/>
    </row>
    <row r="76" spans="1:3" x14ac:dyDescent="0.2">
      <c r="A76" s="114"/>
      <c r="B76" s="114"/>
      <c r="C76" s="114"/>
    </row>
    <row r="77" spans="1:3" x14ac:dyDescent="0.2">
      <c r="A77" s="114"/>
      <c r="B77" s="114"/>
      <c r="C77" s="114"/>
    </row>
    <row r="78" spans="1:3" x14ac:dyDescent="0.2">
      <c r="A78" s="114"/>
      <c r="B78" s="114"/>
      <c r="C78" s="114"/>
    </row>
    <row r="79" spans="1:3" x14ac:dyDescent="0.2">
      <c r="A79" s="114"/>
      <c r="B79" s="114"/>
      <c r="C79" s="114"/>
    </row>
    <row r="80" spans="1:3" x14ac:dyDescent="0.2">
      <c r="A80" s="114"/>
      <c r="B80" s="114"/>
      <c r="C80" s="114"/>
    </row>
    <row r="81" spans="1:3" x14ac:dyDescent="0.2">
      <c r="A81" s="114"/>
      <c r="B81" s="114"/>
      <c r="C81" s="114"/>
    </row>
    <row r="82" spans="1:3" x14ac:dyDescent="0.2">
      <c r="A82" s="114"/>
      <c r="B82" s="114"/>
      <c r="C82" s="114"/>
    </row>
    <row r="83" spans="1:3" x14ac:dyDescent="0.2">
      <c r="A83" s="114"/>
      <c r="B83" s="114"/>
      <c r="C83" s="114"/>
    </row>
    <row r="84" spans="1:3" x14ac:dyDescent="0.2">
      <c r="A84" s="114"/>
      <c r="B84" s="114"/>
      <c r="C84" s="114"/>
    </row>
    <row r="85" spans="1:3" x14ac:dyDescent="0.2">
      <c r="A85" s="114"/>
      <c r="B85" s="114"/>
      <c r="C85" s="114"/>
    </row>
    <row r="86" spans="1:3" x14ac:dyDescent="0.2">
      <c r="A86" s="114"/>
      <c r="B86" s="114"/>
      <c r="C86" s="114"/>
    </row>
    <row r="87" spans="1:3" x14ac:dyDescent="0.2">
      <c r="A87" s="114"/>
      <c r="B87" s="114"/>
      <c r="C87" s="114"/>
    </row>
    <row r="88" spans="1:3" x14ac:dyDescent="0.2">
      <c r="A88" s="114"/>
      <c r="B88" s="114"/>
      <c r="C88" s="114"/>
    </row>
    <row r="89" spans="1:3" x14ac:dyDescent="0.2">
      <c r="A89" s="114"/>
      <c r="B89" s="114"/>
      <c r="C89" s="114"/>
    </row>
    <row r="90" spans="1:3" x14ac:dyDescent="0.2">
      <c r="A90" s="114"/>
      <c r="B90" s="114"/>
      <c r="C90" s="114"/>
    </row>
    <row r="91" spans="1:3" x14ac:dyDescent="0.2">
      <c r="A91" s="114"/>
      <c r="B91" s="114"/>
      <c r="C91" s="114"/>
    </row>
    <row r="92" spans="1:3" x14ac:dyDescent="0.2">
      <c r="A92" s="114"/>
      <c r="B92" s="114"/>
      <c r="C92" s="114"/>
    </row>
    <row r="93" spans="1:3" x14ac:dyDescent="0.2">
      <c r="A93" s="114"/>
      <c r="B93" s="114"/>
      <c r="C93" s="114"/>
    </row>
    <row r="94" spans="1:3" x14ac:dyDescent="0.2">
      <c r="A94" s="114"/>
      <c r="B94" s="114"/>
      <c r="C94" s="114"/>
    </row>
    <row r="95" spans="1:3" x14ac:dyDescent="0.2">
      <c r="A95" s="114"/>
      <c r="B95" s="114"/>
      <c r="C95" s="114"/>
    </row>
    <row r="96" spans="1:3" x14ac:dyDescent="0.2">
      <c r="A96" s="114"/>
      <c r="B96" s="114"/>
      <c r="C96" s="114"/>
    </row>
    <row r="97" spans="1:3" x14ac:dyDescent="0.2">
      <c r="A97" s="114"/>
      <c r="B97" s="114"/>
      <c r="C97" s="114"/>
    </row>
    <row r="98" spans="1:3" x14ac:dyDescent="0.2">
      <c r="A98" s="114"/>
      <c r="B98" s="114"/>
      <c r="C98" s="114"/>
    </row>
    <row r="99" spans="1:3" x14ac:dyDescent="0.2">
      <c r="A99" s="114"/>
      <c r="B99" s="114"/>
      <c r="C99" s="114"/>
    </row>
    <row r="100" spans="1:3" x14ac:dyDescent="0.2">
      <c r="A100" s="114"/>
      <c r="B100" s="114"/>
      <c r="C100" s="114"/>
    </row>
    <row r="101" spans="1:3" x14ac:dyDescent="0.2">
      <c r="A101" s="114"/>
      <c r="B101" s="114"/>
      <c r="C101" s="114"/>
    </row>
    <row r="102" spans="1:3" x14ac:dyDescent="0.2">
      <c r="A102" s="114"/>
      <c r="B102" s="114"/>
      <c r="C102" s="114"/>
    </row>
    <row r="103" spans="1:3" x14ac:dyDescent="0.2">
      <c r="A103" s="114"/>
      <c r="B103" s="114"/>
      <c r="C103" s="114"/>
    </row>
    <row r="104" spans="1:3" x14ac:dyDescent="0.2">
      <c r="A104" s="114"/>
      <c r="B104" s="114"/>
      <c r="C104" s="114"/>
    </row>
    <row r="105" spans="1:3" x14ac:dyDescent="0.2">
      <c r="A105" s="114"/>
      <c r="B105" s="114"/>
      <c r="C105" s="114"/>
    </row>
    <row r="106" spans="1:3" x14ac:dyDescent="0.2">
      <c r="A106" s="114"/>
      <c r="B106" s="114"/>
      <c r="C106" s="114"/>
    </row>
    <row r="107" spans="1:3" x14ac:dyDescent="0.2">
      <c r="A107" s="114"/>
      <c r="B107" s="114"/>
      <c r="C107" s="114"/>
    </row>
    <row r="108" spans="1:3" x14ac:dyDescent="0.2">
      <c r="A108" s="114"/>
      <c r="B108" s="114"/>
      <c r="C108" s="114"/>
    </row>
    <row r="109" spans="1:3" x14ac:dyDescent="0.2">
      <c r="A109" s="114"/>
      <c r="B109" s="114"/>
      <c r="C109" s="114"/>
    </row>
    <row r="110" spans="1:3" x14ac:dyDescent="0.2">
      <c r="A110" s="114"/>
      <c r="B110" s="114"/>
      <c r="C110" s="114"/>
    </row>
    <row r="111" spans="1:3" x14ac:dyDescent="0.2">
      <c r="A111" s="114"/>
      <c r="B111" s="114"/>
      <c r="C111" s="114"/>
    </row>
    <row r="112" spans="1:3" x14ac:dyDescent="0.2">
      <c r="A112" s="114"/>
      <c r="B112" s="114"/>
      <c r="C112" s="114"/>
    </row>
    <row r="113" spans="1:3" x14ac:dyDescent="0.2">
      <c r="A113" s="114"/>
      <c r="B113" s="114"/>
      <c r="C113" s="114"/>
    </row>
    <row r="114" spans="1:3" x14ac:dyDescent="0.2">
      <c r="A114" s="114"/>
      <c r="B114" s="114"/>
      <c r="C114" s="114"/>
    </row>
    <row r="115" spans="1:3" x14ac:dyDescent="0.2">
      <c r="A115" s="114"/>
      <c r="B115" s="114"/>
      <c r="C115" s="114"/>
    </row>
    <row r="116" spans="1:3" x14ac:dyDescent="0.2">
      <c r="A116" s="114"/>
      <c r="B116" s="114"/>
      <c r="C116" s="114"/>
    </row>
    <row r="117" spans="1:3" x14ac:dyDescent="0.2">
      <c r="A117" s="114"/>
      <c r="B117" s="114"/>
      <c r="C117" s="114"/>
    </row>
    <row r="118" spans="1:3" x14ac:dyDescent="0.2">
      <c r="A118" s="114"/>
      <c r="B118" s="114"/>
      <c r="C118" s="114"/>
    </row>
    <row r="119" spans="1:3" x14ac:dyDescent="0.2">
      <c r="A119" s="114"/>
      <c r="B119" s="114"/>
      <c r="C119" s="114"/>
    </row>
    <row r="120" spans="1:3" x14ac:dyDescent="0.2">
      <c r="A120" s="114"/>
      <c r="B120" s="114"/>
      <c r="C120" s="114"/>
    </row>
    <row r="121" spans="1:3" x14ac:dyDescent="0.2">
      <c r="A121" s="114"/>
      <c r="B121" s="114"/>
      <c r="C121" s="114"/>
    </row>
    <row r="122" spans="1:3" x14ac:dyDescent="0.2">
      <c r="A122" s="114"/>
      <c r="B122" s="114"/>
      <c r="C122" s="114"/>
    </row>
    <row r="123" spans="1:3" x14ac:dyDescent="0.2">
      <c r="A123" s="114"/>
      <c r="B123" s="114"/>
      <c r="C123" s="114"/>
    </row>
    <row r="124" spans="1:3" x14ac:dyDescent="0.2">
      <c r="A124" s="114"/>
      <c r="B124" s="114"/>
      <c r="C124" s="114"/>
    </row>
    <row r="125" spans="1:3" x14ac:dyDescent="0.2">
      <c r="A125" s="114"/>
      <c r="B125" s="114"/>
      <c r="C125" s="114"/>
    </row>
    <row r="126" spans="1:3" x14ac:dyDescent="0.2">
      <c r="A126" s="114"/>
      <c r="B126" s="114"/>
      <c r="C126" s="114"/>
    </row>
    <row r="127" spans="1:3" x14ac:dyDescent="0.2">
      <c r="A127" s="114"/>
      <c r="B127" s="114"/>
      <c r="C127" s="114"/>
    </row>
    <row r="128" spans="1:3" x14ac:dyDescent="0.2">
      <c r="A128" s="114"/>
      <c r="B128" s="114"/>
      <c r="C128" s="114"/>
    </row>
    <row r="129" spans="1:3" x14ac:dyDescent="0.2">
      <c r="A129" s="114"/>
      <c r="B129" s="114"/>
      <c r="C129" s="114"/>
    </row>
    <row r="130" spans="1:3" x14ac:dyDescent="0.2">
      <c r="A130" s="114"/>
      <c r="B130" s="114"/>
      <c r="C130" s="114"/>
    </row>
    <row r="131" spans="1:3" x14ac:dyDescent="0.2">
      <c r="A131" s="114"/>
      <c r="B131" s="114"/>
      <c r="C131" s="114"/>
    </row>
    <row r="132" spans="1:3" x14ac:dyDescent="0.2">
      <c r="A132" s="114"/>
      <c r="B132" s="114"/>
      <c r="C132" s="114"/>
    </row>
    <row r="133" spans="1:3" x14ac:dyDescent="0.2">
      <c r="A133" s="114"/>
      <c r="B133" s="114"/>
      <c r="C133" s="114"/>
    </row>
    <row r="134" spans="1:3" x14ac:dyDescent="0.2">
      <c r="A134" s="114"/>
      <c r="B134" s="114"/>
      <c r="C134" s="114"/>
    </row>
    <row r="135" spans="1:3" x14ac:dyDescent="0.2">
      <c r="A135" s="114"/>
      <c r="B135" s="114"/>
      <c r="C135" s="114"/>
    </row>
    <row r="136" spans="1:3" x14ac:dyDescent="0.2">
      <c r="A136" s="114"/>
      <c r="B136" s="114"/>
      <c r="C136" s="114"/>
    </row>
    <row r="137" spans="1:3" x14ac:dyDescent="0.2">
      <c r="A137" s="114"/>
      <c r="B137" s="114"/>
      <c r="C137" s="114"/>
    </row>
    <row r="138" spans="1:3" x14ac:dyDescent="0.2">
      <c r="A138" s="114"/>
      <c r="B138" s="114"/>
      <c r="C138" s="114"/>
    </row>
    <row r="139" spans="1:3" x14ac:dyDescent="0.2">
      <c r="A139" s="114"/>
      <c r="B139" s="114"/>
      <c r="C139" s="114"/>
    </row>
    <row r="140" spans="1:3" x14ac:dyDescent="0.2">
      <c r="A140" s="114"/>
      <c r="B140" s="114"/>
      <c r="C140" s="114"/>
    </row>
    <row r="141" spans="1:3" x14ac:dyDescent="0.2">
      <c r="A141" s="114"/>
      <c r="B141" s="114"/>
      <c r="C141" s="114"/>
    </row>
    <row r="142" spans="1:3" x14ac:dyDescent="0.2">
      <c r="A142" s="114"/>
      <c r="B142" s="114"/>
      <c r="C142" s="114"/>
    </row>
    <row r="143" spans="1:3" x14ac:dyDescent="0.2">
      <c r="A143" s="114"/>
      <c r="B143" s="114"/>
      <c r="C143" s="114"/>
    </row>
    <row r="144" spans="1:3" x14ac:dyDescent="0.2">
      <c r="A144" s="114"/>
      <c r="B144" s="114"/>
      <c r="C144" s="114"/>
    </row>
    <row r="145" spans="1:3" x14ac:dyDescent="0.2">
      <c r="A145" s="114"/>
      <c r="B145" s="114"/>
      <c r="C145" s="114"/>
    </row>
    <row r="146" spans="1:3" x14ac:dyDescent="0.2">
      <c r="A146" s="114"/>
      <c r="B146" s="114"/>
      <c r="C146" s="114"/>
    </row>
    <row r="147" spans="1:3" x14ac:dyDescent="0.2">
      <c r="A147" s="114"/>
      <c r="B147" s="114"/>
      <c r="C147" s="114"/>
    </row>
    <row r="148" spans="1:3" x14ac:dyDescent="0.2">
      <c r="A148" s="114"/>
      <c r="B148" s="114"/>
      <c r="C148" s="114"/>
    </row>
    <row r="149" spans="1:3" x14ac:dyDescent="0.2">
      <c r="A149" s="114"/>
      <c r="B149" s="114"/>
      <c r="C149" s="114"/>
    </row>
    <row r="150" spans="1:3" x14ac:dyDescent="0.2">
      <c r="A150" s="114"/>
      <c r="B150" s="114"/>
      <c r="C150" s="114"/>
    </row>
    <row r="151" spans="1:3" x14ac:dyDescent="0.2">
      <c r="A151" s="114"/>
      <c r="B151" s="114"/>
      <c r="C151" s="114"/>
    </row>
    <row r="152" spans="1:3" x14ac:dyDescent="0.2">
      <c r="A152" s="114"/>
      <c r="B152" s="114"/>
      <c r="C152" s="114"/>
    </row>
    <row r="153" spans="1:3" x14ac:dyDescent="0.2">
      <c r="A153" s="114"/>
      <c r="B153" s="114"/>
      <c r="C153" s="114"/>
    </row>
    <row r="154" spans="1:3" x14ac:dyDescent="0.2">
      <c r="A154" s="114"/>
      <c r="B154" s="114"/>
      <c r="C154" s="114"/>
    </row>
    <row r="155" spans="1:3" x14ac:dyDescent="0.2">
      <c r="A155" s="114"/>
      <c r="B155" s="114"/>
      <c r="C155" s="114"/>
    </row>
    <row r="156" spans="1:3" x14ac:dyDescent="0.2">
      <c r="A156" s="114"/>
      <c r="B156" s="114"/>
      <c r="C156" s="114"/>
    </row>
    <row r="157" spans="1:3" x14ac:dyDescent="0.2">
      <c r="A157" s="114"/>
      <c r="B157" s="114"/>
      <c r="C157" s="114"/>
    </row>
    <row r="158" spans="1:3" x14ac:dyDescent="0.2">
      <c r="A158" s="114"/>
      <c r="B158" s="114"/>
      <c r="C158" s="114"/>
    </row>
    <row r="159" spans="1:3" x14ac:dyDescent="0.2">
      <c r="A159" s="114"/>
      <c r="B159" s="114"/>
      <c r="C159" s="114"/>
    </row>
    <row r="160" spans="1:3" x14ac:dyDescent="0.2">
      <c r="A160" s="114"/>
      <c r="B160" s="114"/>
      <c r="C160" s="114"/>
    </row>
    <row r="161" spans="1:3" x14ac:dyDescent="0.2">
      <c r="A161" s="114"/>
      <c r="B161" s="114"/>
      <c r="C161" s="114"/>
    </row>
    <row r="162" spans="1:3" x14ac:dyDescent="0.2">
      <c r="A162" s="114"/>
      <c r="B162" s="114"/>
      <c r="C162" s="114"/>
    </row>
    <row r="163" spans="1:3" x14ac:dyDescent="0.2">
      <c r="A163" s="114"/>
      <c r="B163" s="114"/>
      <c r="C163" s="114"/>
    </row>
    <row r="164" spans="1:3" x14ac:dyDescent="0.2">
      <c r="A164" s="114"/>
      <c r="B164" s="114"/>
      <c r="C164" s="114"/>
    </row>
    <row r="165" spans="1:3" x14ac:dyDescent="0.2">
      <c r="A165" s="114"/>
      <c r="B165" s="114"/>
      <c r="C165" s="114"/>
    </row>
    <row r="166" spans="1:3" x14ac:dyDescent="0.2">
      <c r="A166" s="114"/>
      <c r="B166" s="114"/>
      <c r="C166" s="114"/>
    </row>
    <row r="167" spans="1:3" x14ac:dyDescent="0.2">
      <c r="A167" s="114"/>
      <c r="B167" s="114"/>
      <c r="C167" s="114"/>
    </row>
    <row r="168" spans="1:3" x14ac:dyDescent="0.2">
      <c r="A168" s="114"/>
      <c r="B168" s="114"/>
      <c r="C168" s="114"/>
    </row>
    <row r="169" spans="1:3" x14ac:dyDescent="0.2">
      <c r="A169" s="114"/>
      <c r="B169" s="114"/>
      <c r="C169" s="114"/>
    </row>
    <row r="170" spans="1:3" x14ac:dyDescent="0.2">
      <c r="A170" s="114"/>
      <c r="B170" s="114"/>
      <c r="C170" s="114"/>
    </row>
    <row r="171" spans="1:3" x14ac:dyDescent="0.2">
      <c r="A171" s="114"/>
      <c r="B171" s="114"/>
      <c r="C171" s="114"/>
    </row>
    <row r="172" spans="1:3" x14ac:dyDescent="0.2">
      <c r="A172" s="114"/>
      <c r="B172" s="114"/>
      <c r="C172" s="114"/>
    </row>
    <row r="173" spans="1:3" x14ac:dyDescent="0.2">
      <c r="A173" s="114"/>
      <c r="B173" s="114"/>
      <c r="C173" s="114"/>
    </row>
    <row r="174" spans="1:3" x14ac:dyDescent="0.2">
      <c r="A174" s="114"/>
      <c r="B174" s="114"/>
      <c r="C174" s="114"/>
    </row>
    <row r="175" spans="1:3" x14ac:dyDescent="0.2">
      <c r="A175" s="114"/>
      <c r="B175" s="114"/>
      <c r="C175" s="114"/>
    </row>
    <row r="176" spans="1:3" x14ac:dyDescent="0.2">
      <c r="A176" s="114"/>
      <c r="B176" s="114"/>
      <c r="C176" s="114"/>
    </row>
    <row r="177" spans="1:3" x14ac:dyDescent="0.2">
      <c r="A177" s="114"/>
      <c r="B177" s="114"/>
      <c r="C177" s="114"/>
    </row>
    <row r="178" spans="1:3" x14ac:dyDescent="0.2">
      <c r="A178" s="114"/>
      <c r="B178" s="114"/>
      <c r="C178" s="114"/>
    </row>
    <row r="179" spans="1:3" x14ac:dyDescent="0.2">
      <c r="A179" s="114"/>
      <c r="B179" s="114"/>
      <c r="C179" s="114"/>
    </row>
    <row r="180" spans="1:3" x14ac:dyDescent="0.2">
      <c r="A180" s="114"/>
      <c r="B180" s="114"/>
      <c r="C180" s="114"/>
    </row>
    <row r="181" spans="1:3" x14ac:dyDescent="0.2">
      <c r="A181" s="114"/>
      <c r="B181" s="114"/>
      <c r="C181" s="114"/>
    </row>
    <row r="182" spans="1:3" x14ac:dyDescent="0.2">
      <c r="A182" s="114"/>
      <c r="B182" s="114"/>
      <c r="C182" s="114"/>
    </row>
    <row r="183" spans="1:3" x14ac:dyDescent="0.2">
      <c r="A183" s="114"/>
      <c r="B183" s="114"/>
      <c r="C183" s="114"/>
    </row>
    <row r="184" spans="1:3" x14ac:dyDescent="0.2">
      <c r="A184" s="114"/>
      <c r="B184" s="114"/>
      <c r="C184" s="114"/>
    </row>
    <row r="185" spans="1:3" x14ac:dyDescent="0.2">
      <c r="A185" s="114"/>
      <c r="B185" s="114"/>
      <c r="C185" s="114"/>
    </row>
    <row r="186" spans="1:3" x14ac:dyDescent="0.2">
      <c r="A186" s="114"/>
      <c r="B186" s="114"/>
      <c r="C186" s="114"/>
    </row>
    <row r="187" spans="1:3" x14ac:dyDescent="0.2">
      <c r="A187" s="114"/>
      <c r="B187" s="114"/>
      <c r="C187" s="114"/>
    </row>
    <row r="188" spans="1:3" x14ac:dyDescent="0.2">
      <c r="A188" s="114"/>
      <c r="B188" s="114"/>
      <c r="C188" s="114"/>
    </row>
    <row r="189" spans="1:3" x14ac:dyDescent="0.2">
      <c r="A189" s="114"/>
      <c r="B189" s="114"/>
      <c r="C189" s="114"/>
    </row>
    <row r="190" spans="1:3" x14ac:dyDescent="0.2">
      <c r="A190" s="114"/>
      <c r="B190" s="114"/>
      <c r="C190" s="114"/>
    </row>
    <row r="191" spans="1:3" x14ac:dyDescent="0.2">
      <c r="A191" s="114"/>
      <c r="B191" s="114"/>
      <c r="C191" s="114"/>
    </row>
    <row r="192" spans="1:3" x14ac:dyDescent="0.2">
      <c r="A192" s="114"/>
      <c r="B192" s="114"/>
      <c r="C192" s="114"/>
    </row>
    <row r="193" spans="1:3" x14ac:dyDescent="0.2">
      <c r="A193" s="114"/>
      <c r="B193" s="114"/>
      <c r="C193" s="114"/>
    </row>
    <row r="194" spans="1:3" x14ac:dyDescent="0.2">
      <c r="A194" s="114"/>
      <c r="B194" s="114"/>
      <c r="C194" s="114"/>
    </row>
    <row r="195" spans="1:3" x14ac:dyDescent="0.2">
      <c r="A195" s="114"/>
      <c r="B195" s="114"/>
      <c r="C195" s="114"/>
    </row>
    <row r="196" spans="1:3" x14ac:dyDescent="0.2">
      <c r="A196" s="114"/>
      <c r="B196" s="114"/>
      <c r="C196" s="114"/>
    </row>
    <row r="197" spans="1:3" x14ac:dyDescent="0.2">
      <c r="A197" s="114"/>
      <c r="B197" s="114"/>
      <c r="C197" s="114"/>
    </row>
    <row r="198" spans="1:3" x14ac:dyDescent="0.2">
      <c r="A198" s="114"/>
      <c r="B198" s="114"/>
      <c r="C198" s="114"/>
    </row>
    <row r="199" spans="1:3" x14ac:dyDescent="0.2">
      <c r="A199" s="114"/>
      <c r="B199" s="114"/>
      <c r="C199" s="114"/>
    </row>
    <row r="200" spans="1:3" x14ac:dyDescent="0.2">
      <c r="A200" s="114"/>
      <c r="B200" s="114"/>
      <c r="C200" s="114"/>
    </row>
    <row r="201" spans="1:3" x14ac:dyDescent="0.2">
      <c r="A201" s="114"/>
      <c r="B201" s="114"/>
      <c r="C201" s="114"/>
    </row>
    <row r="202" spans="1:3" x14ac:dyDescent="0.2">
      <c r="A202" s="114"/>
      <c r="B202" s="114"/>
      <c r="C202" s="114"/>
    </row>
    <row r="203" spans="1:3" x14ac:dyDescent="0.2">
      <c r="A203" s="114"/>
      <c r="B203" s="114"/>
      <c r="C203" s="114"/>
    </row>
    <row r="204" spans="1:3" x14ac:dyDescent="0.2">
      <c r="A204" s="114"/>
      <c r="B204" s="114"/>
      <c r="C204" s="114"/>
    </row>
    <row r="205" spans="1:3" x14ac:dyDescent="0.2">
      <c r="A205" s="114"/>
      <c r="B205" s="114"/>
      <c r="C205" s="114"/>
    </row>
    <row r="206" spans="1:3" x14ac:dyDescent="0.2">
      <c r="A206" s="114"/>
      <c r="B206" s="114"/>
      <c r="C206" s="114"/>
    </row>
    <row r="207" spans="1:3" x14ac:dyDescent="0.2">
      <c r="A207" s="114"/>
      <c r="B207" s="114"/>
      <c r="C207" s="114"/>
    </row>
    <row r="208" spans="1:3" x14ac:dyDescent="0.2">
      <c r="A208" s="114"/>
      <c r="B208" s="114"/>
      <c r="C208" s="114"/>
    </row>
    <row r="209" spans="1:3" x14ac:dyDescent="0.2">
      <c r="A209" s="114"/>
      <c r="B209" s="114"/>
      <c r="C209" s="114"/>
    </row>
    <row r="210" spans="1:3" x14ac:dyDescent="0.2">
      <c r="A210" s="114"/>
      <c r="B210" s="114"/>
      <c r="C210" s="114"/>
    </row>
    <row r="211" spans="1:3" x14ac:dyDescent="0.2">
      <c r="A211" s="114"/>
      <c r="B211" s="114"/>
      <c r="C211" s="114"/>
    </row>
    <row r="212" spans="1:3" x14ac:dyDescent="0.2">
      <c r="A212" s="114"/>
      <c r="B212" s="114"/>
      <c r="C212" s="114"/>
    </row>
    <row r="213" spans="1:3" x14ac:dyDescent="0.2">
      <c r="A213" s="114"/>
      <c r="B213" s="114"/>
      <c r="C213" s="114"/>
    </row>
  </sheetData>
  <mergeCells count="1">
    <mergeCell ref="A6:C6"/>
  </mergeCells>
  <phoneticPr fontId="2" type="noConversion"/>
  <printOptions horizontalCentered="1"/>
  <pageMargins left="1.18" right="0.27559055118110237" top="0.78" bottom="0.74803149606299213" header="0.19685039370078741" footer="0.51181102362204722"/>
  <pageSetup paperSize="9" scale="95" orientation="portrait" horizontalDpi="4294967294" verticalDpi="300" r:id="rId1"/>
  <headerFooter alignWithMargins="0">
    <oddFooter>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K198"/>
  <sheetViews>
    <sheetView workbookViewId="0"/>
  </sheetViews>
  <sheetFormatPr defaultColWidth="11.42578125" defaultRowHeight="11.25" x14ac:dyDescent="0.2"/>
  <cols>
    <col min="1" max="1" width="27" style="33" customWidth="1"/>
    <col min="2" max="2" width="9.5703125" style="34" customWidth="1"/>
    <col min="3" max="3" width="3.7109375" style="33" customWidth="1"/>
    <col min="4" max="4" width="10.28515625" style="33" customWidth="1"/>
    <col min="5" max="5" width="5.140625" style="35" customWidth="1"/>
    <col min="6" max="6" width="13.85546875" style="33" customWidth="1"/>
    <col min="7" max="10" width="11.42578125" style="33"/>
    <col min="11" max="11" width="11.42578125" style="34"/>
    <col min="12" max="16384" width="11.42578125" style="33"/>
  </cols>
  <sheetData>
    <row r="1" spans="1:11" s="8" customFormat="1" ht="12.75" x14ac:dyDescent="0.2">
      <c r="A1" s="182" t="s">
        <v>42</v>
      </c>
      <c r="B1"/>
      <c r="C1" s="183"/>
      <c r="D1" s="182"/>
      <c r="E1" s="182"/>
      <c r="F1" s="182"/>
      <c r="G1" s="182"/>
      <c r="H1" s="6"/>
      <c r="I1" s="6"/>
      <c r="J1" s="6"/>
      <c r="K1" s="26"/>
    </row>
    <row r="2" spans="1:11" s="8" customFormat="1" ht="12.75" x14ac:dyDescent="0.2">
      <c r="A2" s="182" t="s">
        <v>43</v>
      </c>
      <c r="B2"/>
      <c r="C2" s="183"/>
      <c r="D2" s="182"/>
      <c r="E2" s="182"/>
      <c r="F2" s="182"/>
      <c r="G2" s="182"/>
      <c r="H2" s="6"/>
      <c r="I2" s="6"/>
      <c r="J2" s="6"/>
      <c r="K2" s="26"/>
    </row>
    <row r="3" spans="1:11" s="8" customFormat="1" ht="12.75" x14ac:dyDescent="0.2">
      <c r="A3" s="182" t="s">
        <v>44</v>
      </c>
      <c r="B3"/>
      <c r="C3" s="183"/>
      <c r="D3" s="182"/>
      <c r="E3" s="182"/>
      <c r="F3" s="182"/>
      <c r="G3" s="182"/>
      <c r="H3" s="6"/>
      <c r="I3" s="6"/>
      <c r="J3" s="6"/>
      <c r="K3" s="26"/>
    </row>
    <row r="4" spans="1:11" s="8" customFormat="1" ht="12.75" x14ac:dyDescent="0.2">
      <c r="A4" s="182" t="s">
        <v>45</v>
      </c>
      <c r="B4"/>
      <c r="C4" s="183"/>
      <c r="D4" s="182"/>
      <c r="E4" s="182"/>
      <c r="F4" s="182"/>
      <c r="G4" s="182"/>
      <c r="H4" s="6"/>
      <c r="I4" s="6"/>
      <c r="J4" s="6"/>
      <c r="K4" s="26"/>
    </row>
    <row r="5" spans="1:11" ht="12" thickBot="1" x14ac:dyDescent="0.25"/>
    <row r="6" spans="1:11" ht="14.25" thickTop="1" thickBot="1" x14ac:dyDescent="0.25">
      <c r="A6" s="343" t="s">
        <v>112</v>
      </c>
      <c r="B6" s="344"/>
      <c r="C6" s="344"/>
      <c r="D6" s="344"/>
      <c r="E6" s="344"/>
      <c r="F6" s="345"/>
    </row>
    <row r="7" spans="1:11" ht="12.75" thickTop="1" x14ac:dyDescent="0.2">
      <c r="A7" s="159" t="s">
        <v>14</v>
      </c>
      <c r="B7" s="160"/>
      <c r="C7" s="161"/>
      <c r="D7" s="161"/>
      <c r="E7" s="162"/>
      <c r="F7" s="163"/>
    </row>
    <row r="8" spans="1:11" ht="12.75" x14ac:dyDescent="0.2">
      <c r="A8" s="347" t="s">
        <v>186</v>
      </c>
      <c r="B8" s="348"/>
      <c r="C8" s="348"/>
      <c r="D8" s="348"/>
      <c r="E8" s="348"/>
      <c r="F8" s="349"/>
    </row>
    <row r="9" spans="1:11" ht="12" x14ac:dyDescent="0.2">
      <c r="A9" s="42" t="s">
        <v>6</v>
      </c>
      <c r="B9" s="38"/>
      <c r="C9" s="43" t="s">
        <v>0</v>
      </c>
      <c r="D9" s="44">
        <f>'Anexo 3 Dif Sal'!H37</f>
        <v>1057.3982056172201</v>
      </c>
      <c r="E9" s="40"/>
      <c r="F9" s="41"/>
    </row>
    <row r="10" spans="1:11" ht="12.75" x14ac:dyDescent="0.2">
      <c r="A10" s="243" t="s">
        <v>226</v>
      </c>
      <c r="B10" s="50"/>
      <c r="C10" s="51"/>
      <c r="D10" s="51"/>
      <c r="E10" s="52" t="s">
        <v>0</v>
      </c>
      <c r="F10" s="53">
        <f>SUM(D9:D9)</f>
        <v>1057.3982056172201</v>
      </c>
      <c r="H10" s="5"/>
      <c r="I10" s="5"/>
      <c r="J10" s="5"/>
    </row>
    <row r="11" spans="1:11" ht="12" x14ac:dyDescent="0.2">
      <c r="A11" s="37"/>
      <c r="B11" s="38"/>
      <c r="C11" s="39"/>
      <c r="D11" s="39"/>
      <c r="E11" s="40"/>
      <c r="F11" s="41"/>
    </row>
    <row r="12" spans="1:11" ht="12" x14ac:dyDescent="0.2">
      <c r="A12" s="37" t="s">
        <v>15</v>
      </c>
      <c r="B12" s="38"/>
      <c r="C12" s="39"/>
      <c r="D12" s="39"/>
      <c r="E12" s="40"/>
      <c r="F12" s="41"/>
    </row>
    <row r="13" spans="1:11" ht="12.75" x14ac:dyDescent="0.2">
      <c r="A13" s="347" t="s">
        <v>99</v>
      </c>
      <c r="B13" s="348"/>
      <c r="C13" s="348"/>
      <c r="D13" s="348"/>
      <c r="E13" s="348"/>
      <c r="F13" s="349"/>
    </row>
    <row r="14" spans="1:11" ht="12" x14ac:dyDescent="0.2">
      <c r="A14" s="42" t="s">
        <v>6</v>
      </c>
      <c r="B14" s="38"/>
      <c r="C14" s="43" t="s">
        <v>0</v>
      </c>
      <c r="D14" s="44">
        <f>'Anexo 4 HE'!U81</f>
        <v>23429.349044749131</v>
      </c>
      <c r="E14" s="40"/>
      <c r="F14" s="41"/>
    </row>
    <row r="15" spans="1:11" ht="12" x14ac:dyDescent="0.2">
      <c r="A15" s="45" t="s">
        <v>7</v>
      </c>
      <c r="B15" s="46"/>
      <c r="C15" s="157" t="s">
        <v>0</v>
      </c>
      <c r="D15" s="158">
        <f>'Anexo 4 HE'!V81</f>
        <v>2628.580060450965</v>
      </c>
      <c r="E15" s="47"/>
      <c r="F15" s="48"/>
    </row>
    <row r="16" spans="1:11" ht="12" x14ac:dyDescent="0.2">
      <c r="A16" s="74" t="s">
        <v>226</v>
      </c>
      <c r="B16" s="38"/>
      <c r="C16" s="39"/>
      <c r="D16" s="39"/>
      <c r="E16" s="40" t="s">
        <v>0</v>
      </c>
      <c r="F16" s="49">
        <f>SUM(D14:D15)</f>
        <v>26057.929105200095</v>
      </c>
    </row>
    <row r="17" spans="1:11" ht="12" x14ac:dyDescent="0.2">
      <c r="A17" s="74"/>
      <c r="B17" s="38"/>
      <c r="C17" s="39"/>
      <c r="D17" s="39"/>
      <c r="E17" s="40"/>
      <c r="F17" s="49"/>
    </row>
    <row r="18" spans="1:11" ht="12" x14ac:dyDescent="0.2">
      <c r="A18" s="37" t="s">
        <v>98</v>
      </c>
      <c r="B18" s="38"/>
      <c r="C18" s="39"/>
      <c r="D18" s="39"/>
      <c r="E18" s="40"/>
      <c r="F18" s="41"/>
    </row>
    <row r="19" spans="1:11" ht="12.75" x14ac:dyDescent="0.2">
      <c r="A19" s="347" t="s">
        <v>208</v>
      </c>
      <c r="B19" s="348"/>
      <c r="C19" s="348"/>
      <c r="D19" s="348"/>
      <c r="E19" s="348"/>
      <c r="F19" s="349"/>
    </row>
    <row r="20" spans="1:11" ht="12" x14ac:dyDescent="0.2">
      <c r="A20" s="42" t="s">
        <v>6</v>
      </c>
      <c r="B20" s="38"/>
      <c r="C20" s="43" t="s">
        <v>0</v>
      </c>
      <c r="D20" s="44">
        <f>'Anexo 5 Tiquete'!F35</f>
        <v>3234.533265082207</v>
      </c>
      <c r="E20" s="40"/>
      <c r="F20" s="41"/>
    </row>
    <row r="21" spans="1:11" ht="12.75" x14ac:dyDescent="0.2">
      <c r="A21" s="243" t="s">
        <v>226</v>
      </c>
      <c r="B21" s="50"/>
      <c r="C21" s="51"/>
      <c r="D21" s="51"/>
      <c r="E21" s="52" t="s">
        <v>0</v>
      </c>
      <c r="F21" s="53">
        <f>SUM(D20:D20)</f>
        <v>3234.533265082207</v>
      </c>
      <c r="H21" s="5"/>
      <c r="I21" s="5"/>
      <c r="J21" s="5"/>
    </row>
    <row r="22" spans="1:11" ht="12" x14ac:dyDescent="0.2">
      <c r="A22" s="74"/>
      <c r="B22" s="38"/>
      <c r="C22" s="39"/>
      <c r="D22" s="39"/>
      <c r="E22" s="40"/>
      <c r="F22" s="49"/>
    </row>
    <row r="23" spans="1:11" ht="12" x14ac:dyDescent="0.2">
      <c r="A23" s="242" t="s">
        <v>167</v>
      </c>
      <c r="B23" s="38"/>
      <c r="C23" s="39"/>
      <c r="D23" s="39"/>
      <c r="E23" s="40"/>
      <c r="F23" s="49"/>
    </row>
    <row r="24" spans="1:11" ht="12" x14ac:dyDescent="0.2">
      <c r="A24" s="339" t="s">
        <v>214</v>
      </c>
      <c r="B24" s="340"/>
      <c r="C24" s="43" t="s">
        <v>0</v>
      </c>
      <c r="D24" s="44">
        <f>Outros!M5</f>
        <v>10014.155316004577</v>
      </c>
      <c r="E24" s="40"/>
      <c r="F24" s="49"/>
    </row>
    <row r="25" spans="1:11" ht="12" x14ac:dyDescent="0.2">
      <c r="A25" s="350" t="s">
        <v>213</v>
      </c>
      <c r="B25" s="351"/>
      <c r="C25" s="43" t="s">
        <v>0</v>
      </c>
      <c r="D25" s="158">
        <f>Outros!G5</f>
        <v>2230.4658419229913</v>
      </c>
      <c r="E25" s="302"/>
      <c r="F25" s="244"/>
    </row>
    <row r="26" spans="1:11" ht="12.75" x14ac:dyDescent="0.2">
      <c r="A26" s="243" t="s">
        <v>226</v>
      </c>
      <c r="B26" s="50"/>
      <c r="C26" s="51"/>
      <c r="D26" s="51"/>
      <c r="E26" s="52" t="s">
        <v>0</v>
      </c>
      <c r="F26" s="53">
        <f>SUM(D24:D25)</f>
        <v>12244.621157927568</v>
      </c>
      <c r="H26" s="5"/>
      <c r="I26" s="5"/>
      <c r="J26" s="5"/>
    </row>
    <row r="27" spans="1:11" ht="12.75" customHeight="1" x14ac:dyDescent="0.2">
      <c r="A27" s="42"/>
      <c r="B27" s="38"/>
      <c r="C27" s="39"/>
      <c r="D27" s="39"/>
      <c r="E27" s="40"/>
      <c r="F27" s="49"/>
    </row>
    <row r="28" spans="1:11" ht="12.75" x14ac:dyDescent="0.2">
      <c r="A28" s="219" t="s">
        <v>227</v>
      </c>
      <c r="B28" s="50"/>
      <c r="C28" s="51"/>
      <c r="D28" s="51"/>
      <c r="E28" s="52" t="s">
        <v>0</v>
      </c>
      <c r="F28" s="53">
        <f>SUM(F10:F26)</f>
        <v>42594.481733827088</v>
      </c>
      <c r="H28"/>
      <c r="I28"/>
      <c r="J28"/>
      <c r="K28"/>
    </row>
    <row r="29" spans="1:11" ht="12.75" x14ac:dyDescent="0.2">
      <c r="A29" s="42"/>
      <c r="B29" s="38"/>
      <c r="C29" s="39"/>
      <c r="D29" s="39"/>
      <c r="E29" s="40"/>
      <c r="F29" s="49"/>
      <c r="H29"/>
      <c r="I29"/>
      <c r="J29"/>
      <c r="K29"/>
    </row>
    <row r="30" spans="1:11" s="54" customFormat="1" ht="12.75" x14ac:dyDescent="0.2">
      <c r="A30" s="42" t="s">
        <v>49</v>
      </c>
      <c r="B30" s="39"/>
      <c r="C30" s="39"/>
      <c r="D30" s="38">
        <f>'Anexo 7 IRRF'!O22</f>
        <v>0.17599999999999999</v>
      </c>
      <c r="E30" s="43" t="s">
        <v>0</v>
      </c>
      <c r="F30" s="49">
        <f>F28*D30</f>
        <v>7496.6287851535672</v>
      </c>
      <c r="H30"/>
      <c r="I30"/>
      <c r="J30"/>
      <c r="K30"/>
    </row>
    <row r="31" spans="1:11" s="54" customFormat="1" ht="12.75" customHeight="1" x14ac:dyDescent="0.2">
      <c r="A31" s="339" t="s">
        <v>228</v>
      </c>
      <c r="B31" s="346"/>
      <c r="C31" s="346"/>
      <c r="D31" s="346"/>
      <c r="E31" s="43"/>
      <c r="F31" s="41"/>
      <c r="H31"/>
      <c r="I31"/>
      <c r="J31"/>
      <c r="K31"/>
    </row>
    <row r="32" spans="1:11" ht="13.5" thickBot="1" x14ac:dyDescent="0.25">
      <c r="A32" s="164"/>
      <c r="B32" s="165"/>
      <c r="C32" s="166"/>
      <c r="D32" s="166"/>
      <c r="E32" s="167"/>
      <c r="F32" s="168"/>
      <c r="H32"/>
      <c r="I32"/>
      <c r="J32"/>
      <c r="K32"/>
    </row>
    <row r="33" spans="1:11" s="58" customFormat="1" ht="20.100000000000001" customHeight="1" thickTop="1" thickBot="1" x14ac:dyDescent="0.25">
      <c r="A33" s="341" t="s">
        <v>229</v>
      </c>
      <c r="B33" s="342"/>
      <c r="C33" s="55"/>
      <c r="D33" s="55"/>
      <c r="E33" s="56" t="s">
        <v>0</v>
      </c>
      <c r="F33" s="57">
        <f>F28+F30</f>
        <v>50091.110518980655</v>
      </c>
      <c r="H33"/>
      <c r="I33"/>
      <c r="J33"/>
      <c r="K33"/>
    </row>
    <row r="34" spans="1:11" ht="12.75" thickTop="1" x14ac:dyDescent="0.2">
      <c r="A34" s="42"/>
      <c r="B34" s="59"/>
      <c r="C34" s="39"/>
      <c r="D34" s="303"/>
      <c r="E34" s="40"/>
      <c r="F34" s="61"/>
      <c r="I34" s="62"/>
    </row>
    <row r="35" spans="1:11" ht="12" x14ac:dyDescent="0.2">
      <c r="A35" s="63" t="s">
        <v>21</v>
      </c>
      <c r="B35" s="64"/>
      <c r="C35" s="39"/>
      <c r="D35" s="39"/>
      <c r="E35" s="40" t="s">
        <v>0</v>
      </c>
      <c r="F35" s="65">
        <v>4067.95</v>
      </c>
    </row>
    <row r="36" spans="1:11" ht="12" x14ac:dyDescent="0.2">
      <c r="A36" s="63"/>
      <c r="B36" s="64"/>
      <c r="C36" s="39"/>
      <c r="D36" s="39"/>
      <c r="E36" s="40"/>
      <c r="F36" s="61"/>
    </row>
    <row r="37" spans="1:11" ht="11.25" customHeight="1" x14ac:dyDescent="0.2">
      <c r="A37" s="63" t="s">
        <v>24</v>
      </c>
      <c r="B37" s="64"/>
      <c r="C37" s="39"/>
      <c r="D37" s="39"/>
      <c r="E37" s="40" t="s">
        <v>0</v>
      </c>
      <c r="F37" s="65">
        <v>0</v>
      </c>
    </row>
    <row r="38" spans="1:11" ht="12.75" thickBot="1" x14ac:dyDescent="0.25">
      <c r="A38" s="42"/>
      <c r="B38" s="38"/>
      <c r="C38" s="39"/>
      <c r="D38" s="39"/>
      <c r="E38" s="40"/>
      <c r="F38" s="41"/>
    </row>
    <row r="39" spans="1:11" s="66" customFormat="1" ht="20.100000000000001" customHeight="1" thickTop="1" thickBot="1" x14ac:dyDescent="0.25">
      <c r="A39" s="341" t="s">
        <v>230</v>
      </c>
      <c r="B39" s="342"/>
      <c r="C39" s="55"/>
      <c r="D39" s="55"/>
      <c r="E39" s="56" t="s">
        <v>0</v>
      </c>
      <c r="F39" s="57">
        <f>F33-F35-F37</f>
        <v>46023.160518980658</v>
      </c>
      <c r="K39" s="67"/>
    </row>
    <row r="40" spans="1:11" ht="15.75" customHeight="1" thickTop="1" thickBot="1" x14ac:dyDescent="0.25">
      <c r="A40" s="54"/>
      <c r="B40" s="68"/>
      <c r="C40" s="54"/>
      <c r="D40" s="54"/>
      <c r="E40" s="69"/>
      <c r="F40" s="54"/>
    </row>
    <row r="41" spans="1:11" ht="13.5" customHeight="1" thickTop="1" thickBot="1" x14ac:dyDescent="0.25">
      <c r="A41" s="1" t="s">
        <v>8</v>
      </c>
      <c r="B41" s="2"/>
      <c r="C41" s="3"/>
      <c r="D41" s="3"/>
      <c r="E41" s="3"/>
      <c r="F41" s="4"/>
    </row>
    <row r="42" spans="1:11" ht="12.75" customHeight="1" thickTop="1" x14ac:dyDescent="0.2">
      <c r="A42" s="74" t="s">
        <v>22</v>
      </c>
      <c r="B42" s="70"/>
      <c r="C42" s="71"/>
      <c r="D42" s="71"/>
      <c r="E42" s="72" t="str">
        <f>E37</f>
        <v>R$</v>
      </c>
      <c r="F42" s="65">
        <f>F35</f>
        <v>4067.95</v>
      </c>
    </row>
    <row r="43" spans="1:11" s="215" customFormat="1" ht="12" x14ac:dyDescent="0.2">
      <c r="A43" s="339" t="s">
        <v>168</v>
      </c>
      <c r="B43" s="340"/>
      <c r="C43" s="340"/>
      <c r="D43" s="316">
        <v>0.21</v>
      </c>
      <c r="E43" s="217" t="str">
        <f>E42</f>
        <v>R$</v>
      </c>
      <c r="F43" s="323">
        <v>6729</v>
      </c>
      <c r="K43" s="216"/>
    </row>
    <row r="44" spans="1:11" ht="12.75" customHeight="1" thickBot="1" x14ac:dyDescent="0.25">
      <c r="A44" s="74"/>
      <c r="B44" s="70"/>
      <c r="C44" s="71"/>
      <c r="D44" s="75"/>
      <c r="E44" s="72"/>
      <c r="F44" s="73"/>
    </row>
    <row r="45" spans="1:11" s="81" customFormat="1" ht="18" customHeight="1" thickTop="1" thickBot="1" x14ac:dyDescent="0.25">
      <c r="A45" s="76" t="s">
        <v>9</v>
      </c>
      <c r="B45" s="77"/>
      <c r="C45" s="78"/>
      <c r="D45" s="78"/>
      <c r="E45" s="79" t="str">
        <f>E43</f>
        <v>R$</v>
      </c>
      <c r="F45" s="80">
        <f>SUM(F42:F43)</f>
        <v>10796.95</v>
      </c>
      <c r="K45" s="82"/>
    </row>
    <row r="46" spans="1:11" ht="13.5" thickTop="1" thickBot="1" x14ac:dyDescent="0.25">
      <c r="A46" s="54"/>
      <c r="B46" s="68"/>
      <c r="C46" s="54"/>
      <c r="D46" s="54"/>
      <c r="E46" s="69"/>
      <c r="F46" s="54"/>
    </row>
    <row r="47" spans="1:11" ht="13.5" thickTop="1" thickBot="1" x14ac:dyDescent="0.25">
      <c r="A47" s="1" t="s">
        <v>10</v>
      </c>
      <c r="B47" s="2"/>
      <c r="C47" s="3"/>
      <c r="D47" s="3"/>
      <c r="E47" s="3"/>
      <c r="F47" s="4"/>
    </row>
    <row r="48" spans="1:11" ht="12.75" thickTop="1" x14ac:dyDescent="0.2">
      <c r="A48" s="37"/>
      <c r="B48" s="70"/>
      <c r="C48" s="71"/>
      <c r="D48" s="71"/>
      <c r="E48" s="72"/>
      <c r="F48" s="73"/>
    </row>
    <row r="49" spans="1:11" ht="12" x14ac:dyDescent="0.2">
      <c r="A49" s="37" t="s">
        <v>11</v>
      </c>
      <c r="B49" s="70"/>
      <c r="C49" s="71"/>
      <c r="D49" s="71"/>
      <c r="E49" s="72" t="str">
        <f>E42</f>
        <v>R$</v>
      </c>
      <c r="F49" s="73">
        <f>'Plan Aux IR'!G20</f>
        <v>20998.094846144304</v>
      </c>
    </row>
    <row r="50" spans="1:11" ht="12.75" thickBot="1" x14ac:dyDescent="0.25">
      <c r="A50" s="37"/>
      <c r="B50" s="70"/>
      <c r="C50" s="71"/>
      <c r="D50" s="71"/>
      <c r="E50" s="72"/>
      <c r="F50" s="73"/>
    </row>
    <row r="51" spans="1:11" s="81" customFormat="1" ht="17.25" customHeight="1" thickTop="1" thickBot="1" x14ac:dyDescent="0.25">
      <c r="A51" s="76" t="s">
        <v>12</v>
      </c>
      <c r="B51" s="77"/>
      <c r="C51" s="78"/>
      <c r="D51" s="78"/>
      <c r="E51" s="79" t="str">
        <f>E45</f>
        <v>R$</v>
      </c>
      <c r="F51" s="80">
        <f>F37</f>
        <v>0</v>
      </c>
      <c r="K51" s="82"/>
    </row>
    <row r="52" spans="1:11" ht="12.75" thickTop="1" x14ac:dyDescent="0.2">
      <c r="A52" s="60"/>
      <c r="B52" s="83"/>
      <c r="C52" s="60"/>
      <c r="D52" s="60"/>
      <c r="E52" s="84"/>
      <c r="F52" s="60"/>
    </row>
    <row r="53" spans="1:11" ht="12" x14ac:dyDescent="0.2">
      <c r="A53" s="85"/>
      <c r="B53" s="86"/>
      <c r="C53" s="85"/>
      <c r="D53" s="87"/>
      <c r="E53" s="60"/>
      <c r="F53" s="60"/>
    </row>
    <row r="54" spans="1:11" ht="12" x14ac:dyDescent="0.2">
      <c r="A54" s="85"/>
      <c r="B54" s="86"/>
      <c r="C54" s="85"/>
      <c r="D54" s="85"/>
      <c r="E54" s="88"/>
      <c r="F54" s="60"/>
    </row>
    <row r="55" spans="1:11" ht="12" x14ac:dyDescent="0.2">
      <c r="A55" s="85"/>
      <c r="B55" s="86"/>
      <c r="C55" s="85"/>
      <c r="D55" s="85"/>
      <c r="E55" s="85"/>
      <c r="F55" s="60"/>
    </row>
    <row r="56" spans="1:11" ht="12" x14ac:dyDescent="0.2">
      <c r="A56" s="86"/>
      <c r="B56" s="86"/>
      <c r="C56" s="85"/>
      <c r="D56" s="89"/>
      <c r="E56" s="85"/>
      <c r="F56" s="60"/>
    </row>
    <row r="57" spans="1:11" s="9" customFormat="1" ht="12" x14ac:dyDescent="0.2">
      <c r="A57" s="90"/>
      <c r="B57" s="91"/>
      <c r="C57" s="90"/>
      <c r="D57" s="90"/>
      <c r="E57" s="92"/>
      <c r="F57" s="90"/>
      <c r="K57" s="93"/>
    </row>
    <row r="58" spans="1:11" s="9" customFormat="1" ht="12" x14ac:dyDescent="0.2">
      <c r="A58" s="90"/>
      <c r="B58" s="91"/>
      <c r="C58" s="90"/>
      <c r="D58" s="90"/>
      <c r="E58" s="92"/>
      <c r="F58" s="90"/>
      <c r="K58" s="93"/>
    </row>
    <row r="59" spans="1:11" s="9" customFormat="1" ht="12" x14ac:dyDescent="0.2">
      <c r="A59" s="90"/>
      <c r="B59" s="91"/>
      <c r="C59" s="90"/>
      <c r="D59" s="90"/>
      <c r="E59" s="92"/>
      <c r="F59" s="90"/>
      <c r="K59" s="93"/>
    </row>
    <row r="60" spans="1:11" s="9" customFormat="1" ht="12" x14ac:dyDescent="0.2">
      <c r="A60" s="90"/>
      <c r="B60" s="91"/>
      <c r="C60" s="90"/>
      <c r="D60" s="90"/>
      <c r="E60" s="92"/>
      <c r="F60" s="90"/>
      <c r="K60" s="93"/>
    </row>
    <row r="61" spans="1:11" s="9" customFormat="1" ht="12" x14ac:dyDescent="0.2">
      <c r="A61" s="90"/>
      <c r="B61" s="91"/>
      <c r="C61" s="90"/>
      <c r="D61" s="90"/>
      <c r="E61" s="92"/>
      <c r="F61" s="90"/>
      <c r="K61" s="93"/>
    </row>
    <row r="62" spans="1:11" s="9" customFormat="1" ht="12" x14ac:dyDescent="0.2">
      <c r="A62" s="90"/>
      <c r="B62" s="91"/>
      <c r="C62" s="90"/>
      <c r="D62" s="90"/>
      <c r="E62" s="92"/>
      <c r="F62" s="90"/>
      <c r="K62" s="93"/>
    </row>
    <row r="63" spans="1:11" s="9" customFormat="1" ht="12" x14ac:dyDescent="0.2">
      <c r="A63" s="90"/>
      <c r="B63" s="91"/>
      <c r="C63" s="90"/>
      <c r="D63" s="90"/>
      <c r="E63" s="92"/>
      <c r="F63" s="90"/>
      <c r="K63" s="93"/>
    </row>
    <row r="64" spans="1:11" s="9" customFormat="1" ht="12" x14ac:dyDescent="0.2">
      <c r="A64" s="90"/>
      <c r="B64" s="91"/>
      <c r="C64" s="90"/>
      <c r="D64" s="90"/>
      <c r="E64" s="92"/>
      <c r="F64" s="90"/>
      <c r="K64" s="93"/>
    </row>
    <row r="65" spans="1:6" ht="12" x14ac:dyDescent="0.2">
      <c r="A65" s="60"/>
      <c r="B65" s="83"/>
      <c r="C65" s="60"/>
      <c r="D65" s="60"/>
      <c r="E65" s="84"/>
      <c r="F65" s="60"/>
    </row>
    <row r="66" spans="1:6" ht="12" x14ac:dyDescent="0.2">
      <c r="A66" s="60"/>
      <c r="B66" s="83"/>
      <c r="C66" s="60"/>
      <c r="D66" s="60"/>
      <c r="E66" s="84"/>
      <c r="F66" s="60"/>
    </row>
    <row r="67" spans="1:6" ht="12" x14ac:dyDescent="0.2">
      <c r="A67" s="60"/>
      <c r="B67" s="83"/>
      <c r="C67" s="60"/>
      <c r="D67" s="60"/>
      <c r="E67" s="84"/>
      <c r="F67" s="60"/>
    </row>
    <row r="68" spans="1:6" ht="12" x14ac:dyDescent="0.2">
      <c r="A68" s="60"/>
      <c r="B68" s="83"/>
      <c r="C68" s="60"/>
      <c r="D68" s="60"/>
      <c r="E68" s="84"/>
      <c r="F68" s="60"/>
    </row>
    <row r="69" spans="1:6" ht="12" x14ac:dyDescent="0.2">
      <c r="A69" s="60"/>
      <c r="B69" s="83"/>
      <c r="C69" s="60"/>
      <c r="D69" s="60"/>
      <c r="E69" s="84"/>
      <c r="F69" s="60"/>
    </row>
    <row r="70" spans="1:6" ht="12" x14ac:dyDescent="0.2">
      <c r="A70" s="60"/>
      <c r="B70" s="83"/>
      <c r="C70" s="60"/>
      <c r="D70" s="60"/>
      <c r="E70" s="84"/>
      <c r="F70" s="60"/>
    </row>
    <row r="71" spans="1:6" ht="12" x14ac:dyDescent="0.2">
      <c r="A71" s="60"/>
      <c r="B71" s="83"/>
      <c r="C71" s="60"/>
      <c r="D71" s="60"/>
      <c r="E71" s="84"/>
      <c r="F71" s="60"/>
    </row>
    <row r="72" spans="1:6" ht="12" x14ac:dyDescent="0.2">
      <c r="A72" s="60"/>
      <c r="B72" s="83"/>
      <c r="C72" s="60"/>
      <c r="D72" s="60"/>
      <c r="E72" s="84"/>
      <c r="F72" s="60"/>
    </row>
    <row r="73" spans="1:6" ht="12" x14ac:dyDescent="0.2">
      <c r="A73" s="60"/>
      <c r="B73" s="83"/>
      <c r="C73" s="60"/>
      <c r="D73" s="60"/>
      <c r="E73" s="84"/>
      <c r="F73" s="60"/>
    </row>
    <row r="74" spans="1:6" ht="12" x14ac:dyDescent="0.2">
      <c r="A74" s="60"/>
      <c r="B74" s="83"/>
      <c r="C74" s="60"/>
      <c r="D74" s="60"/>
      <c r="E74" s="84"/>
      <c r="F74" s="60"/>
    </row>
    <row r="75" spans="1:6" ht="12" x14ac:dyDescent="0.2">
      <c r="A75" s="60"/>
      <c r="B75" s="83"/>
      <c r="C75" s="60"/>
      <c r="D75" s="60"/>
      <c r="E75" s="84"/>
      <c r="F75" s="60"/>
    </row>
    <row r="76" spans="1:6" ht="12" x14ac:dyDescent="0.2">
      <c r="A76" s="60"/>
      <c r="B76" s="83"/>
      <c r="C76" s="60"/>
      <c r="D76" s="60"/>
      <c r="E76" s="84"/>
      <c r="F76" s="60"/>
    </row>
    <row r="77" spans="1:6" ht="12" x14ac:dyDescent="0.2">
      <c r="A77" s="60"/>
      <c r="B77" s="83"/>
      <c r="C77" s="60"/>
      <c r="D77" s="60"/>
      <c r="E77" s="84"/>
      <c r="F77" s="60"/>
    </row>
    <row r="78" spans="1:6" ht="12" x14ac:dyDescent="0.2">
      <c r="A78" s="60"/>
      <c r="B78" s="83"/>
      <c r="C78" s="60"/>
      <c r="D78" s="60"/>
      <c r="E78" s="84"/>
      <c r="F78" s="60"/>
    </row>
    <row r="79" spans="1:6" ht="12" x14ac:dyDescent="0.2">
      <c r="A79" s="60"/>
      <c r="B79" s="83"/>
      <c r="C79" s="60"/>
      <c r="D79" s="60"/>
      <c r="E79" s="84"/>
      <c r="F79" s="60"/>
    </row>
    <row r="80" spans="1:6" ht="12" x14ac:dyDescent="0.2">
      <c r="A80" s="60"/>
      <c r="B80" s="83"/>
      <c r="C80" s="60"/>
      <c r="D80" s="60"/>
      <c r="E80" s="84"/>
      <c r="F80" s="60"/>
    </row>
    <row r="81" spans="1:6" ht="12" x14ac:dyDescent="0.2">
      <c r="A81" s="60"/>
      <c r="B81" s="83"/>
      <c r="C81" s="60"/>
      <c r="D81" s="60"/>
      <c r="E81" s="84"/>
      <c r="F81" s="60"/>
    </row>
    <row r="82" spans="1:6" ht="12" x14ac:dyDescent="0.2">
      <c r="A82" s="60"/>
      <c r="B82" s="83"/>
      <c r="C82" s="60"/>
      <c r="D82" s="60"/>
      <c r="E82" s="84"/>
      <c r="F82" s="60"/>
    </row>
    <row r="83" spans="1:6" ht="12" x14ac:dyDescent="0.2">
      <c r="A83" s="60"/>
      <c r="B83" s="83"/>
      <c r="C83" s="60"/>
      <c r="D83" s="60"/>
      <c r="E83" s="84"/>
      <c r="F83" s="60"/>
    </row>
    <row r="84" spans="1:6" ht="12" x14ac:dyDescent="0.2">
      <c r="A84" s="60"/>
      <c r="B84" s="83"/>
      <c r="C84" s="60"/>
      <c r="D84" s="60"/>
      <c r="E84" s="84"/>
      <c r="F84" s="60"/>
    </row>
    <row r="85" spans="1:6" ht="12" x14ac:dyDescent="0.2">
      <c r="A85" s="60"/>
      <c r="B85" s="83"/>
      <c r="C85" s="60"/>
      <c r="D85" s="60"/>
      <c r="E85" s="84"/>
      <c r="F85" s="60"/>
    </row>
    <row r="86" spans="1:6" ht="12" x14ac:dyDescent="0.2">
      <c r="A86" s="60"/>
      <c r="B86" s="83"/>
      <c r="C86" s="60"/>
      <c r="D86" s="60"/>
      <c r="E86" s="84"/>
      <c r="F86" s="60"/>
    </row>
    <row r="87" spans="1:6" ht="12" x14ac:dyDescent="0.2">
      <c r="A87" s="60"/>
      <c r="B87" s="83"/>
      <c r="C87" s="60"/>
      <c r="D87" s="60"/>
      <c r="E87" s="84"/>
      <c r="F87" s="60"/>
    </row>
    <row r="88" spans="1:6" ht="12" x14ac:dyDescent="0.2">
      <c r="A88" s="60"/>
      <c r="B88" s="83"/>
      <c r="C88" s="60"/>
      <c r="D88" s="60"/>
      <c r="E88" s="84"/>
      <c r="F88" s="60"/>
    </row>
    <row r="89" spans="1:6" ht="12" x14ac:dyDescent="0.2">
      <c r="A89" s="60"/>
      <c r="B89" s="83"/>
      <c r="C89" s="60"/>
      <c r="D89" s="60"/>
      <c r="E89" s="84"/>
      <c r="F89" s="60"/>
    </row>
    <row r="90" spans="1:6" ht="12" x14ac:dyDescent="0.2">
      <c r="A90" s="60"/>
      <c r="B90" s="83"/>
      <c r="C90" s="60"/>
      <c r="D90" s="60"/>
      <c r="E90" s="84"/>
      <c r="F90" s="60"/>
    </row>
    <row r="91" spans="1:6" ht="12" x14ac:dyDescent="0.2">
      <c r="A91" s="60"/>
      <c r="B91" s="83"/>
      <c r="C91" s="60"/>
      <c r="D91" s="60"/>
      <c r="E91" s="84"/>
      <c r="F91" s="60"/>
    </row>
    <row r="92" spans="1:6" ht="12" x14ac:dyDescent="0.2">
      <c r="A92" s="60"/>
      <c r="B92" s="83"/>
      <c r="C92" s="60"/>
      <c r="D92" s="60"/>
      <c r="E92" s="84"/>
      <c r="F92" s="60"/>
    </row>
    <row r="93" spans="1:6" ht="12" x14ac:dyDescent="0.2">
      <c r="A93" s="60"/>
      <c r="B93" s="83"/>
      <c r="C93" s="60"/>
      <c r="D93" s="60"/>
      <c r="E93" s="84"/>
      <c r="F93" s="60"/>
    </row>
    <row r="94" spans="1:6" ht="12" x14ac:dyDescent="0.2">
      <c r="A94" s="60"/>
      <c r="B94" s="83"/>
      <c r="C94" s="60"/>
      <c r="D94" s="60"/>
      <c r="E94" s="84"/>
      <c r="F94" s="60"/>
    </row>
    <row r="95" spans="1:6" ht="12" x14ac:dyDescent="0.2">
      <c r="A95" s="60"/>
      <c r="B95" s="83"/>
      <c r="C95" s="60"/>
      <c r="D95" s="60"/>
      <c r="E95" s="84"/>
      <c r="F95" s="60"/>
    </row>
    <row r="96" spans="1:6" ht="12" x14ac:dyDescent="0.2">
      <c r="A96" s="60"/>
      <c r="B96" s="83"/>
      <c r="C96" s="60"/>
      <c r="D96" s="60"/>
      <c r="E96" s="84"/>
      <c r="F96" s="60"/>
    </row>
    <row r="97" spans="1:6" ht="12" x14ac:dyDescent="0.2">
      <c r="A97" s="60"/>
      <c r="B97" s="83"/>
      <c r="C97" s="60"/>
      <c r="D97" s="60"/>
      <c r="E97" s="84"/>
      <c r="F97" s="60"/>
    </row>
    <row r="98" spans="1:6" ht="12" x14ac:dyDescent="0.2">
      <c r="A98" s="60"/>
      <c r="B98" s="83"/>
      <c r="C98" s="60"/>
      <c r="D98" s="60"/>
      <c r="E98" s="84"/>
      <c r="F98" s="60"/>
    </row>
    <row r="99" spans="1:6" ht="12" x14ac:dyDescent="0.2">
      <c r="A99" s="60"/>
      <c r="B99" s="83"/>
      <c r="C99" s="60"/>
      <c r="D99" s="60"/>
      <c r="E99" s="84"/>
      <c r="F99" s="60"/>
    </row>
    <row r="100" spans="1:6" ht="12" x14ac:dyDescent="0.2">
      <c r="A100" s="60"/>
      <c r="B100" s="83"/>
      <c r="C100" s="60"/>
      <c r="D100" s="60"/>
      <c r="E100" s="84"/>
      <c r="F100" s="60"/>
    </row>
    <row r="101" spans="1:6" ht="12" x14ac:dyDescent="0.2">
      <c r="A101" s="60"/>
      <c r="B101" s="83"/>
      <c r="C101" s="60"/>
      <c r="D101" s="60"/>
      <c r="E101" s="84"/>
      <c r="F101" s="60"/>
    </row>
    <row r="102" spans="1:6" ht="12" x14ac:dyDescent="0.2">
      <c r="A102" s="60"/>
      <c r="B102" s="83"/>
      <c r="C102" s="60"/>
      <c r="D102" s="60"/>
      <c r="E102" s="84"/>
      <c r="F102" s="60"/>
    </row>
    <row r="103" spans="1:6" ht="12" x14ac:dyDescent="0.2">
      <c r="A103" s="60"/>
      <c r="B103" s="83"/>
      <c r="C103" s="60"/>
      <c r="D103" s="60"/>
      <c r="E103" s="84"/>
      <c r="F103" s="60"/>
    </row>
    <row r="104" spans="1:6" ht="12" x14ac:dyDescent="0.2">
      <c r="A104" s="60"/>
      <c r="B104" s="83"/>
      <c r="C104" s="60"/>
      <c r="D104" s="60"/>
      <c r="E104" s="84"/>
      <c r="F104" s="60"/>
    </row>
    <row r="105" spans="1:6" ht="12" x14ac:dyDescent="0.2">
      <c r="A105" s="60"/>
      <c r="B105" s="83"/>
      <c r="C105" s="60"/>
      <c r="D105" s="60"/>
      <c r="E105" s="84"/>
      <c r="F105" s="60"/>
    </row>
    <row r="106" spans="1:6" ht="12" x14ac:dyDescent="0.2">
      <c r="A106" s="60"/>
      <c r="B106" s="83"/>
      <c r="C106" s="60"/>
      <c r="D106" s="60"/>
      <c r="E106" s="84"/>
      <c r="F106" s="60"/>
    </row>
    <row r="107" spans="1:6" ht="12" x14ac:dyDescent="0.2">
      <c r="A107" s="60"/>
      <c r="B107" s="83"/>
      <c r="C107" s="60"/>
      <c r="D107" s="60"/>
      <c r="E107" s="84"/>
      <c r="F107" s="60"/>
    </row>
    <row r="108" spans="1:6" ht="12" x14ac:dyDescent="0.2">
      <c r="A108" s="60"/>
      <c r="B108" s="83"/>
      <c r="C108" s="60"/>
      <c r="D108" s="60"/>
      <c r="E108" s="84"/>
      <c r="F108" s="60"/>
    </row>
    <row r="109" spans="1:6" ht="12" x14ac:dyDescent="0.2">
      <c r="A109" s="60"/>
      <c r="B109" s="83"/>
      <c r="C109" s="60"/>
      <c r="D109" s="60"/>
      <c r="E109" s="84"/>
      <c r="F109" s="60"/>
    </row>
    <row r="110" spans="1:6" ht="12" x14ac:dyDescent="0.2">
      <c r="A110" s="60"/>
      <c r="B110" s="83"/>
      <c r="C110" s="60"/>
      <c r="D110" s="60"/>
      <c r="E110" s="84"/>
      <c r="F110" s="60"/>
    </row>
    <row r="111" spans="1:6" ht="12" x14ac:dyDescent="0.2">
      <c r="A111" s="60"/>
      <c r="B111" s="83"/>
      <c r="C111" s="60"/>
      <c r="D111" s="60"/>
      <c r="E111" s="84"/>
      <c r="F111" s="60"/>
    </row>
    <row r="112" spans="1:6" ht="12" x14ac:dyDescent="0.2">
      <c r="A112" s="60"/>
      <c r="B112" s="83"/>
      <c r="C112" s="60"/>
      <c r="D112" s="60"/>
      <c r="E112" s="84"/>
      <c r="F112" s="60"/>
    </row>
    <row r="113" spans="1:6" ht="12" x14ac:dyDescent="0.2">
      <c r="A113" s="60"/>
      <c r="B113" s="83"/>
      <c r="C113" s="60"/>
      <c r="D113" s="60"/>
      <c r="E113" s="84"/>
      <c r="F113" s="60"/>
    </row>
    <row r="114" spans="1:6" ht="12" x14ac:dyDescent="0.2">
      <c r="A114" s="60"/>
      <c r="B114" s="83"/>
      <c r="C114" s="60"/>
      <c r="D114" s="60"/>
      <c r="E114" s="84"/>
      <c r="F114" s="60"/>
    </row>
    <row r="115" spans="1:6" ht="12" x14ac:dyDescent="0.2">
      <c r="A115" s="60"/>
      <c r="B115" s="83"/>
      <c r="C115" s="60"/>
      <c r="D115" s="60"/>
      <c r="E115" s="84"/>
      <c r="F115" s="60"/>
    </row>
    <row r="116" spans="1:6" ht="12" x14ac:dyDescent="0.2">
      <c r="A116" s="60"/>
      <c r="B116" s="83"/>
      <c r="C116" s="60"/>
      <c r="D116" s="60"/>
      <c r="E116" s="84"/>
      <c r="F116" s="60"/>
    </row>
    <row r="117" spans="1:6" ht="12" x14ac:dyDescent="0.2">
      <c r="A117" s="60"/>
      <c r="B117" s="83"/>
      <c r="C117" s="60"/>
      <c r="D117" s="60"/>
      <c r="E117" s="84"/>
      <c r="F117" s="60"/>
    </row>
    <row r="118" spans="1:6" ht="12" x14ac:dyDescent="0.2">
      <c r="A118" s="60"/>
      <c r="B118" s="83"/>
      <c r="C118" s="60"/>
      <c r="D118" s="60"/>
      <c r="E118" s="84"/>
      <c r="F118" s="60"/>
    </row>
    <row r="119" spans="1:6" ht="12" x14ac:dyDescent="0.2">
      <c r="A119" s="60"/>
      <c r="B119" s="83"/>
      <c r="C119" s="60"/>
      <c r="D119" s="60"/>
      <c r="E119" s="84"/>
      <c r="F119" s="60"/>
    </row>
    <row r="120" spans="1:6" ht="12" x14ac:dyDescent="0.2">
      <c r="A120" s="60"/>
      <c r="B120" s="83"/>
      <c r="C120" s="60"/>
      <c r="D120" s="60"/>
      <c r="E120" s="84"/>
      <c r="F120" s="60"/>
    </row>
    <row r="121" spans="1:6" ht="12" x14ac:dyDescent="0.2">
      <c r="A121" s="60"/>
      <c r="B121" s="83"/>
      <c r="C121" s="60"/>
      <c r="D121" s="60"/>
      <c r="E121" s="84"/>
      <c r="F121" s="60"/>
    </row>
    <row r="122" spans="1:6" ht="12" x14ac:dyDescent="0.2">
      <c r="A122" s="60"/>
      <c r="B122" s="83"/>
      <c r="C122" s="60"/>
      <c r="D122" s="60"/>
      <c r="E122" s="84"/>
      <c r="F122" s="60"/>
    </row>
    <row r="123" spans="1:6" ht="12" x14ac:dyDescent="0.2">
      <c r="A123" s="60"/>
      <c r="B123" s="83"/>
      <c r="C123" s="60"/>
      <c r="D123" s="60"/>
      <c r="E123" s="84"/>
      <c r="F123" s="60"/>
    </row>
    <row r="124" spans="1:6" ht="12" x14ac:dyDescent="0.2">
      <c r="A124" s="60"/>
      <c r="B124" s="83"/>
      <c r="C124" s="60"/>
      <c r="D124" s="60"/>
      <c r="E124" s="84"/>
      <c r="F124" s="60"/>
    </row>
    <row r="125" spans="1:6" ht="12" x14ac:dyDescent="0.2">
      <c r="A125" s="60"/>
      <c r="B125" s="83"/>
      <c r="C125" s="60"/>
      <c r="D125" s="60"/>
      <c r="E125" s="84"/>
      <c r="F125" s="60"/>
    </row>
    <row r="126" spans="1:6" ht="12" x14ac:dyDescent="0.2">
      <c r="A126" s="60"/>
      <c r="B126" s="83"/>
      <c r="C126" s="60"/>
      <c r="D126" s="60"/>
      <c r="E126" s="84"/>
      <c r="F126" s="60"/>
    </row>
    <row r="127" spans="1:6" ht="12" x14ac:dyDescent="0.2">
      <c r="A127" s="60"/>
      <c r="B127" s="83"/>
      <c r="C127" s="60"/>
      <c r="D127" s="60"/>
      <c r="E127" s="84"/>
      <c r="F127" s="60"/>
    </row>
    <row r="128" spans="1:6" ht="12" x14ac:dyDescent="0.2">
      <c r="A128" s="60"/>
      <c r="B128" s="83"/>
      <c r="C128" s="60"/>
      <c r="D128" s="60"/>
      <c r="E128" s="84"/>
      <c r="F128" s="60"/>
    </row>
    <row r="129" spans="1:6" ht="12" x14ac:dyDescent="0.2">
      <c r="A129" s="60"/>
      <c r="B129" s="83"/>
      <c r="C129" s="60"/>
      <c r="D129" s="60"/>
      <c r="E129" s="84"/>
      <c r="F129" s="60"/>
    </row>
    <row r="130" spans="1:6" ht="12" x14ac:dyDescent="0.2">
      <c r="A130" s="60"/>
      <c r="B130" s="83"/>
      <c r="C130" s="60"/>
      <c r="D130" s="60"/>
      <c r="E130" s="84"/>
      <c r="F130" s="60"/>
    </row>
    <row r="131" spans="1:6" ht="12" x14ac:dyDescent="0.2">
      <c r="A131" s="60"/>
      <c r="B131" s="83"/>
      <c r="C131" s="60"/>
      <c r="D131" s="60"/>
      <c r="E131" s="84"/>
      <c r="F131" s="60"/>
    </row>
    <row r="132" spans="1:6" ht="12" x14ac:dyDescent="0.2">
      <c r="A132" s="60"/>
      <c r="B132" s="83"/>
      <c r="C132" s="60"/>
      <c r="D132" s="60"/>
      <c r="E132" s="84"/>
      <c r="F132" s="60"/>
    </row>
    <row r="133" spans="1:6" ht="12" x14ac:dyDescent="0.2">
      <c r="A133" s="60"/>
      <c r="B133" s="83"/>
      <c r="C133" s="60"/>
      <c r="D133" s="60"/>
      <c r="E133" s="84"/>
      <c r="F133" s="60"/>
    </row>
    <row r="134" spans="1:6" ht="12" x14ac:dyDescent="0.2">
      <c r="A134" s="60"/>
      <c r="B134" s="83"/>
      <c r="C134" s="60"/>
      <c r="D134" s="60"/>
      <c r="E134" s="84"/>
      <c r="F134" s="60"/>
    </row>
    <row r="135" spans="1:6" ht="12" x14ac:dyDescent="0.2">
      <c r="A135" s="60"/>
      <c r="B135" s="83"/>
      <c r="C135" s="60"/>
      <c r="D135" s="60"/>
      <c r="E135" s="84"/>
      <c r="F135" s="60"/>
    </row>
    <row r="136" spans="1:6" ht="12" x14ac:dyDescent="0.2">
      <c r="A136" s="60"/>
      <c r="B136" s="83"/>
      <c r="C136" s="60"/>
      <c r="D136" s="60"/>
      <c r="E136" s="84"/>
      <c r="F136" s="60"/>
    </row>
    <row r="137" spans="1:6" ht="12" x14ac:dyDescent="0.2">
      <c r="A137" s="60"/>
      <c r="B137" s="83"/>
      <c r="C137" s="60"/>
      <c r="D137" s="60"/>
      <c r="E137" s="84"/>
      <c r="F137" s="60"/>
    </row>
    <row r="138" spans="1:6" ht="12" x14ac:dyDescent="0.2">
      <c r="A138" s="60"/>
      <c r="B138" s="83"/>
      <c r="C138" s="60"/>
      <c r="D138" s="60"/>
      <c r="E138" s="84"/>
      <c r="F138" s="60"/>
    </row>
    <row r="139" spans="1:6" ht="12" x14ac:dyDescent="0.2">
      <c r="A139" s="60"/>
      <c r="B139" s="83"/>
      <c r="C139" s="60"/>
      <c r="D139" s="60"/>
      <c r="E139" s="84"/>
      <c r="F139" s="60"/>
    </row>
    <row r="140" spans="1:6" ht="12" x14ac:dyDescent="0.2">
      <c r="A140" s="60"/>
      <c r="B140" s="83"/>
      <c r="C140" s="60"/>
      <c r="D140" s="60"/>
      <c r="E140" s="84"/>
      <c r="F140" s="60"/>
    </row>
    <row r="141" spans="1:6" ht="12" x14ac:dyDescent="0.2">
      <c r="A141" s="60"/>
      <c r="B141" s="83"/>
      <c r="C141" s="60"/>
      <c r="D141" s="60"/>
      <c r="E141" s="84"/>
      <c r="F141" s="60"/>
    </row>
    <row r="142" spans="1:6" ht="12" x14ac:dyDescent="0.2">
      <c r="A142" s="60"/>
      <c r="B142" s="83"/>
      <c r="C142" s="60"/>
      <c r="D142" s="60"/>
      <c r="E142" s="84"/>
      <c r="F142" s="60"/>
    </row>
    <row r="143" spans="1:6" ht="12" x14ac:dyDescent="0.2">
      <c r="A143" s="60"/>
      <c r="B143" s="83"/>
      <c r="C143" s="60"/>
      <c r="D143" s="60"/>
      <c r="E143" s="84"/>
      <c r="F143" s="60"/>
    </row>
    <row r="144" spans="1:6" ht="12" x14ac:dyDescent="0.2">
      <c r="A144" s="60"/>
      <c r="B144" s="83"/>
      <c r="C144" s="60"/>
      <c r="D144" s="60"/>
      <c r="E144" s="84"/>
      <c r="F144" s="60"/>
    </row>
    <row r="145" spans="1:6" ht="12" x14ac:dyDescent="0.2">
      <c r="A145" s="60"/>
      <c r="B145" s="83"/>
      <c r="C145" s="60"/>
      <c r="D145" s="60"/>
      <c r="E145" s="84"/>
      <c r="F145" s="60"/>
    </row>
    <row r="146" spans="1:6" ht="12" x14ac:dyDescent="0.2">
      <c r="A146" s="60"/>
      <c r="B146" s="83"/>
      <c r="C146" s="60"/>
      <c r="D146" s="60"/>
      <c r="E146" s="84"/>
      <c r="F146" s="60"/>
    </row>
    <row r="147" spans="1:6" ht="12" x14ac:dyDescent="0.2">
      <c r="A147" s="60"/>
      <c r="B147" s="83"/>
      <c r="C147" s="60"/>
      <c r="D147" s="60"/>
      <c r="E147" s="84"/>
      <c r="F147" s="60"/>
    </row>
    <row r="148" spans="1:6" ht="12" x14ac:dyDescent="0.2">
      <c r="A148" s="60"/>
      <c r="B148" s="83"/>
      <c r="C148" s="60"/>
      <c r="D148" s="60"/>
      <c r="E148" s="84"/>
      <c r="F148" s="60"/>
    </row>
    <row r="149" spans="1:6" ht="12" x14ac:dyDescent="0.2">
      <c r="A149" s="60"/>
      <c r="B149" s="83"/>
      <c r="C149" s="60"/>
      <c r="D149" s="60"/>
      <c r="E149" s="84"/>
      <c r="F149" s="60"/>
    </row>
    <row r="150" spans="1:6" ht="12" x14ac:dyDescent="0.2">
      <c r="A150" s="60"/>
      <c r="B150" s="83"/>
      <c r="C150" s="60"/>
      <c r="D150" s="60"/>
      <c r="E150" s="84"/>
      <c r="F150" s="60"/>
    </row>
    <row r="151" spans="1:6" ht="12" x14ac:dyDescent="0.2">
      <c r="A151" s="60"/>
      <c r="B151" s="83"/>
      <c r="C151" s="60"/>
      <c r="D151" s="60"/>
      <c r="E151" s="84"/>
      <c r="F151" s="60"/>
    </row>
    <row r="152" spans="1:6" ht="12" x14ac:dyDescent="0.2">
      <c r="A152" s="60"/>
      <c r="B152" s="83"/>
      <c r="C152" s="60"/>
      <c r="D152" s="60"/>
      <c r="E152" s="84"/>
      <c r="F152" s="60"/>
    </row>
    <row r="153" spans="1:6" ht="12" x14ac:dyDescent="0.2">
      <c r="A153" s="60"/>
      <c r="B153" s="83"/>
      <c r="C153" s="60"/>
      <c r="D153" s="60"/>
      <c r="E153" s="84"/>
      <c r="F153" s="60"/>
    </row>
    <row r="154" spans="1:6" ht="12" x14ac:dyDescent="0.2">
      <c r="A154" s="60"/>
      <c r="B154" s="83"/>
      <c r="C154" s="60"/>
      <c r="D154" s="60"/>
      <c r="E154" s="84"/>
      <c r="F154" s="60"/>
    </row>
    <row r="155" spans="1:6" ht="12" x14ac:dyDescent="0.2">
      <c r="A155" s="60"/>
      <c r="B155" s="83"/>
      <c r="C155" s="60"/>
      <c r="D155" s="60"/>
      <c r="E155" s="84"/>
      <c r="F155" s="60"/>
    </row>
    <row r="156" spans="1:6" ht="12" x14ac:dyDescent="0.2">
      <c r="A156" s="60"/>
      <c r="B156" s="83"/>
      <c r="C156" s="60"/>
      <c r="D156" s="60"/>
      <c r="E156" s="84"/>
      <c r="F156" s="60"/>
    </row>
    <row r="157" spans="1:6" ht="12" x14ac:dyDescent="0.2">
      <c r="A157" s="60"/>
      <c r="B157" s="83"/>
      <c r="C157" s="60"/>
      <c r="D157" s="60"/>
      <c r="E157" s="84"/>
      <c r="F157" s="60"/>
    </row>
    <row r="158" spans="1:6" ht="12" x14ac:dyDescent="0.2">
      <c r="A158" s="60"/>
      <c r="B158" s="83"/>
      <c r="C158" s="60"/>
      <c r="D158" s="60"/>
      <c r="E158" s="84"/>
      <c r="F158" s="60"/>
    </row>
    <row r="159" spans="1:6" ht="12" x14ac:dyDescent="0.2">
      <c r="A159" s="60"/>
      <c r="B159" s="83"/>
      <c r="C159" s="60"/>
      <c r="D159" s="60"/>
      <c r="E159" s="84"/>
      <c r="F159" s="60"/>
    </row>
    <row r="160" spans="1:6" ht="12" x14ac:dyDescent="0.2">
      <c r="A160" s="60"/>
      <c r="B160" s="83"/>
      <c r="C160" s="60"/>
      <c r="D160" s="60"/>
      <c r="E160" s="84"/>
      <c r="F160" s="60"/>
    </row>
    <row r="161" spans="1:6" ht="12" x14ac:dyDescent="0.2">
      <c r="A161" s="60"/>
      <c r="B161" s="83"/>
      <c r="C161" s="60"/>
      <c r="D161" s="60"/>
      <c r="E161" s="84"/>
      <c r="F161" s="60"/>
    </row>
    <row r="162" spans="1:6" ht="12" x14ac:dyDescent="0.2">
      <c r="A162" s="60"/>
      <c r="B162" s="83"/>
      <c r="C162" s="60"/>
      <c r="D162" s="60"/>
      <c r="E162" s="84"/>
      <c r="F162" s="60"/>
    </row>
    <row r="163" spans="1:6" ht="12" x14ac:dyDescent="0.2">
      <c r="A163" s="60"/>
      <c r="B163" s="83"/>
      <c r="C163" s="60"/>
      <c r="D163" s="60"/>
      <c r="E163" s="84"/>
      <c r="F163" s="60"/>
    </row>
    <row r="164" spans="1:6" ht="12" x14ac:dyDescent="0.2">
      <c r="A164" s="60"/>
      <c r="B164" s="83"/>
      <c r="C164" s="60"/>
      <c r="D164" s="60"/>
      <c r="E164" s="84"/>
      <c r="F164" s="60"/>
    </row>
    <row r="165" spans="1:6" ht="12" x14ac:dyDescent="0.2">
      <c r="A165" s="60"/>
      <c r="B165" s="83"/>
      <c r="C165" s="60"/>
      <c r="D165" s="60"/>
      <c r="E165" s="84"/>
      <c r="F165" s="60"/>
    </row>
    <row r="166" spans="1:6" ht="12" x14ac:dyDescent="0.2">
      <c r="A166" s="60"/>
      <c r="B166" s="83"/>
      <c r="C166" s="60"/>
      <c r="D166" s="60"/>
      <c r="E166" s="84"/>
      <c r="F166" s="60"/>
    </row>
    <row r="167" spans="1:6" ht="12" x14ac:dyDescent="0.2">
      <c r="A167" s="60"/>
      <c r="B167" s="83"/>
      <c r="C167" s="60"/>
      <c r="D167" s="60"/>
      <c r="E167" s="84"/>
      <c r="F167" s="60"/>
    </row>
    <row r="168" spans="1:6" ht="12" x14ac:dyDescent="0.2">
      <c r="A168" s="60"/>
      <c r="B168" s="83"/>
      <c r="C168" s="60"/>
      <c r="D168" s="60"/>
      <c r="E168" s="84"/>
      <c r="F168" s="60"/>
    </row>
    <row r="169" spans="1:6" ht="12" x14ac:dyDescent="0.2">
      <c r="A169" s="60"/>
      <c r="B169" s="83"/>
      <c r="C169" s="60"/>
      <c r="D169" s="60"/>
      <c r="E169" s="84"/>
      <c r="F169" s="60"/>
    </row>
    <row r="170" spans="1:6" ht="12" x14ac:dyDescent="0.2">
      <c r="A170" s="60"/>
      <c r="B170" s="83"/>
      <c r="C170" s="60"/>
      <c r="D170" s="60"/>
      <c r="E170" s="84"/>
      <c r="F170" s="60"/>
    </row>
    <row r="171" spans="1:6" ht="12" x14ac:dyDescent="0.2">
      <c r="A171" s="60"/>
      <c r="B171" s="83"/>
      <c r="C171" s="60"/>
      <c r="D171" s="60"/>
      <c r="E171" s="84"/>
      <c r="F171" s="60"/>
    </row>
    <row r="172" spans="1:6" ht="12" x14ac:dyDescent="0.2">
      <c r="A172" s="60"/>
      <c r="B172" s="83"/>
      <c r="C172" s="60"/>
      <c r="D172" s="60"/>
      <c r="E172" s="84"/>
      <c r="F172" s="60"/>
    </row>
    <row r="173" spans="1:6" ht="12" x14ac:dyDescent="0.2">
      <c r="A173" s="60"/>
      <c r="B173" s="83"/>
      <c r="C173" s="60"/>
      <c r="D173" s="60"/>
      <c r="E173" s="84"/>
      <c r="F173" s="60"/>
    </row>
    <row r="174" spans="1:6" ht="12" x14ac:dyDescent="0.2">
      <c r="A174" s="60"/>
      <c r="B174" s="83"/>
      <c r="C174" s="60"/>
      <c r="D174" s="60"/>
      <c r="E174" s="84"/>
      <c r="F174" s="60"/>
    </row>
    <row r="175" spans="1:6" ht="12" x14ac:dyDescent="0.2">
      <c r="A175" s="60"/>
      <c r="B175" s="83"/>
      <c r="C175" s="60"/>
      <c r="D175" s="60"/>
      <c r="E175" s="84"/>
      <c r="F175" s="60"/>
    </row>
    <row r="176" spans="1:6" ht="12" x14ac:dyDescent="0.2">
      <c r="A176" s="60"/>
      <c r="B176" s="83"/>
      <c r="C176" s="60"/>
      <c r="D176" s="60"/>
      <c r="E176" s="84"/>
      <c r="F176" s="60"/>
    </row>
    <row r="177" spans="1:6" ht="12" x14ac:dyDescent="0.2">
      <c r="A177" s="60"/>
      <c r="B177" s="83"/>
      <c r="C177" s="60"/>
      <c r="D177" s="60"/>
      <c r="E177" s="84"/>
      <c r="F177" s="60"/>
    </row>
    <row r="178" spans="1:6" ht="12" x14ac:dyDescent="0.2">
      <c r="A178" s="60"/>
      <c r="B178" s="83"/>
      <c r="C178" s="60"/>
      <c r="D178" s="60"/>
      <c r="E178" s="84"/>
      <c r="F178" s="60"/>
    </row>
    <row r="179" spans="1:6" ht="12" x14ac:dyDescent="0.2">
      <c r="A179" s="60"/>
      <c r="B179" s="83"/>
      <c r="C179" s="60"/>
      <c r="D179" s="60"/>
      <c r="E179" s="84"/>
      <c r="F179" s="60"/>
    </row>
    <row r="180" spans="1:6" ht="12" x14ac:dyDescent="0.2">
      <c r="A180" s="60"/>
      <c r="B180" s="83"/>
      <c r="C180" s="60"/>
      <c r="D180" s="60"/>
      <c r="E180" s="84"/>
      <c r="F180" s="60"/>
    </row>
    <row r="181" spans="1:6" ht="12" x14ac:dyDescent="0.2">
      <c r="A181" s="60"/>
      <c r="B181" s="83"/>
      <c r="C181" s="60"/>
      <c r="D181" s="60"/>
      <c r="E181" s="84"/>
      <c r="F181" s="60"/>
    </row>
    <row r="182" spans="1:6" ht="12" x14ac:dyDescent="0.2">
      <c r="A182" s="60"/>
      <c r="B182" s="83"/>
      <c r="C182" s="60"/>
      <c r="D182" s="60"/>
      <c r="E182" s="84"/>
      <c r="F182" s="60"/>
    </row>
    <row r="183" spans="1:6" ht="12" x14ac:dyDescent="0.2">
      <c r="A183" s="60"/>
      <c r="B183" s="83"/>
      <c r="C183" s="60"/>
      <c r="D183" s="60"/>
      <c r="E183" s="84"/>
      <c r="F183" s="60"/>
    </row>
    <row r="184" spans="1:6" ht="12" x14ac:dyDescent="0.2">
      <c r="A184" s="60"/>
      <c r="B184" s="83"/>
      <c r="C184" s="60"/>
      <c r="D184" s="60"/>
      <c r="E184" s="84"/>
      <c r="F184" s="60"/>
    </row>
    <row r="185" spans="1:6" ht="12" x14ac:dyDescent="0.2">
      <c r="A185" s="60"/>
      <c r="B185" s="83"/>
      <c r="C185" s="60"/>
      <c r="D185" s="60"/>
      <c r="E185" s="84"/>
      <c r="F185" s="60"/>
    </row>
    <row r="186" spans="1:6" ht="12" x14ac:dyDescent="0.2">
      <c r="A186" s="60"/>
      <c r="B186" s="83"/>
      <c r="C186" s="60"/>
      <c r="D186" s="60"/>
      <c r="E186" s="84"/>
      <c r="F186" s="60"/>
    </row>
    <row r="187" spans="1:6" ht="12" x14ac:dyDescent="0.2">
      <c r="A187" s="60"/>
      <c r="B187" s="83"/>
      <c r="C187" s="60"/>
      <c r="D187" s="60"/>
      <c r="E187" s="84"/>
      <c r="F187" s="60"/>
    </row>
    <row r="188" spans="1:6" ht="12" x14ac:dyDescent="0.2">
      <c r="A188" s="60"/>
      <c r="B188" s="83"/>
      <c r="C188" s="60"/>
      <c r="D188" s="60"/>
      <c r="E188" s="84"/>
      <c r="F188" s="60"/>
    </row>
    <row r="189" spans="1:6" ht="12" x14ac:dyDescent="0.2">
      <c r="A189" s="60"/>
      <c r="B189" s="83"/>
      <c r="C189" s="60"/>
      <c r="D189" s="60"/>
      <c r="E189" s="84"/>
      <c r="F189" s="60"/>
    </row>
    <row r="190" spans="1:6" ht="12" x14ac:dyDescent="0.2">
      <c r="A190" s="60"/>
      <c r="B190" s="83"/>
      <c r="C190" s="60"/>
      <c r="D190" s="60"/>
      <c r="E190" s="84"/>
      <c r="F190" s="60"/>
    </row>
    <row r="191" spans="1:6" ht="12" x14ac:dyDescent="0.2">
      <c r="A191" s="60"/>
      <c r="B191" s="83"/>
      <c r="C191" s="60"/>
      <c r="D191" s="60"/>
      <c r="E191" s="84"/>
      <c r="F191" s="60"/>
    </row>
    <row r="192" spans="1:6" ht="12" x14ac:dyDescent="0.2">
      <c r="A192" s="60"/>
      <c r="B192" s="83"/>
      <c r="C192" s="60"/>
      <c r="D192" s="60"/>
      <c r="E192" s="84"/>
      <c r="F192" s="60"/>
    </row>
    <row r="193" spans="1:6" ht="12" x14ac:dyDescent="0.2">
      <c r="A193" s="60"/>
      <c r="B193" s="83"/>
      <c r="C193" s="60"/>
      <c r="D193" s="60"/>
      <c r="E193" s="84"/>
      <c r="F193" s="60"/>
    </row>
    <row r="194" spans="1:6" ht="12" x14ac:dyDescent="0.2">
      <c r="A194" s="60"/>
      <c r="B194" s="83"/>
      <c r="C194" s="60"/>
      <c r="D194" s="60"/>
      <c r="E194" s="84"/>
      <c r="F194" s="60"/>
    </row>
    <row r="195" spans="1:6" ht="12" x14ac:dyDescent="0.2">
      <c r="A195" s="60"/>
      <c r="B195" s="83"/>
      <c r="C195" s="60"/>
      <c r="D195" s="60"/>
      <c r="E195" s="84"/>
      <c r="F195" s="60"/>
    </row>
    <row r="196" spans="1:6" ht="12" x14ac:dyDescent="0.2">
      <c r="A196" s="60"/>
      <c r="B196" s="83"/>
      <c r="C196" s="60"/>
      <c r="D196" s="60"/>
      <c r="E196" s="84"/>
      <c r="F196" s="60"/>
    </row>
    <row r="197" spans="1:6" ht="12" x14ac:dyDescent="0.2">
      <c r="A197" s="60"/>
      <c r="B197" s="83"/>
      <c r="C197" s="60"/>
      <c r="D197" s="60"/>
      <c r="E197" s="84"/>
      <c r="F197" s="60"/>
    </row>
    <row r="198" spans="1:6" ht="12" x14ac:dyDescent="0.2">
      <c r="A198" s="60"/>
      <c r="B198" s="83"/>
      <c r="C198" s="60"/>
      <c r="D198" s="60"/>
      <c r="E198" s="84"/>
      <c r="F198" s="60"/>
    </row>
  </sheetData>
  <mergeCells count="10">
    <mergeCell ref="A43:C43"/>
    <mergeCell ref="A39:B39"/>
    <mergeCell ref="A6:F6"/>
    <mergeCell ref="A31:D31"/>
    <mergeCell ref="A8:F8"/>
    <mergeCell ref="A33:B33"/>
    <mergeCell ref="A13:F13"/>
    <mergeCell ref="A25:B25"/>
    <mergeCell ref="A19:F19"/>
    <mergeCell ref="A24:B24"/>
  </mergeCells>
  <phoneticPr fontId="2" type="noConversion"/>
  <printOptions horizontalCentered="1"/>
  <pageMargins left="1.1811023622047245" right="0.19685039370078741" top="0.4" bottom="0.48" header="0.15748031496062992" footer="0.21"/>
  <pageSetup paperSize="9" orientation="portrait" horizontalDpi="4294967294" verticalDpi="300" r:id="rId1"/>
  <headerFooter alignWithMargins="0">
    <oddFooter>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61"/>
  <sheetViews>
    <sheetView workbookViewId="0"/>
  </sheetViews>
  <sheetFormatPr defaultRowHeight="12.75" x14ac:dyDescent="0.2"/>
  <cols>
    <col min="1" max="1" width="10.7109375" style="175" customWidth="1"/>
    <col min="2" max="2" width="9.28515625" style="213" customWidth="1"/>
    <col min="3" max="3" width="11.28515625" style="213" customWidth="1"/>
    <col min="4" max="4" width="8.28515625" style="260" customWidth="1"/>
    <col min="5" max="6" width="9.28515625" style="190" customWidth="1"/>
    <col min="7" max="7" width="10.5703125" style="190" customWidth="1"/>
    <col min="8" max="8" width="9.28515625" style="190" customWidth="1"/>
    <col min="9" max="9" width="9.140625" style="175"/>
    <col min="10" max="10" width="11.5703125" style="175" bestFit="1" customWidth="1"/>
    <col min="11" max="16384" width="9.140625" style="175"/>
  </cols>
  <sheetData>
    <row r="1" spans="1:14" s="8" customFormat="1" x14ac:dyDescent="0.2">
      <c r="A1" s="6" t="s">
        <v>42</v>
      </c>
      <c r="C1"/>
      <c r="D1" s="259"/>
      <c r="E1" s="256"/>
    </row>
    <row r="2" spans="1:14" s="8" customFormat="1" x14ac:dyDescent="0.2">
      <c r="A2" s="6" t="s">
        <v>43</v>
      </c>
      <c r="C2"/>
      <c r="D2" s="259"/>
      <c r="E2" s="256"/>
    </row>
    <row r="3" spans="1:14" s="8" customFormat="1" x14ac:dyDescent="0.2">
      <c r="A3" s="6" t="s">
        <v>44</v>
      </c>
      <c r="C3"/>
      <c r="D3" s="259"/>
      <c r="E3" s="256"/>
    </row>
    <row r="4" spans="1:14" s="8" customFormat="1" x14ac:dyDescent="0.2">
      <c r="A4" s="6" t="s">
        <v>45</v>
      </c>
      <c r="C4"/>
      <c r="D4" s="259"/>
      <c r="E4" s="256"/>
    </row>
    <row r="5" spans="1:14" ht="13.5" thickBot="1" x14ac:dyDescent="0.25">
      <c r="A5" s="29"/>
      <c r="B5" s="212"/>
      <c r="C5" s="212"/>
      <c r="D5" s="31"/>
      <c r="E5" s="257"/>
      <c r="F5" s="30"/>
    </row>
    <row r="6" spans="1:14" ht="17.25" customHeight="1" thickTop="1" x14ac:dyDescent="0.2">
      <c r="A6" s="361" t="s">
        <v>69</v>
      </c>
      <c r="B6" s="362"/>
      <c r="C6" s="362"/>
      <c r="D6" s="362"/>
      <c r="E6" s="362"/>
      <c r="F6" s="362"/>
      <c r="G6" s="362"/>
      <c r="H6" s="363"/>
    </row>
    <row r="7" spans="1:14" ht="28.5" customHeight="1" thickBot="1" x14ac:dyDescent="0.25">
      <c r="A7" s="364" t="s">
        <v>186</v>
      </c>
      <c r="B7" s="365"/>
      <c r="C7" s="365"/>
      <c r="D7" s="365"/>
      <c r="E7" s="365"/>
      <c r="F7" s="365"/>
      <c r="G7" s="365"/>
      <c r="H7" s="366"/>
    </row>
    <row r="8" spans="1:14" ht="13.5" thickTop="1" x14ac:dyDescent="0.2"/>
    <row r="9" spans="1:14" s="9" customFormat="1" ht="56.25" customHeight="1" x14ac:dyDescent="0.2">
      <c r="A9" s="367" t="s">
        <v>56</v>
      </c>
      <c r="B9" s="370" t="s">
        <v>120</v>
      </c>
      <c r="C9" s="373" t="s">
        <v>180</v>
      </c>
      <c r="D9" s="367" t="s">
        <v>181</v>
      </c>
      <c r="E9" s="370" t="s">
        <v>182</v>
      </c>
      <c r="F9" s="370" t="s">
        <v>75</v>
      </c>
      <c r="G9" s="380" t="s">
        <v>222</v>
      </c>
      <c r="H9" s="380"/>
    </row>
    <row r="10" spans="1:14" s="9" customFormat="1" ht="29.25" customHeight="1" x14ac:dyDescent="0.2">
      <c r="A10" s="368"/>
      <c r="B10" s="371"/>
      <c r="C10" s="374"/>
      <c r="D10" s="368"/>
      <c r="E10" s="371"/>
      <c r="F10" s="371"/>
      <c r="G10" s="370" t="s">
        <v>18</v>
      </c>
      <c r="H10" s="376" t="s">
        <v>59</v>
      </c>
    </row>
    <row r="11" spans="1:14" s="9" customFormat="1" ht="12" customHeight="1" x14ac:dyDescent="0.2">
      <c r="A11" s="369"/>
      <c r="B11" s="372"/>
      <c r="C11" s="375"/>
      <c r="D11" s="369"/>
      <c r="E11" s="372"/>
      <c r="F11" s="372"/>
      <c r="G11" s="372"/>
      <c r="H11" s="377"/>
    </row>
    <row r="12" spans="1:14" ht="12" customHeight="1" x14ac:dyDescent="0.2">
      <c r="A12" s="187" t="s">
        <v>25</v>
      </c>
      <c r="B12" s="195" t="s">
        <v>26</v>
      </c>
      <c r="C12" s="195" t="s">
        <v>27</v>
      </c>
      <c r="D12" s="187" t="s">
        <v>28</v>
      </c>
      <c r="E12" s="187" t="s">
        <v>29</v>
      </c>
      <c r="F12" s="195" t="s">
        <v>52</v>
      </c>
      <c r="G12" s="195" t="s">
        <v>53</v>
      </c>
      <c r="H12" s="187" t="s">
        <v>54</v>
      </c>
      <c r="I12" s="9"/>
    </row>
    <row r="13" spans="1:14" s="192" customFormat="1" ht="12.75" customHeight="1" x14ac:dyDescent="0.2">
      <c r="A13" s="273">
        <v>40330</v>
      </c>
      <c r="B13" s="13">
        <v>1298.53</v>
      </c>
      <c r="C13" s="254"/>
      <c r="D13" s="261"/>
      <c r="E13" s="258">
        <f>B13</f>
        <v>1298.53</v>
      </c>
      <c r="F13" s="13">
        <f>E13-B13</f>
        <v>0</v>
      </c>
      <c r="G13" s="173">
        <f>'Anexo 8 Tabela TRT'!I60</f>
        <v>1.0215158631328964</v>
      </c>
      <c r="H13" s="13">
        <f>F13*G13</f>
        <v>0</v>
      </c>
    </row>
    <row r="14" spans="1:14" s="192" customFormat="1" ht="36" x14ac:dyDescent="0.2">
      <c r="A14" s="27">
        <v>40360</v>
      </c>
      <c r="B14" s="13">
        <v>1298.53</v>
      </c>
      <c r="C14" s="255" t="s">
        <v>184</v>
      </c>
      <c r="D14" s="261">
        <v>0.06</v>
      </c>
      <c r="E14" s="258">
        <f>(E13*D14)+E13</f>
        <v>1376.4418000000001</v>
      </c>
      <c r="F14" s="13">
        <f t="shared" ref="F14:F31" si="0">E14-B14</f>
        <v>77.911800000000085</v>
      </c>
      <c r="G14" s="173">
        <f>'Anexo 8 Tabela TRT'!I61</f>
        <v>1.0203414501238037</v>
      </c>
      <c r="H14" s="13">
        <f t="shared" ref="H14:H36" si="1">F14*G14</f>
        <v>79.496638993755852</v>
      </c>
    </row>
    <row r="15" spans="1:14" s="192" customFormat="1" ht="12.75" customHeight="1" x14ac:dyDescent="0.2">
      <c r="A15" s="27">
        <v>40391</v>
      </c>
      <c r="B15" s="13">
        <v>1298.53</v>
      </c>
      <c r="C15" s="254"/>
      <c r="D15" s="261"/>
      <c r="E15" s="258">
        <f>E14</f>
        <v>1376.4418000000001</v>
      </c>
      <c r="F15" s="13">
        <f t="shared" si="0"/>
        <v>77.911800000000085</v>
      </c>
      <c r="G15" s="173">
        <f>'Anexo 8 Tabela TRT'!I62</f>
        <v>1.0194148020687237</v>
      </c>
      <c r="H15" s="13">
        <f t="shared" si="1"/>
        <v>79.424442175818072</v>
      </c>
    </row>
    <row r="16" spans="1:14" s="192" customFormat="1" ht="12.75" customHeight="1" x14ac:dyDescent="0.2">
      <c r="A16" s="27">
        <v>40422</v>
      </c>
      <c r="B16" s="13">
        <v>1298.53</v>
      </c>
      <c r="C16" s="254"/>
      <c r="D16" s="261"/>
      <c r="E16" s="258">
        <f t="shared" ref="E16:E34" si="2">E15</f>
        <v>1376.4418000000001</v>
      </c>
      <c r="F16" s="13">
        <f t="shared" si="0"/>
        <v>77.911800000000085</v>
      </c>
      <c r="G16" s="173">
        <f>'Anexo 8 Tabela TRT'!I63</f>
        <v>1.0186996748969461</v>
      </c>
      <c r="H16" s="13">
        <f t="shared" si="1"/>
        <v>79.368725330635968</v>
      </c>
      <c r="J16" s="352" t="s">
        <v>241</v>
      </c>
      <c r="K16" s="353"/>
      <c r="L16" s="353"/>
      <c r="M16" s="353"/>
      <c r="N16" s="354"/>
    </row>
    <row r="17" spans="1:14" s="192" customFormat="1" ht="12.75" customHeight="1" x14ac:dyDescent="0.2">
      <c r="A17" s="27">
        <v>40452</v>
      </c>
      <c r="B17" s="13">
        <v>1298.53</v>
      </c>
      <c r="C17" s="254"/>
      <c r="D17" s="261"/>
      <c r="E17" s="258">
        <f t="shared" si="2"/>
        <v>1376.4418000000001</v>
      </c>
      <c r="F17" s="13">
        <f t="shared" si="0"/>
        <v>77.911800000000085</v>
      </c>
      <c r="G17" s="173">
        <f>'Anexo 8 Tabela TRT'!I64</f>
        <v>1.0182190754933136</v>
      </c>
      <c r="H17" s="13">
        <f t="shared" si="1"/>
        <v>79.331280966020032</v>
      </c>
      <c r="J17" s="355"/>
      <c r="K17" s="356"/>
      <c r="L17" s="356"/>
      <c r="M17" s="356"/>
      <c r="N17" s="357"/>
    </row>
    <row r="18" spans="1:14" s="192" customFormat="1" ht="12.75" customHeight="1" x14ac:dyDescent="0.2">
      <c r="A18" s="27">
        <v>40483</v>
      </c>
      <c r="B18" s="13">
        <v>1367.35</v>
      </c>
      <c r="C18" s="254"/>
      <c r="D18" s="261"/>
      <c r="E18" s="258">
        <f t="shared" si="2"/>
        <v>1376.4418000000001</v>
      </c>
      <c r="F18" s="13">
        <f t="shared" si="0"/>
        <v>9.0918000000001484</v>
      </c>
      <c r="G18" s="173">
        <f>'Anexo 8 Tabela TRT'!I65</f>
        <v>1.0178770687981971</v>
      </c>
      <c r="H18" s="13">
        <f t="shared" si="1"/>
        <v>9.2543347340995989</v>
      </c>
      <c r="J18" s="355"/>
      <c r="K18" s="356"/>
      <c r="L18" s="356"/>
      <c r="M18" s="356"/>
      <c r="N18" s="357"/>
    </row>
    <row r="19" spans="1:14" s="192" customFormat="1" ht="12.75" customHeight="1" x14ac:dyDescent="0.2">
      <c r="A19" s="27">
        <v>40513</v>
      </c>
      <c r="B19" s="13">
        <v>1367.35</v>
      </c>
      <c r="C19" s="254"/>
      <c r="D19" s="261"/>
      <c r="E19" s="258">
        <f t="shared" si="2"/>
        <v>1376.4418000000001</v>
      </c>
      <c r="F19" s="13">
        <f t="shared" si="0"/>
        <v>9.0918000000001484</v>
      </c>
      <c r="G19" s="173">
        <f>'Anexo 8 Tabela TRT'!J54</f>
        <v>1.0164479429903526</v>
      </c>
      <c r="H19" s="13">
        <f t="shared" si="1"/>
        <v>9.2413414080798386</v>
      </c>
      <c r="J19" s="355"/>
      <c r="K19" s="356"/>
      <c r="L19" s="356"/>
      <c r="M19" s="356"/>
      <c r="N19" s="357"/>
    </row>
    <row r="20" spans="1:14" s="192" customFormat="1" ht="12.75" customHeight="1" x14ac:dyDescent="0.2">
      <c r="A20" s="27">
        <v>40544</v>
      </c>
      <c r="B20" s="13">
        <v>1367.35</v>
      </c>
      <c r="C20" s="254"/>
      <c r="D20" s="261"/>
      <c r="E20" s="258">
        <f t="shared" si="2"/>
        <v>1376.4418000000001</v>
      </c>
      <c r="F20" s="13">
        <f t="shared" si="0"/>
        <v>9.0918000000001484</v>
      </c>
      <c r="G20" s="173">
        <f>'Anexo 8 Tabela TRT'!J55</f>
        <v>1.0157217019734419</v>
      </c>
      <c r="H20" s="13">
        <f t="shared" si="1"/>
        <v>9.2347385700022908</v>
      </c>
      <c r="J20" s="358"/>
      <c r="K20" s="359"/>
      <c r="L20" s="359"/>
      <c r="M20" s="359"/>
      <c r="N20" s="360"/>
    </row>
    <row r="21" spans="1:14" s="192" customFormat="1" ht="12.75" customHeight="1" x14ac:dyDescent="0.2">
      <c r="A21" s="27">
        <v>40575</v>
      </c>
      <c r="B21" s="13">
        <v>1367.35</v>
      </c>
      <c r="C21" s="254"/>
      <c r="D21" s="261"/>
      <c r="E21" s="258">
        <f t="shared" si="2"/>
        <v>1376.4418000000001</v>
      </c>
      <c r="F21" s="13">
        <f t="shared" si="0"/>
        <v>9.0918000000001484</v>
      </c>
      <c r="G21" s="173">
        <f>'Anexo 8 Tabela TRT'!J56</f>
        <v>1.015189742548346</v>
      </c>
      <c r="H21" s="13">
        <f t="shared" si="1"/>
        <v>9.229902101301203</v>
      </c>
    </row>
    <row r="22" spans="1:14" s="192" customFormat="1" ht="12.75" customHeight="1" x14ac:dyDescent="0.2">
      <c r="A22" s="27">
        <v>40603</v>
      </c>
      <c r="B22" s="13">
        <v>1367.35</v>
      </c>
      <c r="C22" s="254"/>
      <c r="D22" s="261"/>
      <c r="E22" s="258">
        <f t="shared" si="2"/>
        <v>1376.4418000000001</v>
      </c>
      <c r="F22" s="13">
        <f t="shared" si="0"/>
        <v>9.0918000000001484</v>
      </c>
      <c r="G22" s="173">
        <f>'Anexo 8 Tabela TRT'!J57</f>
        <v>1.0139608220320433</v>
      </c>
      <c r="H22" s="13">
        <f t="shared" si="1"/>
        <v>9.2187290017510826</v>
      </c>
    </row>
    <row r="23" spans="1:14" s="192" customFormat="1" ht="12.75" customHeight="1" x14ac:dyDescent="0.2">
      <c r="A23" s="27">
        <v>40634</v>
      </c>
      <c r="B23" s="13">
        <v>1367.35</v>
      </c>
      <c r="C23" s="254"/>
      <c r="D23" s="261"/>
      <c r="E23" s="258">
        <f t="shared" si="2"/>
        <v>1376.4418000000001</v>
      </c>
      <c r="F23" s="13">
        <f t="shared" si="0"/>
        <v>9.0918000000001484</v>
      </c>
      <c r="G23" s="173">
        <f>'Anexo 8 Tabela TRT'!J58</f>
        <v>1.0135868084997068</v>
      </c>
      <c r="H23" s="13">
        <f t="shared" si="1"/>
        <v>9.2153285455177851</v>
      </c>
    </row>
    <row r="24" spans="1:14" s="192" customFormat="1" ht="12.75" customHeight="1" x14ac:dyDescent="0.2">
      <c r="A24" s="27">
        <v>40664</v>
      </c>
      <c r="B24" s="13">
        <v>1367.35</v>
      </c>
      <c r="C24" s="254"/>
      <c r="D24" s="261"/>
      <c r="E24" s="258">
        <f t="shared" si="2"/>
        <v>1376.4418000000001</v>
      </c>
      <c r="F24" s="13">
        <f t="shared" si="0"/>
        <v>9.0918000000001484</v>
      </c>
      <c r="G24" s="173">
        <f>'Anexo 8 Tabela TRT'!J59</f>
        <v>1.0119979716841634</v>
      </c>
      <c r="H24" s="13">
        <f t="shared" si="1"/>
        <v>9.2008831589582272</v>
      </c>
    </row>
    <row r="25" spans="1:14" s="192" customFormat="1" ht="12.75" customHeight="1" x14ac:dyDescent="0.2">
      <c r="A25" s="27">
        <v>40695</v>
      </c>
      <c r="B25" s="13">
        <v>1367.35</v>
      </c>
      <c r="C25" s="254"/>
      <c r="D25" s="261"/>
      <c r="E25" s="258">
        <f t="shared" si="2"/>
        <v>1376.4418000000001</v>
      </c>
      <c r="F25" s="13">
        <f t="shared" si="0"/>
        <v>9.0918000000001484</v>
      </c>
      <c r="G25" s="173">
        <f>'Anexo 8 Tabela TRT'!J60</f>
        <v>1.0108718604316418</v>
      </c>
      <c r="H25" s="13">
        <f t="shared" si="1"/>
        <v>9.1906447806725513</v>
      </c>
    </row>
    <row r="26" spans="1:14" s="192" customFormat="1" ht="36" customHeight="1" x14ac:dyDescent="0.2">
      <c r="A26" s="27">
        <v>40725</v>
      </c>
      <c r="B26" s="13">
        <v>1367.35</v>
      </c>
      <c r="C26" s="255" t="s">
        <v>185</v>
      </c>
      <c r="D26" s="261">
        <v>7.0000000000000007E-2</v>
      </c>
      <c r="E26" s="258">
        <f>(E25*D26)+E25</f>
        <v>1472.7927260000001</v>
      </c>
      <c r="F26" s="13">
        <f t="shared" si="0"/>
        <v>105.44272600000022</v>
      </c>
      <c r="G26" s="173">
        <f>'Anexo 8 Tabela TRT'!J61</f>
        <v>1.0096310239032649</v>
      </c>
      <c r="H26" s="13">
        <f t="shared" si="1"/>
        <v>106.45824741453163</v>
      </c>
    </row>
    <row r="27" spans="1:14" s="192" customFormat="1" ht="12.75" customHeight="1" x14ac:dyDescent="0.2">
      <c r="A27" s="27">
        <v>40756</v>
      </c>
      <c r="B27" s="13">
        <v>1367.35</v>
      </c>
      <c r="C27" s="254"/>
      <c r="D27" s="261"/>
      <c r="E27" s="258">
        <f t="shared" si="2"/>
        <v>1472.7927260000001</v>
      </c>
      <c r="F27" s="13">
        <f t="shared" si="0"/>
        <v>105.44272600000022</v>
      </c>
      <c r="G27" s="173">
        <f>'Anexo 8 Tabela TRT'!J62</f>
        <v>1.007539372166647</v>
      </c>
      <c r="H27" s="13">
        <f t="shared" si="1"/>
        <v>106.23769795358001</v>
      </c>
    </row>
    <row r="28" spans="1:14" s="192" customFormat="1" ht="12.75" customHeight="1" x14ac:dyDescent="0.2">
      <c r="A28" s="27">
        <v>40787</v>
      </c>
      <c r="B28" s="13">
        <v>1367.35</v>
      </c>
      <c r="C28" s="254"/>
      <c r="D28" s="261"/>
      <c r="E28" s="258">
        <f t="shared" si="2"/>
        <v>1472.7927260000001</v>
      </c>
      <c r="F28" s="13">
        <f t="shared" si="0"/>
        <v>105.44272600000022</v>
      </c>
      <c r="G28" s="173">
        <f>'Anexo 8 Tabela TRT'!J63</f>
        <v>1.0065298227544239</v>
      </c>
      <c r="H28" s="13">
        <f t="shared" si="1"/>
        <v>106.13124831152351</v>
      </c>
    </row>
    <row r="29" spans="1:14" s="192" customFormat="1" ht="12.75" customHeight="1" x14ac:dyDescent="0.2">
      <c r="A29" s="27">
        <v>40817</v>
      </c>
      <c r="B29" s="13">
        <v>1435.72</v>
      </c>
      <c r="C29" s="254"/>
      <c r="D29" s="261"/>
      <c r="E29" s="258">
        <f t="shared" si="2"/>
        <v>1472.7927260000001</v>
      </c>
      <c r="F29" s="13">
        <f t="shared" si="0"/>
        <v>37.072726000000102</v>
      </c>
      <c r="G29" s="173">
        <f>'Anexo 8 Tabela TRT'!J64</f>
        <v>1.0059061609346447</v>
      </c>
      <c r="H29" s="13">
        <f t="shared" si="1"/>
        <v>37.291683486042089</v>
      </c>
    </row>
    <row r="30" spans="1:14" s="192" customFormat="1" ht="12.75" customHeight="1" x14ac:dyDescent="0.2">
      <c r="A30" s="27">
        <v>40848</v>
      </c>
      <c r="B30" s="13">
        <v>1435.72</v>
      </c>
      <c r="C30" s="254"/>
      <c r="D30" s="261"/>
      <c r="E30" s="258">
        <f t="shared" si="2"/>
        <v>1472.7927260000001</v>
      </c>
      <c r="F30" s="13">
        <f t="shared" si="0"/>
        <v>37.072726000000102</v>
      </c>
      <c r="G30" s="173">
        <f>'Anexo 8 Tabela TRT'!J65</f>
        <v>1.0052577696732055</v>
      </c>
      <c r="H30" s="13">
        <f t="shared" si="1"/>
        <v>37.267645854465961</v>
      </c>
    </row>
    <row r="31" spans="1:14" s="192" customFormat="1" ht="12.75" customHeight="1" x14ac:dyDescent="0.2">
      <c r="A31" s="27">
        <v>40878</v>
      </c>
      <c r="B31" s="13">
        <v>1435.72</v>
      </c>
      <c r="C31" s="254"/>
      <c r="D31" s="261"/>
      <c r="E31" s="258">
        <f t="shared" si="2"/>
        <v>1472.7927260000001</v>
      </c>
      <c r="F31" s="13">
        <f t="shared" si="0"/>
        <v>37.072726000000102</v>
      </c>
      <c r="G31" s="173">
        <f>'Anexo 8 Tabela TRT'!K54</f>
        <v>1.004316724901972</v>
      </c>
      <c r="H31" s="13">
        <f t="shared" si="1"/>
        <v>37.232758759508286</v>
      </c>
    </row>
    <row r="32" spans="1:14" s="192" customFormat="1" ht="12.75" customHeight="1" x14ac:dyDescent="0.2">
      <c r="A32" s="27">
        <v>40909</v>
      </c>
      <c r="B32" s="13">
        <v>1435.72</v>
      </c>
      <c r="C32" s="254"/>
      <c r="D32" s="261"/>
      <c r="E32" s="258">
        <f t="shared" si="2"/>
        <v>1472.7927260000001</v>
      </c>
      <c r="F32" s="13">
        <f t="shared" ref="F32:F35" si="3">E32-B32</f>
        <v>37.072726000000102</v>
      </c>
      <c r="G32" s="173">
        <f>'Anexo 8 Tabela TRT'!K55</f>
        <v>1.0034497443228774</v>
      </c>
      <c r="H32" s="13">
        <f t="shared" si="1"/>
        <v>37.20061742605219</v>
      </c>
    </row>
    <row r="33" spans="1:13" s="192" customFormat="1" ht="12.75" customHeight="1" x14ac:dyDescent="0.2">
      <c r="A33" s="27">
        <v>40940</v>
      </c>
      <c r="B33" s="13">
        <v>1435.72</v>
      </c>
      <c r="C33" s="254"/>
      <c r="D33" s="261"/>
      <c r="E33" s="258">
        <f t="shared" si="2"/>
        <v>1472.7927260000001</v>
      </c>
      <c r="F33" s="13">
        <f t="shared" si="3"/>
        <v>37.072726000000102</v>
      </c>
      <c r="G33" s="173">
        <f>'Anexo 8 Tabela TRT'!K56</f>
        <v>1.0034497443228774</v>
      </c>
      <c r="H33" s="13">
        <f t="shared" si="1"/>
        <v>37.20061742605219</v>
      </c>
    </row>
    <row r="34" spans="1:13" s="192" customFormat="1" ht="12.75" customHeight="1" x14ac:dyDescent="0.2">
      <c r="A34" s="27">
        <v>40969</v>
      </c>
      <c r="B34" s="13">
        <v>1435.72</v>
      </c>
      <c r="C34" s="254"/>
      <c r="D34" s="261"/>
      <c r="E34" s="258">
        <f t="shared" si="2"/>
        <v>1472.7927260000001</v>
      </c>
      <c r="F34" s="13">
        <f t="shared" si="3"/>
        <v>37.072726000000102</v>
      </c>
      <c r="G34" s="173">
        <f>'Anexo 8 Tabela TRT'!K57</f>
        <v>1.0023792033337171</v>
      </c>
      <c r="H34" s="13">
        <f t="shared" si="1"/>
        <v>37.160929553289286</v>
      </c>
      <c r="J34"/>
      <c r="K34"/>
      <c r="L34"/>
      <c r="M34"/>
    </row>
    <row r="35" spans="1:13" s="192" customFormat="1" ht="12.75" customHeight="1" x14ac:dyDescent="0.2">
      <c r="A35" s="273">
        <v>41024</v>
      </c>
      <c r="B35" s="13">
        <f>1435.72/30*25</f>
        <v>1196.4333333333334</v>
      </c>
      <c r="C35" s="254"/>
      <c r="D35" s="261"/>
      <c r="E35" s="258">
        <f>E34/30*25</f>
        <v>1227.3272716666668</v>
      </c>
      <c r="F35" s="13">
        <f t="shared" si="3"/>
        <v>30.893938333333381</v>
      </c>
      <c r="G35" s="173">
        <f>'Anexo 8 Tabela TRT'!K58</f>
        <v>1.0021517148944361</v>
      </c>
      <c r="H35" s="13">
        <f t="shared" si="1"/>
        <v>30.960413280593006</v>
      </c>
      <c r="J35"/>
      <c r="K35"/>
      <c r="L35"/>
      <c r="M35"/>
    </row>
    <row r="36" spans="1:13" s="192" customFormat="1" ht="12.75" customHeight="1" x14ac:dyDescent="0.2">
      <c r="A36" s="381" t="s">
        <v>219</v>
      </c>
      <c r="B36" s="382"/>
      <c r="C36" s="382"/>
      <c r="D36" s="382"/>
      <c r="E36" s="383"/>
      <c r="F36" s="13">
        <v>92.65</v>
      </c>
      <c r="G36" s="173">
        <f>G35</f>
        <v>1.0021517148944361</v>
      </c>
      <c r="H36" s="13">
        <f t="shared" si="1"/>
        <v>92.849356384969511</v>
      </c>
      <c r="J36"/>
      <c r="K36"/>
      <c r="L36"/>
      <c r="M36"/>
    </row>
    <row r="37" spans="1:13" s="16" customFormat="1" x14ac:dyDescent="0.2">
      <c r="A37" s="378" t="s">
        <v>122</v>
      </c>
      <c r="B37" s="379"/>
      <c r="C37" s="379"/>
      <c r="D37" s="379"/>
      <c r="E37" s="379"/>
      <c r="F37" s="379"/>
      <c r="G37" s="379"/>
      <c r="H37" s="115">
        <f>SUM(H13:H36)</f>
        <v>1057.3982056172201</v>
      </c>
      <c r="J37"/>
      <c r="K37"/>
      <c r="L37"/>
      <c r="M37"/>
    </row>
    <row r="38" spans="1:13" x14ac:dyDescent="0.2">
      <c r="F38" s="175"/>
      <c r="G38" s="175"/>
      <c r="H38" s="175"/>
      <c r="J38"/>
      <c r="K38"/>
      <c r="L38"/>
      <c r="M38"/>
    </row>
    <row r="39" spans="1:13" ht="12.75" customHeight="1" x14ac:dyDescent="0.2">
      <c r="F39" s="175"/>
      <c r="G39" s="175"/>
      <c r="H39" s="175"/>
      <c r="J39"/>
      <c r="K39"/>
      <c r="L39"/>
      <c r="M39"/>
    </row>
    <row r="40" spans="1:13" x14ac:dyDescent="0.2">
      <c r="F40" s="175"/>
      <c r="G40" s="175"/>
      <c r="H40" s="175"/>
      <c r="J40"/>
      <c r="K40"/>
      <c r="L40"/>
      <c r="M40"/>
    </row>
    <row r="41" spans="1:13" x14ac:dyDescent="0.2">
      <c r="F41" s="175"/>
      <c r="G41" s="175"/>
      <c r="H41" s="175"/>
      <c r="J41"/>
      <c r="K41"/>
      <c r="L41"/>
      <c r="M41"/>
    </row>
    <row r="42" spans="1:13" x14ac:dyDescent="0.2">
      <c r="F42" s="175"/>
      <c r="G42" s="175"/>
      <c r="H42" s="175"/>
      <c r="J42"/>
      <c r="K42"/>
      <c r="L42"/>
      <c r="M42"/>
    </row>
    <row r="43" spans="1:13" x14ac:dyDescent="0.2">
      <c r="F43" s="175"/>
      <c r="G43" s="175"/>
      <c r="H43" s="175"/>
      <c r="J43"/>
      <c r="K43"/>
      <c r="L43"/>
      <c r="M43"/>
    </row>
    <row r="44" spans="1:13" x14ac:dyDescent="0.2">
      <c r="F44" s="175"/>
      <c r="G44" s="175"/>
      <c r="H44" s="175"/>
      <c r="J44"/>
      <c r="K44"/>
      <c r="L44"/>
      <c r="M44"/>
    </row>
    <row r="45" spans="1:13" x14ac:dyDescent="0.2">
      <c r="F45" s="175"/>
      <c r="G45" s="175"/>
      <c r="H45" s="175"/>
      <c r="J45"/>
      <c r="K45"/>
      <c r="L45"/>
      <c r="M45"/>
    </row>
    <row r="46" spans="1:13" x14ac:dyDescent="0.2">
      <c r="F46" s="175"/>
      <c r="G46" s="175"/>
      <c r="H46" s="175"/>
      <c r="J46"/>
      <c r="K46"/>
      <c r="L46"/>
      <c r="M46"/>
    </row>
    <row r="47" spans="1:13" x14ac:dyDescent="0.2">
      <c r="F47" s="175"/>
      <c r="G47" s="175"/>
      <c r="H47" s="175"/>
      <c r="J47"/>
      <c r="K47"/>
      <c r="L47"/>
      <c r="M47"/>
    </row>
    <row r="48" spans="1:13" ht="12.75" customHeight="1" x14ac:dyDescent="0.2">
      <c r="F48" s="175"/>
      <c r="G48" s="175"/>
      <c r="H48" s="175"/>
    </row>
    <row r="49" spans="6:8" x14ac:dyDescent="0.2">
      <c r="F49" s="175"/>
      <c r="G49" s="175"/>
      <c r="H49" s="175"/>
    </row>
    <row r="50" spans="6:8" x14ac:dyDescent="0.2">
      <c r="F50" s="175"/>
      <c r="G50" s="175"/>
      <c r="H50" s="175"/>
    </row>
    <row r="51" spans="6:8" x14ac:dyDescent="0.2">
      <c r="F51" s="175"/>
      <c r="G51" s="175"/>
      <c r="H51" s="175"/>
    </row>
    <row r="52" spans="6:8" x14ac:dyDescent="0.2">
      <c r="F52" s="175"/>
      <c r="G52" s="175"/>
      <c r="H52" s="175"/>
    </row>
    <row r="53" spans="6:8" x14ac:dyDescent="0.2">
      <c r="F53" s="175"/>
      <c r="G53" s="175"/>
      <c r="H53" s="175"/>
    </row>
    <row r="54" spans="6:8" x14ac:dyDescent="0.2">
      <c r="F54" s="175"/>
      <c r="G54" s="175"/>
      <c r="H54" s="175"/>
    </row>
    <row r="55" spans="6:8" x14ac:dyDescent="0.2">
      <c r="F55" s="175"/>
      <c r="G55" s="175"/>
      <c r="H55" s="175"/>
    </row>
    <row r="56" spans="6:8" x14ac:dyDescent="0.2">
      <c r="F56" s="175"/>
      <c r="G56" s="175"/>
      <c r="H56" s="175"/>
    </row>
    <row r="57" spans="6:8" x14ac:dyDescent="0.2">
      <c r="F57" s="175"/>
      <c r="G57" s="175"/>
      <c r="H57" s="175"/>
    </row>
    <row r="58" spans="6:8" x14ac:dyDescent="0.2">
      <c r="F58" s="175"/>
      <c r="G58" s="175"/>
      <c r="H58" s="175"/>
    </row>
    <row r="59" spans="6:8" x14ac:dyDescent="0.2">
      <c r="F59" s="175"/>
      <c r="G59" s="175"/>
      <c r="H59" s="175"/>
    </row>
    <row r="60" spans="6:8" x14ac:dyDescent="0.2">
      <c r="F60" s="175"/>
      <c r="G60" s="175"/>
      <c r="H60" s="175"/>
    </row>
    <row r="61" spans="6:8" x14ac:dyDescent="0.2">
      <c r="F61" s="175"/>
      <c r="G61" s="175"/>
      <c r="H61" s="175"/>
    </row>
  </sheetData>
  <mergeCells count="14">
    <mergeCell ref="A37:G37"/>
    <mergeCell ref="G9:H9"/>
    <mergeCell ref="G10:G11"/>
    <mergeCell ref="F9:F11"/>
    <mergeCell ref="A36:E36"/>
    <mergeCell ref="J16:N20"/>
    <mergeCell ref="A6:H6"/>
    <mergeCell ref="A7:H7"/>
    <mergeCell ref="A9:A11"/>
    <mergeCell ref="B9:B11"/>
    <mergeCell ref="C9:C11"/>
    <mergeCell ref="D9:D11"/>
    <mergeCell ref="E9:E11"/>
    <mergeCell ref="H10:H11"/>
  </mergeCells>
  <printOptions horizontalCentered="1"/>
  <pageMargins left="1.1811023622047245" right="0.51181102362204722" top="0.78740157480314965" bottom="0.78740157480314965" header="0.31496062992125984" footer="0.31496062992125984"/>
  <pageSetup paperSize="9" orientation="portrait" horizontalDpi="0" verticalDpi="0" r:id="rId1"/>
  <headerFooter>
    <oddFooter>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X105"/>
  <sheetViews>
    <sheetView workbookViewId="0">
      <selection activeCell="G10" sqref="G10:G11"/>
    </sheetView>
  </sheetViews>
  <sheetFormatPr defaultRowHeight="12.75" x14ac:dyDescent="0.2"/>
  <cols>
    <col min="1" max="1" width="10.42578125" style="175" customWidth="1"/>
    <col min="2" max="2" width="9.85546875" style="213" customWidth="1"/>
    <col min="3" max="3" width="5.5703125" style="175" customWidth="1"/>
    <col min="4" max="5" width="5.85546875" style="190" customWidth="1"/>
    <col min="6" max="6" width="5.7109375" style="190" customWidth="1"/>
    <col min="7" max="7" width="7.85546875" style="190" customWidth="1"/>
    <col min="8" max="8" width="7" style="190" customWidth="1"/>
    <col min="9" max="9" width="7.85546875" style="275" customWidth="1"/>
    <col min="10" max="10" width="7" style="190" customWidth="1"/>
    <col min="11" max="11" width="8.28515625" style="190" customWidth="1"/>
    <col min="12" max="12" width="7.140625" style="190" customWidth="1"/>
    <col min="13" max="14" width="7.5703125" style="190" customWidth="1"/>
    <col min="15" max="15" width="8.42578125" style="190" customWidth="1"/>
    <col min="16" max="16" width="4.85546875" style="191" customWidth="1"/>
    <col min="17" max="17" width="4.7109375" style="191" customWidth="1"/>
    <col min="18" max="18" width="6.7109375" style="190" customWidth="1"/>
    <col min="19" max="19" width="8.42578125" style="190" customWidth="1"/>
    <col min="20" max="20" width="10.5703125" style="190" customWidth="1"/>
    <col min="21" max="21" width="8.85546875" style="190" customWidth="1"/>
    <col min="22" max="22" width="9" style="190" customWidth="1"/>
    <col min="23" max="23" width="9.140625" style="175"/>
    <col min="24" max="24" width="11.5703125" style="175" bestFit="1" customWidth="1"/>
    <col min="25" max="16384" width="9.140625" style="175"/>
  </cols>
  <sheetData>
    <row r="1" spans="1:23" s="8" customFormat="1" x14ac:dyDescent="0.2">
      <c r="A1" s="6" t="s">
        <v>42</v>
      </c>
      <c r="C1"/>
      <c r="D1" s="6"/>
      <c r="E1" s="6"/>
      <c r="F1" s="6"/>
      <c r="G1" s="6"/>
      <c r="H1" s="6"/>
      <c r="I1" s="274"/>
      <c r="J1" s="6"/>
      <c r="P1" s="119"/>
      <c r="Q1" s="119"/>
      <c r="R1" s="7"/>
    </row>
    <row r="2" spans="1:23" s="8" customFormat="1" x14ac:dyDescent="0.2">
      <c r="A2" s="6" t="s">
        <v>43</v>
      </c>
      <c r="C2"/>
      <c r="D2" s="6"/>
      <c r="E2" s="6"/>
      <c r="F2" s="6"/>
      <c r="G2" s="6"/>
      <c r="H2" s="6"/>
      <c r="I2" s="274"/>
      <c r="J2" s="6"/>
      <c r="P2" s="119"/>
      <c r="Q2" s="119"/>
      <c r="R2" s="7"/>
    </row>
    <row r="3" spans="1:23" s="8" customFormat="1" x14ac:dyDescent="0.2">
      <c r="A3" s="6" t="s">
        <v>44</v>
      </c>
      <c r="C3"/>
      <c r="D3" s="6"/>
      <c r="E3" s="6"/>
      <c r="F3" s="6"/>
      <c r="G3" s="6"/>
      <c r="H3" s="6"/>
      <c r="I3" s="274"/>
      <c r="J3" s="6"/>
      <c r="P3" s="119"/>
      <c r="Q3" s="119"/>
      <c r="R3" s="7"/>
    </row>
    <row r="4" spans="1:23" s="8" customFormat="1" x14ac:dyDescent="0.2">
      <c r="A4" s="6" t="s">
        <v>45</v>
      </c>
      <c r="C4"/>
      <c r="D4" s="182"/>
      <c r="E4" s="182"/>
      <c r="F4" s="182"/>
      <c r="G4" s="6"/>
      <c r="H4" s="6"/>
      <c r="I4" s="274"/>
      <c r="J4" s="6"/>
      <c r="P4" s="119"/>
      <c r="Q4" s="119"/>
      <c r="R4" s="7"/>
    </row>
    <row r="5" spans="1:23" ht="13.5" thickBot="1" x14ac:dyDescent="0.25">
      <c r="A5" s="29"/>
      <c r="B5" s="212"/>
      <c r="C5" s="31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2"/>
      <c r="Q5" s="32"/>
      <c r="R5" s="30"/>
      <c r="S5" s="30"/>
    </row>
    <row r="6" spans="1:23" ht="17.25" customHeight="1" thickTop="1" x14ac:dyDescent="0.2">
      <c r="A6" s="361" t="s">
        <v>238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3"/>
    </row>
    <row r="7" spans="1:23" ht="15.75" customHeight="1" thickBot="1" x14ac:dyDescent="0.25">
      <c r="A7" s="364" t="s">
        <v>99</v>
      </c>
      <c r="B7" s="365"/>
      <c r="C7" s="365"/>
      <c r="D7" s="365"/>
      <c r="E7" s="365"/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5"/>
      <c r="R7" s="365"/>
      <c r="S7" s="365"/>
      <c r="T7" s="365"/>
      <c r="U7" s="365"/>
      <c r="V7" s="366"/>
    </row>
    <row r="8" spans="1:23" ht="13.5" thickTop="1" x14ac:dyDescent="0.2"/>
    <row r="9" spans="1:23" s="9" customFormat="1" ht="56.25" customHeight="1" x14ac:dyDescent="0.2">
      <c r="A9" s="367" t="s">
        <v>56</v>
      </c>
      <c r="B9" s="370" t="s">
        <v>239</v>
      </c>
      <c r="C9" s="367" t="s">
        <v>121</v>
      </c>
      <c r="D9" s="370" t="s">
        <v>57</v>
      </c>
      <c r="E9" s="373" t="s">
        <v>192</v>
      </c>
      <c r="F9" s="373" t="s">
        <v>193</v>
      </c>
      <c r="G9" s="380" t="s">
        <v>194</v>
      </c>
      <c r="H9" s="380"/>
      <c r="I9" s="380" t="s">
        <v>195</v>
      </c>
      <c r="J9" s="380"/>
      <c r="K9" s="380" t="s">
        <v>197</v>
      </c>
      <c r="L9" s="380"/>
      <c r="M9" s="370" t="s">
        <v>198</v>
      </c>
      <c r="N9" s="370" t="s">
        <v>199</v>
      </c>
      <c r="O9" s="370" t="s">
        <v>200</v>
      </c>
      <c r="P9" s="386" t="s">
        <v>72</v>
      </c>
      <c r="Q9" s="387"/>
      <c r="R9" s="388"/>
      <c r="S9" s="370" t="s">
        <v>201</v>
      </c>
      <c r="T9" s="380" t="s">
        <v>222</v>
      </c>
      <c r="U9" s="380"/>
      <c r="V9" s="376" t="s">
        <v>141</v>
      </c>
    </row>
    <row r="10" spans="1:23" s="9" customFormat="1" ht="29.25" customHeight="1" x14ac:dyDescent="0.2">
      <c r="A10" s="368"/>
      <c r="B10" s="371"/>
      <c r="C10" s="368"/>
      <c r="D10" s="371"/>
      <c r="E10" s="374"/>
      <c r="F10" s="374"/>
      <c r="G10" s="384" t="s">
        <v>196</v>
      </c>
      <c r="H10" s="370" t="s">
        <v>58</v>
      </c>
      <c r="I10" s="384" t="s">
        <v>196</v>
      </c>
      <c r="J10" s="370" t="s">
        <v>58</v>
      </c>
      <c r="K10" s="384" t="s">
        <v>196</v>
      </c>
      <c r="L10" s="370" t="s">
        <v>58</v>
      </c>
      <c r="M10" s="371"/>
      <c r="N10" s="371"/>
      <c r="O10" s="371"/>
      <c r="P10" s="390" t="s">
        <v>73</v>
      </c>
      <c r="Q10" s="392" t="s">
        <v>140</v>
      </c>
      <c r="R10" s="370" t="s">
        <v>74</v>
      </c>
      <c r="S10" s="371"/>
      <c r="T10" s="370" t="s">
        <v>18</v>
      </c>
      <c r="U10" s="376" t="s">
        <v>59</v>
      </c>
      <c r="V10" s="389"/>
    </row>
    <row r="11" spans="1:23" s="9" customFormat="1" ht="12" customHeight="1" x14ac:dyDescent="0.2">
      <c r="A11" s="369"/>
      <c r="B11" s="372"/>
      <c r="C11" s="369"/>
      <c r="D11" s="372"/>
      <c r="E11" s="375"/>
      <c r="F11" s="375"/>
      <c r="G11" s="385"/>
      <c r="H11" s="372"/>
      <c r="I11" s="385"/>
      <c r="J11" s="372"/>
      <c r="K11" s="385"/>
      <c r="L11" s="372"/>
      <c r="M11" s="372"/>
      <c r="N11" s="372"/>
      <c r="O11" s="372"/>
      <c r="P11" s="391"/>
      <c r="Q11" s="393"/>
      <c r="R11" s="372"/>
      <c r="S11" s="372"/>
      <c r="T11" s="372"/>
      <c r="U11" s="377"/>
      <c r="V11" s="377"/>
    </row>
    <row r="12" spans="1:23" ht="12" customHeight="1" x14ac:dyDescent="0.2">
      <c r="A12" s="187" t="s">
        <v>25</v>
      </c>
      <c r="B12" s="195" t="s">
        <v>26</v>
      </c>
      <c r="C12" s="187" t="s">
        <v>27</v>
      </c>
      <c r="D12" s="195" t="s">
        <v>28</v>
      </c>
      <c r="E12" s="187" t="s">
        <v>29</v>
      </c>
      <c r="F12" s="195" t="s">
        <v>52</v>
      </c>
      <c r="G12" s="187" t="s">
        <v>53</v>
      </c>
      <c r="H12" s="195" t="s">
        <v>54</v>
      </c>
      <c r="I12" s="187" t="s">
        <v>55</v>
      </c>
      <c r="J12" s="195" t="s">
        <v>60</v>
      </c>
      <c r="K12" s="187" t="s">
        <v>61</v>
      </c>
      <c r="L12" s="195" t="s">
        <v>62</v>
      </c>
      <c r="M12" s="187" t="s">
        <v>63</v>
      </c>
      <c r="N12" s="195" t="s">
        <v>64</v>
      </c>
      <c r="O12" s="187" t="s">
        <v>65</v>
      </c>
      <c r="P12" s="195" t="s">
        <v>66</v>
      </c>
      <c r="Q12" s="187" t="s">
        <v>67</v>
      </c>
      <c r="R12" s="195" t="s">
        <v>68</v>
      </c>
      <c r="S12" s="187" t="s">
        <v>109</v>
      </c>
      <c r="T12" s="195" t="s">
        <v>123</v>
      </c>
      <c r="U12" s="187" t="s">
        <v>124</v>
      </c>
      <c r="V12" s="195" t="s">
        <v>149</v>
      </c>
      <c r="W12" s="9"/>
    </row>
    <row r="13" spans="1:23" s="192" customFormat="1" ht="12.75" customHeight="1" x14ac:dyDescent="0.2">
      <c r="A13" s="27">
        <v>39234</v>
      </c>
      <c r="B13" s="13">
        <v>850.9</v>
      </c>
      <c r="C13" s="28">
        <v>220</v>
      </c>
      <c r="D13" s="13">
        <f>B13/C13</f>
        <v>3.8677272727272727</v>
      </c>
      <c r="E13" s="13">
        <f>D13*1.6</f>
        <v>6.1883636363636363</v>
      </c>
      <c r="F13" s="13">
        <f>D13*1.9</f>
        <v>7.3486818181818174</v>
      </c>
      <c r="G13" s="184">
        <v>17.550000000000004</v>
      </c>
      <c r="H13" s="185">
        <f>E13*G13</f>
        <v>108.60578181818184</v>
      </c>
      <c r="I13" s="319">
        <v>0</v>
      </c>
      <c r="J13" s="185">
        <f>F13*I13</f>
        <v>0</v>
      </c>
      <c r="K13" s="317">
        <v>14</v>
      </c>
      <c r="L13" s="185">
        <f>E13*K13</f>
        <v>86.637090909090915</v>
      </c>
      <c r="M13" s="185">
        <f>H13+J13+L13</f>
        <v>195.24287272727275</v>
      </c>
      <c r="N13" s="185">
        <v>77.28</v>
      </c>
      <c r="O13" s="185">
        <f>M13-N13</f>
        <v>117.96287272727275</v>
      </c>
      <c r="P13" s="14">
        <v>25</v>
      </c>
      <c r="Q13" s="14">
        <v>5</v>
      </c>
      <c r="R13" s="13">
        <f>O13/P13*Q13</f>
        <v>23.59257454545455</v>
      </c>
      <c r="S13" s="13">
        <f>O13+R13</f>
        <v>141.55544727272729</v>
      </c>
      <c r="T13" s="173">
        <f>'Anexo 8 Tabela TRT'!F60</f>
        <v>1.0534969804862349</v>
      </c>
      <c r="U13" s="13">
        <f>S13*T13</f>
        <v>149.12823627319662</v>
      </c>
      <c r="V13" s="13">
        <f>U13*11.2%</f>
        <v>16.702362462598021</v>
      </c>
    </row>
    <row r="14" spans="1:23" s="192" customFormat="1" ht="12.75" customHeight="1" x14ac:dyDescent="0.2">
      <c r="A14" s="27">
        <v>39264</v>
      </c>
      <c r="B14" s="13">
        <v>850.9</v>
      </c>
      <c r="C14" s="28">
        <v>220</v>
      </c>
      <c r="D14" s="13">
        <f t="shared" ref="D14:D25" si="0">B14/C14</f>
        <v>3.8677272727272727</v>
      </c>
      <c r="E14" s="13">
        <f t="shared" ref="E14:E25" si="1">D14*1.6</f>
        <v>6.1883636363636363</v>
      </c>
      <c r="F14" s="13">
        <f t="shared" ref="F14:F25" si="2">D14*1.9</f>
        <v>7.3486818181818174</v>
      </c>
      <c r="G14" s="319">
        <v>30.81666666666667</v>
      </c>
      <c r="H14" s="185">
        <f t="shared" ref="H14:H77" si="3">E14*G14</f>
        <v>190.70473939393941</v>
      </c>
      <c r="I14" s="319">
        <v>2.3833333333333333</v>
      </c>
      <c r="J14" s="185">
        <f t="shared" ref="J14:J77" si="4">F14*I14</f>
        <v>17.51435833333333</v>
      </c>
      <c r="K14" s="319">
        <v>22</v>
      </c>
      <c r="L14" s="185">
        <f t="shared" ref="L14:L77" si="5">E14*K14</f>
        <v>136.14400000000001</v>
      </c>
      <c r="M14" s="185">
        <f t="shared" ref="M14:M77" si="6">H14+J14+L14</f>
        <v>344.3630977272727</v>
      </c>
      <c r="N14" s="185">
        <v>0</v>
      </c>
      <c r="O14" s="185">
        <f t="shared" ref="O14:O77" si="7">M14-N14</f>
        <v>344.3630977272727</v>
      </c>
      <c r="P14" s="14">
        <v>26</v>
      </c>
      <c r="Q14" s="14">
        <v>5</v>
      </c>
      <c r="R14" s="13">
        <f t="shared" ref="R14:R19" si="8">O14/P14*Q14</f>
        <v>66.223672639860126</v>
      </c>
      <c r="S14" s="13">
        <f t="shared" ref="S14:S77" si="9">O14+R14</f>
        <v>410.58677036713283</v>
      </c>
      <c r="T14" s="173">
        <f>'Anexo 8 Tabela TRT'!F61</f>
        <v>1.0519516634925645</v>
      </c>
      <c r="U14" s="13">
        <f t="shared" ref="U14:U77" si="10">S14*T14</f>
        <v>431.91743609574496</v>
      </c>
      <c r="V14" s="13">
        <f t="shared" ref="V14:V77" si="11">U14*11.2%</f>
        <v>48.374752842723431</v>
      </c>
    </row>
    <row r="15" spans="1:23" s="192" customFormat="1" ht="12.75" customHeight="1" x14ac:dyDescent="0.2">
      <c r="A15" s="27">
        <v>39295</v>
      </c>
      <c r="B15" s="13">
        <v>893.37</v>
      </c>
      <c r="C15" s="28">
        <v>220</v>
      </c>
      <c r="D15" s="13">
        <f t="shared" si="0"/>
        <v>4.0607727272727274</v>
      </c>
      <c r="E15" s="13">
        <f t="shared" si="1"/>
        <v>6.4972363636363646</v>
      </c>
      <c r="F15" s="13">
        <f t="shared" si="2"/>
        <v>7.7154681818181814</v>
      </c>
      <c r="G15" s="319">
        <v>31.716666666666665</v>
      </c>
      <c r="H15" s="185">
        <f t="shared" si="3"/>
        <v>206.07068000000001</v>
      </c>
      <c r="I15" s="319">
        <v>0.5</v>
      </c>
      <c r="J15" s="185">
        <f t="shared" si="4"/>
        <v>3.8577340909090907</v>
      </c>
      <c r="K15" s="319">
        <v>22</v>
      </c>
      <c r="L15" s="185">
        <f t="shared" si="5"/>
        <v>142.93920000000003</v>
      </c>
      <c r="M15" s="185">
        <f t="shared" si="6"/>
        <v>352.86761409090911</v>
      </c>
      <c r="N15" s="185">
        <v>0</v>
      </c>
      <c r="O15" s="185">
        <f t="shared" si="7"/>
        <v>352.86761409090911</v>
      </c>
      <c r="P15" s="14">
        <v>26</v>
      </c>
      <c r="Q15" s="14">
        <v>5</v>
      </c>
      <c r="R15" s="13">
        <f t="shared" si="8"/>
        <v>67.859156555944068</v>
      </c>
      <c r="S15" s="13">
        <f t="shared" si="9"/>
        <v>420.7267706468532</v>
      </c>
      <c r="T15" s="173">
        <f>'Anexo 8 Tabela TRT'!F62</f>
        <v>1.0504117598526204</v>
      </c>
      <c r="U15" s="13">
        <f t="shared" si="10"/>
        <v>441.93634757227085</v>
      </c>
      <c r="V15" s="13">
        <f t="shared" si="11"/>
        <v>49.496870928094332</v>
      </c>
    </row>
    <row r="16" spans="1:23" s="192" customFormat="1" ht="12.75" customHeight="1" x14ac:dyDescent="0.2">
      <c r="A16" s="27">
        <v>39326</v>
      </c>
      <c r="B16" s="13">
        <v>893.37</v>
      </c>
      <c r="C16" s="28">
        <v>220</v>
      </c>
      <c r="D16" s="13">
        <f t="shared" si="0"/>
        <v>4.0607727272727274</v>
      </c>
      <c r="E16" s="13">
        <f t="shared" si="1"/>
        <v>6.4972363636363646</v>
      </c>
      <c r="F16" s="13">
        <f t="shared" si="2"/>
        <v>7.7154681818181814</v>
      </c>
      <c r="G16" s="319">
        <v>30.1</v>
      </c>
      <c r="H16" s="185">
        <f t="shared" si="3"/>
        <v>195.56681454545458</v>
      </c>
      <c r="I16" s="319">
        <v>2.9333333333333331</v>
      </c>
      <c r="J16" s="185">
        <f t="shared" si="4"/>
        <v>22.632039999999996</v>
      </c>
      <c r="K16" s="319">
        <v>19</v>
      </c>
      <c r="L16" s="185">
        <f t="shared" si="5"/>
        <v>123.44749090909093</v>
      </c>
      <c r="M16" s="185">
        <f t="shared" si="6"/>
        <v>341.6463454545455</v>
      </c>
      <c r="N16" s="185">
        <v>14.01</v>
      </c>
      <c r="O16" s="185">
        <f t="shared" si="7"/>
        <v>327.63634545454551</v>
      </c>
      <c r="P16" s="14">
        <v>24</v>
      </c>
      <c r="Q16" s="14">
        <v>6</v>
      </c>
      <c r="R16" s="13">
        <f t="shared" si="8"/>
        <v>81.909086363636376</v>
      </c>
      <c r="S16" s="13">
        <f t="shared" si="9"/>
        <v>409.5454318181819</v>
      </c>
      <c r="T16" s="173">
        <f>'Anexo 8 Tabela TRT'!F63</f>
        <v>1.0500421450175739</v>
      </c>
      <c r="U16" s="13">
        <f t="shared" si="10"/>
        <v>430.03996370851229</v>
      </c>
      <c r="V16" s="13">
        <f t="shared" si="11"/>
        <v>48.164475935353373</v>
      </c>
    </row>
    <row r="17" spans="1:22" s="192" customFormat="1" ht="12.75" customHeight="1" x14ac:dyDescent="0.2">
      <c r="A17" s="27">
        <v>39356</v>
      </c>
      <c r="B17" s="13">
        <v>893.37</v>
      </c>
      <c r="C17" s="28">
        <v>220</v>
      </c>
      <c r="D17" s="13">
        <f t="shared" si="0"/>
        <v>4.0607727272727274</v>
      </c>
      <c r="E17" s="13">
        <f t="shared" si="1"/>
        <v>6.4972363636363646</v>
      </c>
      <c r="F17" s="13">
        <f t="shared" si="2"/>
        <v>7.7154681818181814</v>
      </c>
      <c r="G17" s="319">
        <v>35.416666666666686</v>
      </c>
      <c r="H17" s="185">
        <f t="shared" si="3"/>
        <v>230.1104545454547</v>
      </c>
      <c r="I17" s="319">
        <v>2.1666666666666665</v>
      </c>
      <c r="J17" s="185">
        <f t="shared" si="4"/>
        <v>16.716847727272725</v>
      </c>
      <c r="K17" s="319">
        <v>22</v>
      </c>
      <c r="L17" s="185">
        <f t="shared" si="5"/>
        <v>142.93920000000003</v>
      </c>
      <c r="M17" s="185">
        <f t="shared" si="6"/>
        <v>389.76650227272745</v>
      </c>
      <c r="N17" s="185">
        <v>26.8</v>
      </c>
      <c r="O17" s="185">
        <f t="shared" si="7"/>
        <v>362.96650227272744</v>
      </c>
      <c r="P17" s="14">
        <v>26</v>
      </c>
      <c r="Q17" s="14">
        <v>5</v>
      </c>
      <c r="R17" s="13">
        <f t="shared" si="8"/>
        <v>69.801250437062961</v>
      </c>
      <c r="S17" s="13">
        <f t="shared" si="9"/>
        <v>432.76775270979039</v>
      </c>
      <c r="T17" s="173">
        <f>'Anexo 8 Tabela TRT'!F64</f>
        <v>1.048844364753027</v>
      </c>
      <c r="U17" s="13">
        <f t="shared" si="10"/>
        <v>453.90601867649519</v>
      </c>
      <c r="V17" s="13">
        <f t="shared" si="11"/>
        <v>50.837474091767454</v>
      </c>
    </row>
    <row r="18" spans="1:22" s="192" customFormat="1" ht="12.75" customHeight="1" x14ac:dyDescent="0.2">
      <c r="A18" s="27">
        <v>39387</v>
      </c>
      <c r="B18" s="13">
        <v>893.37</v>
      </c>
      <c r="C18" s="28">
        <v>220</v>
      </c>
      <c r="D18" s="13">
        <f t="shared" si="0"/>
        <v>4.0607727272727274</v>
      </c>
      <c r="E18" s="13">
        <f t="shared" si="1"/>
        <v>6.4972363636363646</v>
      </c>
      <c r="F18" s="13">
        <f t="shared" si="2"/>
        <v>7.7154681818181814</v>
      </c>
      <c r="G18" s="319">
        <v>30.166666666666657</v>
      </c>
      <c r="H18" s="185">
        <f t="shared" si="3"/>
        <v>195.99996363636362</v>
      </c>
      <c r="I18" s="319">
        <v>0.15</v>
      </c>
      <c r="J18" s="185">
        <f t="shared" si="4"/>
        <v>1.1573202272727272</v>
      </c>
      <c r="K18" s="319">
        <v>20</v>
      </c>
      <c r="L18" s="185">
        <f t="shared" si="5"/>
        <v>129.94472727272728</v>
      </c>
      <c r="M18" s="185">
        <f t="shared" si="6"/>
        <v>327.10201113636361</v>
      </c>
      <c r="N18" s="185">
        <v>216.02</v>
      </c>
      <c r="O18" s="185">
        <f t="shared" si="7"/>
        <v>111.0820111363636</v>
      </c>
      <c r="P18" s="14">
        <v>24</v>
      </c>
      <c r="Q18" s="14">
        <v>6</v>
      </c>
      <c r="R18" s="13">
        <f t="shared" si="8"/>
        <v>27.770502784090901</v>
      </c>
      <c r="S18" s="13">
        <f t="shared" si="9"/>
        <v>138.8525139204545</v>
      </c>
      <c r="T18" s="173">
        <f>'Anexo 8 Tabela TRT'!F65</f>
        <v>1.0482259114652615</v>
      </c>
      <c r="U18" s="13">
        <f t="shared" si="10"/>
        <v>145.54880296351132</v>
      </c>
      <c r="V18" s="13">
        <f t="shared" si="11"/>
        <v>16.301465931913267</v>
      </c>
    </row>
    <row r="19" spans="1:22" s="192" customFormat="1" ht="12.75" customHeight="1" x14ac:dyDescent="0.2">
      <c r="A19" s="27">
        <v>39417</v>
      </c>
      <c r="B19" s="13">
        <v>893.37</v>
      </c>
      <c r="C19" s="28">
        <v>220</v>
      </c>
      <c r="D19" s="13">
        <f t="shared" si="0"/>
        <v>4.0607727272727274</v>
      </c>
      <c r="E19" s="13">
        <f t="shared" si="1"/>
        <v>6.4972363636363646</v>
      </c>
      <c r="F19" s="13">
        <f t="shared" si="2"/>
        <v>7.7154681818181814</v>
      </c>
      <c r="G19" s="331">
        <v>12.833333333333339</v>
      </c>
      <c r="H19" s="185">
        <f t="shared" si="3"/>
        <v>83.381200000000049</v>
      </c>
      <c r="I19" s="331">
        <v>0</v>
      </c>
      <c r="J19" s="185">
        <f t="shared" si="4"/>
        <v>0</v>
      </c>
      <c r="K19" s="331">
        <v>10</v>
      </c>
      <c r="L19" s="185">
        <f t="shared" si="5"/>
        <v>64.972363636363639</v>
      </c>
      <c r="M19" s="185">
        <f t="shared" si="6"/>
        <v>148.35356363636367</v>
      </c>
      <c r="N19" s="185">
        <v>0</v>
      </c>
      <c r="O19" s="185">
        <f t="shared" si="7"/>
        <v>148.35356363636367</v>
      </c>
      <c r="P19" s="14">
        <v>24</v>
      </c>
      <c r="Q19" s="14">
        <v>7</v>
      </c>
      <c r="R19" s="13">
        <f t="shared" si="8"/>
        <v>43.269789393939405</v>
      </c>
      <c r="S19" s="13">
        <f t="shared" si="9"/>
        <v>191.62335303030306</v>
      </c>
      <c r="T19" s="173">
        <f>'Anexo 8 Tabela TRT'!G54</f>
        <v>1.0475554759606471</v>
      </c>
      <c r="U19" s="13">
        <f t="shared" si="10"/>
        <v>200.73609278883424</v>
      </c>
      <c r="V19" s="13">
        <f t="shared" si="11"/>
        <v>22.482442392349434</v>
      </c>
    </row>
    <row r="20" spans="1:22" s="193" customFormat="1" ht="19.5" customHeight="1" x14ac:dyDescent="0.2">
      <c r="A20" s="196" t="s">
        <v>171</v>
      </c>
      <c r="B20" s="13">
        <v>893.37</v>
      </c>
      <c r="C20" s="28">
        <v>220</v>
      </c>
      <c r="D20" s="13">
        <f t="shared" si="0"/>
        <v>4.0607727272727274</v>
      </c>
      <c r="E20" s="13">
        <f t="shared" si="1"/>
        <v>6.4972363636363646</v>
      </c>
      <c r="F20" s="13">
        <f t="shared" si="2"/>
        <v>7.7154681818181814</v>
      </c>
      <c r="G20" s="331">
        <f>AVERAGE(G13:G19)*7/12</f>
        <v>15.716666666666669</v>
      </c>
      <c r="H20" s="185">
        <f t="shared" si="3"/>
        <v>102.11489818181821</v>
      </c>
      <c r="I20" s="331">
        <f>AVERAGE(I13:I19)*7/12</f>
        <v>0.6777777777777777</v>
      </c>
      <c r="J20" s="185">
        <f t="shared" si="4"/>
        <v>5.2293728787878777</v>
      </c>
      <c r="K20" s="331">
        <f>AVERAGE(K13:K19)*7/12</f>
        <v>10.75</v>
      </c>
      <c r="L20" s="185">
        <f t="shared" si="5"/>
        <v>69.84529090909092</v>
      </c>
      <c r="M20" s="185">
        <f t="shared" si="6"/>
        <v>177.189561969697</v>
      </c>
      <c r="N20" s="185">
        <v>0</v>
      </c>
      <c r="O20" s="185">
        <f t="shared" si="7"/>
        <v>177.189561969697</v>
      </c>
      <c r="P20" s="211"/>
      <c r="Q20" s="211"/>
      <c r="R20" s="272"/>
      <c r="S20" s="13">
        <f t="shared" si="9"/>
        <v>177.189561969697</v>
      </c>
      <c r="T20" s="173">
        <f>T18</f>
        <v>1.0482259114652615</v>
      </c>
      <c r="U20" s="13">
        <f t="shared" si="10"/>
        <v>185.73469009781607</v>
      </c>
      <c r="V20" s="13">
        <f t="shared" si="11"/>
        <v>20.802285290955396</v>
      </c>
    </row>
    <row r="21" spans="1:22" s="192" customFormat="1" ht="12.75" customHeight="1" x14ac:dyDescent="0.2">
      <c r="A21" s="27">
        <v>39448</v>
      </c>
      <c r="B21" s="13">
        <v>893.37</v>
      </c>
      <c r="C21" s="28">
        <v>220</v>
      </c>
      <c r="D21" s="13">
        <f t="shared" si="0"/>
        <v>4.0607727272727274</v>
      </c>
      <c r="E21" s="13">
        <f t="shared" si="1"/>
        <v>6.4972363636363646</v>
      </c>
      <c r="F21" s="13">
        <f t="shared" si="2"/>
        <v>7.7154681818181814</v>
      </c>
      <c r="G21" s="331">
        <v>26.266666666666687</v>
      </c>
      <c r="H21" s="185">
        <f t="shared" si="3"/>
        <v>170.66074181818198</v>
      </c>
      <c r="I21" s="331">
        <v>2.5666666666666664</v>
      </c>
      <c r="J21" s="185">
        <f t="shared" si="4"/>
        <v>19.803034999999998</v>
      </c>
      <c r="K21" s="331">
        <v>18</v>
      </c>
      <c r="L21" s="185">
        <f t="shared" si="5"/>
        <v>116.95025454545456</v>
      </c>
      <c r="M21" s="185">
        <f t="shared" si="6"/>
        <v>307.41403136363652</v>
      </c>
      <c r="N21" s="185">
        <v>25.88</v>
      </c>
      <c r="O21" s="185">
        <f t="shared" si="7"/>
        <v>281.53403136363653</v>
      </c>
      <c r="P21" s="14">
        <v>26</v>
      </c>
      <c r="Q21" s="14">
        <v>5</v>
      </c>
      <c r="R21" s="13">
        <f t="shared" ref="R21:R80" si="12">O21/P21*Q21</f>
        <v>54.141159877622407</v>
      </c>
      <c r="S21" s="13">
        <f t="shared" si="9"/>
        <v>335.67519124125891</v>
      </c>
      <c r="T21" s="173">
        <f>'Anexo 8 Tabela TRT'!G55</f>
        <v>1.0464985124630584</v>
      </c>
      <c r="U21" s="13">
        <f t="shared" si="10"/>
        <v>351.28358830473007</v>
      </c>
      <c r="V21" s="13">
        <f t="shared" si="11"/>
        <v>39.343761890129763</v>
      </c>
    </row>
    <row r="22" spans="1:22" s="192" customFormat="1" ht="15.75" x14ac:dyDescent="0.2">
      <c r="A22" s="27">
        <v>39479</v>
      </c>
      <c r="B22" s="13">
        <v>893.37</v>
      </c>
      <c r="C22" s="28">
        <v>220</v>
      </c>
      <c r="D22" s="13">
        <f t="shared" si="0"/>
        <v>4.0607727272727274</v>
      </c>
      <c r="E22" s="13">
        <f t="shared" si="1"/>
        <v>6.4972363636363646</v>
      </c>
      <c r="F22" s="13">
        <f t="shared" si="2"/>
        <v>7.7154681818181814</v>
      </c>
      <c r="G22" s="331">
        <v>18.000000000000011</v>
      </c>
      <c r="H22" s="185">
        <f t="shared" si="3"/>
        <v>116.95025454545463</v>
      </c>
      <c r="I22" s="331">
        <v>2</v>
      </c>
      <c r="J22" s="185">
        <f t="shared" si="4"/>
        <v>15.430936363636363</v>
      </c>
      <c r="K22" s="331">
        <v>19</v>
      </c>
      <c r="L22" s="185">
        <f t="shared" si="5"/>
        <v>123.44749090909093</v>
      </c>
      <c r="M22" s="185">
        <f t="shared" si="6"/>
        <v>255.82868181818193</v>
      </c>
      <c r="N22" s="185">
        <v>0</v>
      </c>
      <c r="O22" s="185">
        <f t="shared" si="7"/>
        <v>255.82868181818193</v>
      </c>
      <c r="P22" s="14">
        <v>24</v>
      </c>
      <c r="Q22" s="14">
        <v>5</v>
      </c>
      <c r="R22" s="13">
        <f t="shared" si="12"/>
        <v>53.297642045454566</v>
      </c>
      <c r="S22" s="13">
        <f t="shared" si="9"/>
        <v>309.12632386363651</v>
      </c>
      <c r="T22" s="173">
        <f>'Anexo 8 Tabela TRT'!G56</f>
        <v>1.0462442751042089</v>
      </c>
      <c r="U22" s="13">
        <f t="shared" si="10"/>
        <v>323.42164662633928</v>
      </c>
      <c r="V22" s="13">
        <f t="shared" si="11"/>
        <v>36.223224422149997</v>
      </c>
    </row>
    <row r="23" spans="1:22" s="192" customFormat="1" ht="12.75" customHeight="1" x14ac:dyDescent="0.2">
      <c r="A23" s="27">
        <v>39508</v>
      </c>
      <c r="B23" s="13">
        <v>893.37</v>
      </c>
      <c r="C23" s="28">
        <v>220</v>
      </c>
      <c r="D23" s="13">
        <f t="shared" si="0"/>
        <v>4.0607727272727274</v>
      </c>
      <c r="E23" s="13">
        <f t="shared" si="1"/>
        <v>6.4972363636363646</v>
      </c>
      <c r="F23" s="13">
        <f t="shared" si="2"/>
        <v>7.7154681818181814</v>
      </c>
      <c r="G23" s="331">
        <v>13.499999999999996</v>
      </c>
      <c r="H23" s="185">
        <f t="shared" si="3"/>
        <v>87.712690909090895</v>
      </c>
      <c r="I23" s="331">
        <v>0</v>
      </c>
      <c r="J23" s="185">
        <f t="shared" si="4"/>
        <v>0</v>
      </c>
      <c r="K23" s="331">
        <v>15</v>
      </c>
      <c r="L23" s="185">
        <f t="shared" si="5"/>
        <v>97.458545454545472</v>
      </c>
      <c r="M23" s="185">
        <f t="shared" si="6"/>
        <v>185.17123636363635</v>
      </c>
      <c r="N23" s="185">
        <v>12.18</v>
      </c>
      <c r="O23" s="185">
        <f t="shared" si="7"/>
        <v>172.99123636363635</v>
      </c>
      <c r="P23" s="14">
        <v>25</v>
      </c>
      <c r="Q23" s="14">
        <v>6</v>
      </c>
      <c r="R23" s="13">
        <f t="shared" si="12"/>
        <v>41.517896727272721</v>
      </c>
      <c r="S23" s="13">
        <f t="shared" si="9"/>
        <v>214.50913309090907</v>
      </c>
      <c r="T23" s="173">
        <f>'Anexo 8 Tabela TRT'!G57</f>
        <v>1.0458165361409275</v>
      </c>
      <c r="U23" s="13">
        <f t="shared" si="10"/>
        <v>224.33719853972775</v>
      </c>
      <c r="V23" s="13">
        <f t="shared" si="11"/>
        <v>25.125766236449504</v>
      </c>
    </row>
    <row r="24" spans="1:22" s="192" customFormat="1" ht="12.75" customHeight="1" x14ac:dyDescent="0.2">
      <c r="A24" s="27">
        <v>39539</v>
      </c>
      <c r="B24" s="13">
        <v>955.91</v>
      </c>
      <c r="C24" s="28">
        <v>220</v>
      </c>
      <c r="D24" s="13">
        <f t="shared" si="0"/>
        <v>4.3450454545454544</v>
      </c>
      <c r="E24" s="13">
        <f t="shared" si="1"/>
        <v>6.9520727272727276</v>
      </c>
      <c r="F24" s="13">
        <f t="shared" si="2"/>
        <v>8.2555863636363629</v>
      </c>
      <c r="G24" s="331">
        <v>23.166666666666657</v>
      </c>
      <c r="H24" s="185">
        <f t="shared" si="3"/>
        <v>161.05635151515145</v>
      </c>
      <c r="I24" s="331">
        <v>0</v>
      </c>
      <c r="J24" s="185">
        <f t="shared" si="4"/>
        <v>0</v>
      </c>
      <c r="K24" s="331">
        <v>21</v>
      </c>
      <c r="L24" s="185">
        <f t="shared" si="5"/>
        <v>145.99352727272728</v>
      </c>
      <c r="M24" s="185">
        <f t="shared" si="6"/>
        <v>307.0498787878787</v>
      </c>
      <c r="N24" s="185">
        <v>8.2200000000000006</v>
      </c>
      <c r="O24" s="185">
        <f t="shared" si="7"/>
        <v>298.82987878787867</v>
      </c>
      <c r="P24" s="14">
        <v>25</v>
      </c>
      <c r="Q24" s="14">
        <v>5</v>
      </c>
      <c r="R24" s="13">
        <f t="shared" si="12"/>
        <v>59.765975757575731</v>
      </c>
      <c r="S24" s="13">
        <f t="shared" si="9"/>
        <v>358.59585454545442</v>
      </c>
      <c r="T24" s="173">
        <f>'Anexo 8 Tabela TRT'!G58</f>
        <v>1.0448187342497182</v>
      </c>
      <c r="U24" s="13">
        <f t="shared" si="10"/>
        <v>374.66766685337774</v>
      </c>
      <c r="V24" s="13">
        <f t="shared" si="11"/>
        <v>41.9627786875783</v>
      </c>
    </row>
    <row r="25" spans="1:22" s="193" customFormat="1" ht="12.75" customHeight="1" x14ac:dyDescent="0.2">
      <c r="A25" s="27">
        <v>39569</v>
      </c>
      <c r="B25" s="13">
        <v>955.91</v>
      </c>
      <c r="C25" s="28">
        <v>220</v>
      </c>
      <c r="D25" s="13">
        <f t="shared" si="0"/>
        <v>4.3450454545454544</v>
      </c>
      <c r="E25" s="13">
        <f t="shared" si="1"/>
        <v>6.9520727272727276</v>
      </c>
      <c r="F25" s="13">
        <f t="shared" si="2"/>
        <v>8.2555863636363629</v>
      </c>
      <c r="G25" s="331">
        <v>15.583333333333336</v>
      </c>
      <c r="H25" s="185">
        <f t="shared" si="3"/>
        <v>108.33646666666669</v>
      </c>
      <c r="I25" s="331">
        <v>1.6666666666666666E-2</v>
      </c>
      <c r="J25" s="185">
        <f t="shared" si="4"/>
        <v>0.13759310606060604</v>
      </c>
      <c r="K25" s="331">
        <v>20</v>
      </c>
      <c r="L25" s="185">
        <f t="shared" si="5"/>
        <v>139.04145454545454</v>
      </c>
      <c r="M25" s="185">
        <f t="shared" si="6"/>
        <v>247.51551431818183</v>
      </c>
      <c r="N25" s="185">
        <v>0</v>
      </c>
      <c r="O25" s="185">
        <f t="shared" si="7"/>
        <v>247.51551431818183</v>
      </c>
      <c r="P25" s="14">
        <v>25</v>
      </c>
      <c r="Q25" s="14">
        <v>6</v>
      </c>
      <c r="R25" s="13">
        <f t="shared" si="12"/>
        <v>59.403723436363641</v>
      </c>
      <c r="S25" s="13">
        <f t="shared" si="9"/>
        <v>306.91923775454546</v>
      </c>
      <c r="T25" s="173">
        <f>'Anexo 8 Tabela TRT'!G59</f>
        <v>1.0440503132191898</v>
      </c>
      <c r="U25" s="13">
        <f t="shared" si="10"/>
        <v>320.43912631062818</v>
      </c>
      <c r="V25" s="13">
        <f t="shared" si="11"/>
        <v>35.889182146790354</v>
      </c>
    </row>
    <row r="26" spans="1:22" s="193" customFormat="1" ht="12.75" customHeight="1" x14ac:dyDescent="0.2">
      <c r="A26" s="381" t="s">
        <v>202</v>
      </c>
      <c r="B26" s="382"/>
      <c r="C26" s="382"/>
      <c r="D26" s="382"/>
      <c r="E26" s="382"/>
      <c r="F26" s="383"/>
      <c r="G26" s="331">
        <f>(SUM(G13:G19)+SUM(G21:G25))/12</f>
        <v>23.759722222222223</v>
      </c>
      <c r="H26" s="185">
        <f t="shared" si="3"/>
        <v>0</v>
      </c>
      <c r="I26" s="331">
        <f>(SUM(I13:I19)+SUM(I21:I25))/12</f>
        <v>1.059722222222222</v>
      </c>
      <c r="J26" s="185">
        <f t="shared" si="4"/>
        <v>0</v>
      </c>
      <c r="K26" s="331">
        <f>(SUM(K13:K19)+SUM(K21:K25))/12</f>
        <v>18.5</v>
      </c>
      <c r="L26" s="185">
        <f t="shared" si="5"/>
        <v>0</v>
      </c>
      <c r="M26" s="185">
        <f t="shared" si="6"/>
        <v>0</v>
      </c>
      <c r="N26" s="185">
        <v>0</v>
      </c>
      <c r="O26" s="185">
        <f t="shared" si="7"/>
        <v>0</v>
      </c>
      <c r="P26" s="211"/>
      <c r="Q26" s="211"/>
      <c r="R26" s="272"/>
      <c r="S26" s="13">
        <f t="shared" si="9"/>
        <v>0</v>
      </c>
      <c r="T26" s="173">
        <f>T25</f>
        <v>1.0440503132191898</v>
      </c>
      <c r="U26" s="13">
        <f t="shared" si="10"/>
        <v>0</v>
      </c>
      <c r="V26" s="13">
        <f t="shared" si="11"/>
        <v>0</v>
      </c>
    </row>
    <row r="27" spans="1:22" s="193" customFormat="1" ht="12.75" customHeight="1" x14ac:dyDescent="0.2">
      <c r="A27" s="27">
        <v>39600</v>
      </c>
      <c r="B27" s="13">
        <v>955.91</v>
      </c>
      <c r="C27" s="28">
        <v>220</v>
      </c>
      <c r="D27" s="13">
        <f t="shared" ref="D27:D79" si="13">B27/C27</f>
        <v>4.3450454545454544</v>
      </c>
      <c r="E27" s="13">
        <f t="shared" ref="E27:E80" si="14">D27*1.6</f>
        <v>6.9520727272727276</v>
      </c>
      <c r="F27" s="13">
        <f t="shared" ref="F27:F80" si="15">D27*1.9</f>
        <v>8.2555863636363629</v>
      </c>
      <c r="G27" s="331">
        <v>1.116666666666668</v>
      </c>
      <c r="H27" s="185">
        <f t="shared" si="3"/>
        <v>7.7631478787878887</v>
      </c>
      <c r="I27" s="331">
        <v>0</v>
      </c>
      <c r="J27" s="185">
        <f t="shared" si="4"/>
        <v>0</v>
      </c>
      <c r="K27" s="331">
        <v>1</v>
      </c>
      <c r="L27" s="185">
        <f t="shared" si="5"/>
        <v>6.9520727272727276</v>
      </c>
      <c r="M27" s="185">
        <f t="shared" si="6"/>
        <v>14.715220606060615</v>
      </c>
      <c r="N27" s="185">
        <v>44.27</v>
      </c>
      <c r="O27" s="185">
        <f t="shared" si="7"/>
        <v>-29.554779393939388</v>
      </c>
      <c r="P27" s="14">
        <v>25</v>
      </c>
      <c r="Q27" s="14">
        <v>5</v>
      </c>
      <c r="R27" s="13">
        <v>0</v>
      </c>
      <c r="S27" s="13">
        <f t="shared" si="9"/>
        <v>-29.554779393939388</v>
      </c>
      <c r="T27" s="173">
        <f>'Anexo 8 Tabela TRT'!G60</f>
        <v>1.042855201158662</v>
      </c>
      <c r="U27" s="13">
        <f t="shared" si="10"/>
        <v>-30.821355410066541</v>
      </c>
      <c r="V27" s="13">
        <v>0</v>
      </c>
    </row>
    <row r="28" spans="1:22" s="193" customFormat="1" ht="12.75" customHeight="1" x14ac:dyDescent="0.2">
      <c r="A28" s="27">
        <v>39630</v>
      </c>
      <c r="B28" s="13">
        <v>955.91</v>
      </c>
      <c r="C28" s="28">
        <v>220</v>
      </c>
      <c r="D28" s="13">
        <f t="shared" si="13"/>
        <v>4.3450454545454544</v>
      </c>
      <c r="E28" s="13">
        <f t="shared" si="14"/>
        <v>6.9520727272727276</v>
      </c>
      <c r="F28" s="13">
        <f t="shared" si="15"/>
        <v>8.2555863636363629</v>
      </c>
      <c r="G28" s="331">
        <v>19.45</v>
      </c>
      <c r="H28" s="185">
        <f t="shared" si="3"/>
        <v>135.21781454545456</v>
      </c>
      <c r="I28" s="331">
        <v>0</v>
      </c>
      <c r="J28" s="185">
        <f t="shared" si="4"/>
        <v>0</v>
      </c>
      <c r="K28" s="331">
        <v>17</v>
      </c>
      <c r="L28" s="185">
        <f t="shared" si="5"/>
        <v>118.18523636363636</v>
      </c>
      <c r="M28" s="185">
        <f t="shared" si="6"/>
        <v>253.40305090909092</v>
      </c>
      <c r="N28" s="185">
        <v>0</v>
      </c>
      <c r="O28" s="185">
        <f t="shared" si="7"/>
        <v>253.40305090909092</v>
      </c>
      <c r="P28" s="14">
        <v>27</v>
      </c>
      <c r="Q28" s="14">
        <v>4</v>
      </c>
      <c r="R28" s="13">
        <f t="shared" si="12"/>
        <v>37.54119272727273</v>
      </c>
      <c r="S28" s="13">
        <f t="shared" si="9"/>
        <v>290.94424363636364</v>
      </c>
      <c r="T28" s="173">
        <f>'Anexo 8 Tabela TRT'!G61</f>
        <v>1.0408629893969561</v>
      </c>
      <c r="U28" s="13">
        <f t="shared" si="10"/>
        <v>302.83309517918178</v>
      </c>
      <c r="V28" s="13">
        <f t="shared" si="11"/>
        <v>33.917306660068355</v>
      </c>
    </row>
    <row r="29" spans="1:22" s="193" customFormat="1" ht="12.75" customHeight="1" x14ac:dyDescent="0.2">
      <c r="A29" s="27">
        <v>39661</v>
      </c>
      <c r="B29" s="13">
        <v>955.91</v>
      </c>
      <c r="C29" s="28">
        <v>220</v>
      </c>
      <c r="D29" s="13">
        <f t="shared" si="13"/>
        <v>4.3450454545454544</v>
      </c>
      <c r="E29" s="13">
        <f t="shared" si="14"/>
        <v>6.9520727272727276</v>
      </c>
      <c r="F29" s="13">
        <f t="shared" si="15"/>
        <v>8.2555863636363629</v>
      </c>
      <c r="G29" s="331">
        <v>23.996666666666666</v>
      </c>
      <c r="H29" s="185">
        <f t="shared" si="3"/>
        <v>166.82657187878789</v>
      </c>
      <c r="I29" s="331">
        <v>0.85</v>
      </c>
      <c r="J29" s="185">
        <f t="shared" si="4"/>
        <v>7.0172484090909082</v>
      </c>
      <c r="K29" s="331">
        <v>22</v>
      </c>
      <c r="L29" s="185">
        <f t="shared" si="5"/>
        <v>152.94560000000001</v>
      </c>
      <c r="M29" s="185">
        <f t="shared" si="6"/>
        <v>326.78942028787878</v>
      </c>
      <c r="N29" s="185">
        <v>23.1</v>
      </c>
      <c r="O29" s="185">
        <f t="shared" si="7"/>
        <v>303.68942028787876</v>
      </c>
      <c r="P29" s="14">
        <v>25</v>
      </c>
      <c r="Q29" s="14">
        <v>6</v>
      </c>
      <c r="R29" s="13">
        <f t="shared" si="12"/>
        <v>72.885460869090906</v>
      </c>
      <c r="S29" s="13">
        <f t="shared" si="9"/>
        <v>376.5748811569697</v>
      </c>
      <c r="T29" s="173">
        <f>'Anexo 8 Tabela TRT'!G62</f>
        <v>1.0392272457122045</v>
      </c>
      <c r="U29" s="13">
        <f t="shared" si="10"/>
        <v>391.34687654915837</v>
      </c>
      <c r="V29" s="13">
        <f t="shared" si="11"/>
        <v>43.830850173505731</v>
      </c>
    </row>
    <row r="30" spans="1:22" s="193" customFormat="1" ht="12.75" customHeight="1" x14ac:dyDescent="0.2">
      <c r="A30" s="27">
        <v>39692</v>
      </c>
      <c r="B30" s="13">
        <v>955.91</v>
      </c>
      <c r="C30" s="28">
        <v>220</v>
      </c>
      <c r="D30" s="13">
        <f t="shared" si="13"/>
        <v>4.3450454545454544</v>
      </c>
      <c r="E30" s="13">
        <f t="shared" si="14"/>
        <v>6.9520727272727276</v>
      </c>
      <c r="F30" s="13">
        <f t="shared" si="15"/>
        <v>8.2555863636363629</v>
      </c>
      <c r="G30" s="331">
        <v>18.433333333333344</v>
      </c>
      <c r="H30" s="185">
        <f t="shared" si="3"/>
        <v>128.14987393939401</v>
      </c>
      <c r="I30" s="331">
        <v>0</v>
      </c>
      <c r="J30" s="185">
        <f t="shared" si="4"/>
        <v>0</v>
      </c>
      <c r="K30" s="331">
        <v>21</v>
      </c>
      <c r="L30" s="185">
        <f t="shared" si="5"/>
        <v>145.99352727272728</v>
      </c>
      <c r="M30" s="185">
        <f t="shared" si="6"/>
        <v>274.14340121212126</v>
      </c>
      <c r="N30" s="185">
        <v>53.96</v>
      </c>
      <c r="O30" s="185">
        <f t="shared" si="7"/>
        <v>220.18340121212125</v>
      </c>
      <c r="P30" s="14">
        <v>26</v>
      </c>
      <c r="Q30" s="14">
        <v>4</v>
      </c>
      <c r="R30" s="13">
        <f t="shared" si="12"/>
        <v>33.874369417249426</v>
      </c>
      <c r="S30" s="13">
        <f t="shared" si="9"/>
        <v>254.05777062937068</v>
      </c>
      <c r="T30" s="173">
        <f>'Anexo 8 Tabela TRT'!G63</f>
        <v>1.0371839932455111</v>
      </c>
      <c r="U30" s="13">
        <f t="shared" si="10"/>
        <v>263.5046530564228</v>
      </c>
      <c r="V30" s="13">
        <f t="shared" si="11"/>
        <v>29.512521142319351</v>
      </c>
    </row>
    <row r="31" spans="1:22" s="193" customFormat="1" ht="12.75" customHeight="1" x14ac:dyDescent="0.2">
      <c r="A31" s="27">
        <v>39722</v>
      </c>
      <c r="B31" s="13">
        <v>955.91</v>
      </c>
      <c r="C31" s="28">
        <v>220</v>
      </c>
      <c r="D31" s="13">
        <f t="shared" si="13"/>
        <v>4.3450454545454544</v>
      </c>
      <c r="E31" s="13">
        <f t="shared" si="14"/>
        <v>6.9520727272727276</v>
      </c>
      <c r="F31" s="13">
        <f t="shared" si="15"/>
        <v>8.2555863636363629</v>
      </c>
      <c r="G31" s="331">
        <v>17.050000000000018</v>
      </c>
      <c r="H31" s="185">
        <f t="shared" si="3"/>
        <v>118.53284000000014</v>
      </c>
      <c r="I31" s="331">
        <v>0</v>
      </c>
      <c r="J31" s="185">
        <f t="shared" si="4"/>
        <v>0</v>
      </c>
      <c r="K31" s="331">
        <v>22</v>
      </c>
      <c r="L31" s="185">
        <f t="shared" si="5"/>
        <v>152.94560000000001</v>
      </c>
      <c r="M31" s="185">
        <f t="shared" si="6"/>
        <v>271.47844000000015</v>
      </c>
      <c r="N31" s="185">
        <v>0</v>
      </c>
      <c r="O31" s="185">
        <f t="shared" si="7"/>
        <v>271.47844000000015</v>
      </c>
      <c r="P31" s="14">
        <v>27</v>
      </c>
      <c r="Q31" s="14">
        <v>4</v>
      </c>
      <c r="R31" s="13">
        <f t="shared" si="12"/>
        <v>40.219028148148169</v>
      </c>
      <c r="S31" s="13">
        <f t="shared" si="9"/>
        <v>311.69746814814835</v>
      </c>
      <c r="T31" s="173">
        <f>'Anexo 8 Tabela TRT'!G64</f>
        <v>1.034591307429094</v>
      </c>
      <c r="U31" s="13">
        <f t="shared" si="10"/>
        <v>322.47949109373116</v>
      </c>
      <c r="V31" s="13">
        <f t="shared" si="11"/>
        <v>36.117703002497883</v>
      </c>
    </row>
    <row r="32" spans="1:22" s="193" customFormat="1" ht="12.75" customHeight="1" x14ac:dyDescent="0.2">
      <c r="A32" s="27">
        <v>39753</v>
      </c>
      <c r="B32" s="13">
        <v>955.91</v>
      </c>
      <c r="C32" s="28">
        <v>220</v>
      </c>
      <c r="D32" s="13">
        <f t="shared" si="13"/>
        <v>4.3450454545454544</v>
      </c>
      <c r="E32" s="13">
        <f t="shared" si="14"/>
        <v>6.9520727272727276</v>
      </c>
      <c r="F32" s="13">
        <f t="shared" si="15"/>
        <v>8.2555863636363629</v>
      </c>
      <c r="G32" s="331">
        <v>17.833333333333361</v>
      </c>
      <c r="H32" s="185">
        <f t="shared" si="3"/>
        <v>123.9786303030305</v>
      </c>
      <c r="I32" s="331">
        <v>0</v>
      </c>
      <c r="J32" s="185">
        <f t="shared" si="4"/>
        <v>0</v>
      </c>
      <c r="K32" s="331">
        <v>22</v>
      </c>
      <c r="L32" s="185">
        <f t="shared" si="5"/>
        <v>152.94560000000001</v>
      </c>
      <c r="M32" s="185">
        <f t="shared" si="6"/>
        <v>276.92423030303053</v>
      </c>
      <c r="N32" s="185">
        <v>2.68</v>
      </c>
      <c r="O32" s="185">
        <f t="shared" si="7"/>
        <v>274.24423030303052</v>
      </c>
      <c r="P32" s="14">
        <v>24</v>
      </c>
      <c r="Q32" s="14">
        <v>6</v>
      </c>
      <c r="R32" s="13">
        <f t="shared" si="12"/>
        <v>68.56105757575763</v>
      </c>
      <c r="S32" s="13">
        <f t="shared" si="9"/>
        <v>342.80528787878814</v>
      </c>
      <c r="T32" s="173">
        <f>'Anexo 8 Tabela TRT'!G65</f>
        <v>1.0329200427998426</v>
      </c>
      <c r="U32" s="13">
        <f t="shared" si="10"/>
        <v>354.09045262777022</v>
      </c>
      <c r="V32" s="13">
        <f t="shared" si="11"/>
        <v>39.658130694310259</v>
      </c>
    </row>
    <row r="33" spans="1:22" s="193" customFormat="1" ht="12.75" customHeight="1" x14ac:dyDescent="0.2">
      <c r="A33" s="27">
        <v>39783</v>
      </c>
      <c r="B33" s="13">
        <v>955.91</v>
      </c>
      <c r="C33" s="28">
        <v>220</v>
      </c>
      <c r="D33" s="13">
        <f t="shared" si="13"/>
        <v>4.3450454545454544</v>
      </c>
      <c r="E33" s="13">
        <f t="shared" si="14"/>
        <v>6.9520727272727276</v>
      </c>
      <c r="F33" s="13">
        <f t="shared" si="15"/>
        <v>8.2555863636363629</v>
      </c>
      <c r="G33" s="331">
        <v>18.26666666666668</v>
      </c>
      <c r="H33" s="185">
        <f t="shared" si="3"/>
        <v>126.99119515151526</v>
      </c>
      <c r="I33" s="331">
        <v>0</v>
      </c>
      <c r="J33" s="185">
        <f t="shared" si="4"/>
        <v>0</v>
      </c>
      <c r="K33" s="331">
        <v>20</v>
      </c>
      <c r="L33" s="185">
        <f t="shared" si="5"/>
        <v>139.04145454545454</v>
      </c>
      <c r="M33" s="185">
        <f t="shared" si="6"/>
        <v>266.03264969696977</v>
      </c>
      <c r="N33" s="185">
        <v>21.53</v>
      </c>
      <c r="O33" s="185">
        <f t="shared" si="7"/>
        <v>244.50264969696977</v>
      </c>
      <c r="P33" s="14">
        <v>25</v>
      </c>
      <c r="Q33" s="14">
        <v>6</v>
      </c>
      <c r="R33" s="13">
        <f t="shared" si="12"/>
        <v>58.680635927272746</v>
      </c>
      <c r="S33" s="13">
        <f t="shared" si="9"/>
        <v>303.1832856242425</v>
      </c>
      <c r="T33" s="173">
        <f>'Anexo 8 Tabela TRT'!H54</f>
        <v>1.0307050576309955</v>
      </c>
      <c r="U33" s="13">
        <f t="shared" si="10"/>
        <v>312.49254588208942</v>
      </c>
      <c r="V33" s="13">
        <f t="shared" si="11"/>
        <v>34.999165138794012</v>
      </c>
    </row>
    <row r="34" spans="1:22" s="193" customFormat="1" ht="19.5" customHeight="1" x14ac:dyDescent="0.2">
      <c r="A34" s="196" t="s">
        <v>139</v>
      </c>
      <c r="B34" s="13">
        <v>955.91</v>
      </c>
      <c r="C34" s="28">
        <v>220</v>
      </c>
      <c r="D34" s="13">
        <f t="shared" si="13"/>
        <v>4.3450454545454544</v>
      </c>
      <c r="E34" s="13">
        <f t="shared" si="14"/>
        <v>6.9520727272727276</v>
      </c>
      <c r="F34" s="13">
        <f t="shared" si="15"/>
        <v>8.2555863636363629</v>
      </c>
      <c r="G34" s="331">
        <f>(SUM(G21:G25)+SUM(G27:G33))/12</f>
        <v>17.72194444444445</v>
      </c>
      <c r="H34" s="185">
        <f t="shared" si="3"/>
        <v>123.2042466464647</v>
      </c>
      <c r="I34" s="331">
        <f>(SUM(I21:I25)+SUM(I27:I33))/12</f>
        <v>0.45277777777777772</v>
      </c>
      <c r="J34" s="185">
        <f t="shared" si="4"/>
        <v>3.737946047979797</v>
      </c>
      <c r="K34" s="331">
        <f>(SUM(K21:K25)+SUM(K27:K33))/12</f>
        <v>18.166666666666668</v>
      </c>
      <c r="L34" s="185">
        <f t="shared" si="5"/>
        <v>126.2959878787879</v>
      </c>
      <c r="M34" s="185">
        <f t="shared" si="6"/>
        <v>253.2381805732324</v>
      </c>
      <c r="N34" s="185">
        <v>0</v>
      </c>
      <c r="O34" s="185">
        <f t="shared" si="7"/>
        <v>253.2381805732324</v>
      </c>
      <c r="P34" s="211"/>
      <c r="Q34" s="211"/>
      <c r="R34" s="272"/>
      <c r="S34" s="13">
        <f t="shared" si="9"/>
        <v>253.2381805732324</v>
      </c>
      <c r="T34" s="173">
        <f>T32</f>
        <v>1.0329200427998426</v>
      </c>
      <c r="U34" s="13">
        <f t="shared" si="10"/>
        <v>261.57479231625746</v>
      </c>
      <c r="V34" s="13">
        <f t="shared" si="11"/>
        <v>29.296376739420833</v>
      </c>
    </row>
    <row r="35" spans="1:22" s="193" customFormat="1" ht="12.75" customHeight="1" x14ac:dyDescent="0.2">
      <c r="A35" s="27">
        <v>39814</v>
      </c>
      <c r="B35" s="13">
        <v>955.91</v>
      </c>
      <c r="C35" s="28">
        <v>220</v>
      </c>
      <c r="D35" s="13">
        <f t="shared" si="13"/>
        <v>4.3450454545454544</v>
      </c>
      <c r="E35" s="13">
        <f t="shared" si="14"/>
        <v>6.9520727272727276</v>
      </c>
      <c r="F35" s="13">
        <f t="shared" si="15"/>
        <v>8.2555863636363629</v>
      </c>
      <c r="G35" s="331">
        <v>20.95</v>
      </c>
      <c r="H35" s="185">
        <f t="shared" si="3"/>
        <v>145.64592363636365</v>
      </c>
      <c r="I35" s="331">
        <v>2.8666666666666667</v>
      </c>
      <c r="J35" s="185">
        <f t="shared" si="4"/>
        <v>23.666014242424239</v>
      </c>
      <c r="K35" s="331">
        <v>16</v>
      </c>
      <c r="L35" s="185">
        <f t="shared" si="5"/>
        <v>111.23316363636364</v>
      </c>
      <c r="M35" s="185">
        <f t="shared" si="6"/>
        <v>280.54510151515154</v>
      </c>
      <c r="N35" s="185">
        <v>0</v>
      </c>
      <c r="O35" s="185">
        <f t="shared" si="7"/>
        <v>280.54510151515154</v>
      </c>
      <c r="P35" s="14">
        <v>26</v>
      </c>
      <c r="Q35" s="14">
        <v>5</v>
      </c>
      <c r="R35" s="13">
        <f t="shared" si="12"/>
        <v>53.950981060606068</v>
      </c>
      <c r="S35" s="13">
        <f t="shared" si="9"/>
        <v>334.49608257575761</v>
      </c>
      <c r="T35" s="173">
        <f>'Anexo 8 Tabela TRT'!H55</f>
        <v>1.0288120434710086</v>
      </c>
      <c r="U35" s="13">
        <f t="shared" si="10"/>
        <v>344.13359824781242</v>
      </c>
      <c r="V35" s="13">
        <f t="shared" si="11"/>
        <v>38.542963003754984</v>
      </c>
    </row>
    <row r="36" spans="1:22" s="192" customFormat="1" ht="12.75" customHeight="1" x14ac:dyDescent="0.2">
      <c r="A36" s="27">
        <v>39845</v>
      </c>
      <c r="B36" s="13">
        <v>955.91</v>
      </c>
      <c r="C36" s="28">
        <v>220</v>
      </c>
      <c r="D36" s="13">
        <f t="shared" si="13"/>
        <v>4.3450454545454544</v>
      </c>
      <c r="E36" s="13">
        <f t="shared" si="14"/>
        <v>6.9520727272727276</v>
      </c>
      <c r="F36" s="13">
        <f t="shared" si="15"/>
        <v>8.2555863636363629</v>
      </c>
      <c r="G36" s="331">
        <v>27.633333333333333</v>
      </c>
      <c r="H36" s="185">
        <f t="shared" si="3"/>
        <v>192.10894303030304</v>
      </c>
      <c r="I36" s="331">
        <v>1.25</v>
      </c>
      <c r="J36" s="185">
        <f t="shared" si="4"/>
        <v>10.319482954545453</v>
      </c>
      <c r="K36" s="331">
        <v>21</v>
      </c>
      <c r="L36" s="185">
        <f t="shared" si="5"/>
        <v>145.99352727272728</v>
      </c>
      <c r="M36" s="185">
        <f t="shared" si="6"/>
        <v>348.42195325757575</v>
      </c>
      <c r="N36" s="185">
        <v>0</v>
      </c>
      <c r="O36" s="185">
        <f t="shared" si="7"/>
        <v>348.42195325757575</v>
      </c>
      <c r="P36" s="14">
        <v>23</v>
      </c>
      <c r="Q36" s="14">
        <v>5</v>
      </c>
      <c r="R36" s="13">
        <f t="shared" si="12"/>
        <v>75.743902882081684</v>
      </c>
      <c r="S36" s="13">
        <f t="shared" si="9"/>
        <v>424.16585613965742</v>
      </c>
      <c r="T36" s="173">
        <f>'Anexo 8 Tabela TRT'!H56</f>
        <v>1.0283482584064672</v>
      </c>
      <c r="U36" s="13">
        <f t="shared" si="10"/>
        <v>436.19021943670481</v>
      </c>
      <c r="V36" s="13">
        <f t="shared" si="11"/>
        <v>48.853304576910936</v>
      </c>
    </row>
    <row r="37" spans="1:22" s="192" customFormat="1" ht="12.75" customHeight="1" x14ac:dyDescent="0.2">
      <c r="A37" s="27">
        <v>39873</v>
      </c>
      <c r="B37" s="13">
        <v>955.91</v>
      </c>
      <c r="C37" s="28">
        <v>220</v>
      </c>
      <c r="D37" s="13">
        <f t="shared" si="13"/>
        <v>4.3450454545454544</v>
      </c>
      <c r="E37" s="13">
        <f t="shared" si="14"/>
        <v>6.9520727272727276</v>
      </c>
      <c r="F37" s="13">
        <f t="shared" si="15"/>
        <v>8.2555863636363629</v>
      </c>
      <c r="G37" s="331">
        <v>19.750000000000011</v>
      </c>
      <c r="H37" s="185">
        <f t="shared" si="3"/>
        <v>137.30343636363645</v>
      </c>
      <c r="I37" s="331">
        <v>0</v>
      </c>
      <c r="J37" s="185">
        <f t="shared" si="4"/>
        <v>0</v>
      </c>
      <c r="K37" s="331">
        <v>18</v>
      </c>
      <c r="L37" s="185">
        <f t="shared" si="5"/>
        <v>125.1373090909091</v>
      </c>
      <c r="M37" s="185">
        <f t="shared" si="6"/>
        <v>262.44074545454555</v>
      </c>
      <c r="N37" s="185">
        <v>0</v>
      </c>
      <c r="O37" s="185">
        <f t="shared" si="7"/>
        <v>262.44074545454555</v>
      </c>
      <c r="P37" s="14">
        <v>26</v>
      </c>
      <c r="Q37" s="14">
        <v>5</v>
      </c>
      <c r="R37" s="13">
        <f t="shared" si="12"/>
        <v>50.469374125874147</v>
      </c>
      <c r="S37" s="13">
        <f t="shared" si="9"/>
        <v>312.91011958041969</v>
      </c>
      <c r="T37" s="173">
        <f>'Anexo 8 Tabela TRT'!H57</f>
        <v>1.0268716170211898</v>
      </c>
      <c r="U37" s="13">
        <f t="shared" si="10"/>
        <v>321.31852047583942</v>
      </c>
      <c r="V37" s="13">
        <f t="shared" si="11"/>
        <v>35.987674293294013</v>
      </c>
    </row>
    <row r="38" spans="1:22" s="192" customFormat="1" ht="12.75" customHeight="1" x14ac:dyDescent="0.2">
      <c r="A38" s="27">
        <v>39904</v>
      </c>
      <c r="B38" s="13">
        <v>1012.5</v>
      </c>
      <c r="C38" s="28">
        <v>220</v>
      </c>
      <c r="D38" s="13">
        <f t="shared" si="13"/>
        <v>4.6022727272727275</v>
      </c>
      <c r="E38" s="13">
        <f t="shared" si="14"/>
        <v>7.3636363636363642</v>
      </c>
      <c r="F38" s="13">
        <f t="shared" si="15"/>
        <v>8.7443181818181817</v>
      </c>
      <c r="G38" s="331">
        <v>18.533333333333363</v>
      </c>
      <c r="H38" s="185">
        <f t="shared" si="3"/>
        <v>136.4727272727275</v>
      </c>
      <c r="I38" s="331">
        <v>1.65</v>
      </c>
      <c r="J38" s="185">
        <f t="shared" si="4"/>
        <v>14.428125</v>
      </c>
      <c r="K38" s="331">
        <v>21</v>
      </c>
      <c r="L38" s="185">
        <f t="shared" si="5"/>
        <v>154.63636363636365</v>
      </c>
      <c r="M38" s="185">
        <f t="shared" si="6"/>
        <v>305.53721590909117</v>
      </c>
      <c r="N38" s="185">
        <v>0</v>
      </c>
      <c r="O38" s="185">
        <f t="shared" si="7"/>
        <v>305.53721590909117</v>
      </c>
      <c r="P38" s="14">
        <v>24</v>
      </c>
      <c r="Q38" s="14">
        <v>6</v>
      </c>
      <c r="R38" s="13">
        <f t="shared" si="12"/>
        <v>76.384303977272793</v>
      </c>
      <c r="S38" s="13">
        <f t="shared" si="9"/>
        <v>381.92151988636397</v>
      </c>
      <c r="T38" s="173">
        <f>'Anexo 8 Tabela TRT'!H58</f>
        <v>1.0264056288656844</v>
      </c>
      <c r="U38" s="13">
        <f t="shared" si="10"/>
        <v>392.00639779630143</v>
      </c>
      <c r="V38" s="13">
        <f t="shared" si="11"/>
        <v>43.904716553185757</v>
      </c>
    </row>
    <row r="39" spans="1:22" s="192" customFormat="1" ht="12.75" customHeight="1" x14ac:dyDescent="0.2">
      <c r="A39" s="27">
        <v>39934</v>
      </c>
      <c r="B39" s="13">
        <v>1012.5</v>
      </c>
      <c r="C39" s="28">
        <v>220</v>
      </c>
      <c r="D39" s="13">
        <f t="shared" si="13"/>
        <v>4.6022727272727275</v>
      </c>
      <c r="E39" s="13">
        <f t="shared" si="14"/>
        <v>7.3636363636363642</v>
      </c>
      <c r="F39" s="13">
        <f t="shared" si="15"/>
        <v>8.7443181818181817</v>
      </c>
      <c r="G39" s="331">
        <v>14.200000000000028</v>
      </c>
      <c r="H39" s="185">
        <f t="shared" si="3"/>
        <v>104.56363636363658</v>
      </c>
      <c r="I39" s="331">
        <v>1.4166666666666667</v>
      </c>
      <c r="J39" s="185">
        <f t="shared" si="4"/>
        <v>12.387784090909092</v>
      </c>
      <c r="K39" s="331">
        <v>20</v>
      </c>
      <c r="L39" s="185">
        <f t="shared" si="5"/>
        <v>147.27272727272728</v>
      </c>
      <c r="M39" s="185">
        <f t="shared" si="6"/>
        <v>264.22414772727296</v>
      </c>
      <c r="N39" s="185">
        <v>0</v>
      </c>
      <c r="O39" s="185">
        <f t="shared" si="7"/>
        <v>264.22414772727296</v>
      </c>
      <c r="P39" s="14">
        <v>25</v>
      </c>
      <c r="Q39" s="14">
        <v>6</v>
      </c>
      <c r="R39" s="13">
        <f t="shared" si="12"/>
        <v>63.413795454545507</v>
      </c>
      <c r="S39" s="13">
        <f t="shared" si="9"/>
        <v>327.63794318181846</v>
      </c>
      <c r="T39" s="173">
        <f>'Anexo 8 Tabela TRT'!H59</f>
        <v>1.0259449795698585</v>
      </c>
      <c r="U39" s="13">
        <f t="shared" si="10"/>
        <v>336.13850292398121</v>
      </c>
      <c r="V39" s="13">
        <f t="shared" si="11"/>
        <v>37.647512327485892</v>
      </c>
    </row>
    <row r="40" spans="1:22" s="192" customFormat="1" ht="12.75" customHeight="1" x14ac:dyDescent="0.2">
      <c r="A40" s="27">
        <v>39965</v>
      </c>
      <c r="B40" s="13">
        <v>1012.5</v>
      </c>
      <c r="C40" s="28">
        <v>220</v>
      </c>
      <c r="D40" s="13">
        <f t="shared" si="13"/>
        <v>4.6022727272727275</v>
      </c>
      <c r="E40" s="13">
        <f t="shared" si="14"/>
        <v>7.3636363636363642</v>
      </c>
      <c r="F40" s="13">
        <f t="shared" si="15"/>
        <v>8.7443181818181817</v>
      </c>
      <c r="G40" s="331">
        <v>18.316666666666677</v>
      </c>
      <c r="H40" s="185">
        <f t="shared" si="3"/>
        <v>134.87727272727281</v>
      </c>
      <c r="I40" s="331">
        <v>0</v>
      </c>
      <c r="J40" s="185">
        <f t="shared" si="4"/>
        <v>0</v>
      </c>
      <c r="K40" s="331">
        <v>20</v>
      </c>
      <c r="L40" s="185">
        <f t="shared" si="5"/>
        <v>147.27272727272728</v>
      </c>
      <c r="M40" s="185">
        <f t="shared" si="6"/>
        <v>282.15000000000009</v>
      </c>
      <c r="N40" s="185">
        <v>0</v>
      </c>
      <c r="O40" s="185">
        <f t="shared" si="7"/>
        <v>282.15000000000009</v>
      </c>
      <c r="P40" s="14">
        <v>25</v>
      </c>
      <c r="Q40" s="14">
        <v>5</v>
      </c>
      <c r="R40" s="13">
        <f t="shared" si="12"/>
        <v>56.430000000000014</v>
      </c>
      <c r="S40" s="13">
        <f t="shared" si="9"/>
        <v>338.5800000000001</v>
      </c>
      <c r="T40" s="173">
        <f>'Anexo 8 Tabela TRT'!H60</f>
        <v>1.0252724008748846</v>
      </c>
      <c r="U40" s="13">
        <f t="shared" si="10"/>
        <v>347.13672948821852</v>
      </c>
      <c r="V40" s="13">
        <f t="shared" si="11"/>
        <v>38.87931370268047</v>
      </c>
    </row>
    <row r="41" spans="1:22" s="192" customFormat="1" ht="12.75" customHeight="1" x14ac:dyDescent="0.2">
      <c r="A41" s="27">
        <v>39995</v>
      </c>
      <c r="B41" s="13">
        <v>1012.5</v>
      </c>
      <c r="C41" s="28">
        <v>220</v>
      </c>
      <c r="D41" s="13">
        <f t="shared" si="13"/>
        <v>4.6022727272727275</v>
      </c>
      <c r="E41" s="13">
        <f t="shared" si="14"/>
        <v>7.3636363636363642</v>
      </c>
      <c r="F41" s="13">
        <f t="shared" si="15"/>
        <v>8.7443181818181817</v>
      </c>
      <c r="G41" s="331">
        <v>19.95000000000001</v>
      </c>
      <c r="H41" s="185">
        <f t="shared" si="3"/>
        <v>146.90454545454554</v>
      </c>
      <c r="I41" s="331">
        <v>2.25</v>
      </c>
      <c r="J41" s="185">
        <f t="shared" si="4"/>
        <v>19.67471590909091</v>
      </c>
      <c r="K41" s="331">
        <v>20</v>
      </c>
      <c r="L41" s="185">
        <f t="shared" si="5"/>
        <v>147.27272727272728</v>
      </c>
      <c r="M41" s="185">
        <f t="shared" si="6"/>
        <v>313.85198863636373</v>
      </c>
      <c r="N41" s="185">
        <v>0</v>
      </c>
      <c r="O41" s="185">
        <f t="shared" si="7"/>
        <v>313.85198863636373</v>
      </c>
      <c r="P41" s="14">
        <v>27</v>
      </c>
      <c r="Q41" s="14">
        <v>4</v>
      </c>
      <c r="R41" s="13">
        <f t="shared" si="12"/>
        <v>46.496590909090919</v>
      </c>
      <c r="S41" s="13">
        <f t="shared" si="9"/>
        <v>360.34857954545464</v>
      </c>
      <c r="T41" s="173">
        <f>'Anexo 8 Tabela TRT'!H61</f>
        <v>1.0241959709094581</v>
      </c>
      <c r="U41" s="13">
        <f t="shared" si="10"/>
        <v>369.06756329340101</v>
      </c>
      <c r="V41" s="13">
        <f t="shared" si="11"/>
        <v>41.335567088860905</v>
      </c>
    </row>
    <row r="42" spans="1:22" s="192" customFormat="1" ht="12.75" customHeight="1" x14ac:dyDescent="0.2">
      <c r="A42" s="27">
        <v>40026</v>
      </c>
      <c r="B42" s="13">
        <v>1012.5</v>
      </c>
      <c r="C42" s="28">
        <v>220</v>
      </c>
      <c r="D42" s="13">
        <f t="shared" si="13"/>
        <v>4.6022727272727275</v>
      </c>
      <c r="E42" s="13">
        <f t="shared" si="14"/>
        <v>7.3636363636363642</v>
      </c>
      <c r="F42" s="13">
        <f t="shared" si="15"/>
        <v>8.7443181818181817</v>
      </c>
      <c r="G42" s="331">
        <v>16.416666666666664</v>
      </c>
      <c r="H42" s="185">
        <f t="shared" si="3"/>
        <v>120.88636363636363</v>
      </c>
      <c r="I42" s="331">
        <v>2.4833333333333334</v>
      </c>
      <c r="J42" s="185">
        <f t="shared" si="4"/>
        <v>21.715056818181818</v>
      </c>
      <c r="K42" s="331">
        <v>17</v>
      </c>
      <c r="L42" s="185">
        <f t="shared" si="5"/>
        <v>125.18181818181819</v>
      </c>
      <c r="M42" s="185">
        <f t="shared" si="6"/>
        <v>267.78323863636365</v>
      </c>
      <c r="N42" s="185">
        <v>28.45</v>
      </c>
      <c r="O42" s="185">
        <f t="shared" si="7"/>
        <v>239.33323863636366</v>
      </c>
      <c r="P42" s="14">
        <v>25</v>
      </c>
      <c r="Q42" s="14">
        <v>6</v>
      </c>
      <c r="R42" s="13">
        <f t="shared" si="12"/>
        <v>57.439977272727276</v>
      </c>
      <c r="S42" s="13">
        <f t="shared" si="9"/>
        <v>296.77321590909094</v>
      </c>
      <c r="T42" s="173">
        <f>'Anexo 8 Tabela TRT'!H62</f>
        <v>1.0239942440433825</v>
      </c>
      <c r="U42" s="13">
        <f t="shared" si="10"/>
        <v>303.89406487715308</v>
      </c>
      <c r="V42" s="13">
        <f t="shared" si="11"/>
        <v>34.036135266241139</v>
      </c>
    </row>
    <row r="43" spans="1:22" s="192" customFormat="1" ht="12.75" customHeight="1" x14ac:dyDescent="0.2">
      <c r="A43" s="381" t="s">
        <v>203</v>
      </c>
      <c r="B43" s="382"/>
      <c r="C43" s="382"/>
      <c r="D43" s="382"/>
      <c r="E43" s="382"/>
      <c r="F43" s="383"/>
      <c r="G43" s="331">
        <f>(SUM(G25,G27:G33,G35:G38)/12)</f>
        <v>18.216388888888897</v>
      </c>
      <c r="H43" s="185">
        <f t="shared" si="3"/>
        <v>0</v>
      </c>
      <c r="I43" s="331">
        <f>(SUM(I25,I27:I33,I35:I38)/12)</f>
        <v>0.5527777777777777</v>
      </c>
      <c r="J43" s="185">
        <f t="shared" si="4"/>
        <v>0</v>
      </c>
      <c r="K43" s="331">
        <f>(SUM(K25,K27:K33,K35:K38)/12)</f>
        <v>18.416666666666668</v>
      </c>
      <c r="L43" s="185">
        <f t="shared" si="5"/>
        <v>0</v>
      </c>
      <c r="M43" s="185">
        <f t="shared" si="6"/>
        <v>0</v>
      </c>
      <c r="N43" s="185">
        <v>0</v>
      </c>
      <c r="O43" s="185">
        <f t="shared" si="7"/>
        <v>0</v>
      </c>
      <c r="P43" s="211"/>
      <c r="Q43" s="211"/>
      <c r="R43" s="272"/>
      <c r="S43" s="13">
        <f t="shared" si="9"/>
        <v>0</v>
      </c>
      <c r="T43" s="173">
        <f>T42</f>
        <v>1.0239942440433825</v>
      </c>
      <c r="U43" s="13">
        <f t="shared" si="10"/>
        <v>0</v>
      </c>
      <c r="V43" s="13">
        <f t="shared" si="11"/>
        <v>0</v>
      </c>
    </row>
    <row r="44" spans="1:22" s="192" customFormat="1" ht="12.75" customHeight="1" x14ac:dyDescent="0.2">
      <c r="A44" s="27">
        <v>40057</v>
      </c>
      <c r="B44" s="13">
        <v>1012.5</v>
      </c>
      <c r="C44" s="28">
        <v>220</v>
      </c>
      <c r="D44" s="13">
        <f t="shared" si="13"/>
        <v>4.6022727272727275</v>
      </c>
      <c r="E44" s="13">
        <f t="shared" si="14"/>
        <v>7.3636363636363642</v>
      </c>
      <c r="F44" s="13">
        <f t="shared" si="15"/>
        <v>8.7443181818181817</v>
      </c>
      <c r="G44" s="331">
        <v>2.8</v>
      </c>
      <c r="H44" s="185">
        <f t="shared" si="3"/>
        <v>20.618181818181817</v>
      </c>
      <c r="I44" s="331">
        <v>0</v>
      </c>
      <c r="J44" s="185">
        <f t="shared" si="4"/>
        <v>0</v>
      </c>
      <c r="K44" s="331">
        <v>5</v>
      </c>
      <c r="L44" s="185">
        <f t="shared" si="5"/>
        <v>36.81818181818182</v>
      </c>
      <c r="M44" s="185">
        <f t="shared" si="6"/>
        <v>57.436363636363637</v>
      </c>
      <c r="N44" s="185">
        <v>2.81</v>
      </c>
      <c r="O44" s="185">
        <f t="shared" si="7"/>
        <v>54.626363636363635</v>
      </c>
      <c r="P44" s="14">
        <v>25</v>
      </c>
      <c r="Q44" s="14">
        <v>5</v>
      </c>
      <c r="R44" s="13">
        <f t="shared" si="12"/>
        <v>10.925272727272727</v>
      </c>
      <c r="S44" s="13">
        <f t="shared" si="9"/>
        <v>65.551636363636362</v>
      </c>
      <c r="T44" s="173">
        <f>'Anexo 8 Tabela TRT'!H63</f>
        <v>1.0239942440433825</v>
      </c>
      <c r="U44" s="13">
        <f t="shared" si="10"/>
        <v>67.124498323988519</v>
      </c>
      <c r="V44" s="13">
        <f t="shared" si="11"/>
        <v>7.5179438122867133</v>
      </c>
    </row>
    <row r="45" spans="1:22" s="192" customFormat="1" ht="12.75" customHeight="1" x14ac:dyDescent="0.2">
      <c r="A45" s="27">
        <v>40087</v>
      </c>
      <c r="B45" s="13">
        <v>1012.5</v>
      </c>
      <c r="C45" s="28">
        <v>220</v>
      </c>
      <c r="D45" s="13">
        <f t="shared" si="13"/>
        <v>4.6022727272727275</v>
      </c>
      <c r="E45" s="13">
        <f t="shared" si="14"/>
        <v>7.3636363636363642</v>
      </c>
      <c r="F45" s="13">
        <f t="shared" si="15"/>
        <v>8.7443181818181817</v>
      </c>
      <c r="G45" s="331">
        <v>18.283333333333335</v>
      </c>
      <c r="H45" s="185">
        <f t="shared" si="3"/>
        <v>134.6318181818182</v>
      </c>
      <c r="I45" s="331">
        <v>0.96666666666666679</v>
      </c>
      <c r="J45" s="185">
        <f t="shared" si="4"/>
        <v>8.4528409090909093</v>
      </c>
      <c r="K45" s="331">
        <v>21</v>
      </c>
      <c r="L45" s="185">
        <f t="shared" si="5"/>
        <v>154.63636363636365</v>
      </c>
      <c r="M45" s="185">
        <f t="shared" si="6"/>
        <v>297.72102272727273</v>
      </c>
      <c r="N45" s="185">
        <v>0</v>
      </c>
      <c r="O45" s="185">
        <f t="shared" si="7"/>
        <v>297.72102272727273</v>
      </c>
      <c r="P45" s="14">
        <v>26</v>
      </c>
      <c r="Q45" s="14">
        <v>5</v>
      </c>
      <c r="R45" s="13">
        <f t="shared" si="12"/>
        <v>57.254042832167833</v>
      </c>
      <c r="S45" s="13">
        <f t="shared" si="9"/>
        <v>354.97506555944057</v>
      </c>
      <c r="T45" s="173">
        <f>'Anexo 8 Tabela TRT'!H64</f>
        <v>1.0239942440433825</v>
      </c>
      <c r="U45" s="13">
        <f t="shared" si="10"/>
        <v>363.49242391178944</v>
      </c>
      <c r="V45" s="13">
        <f t="shared" si="11"/>
        <v>40.711151478120414</v>
      </c>
    </row>
    <row r="46" spans="1:22" s="192" customFormat="1" ht="12.75" customHeight="1" x14ac:dyDescent="0.2">
      <c r="A46" s="27">
        <v>40118</v>
      </c>
      <c r="B46" s="13">
        <v>1012.5</v>
      </c>
      <c r="C46" s="28">
        <v>220</v>
      </c>
      <c r="D46" s="13">
        <f t="shared" si="13"/>
        <v>4.6022727272727275</v>
      </c>
      <c r="E46" s="13">
        <f t="shared" si="14"/>
        <v>7.3636363636363642</v>
      </c>
      <c r="F46" s="13">
        <f t="shared" si="15"/>
        <v>8.7443181818181817</v>
      </c>
      <c r="G46" s="331">
        <v>11.133333333333336</v>
      </c>
      <c r="H46" s="185">
        <f t="shared" si="3"/>
        <v>81.981818181818213</v>
      </c>
      <c r="I46" s="331">
        <v>1.85</v>
      </c>
      <c r="J46" s="185">
        <f t="shared" si="4"/>
        <v>16.176988636363635</v>
      </c>
      <c r="K46" s="331">
        <v>20</v>
      </c>
      <c r="L46" s="185">
        <f t="shared" si="5"/>
        <v>147.27272727272728</v>
      </c>
      <c r="M46" s="185">
        <f t="shared" si="6"/>
        <v>245.43153409090911</v>
      </c>
      <c r="N46" s="185">
        <v>0</v>
      </c>
      <c r="O46" s="185">
        <f t="shared" si="7"/>
        <v>245.43153409090911</v>
      </c>
      <c r="P46" s="14">
        <v>24</v>
      </c>
      <c r="Q46" s="14">
        <v>6</v>
      </c>
      <c r="R46" s="13">
        <f t="shared" si="12"/>
        <v>61.357883522727278</v>
      </c>
      <c r="S46" s="13">
        <f t="shared" si="9"/>
        <v>306.78941761363637</v>
      </c>
      <c r="T46" s="173">
        <f>'Anexo 8 Tabela TRT'!H65</f>
        <v>1.0239942440433825</v>
      </c>
      <c r="U46" s="13">
        <f t="shared" si="10"/>
        <v>314.15059776978512</v>
      </c>
      <c r="V46" s="13">
        <f t="shared" si="11"/>
        <v>35.184866950215927</v>
      </c>
    </row>
    <row r="47" spans="1:22" s="192" customFormat="1" ht="12.75" customHeight="1" x14ac:dyDescent="0.2">
      <c r="A47" s="27">
        <v>40148</v>
      </c>
      <c r="B47" s="13">
        <v>1012.5</v>
      </c>
      <c r="C47" s="28">
        <v>220</v>
      </c>
      <c r="D47" s="13">
        <f t="shared" si="13"/>
        <v>4.6022727272727275</v>
      </c>
      <c r="E47" s="13">
        <f t="shared" si="14"/>
        <v>7.3636363636363642</v>
      </c>
      <c r="F47" s="13">
        <f t="shared" si="15"/>
        <v>8.7443181818181817</v>
      </c>
      <c r="G47" s="331">
        <v>17.183333333333323</v>
      </c>
      <c r="H47" s="185">
        <f t="shared" si="3"/>
        <v>126.53181818181811</v>
      </c>
      <c r="I47" s="331">
        <v>0.48333333333333339</v>
      </c>
      <c r="J47" s="185">
        <f t="shared" si="4"/>
        <v>4.2264204545454547</v>
      </c>
      <c r="K47" s="331">
        <v>21</v>
      </c>
      <c r="L47" s="185">
        <f t="shared" si="5"/>
        <v>154.63636363636365</v>
      </c>
      <c r="M47" s="185">
        <f t="shared" si="6"/>
        <v>285.39460227272718</v>
      </c>
      <c r="N47" s="185">
        <v>0.35</v>
      </c>
      <c r="O47" s="185">
        <f t="shared" si="7"/>
        <v>285.04460227272716</v>
      </c>
      <c r="P47" s="14">
        <v>25</v>
      </c>
      <c r="Q47" s="14">
        <v>6</v>
      </c>
      <c r="R47" s="13">
        <f t="shared" si="12"/>
        <v>68.410704545454507</v>
      </c>
      <c r="S47" s="13">
        <f t="shared" si="9"/>
        <v>353.45530681818167</v>
      </c>
      <c r="T47" s="173">
        <f>'Anexo 8 Tabela TRT'!I54</f>
        <v>1.0234487458618384</v>
      </c>
      <c r="U47" s="13">
        <f t="shared" si="10"/>
        <v>361.74339048127933</v>
      </c>
      <c r="V47" s="13">
        <f t="shared" si="11"/>
        <v>40.515259733903278</v>
      </c>
    </row>
    <row r="48" spans="1:22" s="193" customFormat="1" ht="19.5" customHeight="1" x14ac:dyDescent="0.2">
      <c r="A48" s="196" t="s">
        <v>138</v>
      </c>
      <c r="B48" s="13">
        <v>1012.5</v>
      </c>
      <c r="C48" s="28">
        <v>220</v>
      </c>
      <c r="D48" s="13">
        <f t="shared" si="13"/>
        <v>4.6022727272727275</v>
      </c>
      <c r="E48" s="13">
        <f t="shared" si="14"/>
        <v>7.3636363636363642</v>
      </c>
      <c r="F48" s="13">
        <f t="shared" si="15"/>
        <v>8.7443181818181817</v>
      </c>
      <c r="G48" s="331">
        <f>(SUM(G35:G42)+SUM(G44:G47))/12</f>
        <v>17.095833333333342</v>
      </c>
      <c r="H48" s="185">
        <f t="shared" si="3"/>
        <v>125.88750000000007</v>
      </c>
      <c r="I48" s="331">
        <f>(SUM(I35:I42)+SUM(I44:I47))/12</f>
        <v>1.2680555555555557</v>
      </c>
      <c r="J48" s="185">
        <f t="shared" si="4"/>
        <v>11.088281250000001</v>
      </c>
      <c r="K48" s="331">
        <f>(SUM(K35:K42)+SUM(K44:K47))/12</f>
        <v>18.333333333333332</v>
      </c>
      <c r="L48" s="185">
        <f t="shared" si="5"/>
        <v>135</v>
      </c>
      <c r="M48" s="185">
        <f t="shared" si="6"/>
        <v>271.97578125000007</v>
      </c>
      <c r="N48" s="185">
        <v>0</v>
      </c>
      <c r="O48" s="185">
        <f t="shared" si="7"/>
        <v>271.97578125000007</v>
      </c>
      <c r="P48" s="211"/>
      <c r="Q48" s="211"/>
      <c r="R48" s="272"/>
      <c r="S48" s="13">
        <f t="shared" si="9"/>
        <v>271.97578125000007</v>
      </c>
      <c r="T48" s="173">
        <f>T46</f>
        <v>1.0239942440433825</v>
      </c>
      <c r="U48" s="13">
        <f t="shared" si="10"/>
        <v>278.50163451920218</v>
      </c>
      <c r="V48" s="13">
        <f t="shared" si="11"/>
        <v>31.192183066150641</v>
      </c>
    </row>
    <row r="49" spans="1:22" s="192" customFormat="1" ht="12.75" customHeight="1" x14ac:dyDescent="0.2">
      <c r="A49" s="27">
        <v>40179</v>
      </c>
      <c r="B49" s="13">
        <v>1012.5</v>
      </c>
      <c r="C49" s="28">
        <v>220</v>
      </c>
      <c r="D49" s="13">
        <f t="shared" si="13"/>
        <v>4.6022727272727275</v>
      </c>
      <c r="E49" s="13">
        <f t="shared" si="14"/>
        <v>7.3636363636363642</v>
      </c>
      <c r="F49" s="13">
        <f t="shared" si="15"/>
        <v>8.7443181818181817</v>
      </c>
      <c r="G49" s="331">
        <v>17.333333333333343</v>
      </c>
      <c r="H49" s="185">
        <f t="shared" si="3"/>
        <v>127.63636363636371</v>
      </c>
      <c r="I49" s="331">
        <v>0</v>
      </c>
      <c r="J49" s="185">
        <f t="shared" si="4"/>
        <v>0</v>
      </c>
      <c r="K49" s="331">
        <v>20</v>
      </c>
      <c r="L49" s="185">
        <f t="shared" si="5"/>
        <v>147.27272727272728</v>
      </c>
      <c r="M49" s="185">
        <f t="shared" si="6"/>
        <v>274.90909090909099</v>
      </c>
      <c r="N49" s="185">
        <v>0</v>
      </c>
      <c r="O49" s="185">
        <f t="shared" si="7"/>
        <v>274.90909090909099</v>
      </c>
      <c r="P49" s="14">
        <v>25</v>
      </c>
      <c r="Q49" s="14">
        <v>6</v>
      </c>
      <c r="R49" s="13">
        <f t="shared" si="12"/>
        <v>65.978181818181838</v>
      </c>
      <c r="S49" s="13">
        <f t="shared" si="9"/>
        <v>340.88727272727283</v>
      </c>
      <c r="T49" s="173">
        <f>'Anexo 8 Tabela TRT'!I55</f>
        <v>1.0234487458618384</v>
      </c>
      <c r="U49" s="13">
        <f t="shared" si="10"/>
        <v>348.88065175298988</v>
      </c>
      <c r="V49" s="13">
        <f t="shared" si="11"/>
        <v>39.074632996334863</v>
      </c>
    </row>
    <row r="50" spans="1:22" s="192" customFormat="1" ht="12.75" customHeight="1" x14ac:dyDescent="0.2">
      <c r="A50" s="27">
        <v>40210</v>
      </c>
      <c r="B50" s="13">
        <v>1012.5</v>
      </c>
      <c r="C50" s="28">
        <v>220</v>
      </c>
      <c r="D50" s="13">
        <f t="shared" si="13"/>
        <v>4.6022727272727275</v>
      </c>
      <c r="E50" s="13">
        <f t="shared" si="14"/>
        <v>7.3636363636363642</v>
      </c>
      <c r="F50" s="13">
        <f t="shared" si="15"/>
        <v>8.7443181818181817</v>
      </c>
      <c r="G50" s="331">
        <v>17.716666666666669</v>
      </c>
      <c r="H50" s="185">
        <f t="shared" si="3"/>
        <v>130.45909090909095</v>
      </c>
      <c r="I50" s="331">
        <v>0.93333333333333335</v>
      </c>
      <c r="J50" s="185">
        <f t="shared" si="4"/>
        <v>8.161363636363637</v>
      </c>
      <c r="K50" s="331">
        <v>20</v>
      </c>
      <c r="L50" s="185">
        <f t="shared" si="5"/>
        <v>147.27272727272728</v>
      </c>
      <c r="M50" s="185">
        <f t="shared" si="6"/>
        <v>285.89318181818186</v>
      </c>
      <c r="N50" s="185">
        <v>0</v>
      </c>
      <c r="O50" s="185">
        <f t="shared" si="7"/>
        <v>285.89318181818186</v>
      </c>
      <c r="P50" s="14">
        <v>23</v>
      </c>
      <c r="Q50" s="14">
        <v>5</v>
      </c>
      <c r="R50" s="13">
        <f t="shared" si="12"/>
        <v>62.150691699604749</v>
      </c>
      <c r="S50" s="13">
        <f t="shared" si="9"/>
        <v>348.04387351778661</v>
      </c>
      <c r="T50" s="173">
        <f>'Anexo 8 Tabela TRT'!I56</f>
        <v>1.0234487458618384</v>
      </c>
      <c r="U50" s="13">
        <f t="shared" si="10"/>
        <v>356.20506585667505</v>
      </c>
      <c r="V50" s="13">
        <f t="shared" si="11"/>
        <v>39.894967375947601</v>
      </c>
    </row>
    <row r="51" spans="1:22" s="192" customFormat="1" ht="12.75" customHeight="1" x14ac:dyDescent="0.2">
      <c r="A51" s="27">
        <v>40238</v>
      </c>
      <c r="B51" s="13">
        <v>1012.5</v>
      </c>
      <c r="C51" s="28">
        <v>220</v>
      </c>
      <c r="D51" s="13">
        <f t="shared" si="13"/>
        <v>4.6022727272727275</v>
      </c>
      <c r="E51" s="13">
        <f t="shared" si="14"/>
        <v>7.3636363636363642</v>
      </c>
      <c r="F51" s="13">
        <f t="shared" si="15"/>
        <v>8.7443181818181817</v>
      </c>
      <c r="G51" s="331">
        <v>16.750000000000004</v>
      </c>
      <c r="H51" s="185">
        <f t="shared" si="3"/>
        <v>123.34090909090912</v>
      </c>
      <c r="I51" s="331">
        <v>1.3333333333333333</v>
      </c>
      <c r="J51" s="185">
        <f t="shared" si="4"/>
        <v>11.659090909090908</v>
      </c>
      <c r="K51" s="331">
        <v>15</v>
      </c>
      <c r="L51" s="185">
        <f t="shared" si="5"/>
        <v>110.45454545454547</v>
      </c>
      <c r="M51" s="185">
        <f t="shared" si="6"/>
        <v>245.4545454545455</v>
      </c>
      <c r="N51" s="185">
        <v>0</v>
      </c>
      <c r="O51" s="185">
        <f t="shared" si="7"/>
        <v>245.4545454545455</v>
      </c>
      <c r="P51" s="14">
        <v>27</v>
      </c>
      <c r="Q51" s="14">
        <v>4</v>
      </c>
      <c r="R51" s="13">
        <f t="shared" si="12"/>
        <v>36.363636363636367</v>
      </c>
      <c r="S51" s="13">
        <f t="shared" si="9"/>
        <v>281.81818181818187</v>
      </c>
      <c r="T51" s="173">
        <f>'Anexo 8 Tabela TRT'!I57</f>
        <v>1.02263881591963</v>
      </c>
      <c r="U51" s="13">
        <f t="shared" si="10"/>
        <v>288.19821175916849</v>
      </c>
      <c r="V51" s="13">
        <f t="shared" si="11"/>
        <v>32.278199717026865</v>
      </c>
    </row>
    <row r="52" spans="1:22" s="192" customFormat="1" ht="12.75" customHeight="1" x14ac:dyDescent="0.2">
      <c r="A52" s="27">
        <v>40269</v>
      </c>
      <c r="B52" s="13">
        <v>1298.53</v>
      </c>
      <c r="C52" s="28">
        <v>220</v>
      </c>
      <c r="D52" s="13">
        <f t="shared" si="13"/>
        <v>5.9024090909090905</v>
      </c>
      <c r="E52" s="13">
        <f t="shared" si="14"/>
        <v>9.4438545454545455</v>
      </c>
      <c r="F52" s="13">
        <f t="shared" si="15"/>
        <v>11.214577272727272</v>
      </c>
      <c r="G52" s="331">
        <v>24.45000000000001</v>
      </c>
      <c r="H52" s="185">
        <f t="shared" si="3"/>
        <v>230.90224363636372</v>
      </c>
      <c r="I52" s="331">
        <v>1.7833333333333332</v>
      </c>
      <c r="J52" s="185">
        <f t="shared" si="4"/>
        <v>19.999329469696967</v>
      </c>
      <c r="K52" s="331">
        <v>22</v>
      </c>
      <c r="L52" s="185">
        <f t="shared" si="5"/>
        <v>207.76480000000001</v>
      </c>
      <c r="M52" s="185">
        <f t="shared" si="6"/>
        <v>458.66637310606069</v>
      </c>
      <c r="N52" s="185">
        <v>0</v>
      </c>
      <c r="O52" s="185">
        <f t="shared" si="7"/>
        <v>458.66637310606069</v>
      </c>
      <c r="P52" s="14">
        <v>24</v>
      </c>
      <c r="Q52" s="14">
        <v>6</v>
      </c>
      <c r="R52" s="13">
        <f t="shared" si="12"/>
        <v>114.66659327651517</v>
      </c>
      <c r="S52" s="13">
        <f t="shared" si="9"/>
        <v>573.33296638257582</v>
      </c>
      <c r="T52" s="173">
        <f>'Anexo 8 Tabela TRT'!I58</f>
        <v>1.02263881591963</v>
      </c>
      <c r="U52" s="13">
        <f t="shared" si="10"/>
        <v>586.31254586916634</v>
      </c>
      <c r="V52" s="13">
        <f t="shared" si="11"/>
        <v>65.667005137346621</v>
      </c>
    </row>
    <row r="53" spans="1:22" s="192" customFormat="1" ht="12.75" customHeight="1" x14ac:dyDescent="0.2">
      <c r="A53" s="27">
        <v>40299</v>
      </c>
      <c r="B53" s="13">
        <v>1298.53</v>
      </c>
      <c r="C53" s="28">
        <v>220</v>
      </c>
      <c r="D53" s="13">
        <f t="shared" si="13"/>
        <v>5.9024090909090905</v>
      </c>
      <c r="E53" s="13">
        <f t="shared" si="14"/>
        <v>9.4438545454545455</v>
      </c>
      <c r="F53" s="13">
        <f t="shared" si="15"/>
        <v>11.214577272727272</v>
      </c>
      <c r="G53" s="331">
        <v>16.433333333333323</v>
      </c>
      <c r="H53" s="185">
        <f t="shared" si="3"/>
        <v>155.1940096969696</v>
      </c>
      <c r="I53" s="331">
        <v>2.0666666666666669</v>
      </c>
      <c r="J53" s="185">
        <f t="shared" si="4"/>
        <v>23.176793030303031</v>
      </c>
      <c r="K53" s="331">
        <v>20</v>
      </c>
      <c r="L53" s="185">
        <f t="shared" si="5"/>
        <v>188.8770909090909</v>
      </c>
      <c r="M53" s="185">
        <f t="shared" si="6"/>
        <v>367.24789363636353</v>
      </c>
      <c r="N53" s="185">
        <v>0</v>
      </c>
      <c r="O53" s="185">
        <f t="shared" si="7"/>
        <v>367.24789363636353</v>
      </c>
      <c r="P53" s="14">
        <v>25</v>
      </c>
      <c r="Q53" s="14">
        <v>6</v>
      </c>
      <c r="R53" s="13">
        <f t="shared" si="12"/>
        <v>88.13949447272725</v>
      </c>
      <c r="S53" s="13">
        <f t="shared" si="9"/>
        <v>455.38738810909081</v>
      </c>
      <c r="T53" s="173">
        <f>'Anexo 8 Tabela TRT'!I59</f>
        <v>1.0221175359762817</v>
      </c>
      <c r="U53" s="13">
        <f t="shared" si="10"/>
        <v>465.45943504873861</v>
      </c>
      <c r="V53" s="13">
        <f t="shared" si="11"/>
        <v>52.131456725458719</v>
      </c>
    </row>
    <row r="54" spans="1:22" s="192" customFormat="1" ht="12.75" customHeight="1" x14ac:dyDescent="0.2">
      <c r="A54" s="27">
        <v>40330</v>
      </c>
      <c r="B54" s="13">
        <f>'Anexo 3 Dif Sal'!E13</f>
        <v>1298.53</v>
      </c>
      <c r="C54" s="28">
        <v>220</v>
      </c>
      <c r="D54" s="13">
        <f t="shared" si="13"/>
        <v>5.9024090909090905</v>
      </c>
      <c r="E54" s="13">
        <f t="shared" si="14"/>
        <v>9.4438545454545455</v>
      </c>
      <c r="F54" s="13">
        <f t="shared" si="15"/>
        <v>11.214577272727272</v>
      </c>
      <c r="G54" s="331">
        <v>11.016666666666659</v>
      </c>
      <c r="H54" s="185">
        <f t="shared" si="3"/>
        <v>104.0397975757575</v>
      </c>
      <c r="I54" s="331">
        <v>0</v>
      </c>
      <c r="J54" s="185">
        <f t="shared" si="4"/>
        <v>0</v>
      </c>
      <c r="K54" s="331">
        <v>13</v>
      </c>
      <c r="L54" s="185">
        <f t="shared" si="5"/>
        <v>122.77010909090909</v>
      </c>
      <c r="M54" s="185">
        <f t="shared" si="6"/>
        <v>226.80990666666659</v>
      </c>
      <c r="N54" s="185">
        <v>0</v>
      </c>
      <c r="O54" s="185">
        <f t="shared" si="7"/>
        <v>226.80990666666659</v>
      </c>
      <c r="P54" s="14">
        <v>25</v>
      </c>
      <c r="Q54" s="14">
        <v>5</v>
      </c>
      <c r="R54" s="13">
        <f t="shared" si="12"/>
        <v>45.361981333333318</v>
      </c>
      <c r="S54" s="13">
        <f t="shared" si="9"/>
        <v>272.17188799999991</v>
      </c>
      <c r="T54" s="173">
        <f>'Anexo 8 Tabela TRT'!I60</f>
        <v>1.0215158631328964</v>
      </c>
      <c r="U54" s="13">
        <f t="shared" si="10"/>
        <v>278.02790109082991</v>
      </c>
      <c r="V54" s="13">
        <f t="shared" si="11"/>
        <v>31.139124922172947</v>
      </c>
    </row>
    <row r="55" spans="1:22" s="192" customFormat="1" ht="12.75" customHeight="1" x14ac:dyDescent="0.2">
      <c r="A55" s="381" t="s">
        <v>204</v>
      </c>
      <c r="B55" s="382"/>
      <c r="C55" s="382"/>
      <c r="D55" s="382"/>
      <c r="E55" s="382"/>
      <c r="F55" s="383"/>
      <c r="G55" s="331">
        <f>(SUM(G39:G42,G44:G47,G49:G52)/12)</f>
        <v>16.211111111111119</v>
      </c>
      <c r="H55" s="185">
        <f t="shared" si="3"/>
        <v>0</v>
      </c>
      <c r="I55" s="331">
        <f>(SUM(I39:I42,I44:I47,I49:I52)/12)</f>
        <v>1.125</v>
      </c>
      <c r="J55" s="185">
        <f t="shared" si="4"/>
        <v>0</v>
      </c>
      <c r="K55" s="331">
        <f>(SUM(K39:K42,K44:K47,K49:K52)/12)</f>
        <v>18.416666666666668</v>
      </c>
      <c r="L55" s="185">
        <f t="shared" si="5"/>
        <v>0</v>
      </c>
      <c r="M55" s="185">
        <f t="shared" si="6"/>
        <v>0</v>
      </c>
      <c r="N55" s="185">
        <v>0</v>
      </c>
      <c r="O55" s="185">
        <f t="shared" si="7"/>
        <v>0</v>
      </c>
      <c r="P55" s="211"/>
      <c r="Q55" s="211"/>
      <c r="R55" s="272"/>
      <c r="S55" s="13">
        <f t="shared" si="9"/>
        <v>0</v>
      </c>
      <c r="T55" s="173">
        <f>T54</f>
        <v>1.0215158631328964</v>
      </c>
      <c r="U55" s="13">
        <f t="shared" si="10"/>
        <v>0</v>
      </c>
      <c r="V55" s="13">
        <f t="shared" si="11"/>
        <v>0</v>
      </c>
    </row>
    <row r="56" spans="1:22" s="192" customFormat="1" ht="12.75" customHeight="1" x14ac:dyDescent="0.2">
      <c r="A56" s="27">
        <v>40360</v>
      </c>
      <c r="B56" s="13">
        <f>'Anexo 3 Dif Sal'!E14</f>
        <v>1376.4418000000001</v>
      </c>
      <c r="C56" s="28">
        <v>220</v>
      </c>
      <c r="D56" s="13">
        <f t="shared" si="13"/>
        <v>6.2565536363636367</v>
      </c>
      <c r="E56" s="13">
        <f t="shared" si="14"/>
        <v>10.01048581818182</v>
      </c>
      <c r="F56" s="13">
        <f t="shared" si="15"/>
        <v>11.88745190909091</v>
      </c>
      <c r="G56" s="331">
        <v>15.75</v>
      </c>
      <c r="H56" s="185">
        <f t="shared" si="3"/>
        <v>157.66515163636367</v>
      </c>
      <c r="I56" s="331">
        <v>4.6999999999999993</v>
      </c>
      <c r="J56" s="185">
        <f t="shared" si="4"/>
        <v>55.871023972727265</v>
      </c>
      <c r="K56" s="331">
        <v>7</v>
      </c>
      <c r="L56" s="185">
        <f t="shared" si="5"/>
        <v>70.073400727272741</v>
      </c>
      <c r="M56" s="185">
        <f t="shared" si="6"/>
        <v>283.60957633636372</v>
      </c>
      <c r="N56" s="185">
        <v>0</v>
      </c>
      <c r="O56" s="185">
        <f t="shared" si="7"/>
        <v>283.60957633636372</v>
      </c>
      <c r="P56" s="14">
        <v>27</v>
      </c>
      <c r="Q56" s="14">
        <v>4</v>
      </c>
      <c r="R56" s="13">
        <f t="shared" si="12"/>
        <v>42.016233531313141</v>
      </c>
      <c r="S56" s="13">
        <f t="shared" si="9"/>
        <v>325.62580986767688</v>
      </c>
      <c r="T56" s="173">
        <f>'Anexo 8 Tabela TRT'!I61</f>
        <v>1.0203414501238037</v>
      </c>
      <c r="U56" s="13">
        <f t="shared" si="10"/>
        <v>332.24951103812344</v>
      </c>
      <c r="V56" s="13">
        <f t="shared" si="11"/>
        <v>37.21194523626982</v>
      </c>
    </row>
    <row r="57" spans="1:22" s="192" customFormat="1" ht="12.75" customHeight="1" x14ac:dyDescent="0.2">
      <c r="A57" s="27">
        <v>40391</v>
      </c>
      <c r="B57" s="13">
        <f>'Anexo 3 Dif Sal'!E15</f>
        <v>1376.4418000000001</v>
      </c>
      <c r="C57" s="28">
        <v>220</v>
      </c>
      <c r="D57" s="13">
        <f t="shared" si="13"/>
        <v>6.2565536363636367</v>
      </c>
      <c r="E57" s="13">
        <f t="shared" si="14"/>
        <v>10.01048581818182</v>
      </c>
      <c r="F57" s="13">
        <f t="shared" si="15"/>
        <v>11.88745190909091</v>
      </c>
      <c r="G57" s="331">
        <v>23.216666666666665</v>
      </c>
      <c r="H57" s="185">
        <f t="shared" si="3"/>
        <v>232.41011241212124</v>
      </c>
      <c r="I57" s="331">
        <v>1.5500000000000003</v>
      </c>
      <c r="J57" s="185">
        <f t="shared" si="4"/>
        <v>18.425550459090914</v>
      </c>
      <c r="K57" s="331">
        <v>21</v>
      </c>
      <c r="L57" s="185">
        <f t="shared" si="5"/>
        <v>210.22020218181822</v>
      </c>
      <c r="M57" s="185">
        <f t="shared" si="6"/>
        <v>461.0558650530304</v>
      </c>
      <c r="N57" s="185">
        <v>20.27</v>
      </c>
      <c r="O57" s="185">
        <f t="shared" si="7"/>
        <v>440.78586505303042</v>
      </c>
      <c r="P57" s="14">
        <v>26</v>
      </c>
      <c r="Q57" s="14">
        <v>5</v>
      </c>
      <c r="R57" s="13">
        <f t="shared" si="12"/>
        <v>84.766512510198154</v>
      </c>
      <c r="S57" s="13">
        <f t="shared" si="9"/>
        <v>525.55237756322856</v>
      </c>
      <c r="T57" s="173">
        <f>'Anexo 8 Tabela TRT'!I62</f>
        <v>1.0194148020687237</v>
      </c>
      <c r="U57" s="13">
        <f t="shared" si="10"/>
        <v>535.75587295036576</v>
      </c>
      <c r="V57" s="13">
        <f t="shared" si="11"/>
        <v>60.004657770440957</v>
      </c>
    </row>
    <row r="58" spans="1:22" s="192" customFormat="1" ht="12.75" customHeight="1" x14ac:dyDescent="0.2">
      <c r="A58" s="27">
        <v>40422</v>
      </c>
      <c r="B58" s="13">
        <f>'Anexo 3 Dif Sal'!E16</f>
        <v>1376.4418000000001</v>
      </c>
      <c r="C58" s="28">
        <v>220</v>
      </c>
      <c r="D58" s="13">
        <f t="shared" si="13"/>
        <v>6.2565536363636367</v>
      </c>
      <c r="E58" s="13">
        <f t="shared" si="14"/>
        <v>10.01048581818182</v>
      </c>
      <c r="F58" s="13">
        <f t="shared" si="15"/>
        <v>11.88745190909091</v>
      </c>
      <c r="G58" s="331">
        <v>17.083333333333346</v>
      </c>
      <c r="H58" s="185">
        <f t="shared" si="3"/>
        <v>171.01246606060622</v>
      </c>
      <c r="I58" s="331">
        <v>2.3666666666666667</v>
      </c>
      <c r="J58" s="185">
        <f t="shared" si="4"/>
        <v>28.133636184848488</v>
      </c>
      <c r="K58" s="331">
        <v>21</v>
      </c>
      <c r="L58" s="185">
        <f t="shared" si="5"/>
        <v>210.22020218181822</v>
      </c>
      <c r="M58" s="185">
        <f t="shared" si="6"/>
        <v>409.36630442727289</v>
      </c>
      <c r="N58" s="185">
        <v>0</v>
      </c>
      <c r="O58" s="185">
        <f t="shared" si="7"/>
        <v>409.36630442727289</v>
      </c>
      <c r="P58" s="14">
        <v>25</v>
      </c>
      <c r="Q58" s="14">
        <v>5</v>
      </c>
      <c r="R58" s="13">
        <f t="shared" si="12"/>
        <v>81.873260885454584</v>
      </c>
      <c r="S58" s="13">
        <f t="shared" si="9"/>
        <v>491.23956531272745</v>
      </c>
      <c r="T58" s="173">
        <f>'Anexo 8 Tabela TRT'!I63</f>
        <v>1.0186996748969461</v>
      </c>
      <c r="U58" s="13">
        <f t="shared" si="10"/>
        <v>500.42558548059259</v>
      </c>
      <c r="V58" s="13">
        <f t="shared" si="11"/>
        <v>56.047665573826364</v>
      </c>
    </row>
    <row r="59" spans="1:22" s="192" customFormat="1" ht="12.75" customHeight="1" x14ac:dyDescent="0.2">
      <c r="A59" s="27">
        <v>40452</v>
      </c>
      <c r="B59" s="13">
        <f>'Anexo 3 Dif Sal'!E17</f>
        <v>1376.4418000000001</v>
      </c>
      <c r="C59" s="28">
        <v>220</v>
      </c>
      <c r="D59" s="13">
        <f t="shared" si="13"/>
        <v>6.2565536363636367</v>
      </c>
      <c r="E59" s="13">
        <f t="shared" si="14"/>
        <v>10.01048581818182</v>
      </c>
      <c r="F59" s="13">
        <f t="shared" si="15"/>
        <v>11.88745190909091</v>
      </c>
      <c r="G59" s="331">
        <v>17.766666666666673</v>
      </c>
      <c r="H59" s="185">
        <f t="shared" si="3"/>
        <v>177.85296470303041</v>
      </c>
      <c r="I59" s="331">
        <v>0</v>
      </c>
      <c r="J59" s="185">
        <f t="shared" si="4"/>
        <v>0</v>
      </c>
      <c r="K59" s="331">
        <v>19</v>
      </c>
      <c r="L59" s="185">
        <f t="shared" si="5"/>
        <v>190.19923054545458</v>
      </c>
      <c r="M59" s="185">
        <f t="shared" si="6"/>
        <v>368.05219524848496</v>
      </c>
      <c r="N59" s="185">
        <v>0</v>
      </c>
      <c r="O59" s="185">
        <f t="shared" si="7"/>
        <v>368.05219524848496</v>
      </c>
      <c r="P59" s="14">
        <v>25</v>
      </c>
      <c r="Q59" s="14">
        <v>6</v>
      </c>
      <c r="R59" s="13">
        <f t="shared" si="12"/>
        <v>88.332526859636403</v>
      </c>
      <c r="S59" s="13">
        <f t="shared" si="9"/>
        <v>456.38472210812137</v>
      </c>
      <c r="T59" s="173">
        <f>'Anexo 8 Tabela TRT'!I64</f>
        <v>1.0182190754933136</v>
      </c>
      <c r="U59" s="13">
        <f t="shared" si="10"/>
        <v>464.69962981420417</v>
      </c>
      <c r="V59" s="13">
        <f t="shared" si="11"/>
        <v>52.046358539190862</v>
      </c>
    </row>
    <row r="60" spans="1:22" s="192" customFormat="1" ht="12.75" customHeight="1" x14ac:dyDescent="0.2">
      <c r="A60" s="27">
        <v>40483</v>
      </c>
      <c r="B60" s="13">
        <f>'Anexo 3 Dif Sal'!E18</f>
        <v>1376.4418000000001</v>
      </c>
      <c r="C60" s="28">
        <v>220</v>
      </c>
      <c r="D60" s="13">
        <f t="shared" si="13"/>
        <v>6.2565536363636367</v>
      </c>
      <c r="E60" s="13">
        <f t="shared" si="14"/>
        <v>10.01048581818182</v>
      </c>
      <c r="F60" s="13">
        <f t="shared" si="15"/>
        <v>11.88745190909091</v>
      </c>
      <c r="G60" s="331">
        <v>17.449999999999996</v>
      </c>
      <c r="H60" s="185">
        <f t="shared" si="3"/>
        <v>174.68297752727273</v>
      </c>
      <c r="I60" s="331">
        <v>2.5166666666666666</v>
      </c>
      <c r="J60" s="185">
        <f t="shared" si="4"/>
        <v>29.91675397121212</v>
      </c>
      <c r="K60" s="331">
        <v>19</v>
      </c>
      <c r="L60" s="185">
        <f t="shared" si="5"/>
        <v>190.19923054545458</v>
      </c>
      <c r="M60" s="185">
        <f t="shared" si="6"/>
        <v>394.79896204393947</v>
      </c>
      <c r="N60" s="185">
        <v>0</v>
      </c>
      <c r="O60" s="185">
        <f t="shared" si="7"/>
        <v>394.79896204393947</v>
      </c>
      <c r="P60" s="14">
        <v>24</v>
      </c>
      <c r="Q60" s="14">
        <v>6</v>
      </c>
      <c r="R60" s="13">
        <f t="shared" si="12"/>
        <v>98.699740510984867</v>
      </c>
      <c r="S60" s="13">
        <f t="shared" si="9"/>
        <v>493.49870255492431</v>
      </c>
      <c r="T60" s="173">
        <f>'Anexo 8 Tabela TRT'!I65</f>
        <v>1.0178770687981971</v>
      </c>
      <c r="U60" s="13">
        <f t="shared" si="10"/>
        <v>502.32101281231968</v>
      </c>
      <c r="V60" s="13">
        <f t="shared" si="11"/>
        <v>56.259953434979799</v>
      </c>
    </row>
    <row r="61" spans="1:22" s="192" customFormat="1" ht="12.75" customHeight="1" x14ac:dyDescent="0.2">
      <c r="A61" s="27">
        <v>40513</v>
      </c>
      <c r="B61" s="13">
        <f>'Anexo 3 Dif Sal'!E19</f>
        <v>1376.4418000000001</v>
      </c>
      <c r="C61" s="28">
        <v>220</v>
      </c>
      <c r="D61" s="13">
        <f t="shared" si="13"/>
        <v>6.2565536363636367</v>
      </c>
      <c r="E61" s="13">
        <f t="shared" si="14"/>
        <v>10.01048581818182</v>
      </c>
      <c r="F61" s="13">
        <f t="shared" si="15"/>
        <v>11.88745190909091</v>
      </c>
      <c r="G61" s="331">
        <v>16.61666666666666</v>
      </c>
      <c r="H61" s="185">
        <f t="shared" si="3"/>
        <v>166.34090601212117</v>
      </c>
      <c r="I61" s="331">
        <v>8.3166666666666682</v>
      </c>
      <c r="J61" s="185">
        <f t="shared" si="4"/>
        <v>98.863975043939419</v>
      </c>
      <c r="K61" s="331">
        <v>17</v>
      </c>
      <c r="L61" s="185">
        <f t="shared" si="5"/>
        <v>170.17825890909094</v>
      </c>
      <c r="M61" s="185">
        <f t="shared" si="6"/>
        <v>435.38313996515149</v>
      </c>
      <c r="N61" s="185">
        <v>12.22</v>
      </c>
      <c r="O61" s="185">
        <f t="shared" si="7"/>
        <v>423.16313996515146</v>
      </c>
      <c r="P61" s="14">
        <v>25</v>
      </c>
      <c r="Q61" s="14">
        <v>6</v>
      </c>
      <c r="R61" s="13">
        <f t="shared" si="12"/>
        <v>101.55915359163635</v>
      </c>
      <c r="S61" s="13">
        <f t="shared" si="9"/>
        <v>524.7222935567878</v>
      </c>
      <c r="T61" s="173">
        <f>'Anexo 8 Tabela TRT'!J54</f>
        <v>1.0164479429903526</v>
      </c>
      <c r="U61" s="13">
        <f t="shared" si="10"/>
        <v>533.35289592697688</v>
      </c>
      <c r="V61" s="13">
        <f t="shared" si="11"/>
        <v>59.735524343821403</v>
      </c>
    </row>
    <row r="62" spans="1:22" s="193" customFormat="1" ht="19.5" customHeight="1" x14ac:dyDescent="0.2">
      <c r="A62" s="196" t="s">
        <v>172</v>
      </c>
      <c r="B62" s="13">
        <f>B61</f>
        <v>1376.4418000000001</v>
      </c>
      <c r="C62" s="28">
        <v>220</v>
      </c>
      <c r="D62" s="13">
        <f t="shared" si="13"/>
        <v>6.2565536363636367</v>
      </c>
      <c r="E62" s="13">
        <f t="shared" si="14"/>
        <v>10.01048581818182</v>
      </c>
      <c r="F62" s="13">
        <f t="shared" si="15"/>
        <v>11.88745190909091</v>
      </c>
      <c r="G62" s="331">
        <f>SUM(G49:G54,G56:G61)/12</f>
        <v>17.631944444444446</v>
      </c>
      <c r="H62" s="185">
        <f t="shared" si="3"/>
        <v>176.50432980808085</v>
      </c>
      <c r="I62" s="331">
        <f>SUM(I49:I54,I56:I61)/12</f>
        <v>2.130555555555556</v>
      </c>
      <c r="J62" s="185">
        <f t="shared" si="4"/>
        <v>25.326876706313136</v>
      </c>
      <c r="K62" s="331">
        <f>SUM(K49:K54,K56:K61)/12</f>
        <v>17.833333333333332</v>
      </c>
      <c r="L62" s="185">
        <f t="shared" si="5"/>
        <v>178.52033042424245</v>
      </c>
      <c r="M62" s="185">
        <f t="shared" si="6"/>
        <v>380.3515369386364</v>
      </c>
      <c r="N62" s="185">
        <v>0</v>
      </c>
      <c r="O62" s="185">
        <f t="shared" si="7"/>
        <v>380.3515369386364</v>
      </c>
      <c r="P62" s="211"/>
      <c r="Q62" s="211"/>
      <c r="R62" s="272"/>
      <c r="S62" s="13">
        <f t="shared" si="9"/>
        <v>380.3515369386364</v>
      </c>
      <c r="T62" s="173">
        <f>T60</f>
        <v>1.0178770687981971</v>
      </c>
      <c r="U62" s="13">
        <f t="shared" si="10"/>
        <v>387.15110753198837</v>
      </c>
      <c r="V62" s="13">
        <f t="shared" si="11"/>
        <v>43.360924043582692</v>
      </c>
    </row>
    <row r="63" spans="1:22" s="192" customFormat="1" ht="12.75" customHeight="1" x14ac:dyDescent="0.2">
      <c r="A63" s="27">
        <v>40544</v>
      </c>
      <c r="B63" s="13">
        <f>'Anexo 3 Dif Sal'!E20</f>
        <v>1376.4418000000001</v>
      </c>
      <c r="C63" s="28">
        <v>220</v>
      </c>
      <c r="D63" s="13">
        <f t="shared" si="13"/>
        <v>6.2565536363636367</v>
      </c>
      <c r="E63" s="13">
        <f t="shared" si="14"/>
        <v>10.01048581818182</v>
      </c>
      <c r="F63" s="13">
        <f t="shared" si="15"/>
        <v>11.88745190909091</v>
      </c>
      <c r="G63" s="331">
        <v>21.766666666666659</v>
      </c>
      <c r="H63" s="185">
        <f t="shared" si="3"/>
        <v>217.89490797575755</v>
      </c>
      <c r="I63" s="331">
        <v>1.6666666666666665</v>
      </c>
      <c r="J63" s="185">
        <f t="shared" si="4"/>
        <v>19.812419848484847</v>
      </c>
      <c r="K63" s="331">
        <v>15</v>
      </c>
      <c r="L63" s="185">
        <f t="shared" si="5"/>
        <v>150.1572872727273</v>
      </c>
      <c r="M63" s="185">
        <f t="shared" si="6"/>
        <v>387.86461509696971</v>
      </c>
      <c r="N63" s="185">
        <v>0</v>
      </c>
      <c r="O63" s="185">
        <f t="shared" si="7"/>
        <v>387.86461509696971</v>
      </c>
      <c r="P63" s="14">
        <v>25</v>
      </c>
      <c r="Q63" s="14">
        <v>6</v>
      </c>
      <c r="R63" s="13">
        <f t="shared" si="12"/>
        <v>93.087507623272728</v>
      </c>
      <c r="S63" s="13">
        <f t="shared" si="9"/>
        <v>480.95212272024241</v>
      </c>
      <c r="T63" s="173">
        <f>'Anexo 8 Tabela TRT'!J55</f>
        <v>1.0157217019734419</v>
      </c>
      <c r="U63" s="13">
        <f t="shared" si="10"/>
        <v>488.51350865714431</v>
      </c>
      <c r="V63" s="13">
        <f t="shared" si="11"/>
        <v>54.71351296960016</v>
      </c>
    </row>
    <row r="64" spans="1:22" s="192" customFormat="1" ht="12.75" customHeight="1" x14ac:dyDescent="0.2">
      <c r="A64" s="27">
        <v>40575</v>
      </c>
      <c r="B64" s="13">
        <f>'Anexo 3 Dif Sal'!E21</f>
        <v>1376.4418000000001</v>
      </c>
      <c r="C64" s="28">
        <v>220</v>
      </c>
      <c r="D64" s="13">
        <f t="shared" si="13"/>
        <v>6.2565536363636367</v>
      </c>
      <c r="E64" s="13">
        <f t="shared" si="14"/>
        <v>10.01048581818182</v>
      </c>
      <c r="F64" s="13">
        <f t="shared" si="15"/>
        <v>11.88745190909091</v>
      </c>
      <c r="G64" s="331">
        <v>20.899999999999981</v>
      </c>
      <c r="H64" s="185">
        <f t="shared" si="3"/>
        <v>209.21915359999986</v>
      </c>
      <c r="I64" s="331">
        <v>0</v>
      </c>
      <c r="J64" s="185">
        <f t="shared" si="4"/>
        <v>0</v>
      </c>
      <c r="K64" s="331">
        <v>21</v>
      </c>
      <c r="L64" s="185">
        <f t="shared" si="5"/>
        <v>210.22020218181822</v>
      </c>
      <c r="M64" s="185">
        <f t="shared" si="6"/>
        <v>419.43935578181811</v>
      </c>
      <c r="N64" s="185">
        <v>30.6</v>
      </c>
      <c r="O64" s="185">
        <f t="shared" si="7"/>
        <v>388.83935578181809</v>
      </c>
      <c r="P64" s="14">
        <v>24</v>
      </c>
      <c r="Q64" s="14">
        <v>4</v>
      </c>
      <c r="R64" s="13">
        <f t="shared" si="12"/>
        <v>64.806559296969681</v>
      </c>
      <c r="S64" s="13">
        <f t="shared" si="9"/>
        <v>453.64591507878777</v>
      </c>
      <c r="T64" s="173">
        <f>'Anexo 8 Tabela TRT'!J56</f>
        <v>1.015189742548346</v>
      </c>
      <c r="U64" s="13">
        <f t="shared" si="10"/>
        <v>460.53667973694343</v>
      </c>
      <c r="V64" s="13">
        <f t="shared" si="11"/>
        <v>51.58010813053766</v>
      </c>
    </row>
    <row r="65" spans="1:22" s="192" customFormat="1" ht="12.75" customHeight="1" x14ac:dyDescent="0.2">
      <c r="A65" s="27">
        <v>40603</v>
      </c>
      <c r="B65" s="13">
        <f>'Anexo 3 Dif Sal'!E22</f>
        <v>1376.4418000000001</v>
      </c>
      <c r="C65" s="28">
        <v>220</v>
      </c>
      <c r="D65" s="13">
        <f t="shared" si="13"/>
        <v>6.2565536363636367</v>
      </c>
      <c r="E65" s="13">
        <f t="shared" si="14"/>
        <v>10.01048581818182</v>
      </c>
      <c r="F65" s="13">
        <f t="shared" si="15"/>
        <v>11.88745190909091</v>
      </c>
      <c r="G65" s="331">
        <v>25.416666666666679</v>
      </c>
      <c r="H65" s="185">
        <f t="shared" si="3"/>
        <v>254.43318121212138</v>
      </c>
      <c r="I65" s="331">
        <v>0</v>
      </c>
      <c r="J65" s="185">
        <f t="shared" si="4"/>
        <v>0</v>
      </c>
      <c r="K65" s="331">
        <v>18</v>
      </c>
      <c r="L65" s="185">
        <f t="shared" si="5"/>
        <v>180.18874472727276</v>
      </c>
      <c r="M65" s="185">
        <f t="shared" si="6"/>
        <v>434.62192593939415</v>
      </c>
      <c r="N65" s="185">
        <v>0</v>
      </c>
      <c r="O65" s="185">
        <f t="shared" si="7"/>
        <v>434.62192593939415</v>
      </c>
      <c r="P65" s="14">
        <v>26</v>
      </c>
      <c r="Q65" s="14">
        <v>5</v>
      </c>
      <c r="R65" s="13">
        <f t="shared" si="12"/>
        <v>83.581139603729639</v>
      </c>
      <c r="S65" s="13">
        <f t="shared" si="9"/>
        <v>518.20306554312378</v>
      </c>
      <c r="T65" s="173">
        <f>'Anexo 8 Tabela TRT'!J57</f>
        <v>1.0139608220320433</v>
      </c>
      <c r="U65" s="13">
        <f t="shared" si="10"/>
        <v>525.43760631763064</v>
      </c>
      <c r="V65" s="13">
        <f t="shared" si="11"/>
        <v>58.849011907574628</v>
      </c>
    </row>
    <row r="66" spans="1:22" s="192" customFormat="1" ht="12.75" customHeight="1" x14ac:dyDescent="0.2">
      <c r="A66" s="27">
        <v>40634</v>
      </c>
      <c r="B66" s="13">
        <f>'Anexo 3 Dif Sal'!E23</f>
        <v>1376.4418000000001</v>
      </c>
      <c r="C66" s="28">
        <v>220</v>
      </c>
      <c r="D66" s="13">
        <f t="shared" si="13"/>
        <v>6.2565536363636367</v>
      </c>
      <c r="E66" s="13">
        <f t="shared" si="14"/>
        <v>10.01048581818182</v>
      </c>
      <c r="F66" s="13">
        <f t="shared" si="15"/>
        <v>11.88745190909091</v>
      </c>
      <c r="G66" s="331">
        <v>27.433333333333351</v>
      </c>
      <c r="H66" s="185">
        <f t="shared" si="3"/>
        <v>274.62099427878809</v>
      </c>
      <c r="I66" s="331">
        <v>2.166666666666667</v>
      </c>
      <c r="J66" s="185">
        <f t="shared" si="4"/>
        <v>25.756145803030307</v>
      </c>
      <c r="K66" s="331">
        <v>23</v>
      </c>
      <c r="L66" s="185">
        <f t="shared" si="5"/>
        <v>230.24117381818186</v>
      </c>
      <c r="M66" s="185">
        <f t="shared" si="6"/>
        <v>530.61831390000032</v>
      </c>
      <c r="N66" s="185">
        <v>77.63</v>
      </c>
      <c r="O66" s="185">
        <f t="shared" si="7"/>
        <v>452.98831390000032</v>
      </c>
      <c r="P66" s="14">
        <v>24</v>
      </c>
      <c r="Q66" s="14">
        <v>6</v>
      </c>
      <c r="R66" s="13">
        <f t="shared" si="12"/>
        <v>113.24707847500008</v>
      </c>
      <c r="S66" s="13">
        <f t="shared" si="9"/>
        <v>566.2353923750004</v>
      </c>
      <c r="T66" s="173">
        <f>'Anexo 8 Tabela TRT'!J58</f>
        <v>1.0135868084997068</v>
      </c>
      <c r="U66" s="13">
        <f t="shared" si="10"/>
        <v>573.92872421695586</v>
      </c>
      <c r="V66" s="13">
        <f t="shared" si="11"/>
        <v>64.280017112299049</v>
      </c>
    </row>
    <row r="67" spans="1:22" s="192" customFormat="1" ht="12.75" customHeight="1" x14ac:dyDescent="0.2">
      <c r="A67" s="27">
        <v>40664</v>
      </c>
      <c r="B67" s="13">
        <f>'Anexo 3 Dif Sal'!E24</f>
        <v>1376.4418000000001</v>
      </c>
      <c r="C67" s="28">
        <v>220</v>
      </c>
      <c r="D67" s="13">
        <f t="shared" si="13"/>
        <v>6.2565536363636367</v>
      </c>
      <c r="E67" s="13">
        <f t="shared" si="14"/>
        <v>10.01048581818182</v>
      </c>
      <c r="F67" s="13">
        <f t="shared" si="15"/>
        <v>11.88745190909091</v>
      </c>
      <c r="G67" s="331">
        <v>15.800000000000008</v>
      </c>
      <c r="H67" s="185">
        <f t="shared" si="3"/>
        <v>158.16567592727284</v>
      </c>
      <c r="I67" s="331">
        <v>0</v>
      </c>
      <c r="J67" s="185">
        <f t="shared" si="4"/>
        <v>0</v>
      </c>
      <c r="K67" s="331">
        <v>18</v>
      </c>
      <c r="L67" s="185">
        <f t="shared" si="5"/>
        <v>180.18874472727276</v>
      </c>
      <c r="M67" s="185">
        <f t="shared" si="6"/>
        <v>338.35442065454561</v>
      </c>
      <c r="N67" s="185">
        <v>88.45</v>
      </c>
      <c r="O67" s="185">
        <f t="shared" si="7"/>
        <v>249.90442065454562</v>
      </c>
      <c r="P67" s="14">
        <v>26</v>
      </c>
      <c r="Q67" s="14">
        <v>5</v>
      </c>
      <c r="R67" s="13">
        <f t="shared" si="12"/>
        <v>48.058542433566473</v>
      </c>
      <c r="S67" s="13">
        <f t="shared" si="9"/>
        <v>297.96296308811208</v>
      </c>
      <c r="T67" s="173">
        <f>'Anexo 8 Tabela TRT'!J59</f>
        <v>1.0119979716841634</v>
      </c>
      <c r="U67" s="13">
        <f t="shared" si="10"/>
        <v>301.53791428217266</v>
      </c>
      <c r="V67" s="13">
        <f t="shared" si="11"/>
        <v>33.772246399603333</v>
      </c>
    </row>
    <row r="68" spans="1:22" s="192" customFormat="1" ht="12.75" customHeight="1" x14ac:dyDescent="0.2">
      <c r="A68" s="27">
        <v>40695</v>
      </c>
      <c r="B68" s="13">
        <f>'Anexo 3 Dif Sal'!E25</f>
        <v>1376.4418000000001</v>
      </c>
      <c r="C68" s="28">
        <v>220</v>
      </c>
      <c r="D68" s="13">
        <f t="shared" si="13"/>
        <v>6.2565536363636367</v>
      </c>
      <c r="E68" s="13">
        <f t="shared" si="14"/>
        <v>10.01048581818182</v>
      </c>
      <c r="F68" s="13">
        <f t="shared" si="15"/>
        <v>11.88745190909091</v>
      </c>
      <c r="G68" s="331">
        <v>22.083333333333343</v>
      </c>
      <c r="H68" s="185">
        <f t="shared" si="3"/>
        <v>221.06489515151529</v>
      </c>
      <c r="I68" s="331">
        <v>1.2833333333333334</v>
      </c>
      <c r="J68" s="185">
        <f t="shared" si="4"/>
        <v>15.255563283333336</v>
      </c>
      <c r="K68" s="331">
        <v>23</v>
      </c>
      <c r="L68" s="185">
        <f t="shared" si="5"/>
        <v>230.24117381818186</v>
      </c>
      <c r="M68" s="185">
        <f t="shared" si="6"/>
        <v>466.5616322530305</v>
      </c>
      <c r="N68" s="185">
        <v>28.92</v>
      </c>
      <c r="O68" s="185">
        <f t="shared" si="7"/>
        <v>437.64163225303048</v>
      </c>
      <c r="P68" s="14">
        <v>25</v>
      </c>
      <c r="Q68" s="14">
        <v>5</v>
      </c>
      <c r="R68" s="13">
        <f t="shared" si="12"/>
        <v>87.528326450606087</v>
      </c>
      <c r="S68" s="13">
        <f t="shared" si="9"/>
        <v>525.16995870363655</v>
      </c>
      <c r="T68" s="173">
        <f>'Anexo 8 Tabela TRT'!J60</f>
        <v>1.0108718604316418</v>
      </c>
      <c r="U68" s="13">
        <f t="shared" si="10"/>
        <v>530.87953319755354</v>
      </c>
      <c r="V68" s="13">
        <f t="shared" si="11"/>
        <v>59.458507718125993</v>
      </c>
    </row>
    <row r="69" spans="1:22" s="192" customFormat="1" ht="12.75" customHeight="1" x14ac:dyDescent="0.2">
      <c r="A69" s="27">
        <v>40725</v>
      </c>
      <c r="B69" s="13">
        <f>'Anexo 3 Dif Sal'!E26</f>
        <v>1472.7927260000001</v>
      </c>
      <c r="C69" s="28">
        <v>220</v>
      </c>
      <c r="D69" s="13">
        <f t="shared" si="13"/>
        <v>6.6945123909090913</v>
      </c>
      <c r="E69" s="13">
        <f t="shared" si="14"/>
        <v>10.711219825454547</v>
      </c>
      <c r="F69" s="13">
        <f t="shared" si="15"/>
        <v>12.719573542727273</v>
      </c>
      <c r="G69" s="331">
        <v>20.583333333333343</v>
      </c>
      <c r="H69" s="185">
        <f t="shared" si="3"/>
        <v>220.47260807393954</v>
      </c>
      <c r="I69" s="331">
        <v>0.26666666666666666</v>
      </c>
      <c r="J69" s="185">
        <f t="shared" si="4"/>
        <v>3.3918862780606061</v>
      </c>
      <c r="K69" s="331">
        <v>21</v>
      </c>
      <c r="L69" s="185">
        <f t="shared" si="5"/>
        <v>224.9356163345455</v>
      </c>
      <c r="M69" s="185">
        <f t="shared" si="6"/>
        <v>448.80011068654562</v>
      </c>
      <c r="N69" s="185">
        <v>21.27</v>
      </c>
      <c r="O69" s="185">
        <f t="shared" si="7"/>
        <v>427.53011068654564</v>
      </c>
      <c r="P69" s="14">
        <v>26</v>
      </c>
      <c r="Q69" s="14">
        <v>5</v>
      </c>
      <c r="R69" s="13">
        <f t="shared" si="12"/>
        <v>82.217328978181854</v>
      </c>
      <c r="S69" s="13">
        <f t="shared" si="9"/>
        <v>509.74743966472749</v>
      </c>
      <c r="T69" s="173">
        <f>'Anexo 8 Tabela TRT'!J61</f>
        <v>1.0096310239032649</v>
      </c>
      <c r="U69" s="13">
        <f t="shared" si="10"/>
        <v>514.6568294407665</v>
      </c>
      <c r="V69" s="13">
        <f t="shared" si="11"/>
        <v>57.641564897365839</v>
      </c>
    </row>
    <row r="70" spans="1:22" s="192" customFormat="1" ht="12.75" customHeight="1" x14ac:dyDescent="0.2">
      <c r="A70" s="27">
        <v>40756</v>
      </c>
      <c r="B70" s="13">
        <f>'Anexo 3 Dif Sal'!E27</f>
        <v>1472.7927260000001</v>
      </c>
      <c r="C70" s="28">
        <v>220</v>
      </c>
      <c r="D70" s="13">
        <f t="shared" si="13"/>
        <v>6.6945123909090913</v>
      </c>
      <c r="E70" s="13">
        <f t="shared" si="14"/>
        <v>10.711219825454547</v>
      </c>
      <c r="F70" s="13">
        <f t="shared" si="15"/>
        <v>12.719573542727273</v>
      </c>
      <c r="G70" s="331">
        <v>17.366666666666685</v>
      </c>
      <c r="H70" s="185">
        <f t="shared" si="3"/>
        <v>186.01818430206083</v>
      </c>
      <c r="I70" s="331">
        <v>4.2666666666666675</v>
      </c>
      <c r="J70" s="185">
        <f t="shared" si="4"/>
        <v>54.270180448969711</v>
      </c>
      <c r="K70" s="331">
        <v>21</v>
      </c>
      <c r="L70" s="185">
        <f t="shared" si="5"/>
        <v>224.9356163345455</v>
      </c>
      <c r="M70" s="185">
        <f t="shared" si="6"/>
        <v>465.22398108557604</v>
      </c>
      <c r="N70" s="185">
        <v>37.79</v>
      </c>
      <c r="O70" s="185">
        <f t="shared" si="7"/>
        <v>427.43398108557602</v>
      </c>
      <c r="P70" s="14">
        <v>26</v>
      </c>
      <c r="Q70" s="14">
        <v>5</v>
      </c>
      <c r="R70" s="13">
        <f t="shared" si="12"/>
        <v>82.198842516456935</v>
      </c>
      <c r="S70" s="13">
        <f t="shared" si="9"/>
        <v>509.63282360203294</v>
      </c>
      <c r="T70" s="173">
        <f>'Anexo 8 Tabela TRT'!J62</f>
        <v>1.007539372166647</v>
      </c>
      <c r="U70" s="13">
        <f t="shared" si="10"/>
        <v>513.47513512750788</v>
      </c>
      <c r="V70" s="13">
        <f t="shared" si="11"/>
        <v>57.509215134280879</v>
      </c>
    </row>
    <row r="71" spans="1:22" s="192" customFormat="1" ht="12.75" customHeight="1" x14ac:dyDescent="0.2">
      <c r="A71" s="27">
        <v>40787</v>
      </c>
      <c r="B71" s="13">
        <f>'Anexo 3 Dif Sal'!E28</f>
        <v>1472.7927260000001</v>
      </c>
      <c r="C71" s="28">
        <v>220</v>
      </c>
      <c r="D71" s="13">
        <f t="shared" si="13"/>
        <v>6.6945123909090913</v>
      </c>
      <c r="E71" s="13">
        <f t="shared" si="14"/>
        <v>10.711219825454547</v>
      </c>
      <c r="F71" s="13">
        <f t="shared" si="15"/>
        <v>12.719573542727273</v>
      </c>
      <c r="G71" s="331">
        <v>19.433333333333348</v>
      </c>
      <c r="H71" s="185">
        <f t="shared" si="3"/>
        <v>208.15470527466687</v>
      </c>
      <c r="I71" s="331">
        <v>0</v>
      </c>
      <c r="J71" s="185">
        <f t="shared" si="4"/>
        <v>0</v>
      </c>
      <c r="K71" s="331">
        <v>22</v>
      </c>
      <c r="L71" s="185">
        <f t="shared" si="5"/>
        <v>235.64683616000005</v>
      </c>
      <c r="M71" s="185">
        <f t="shared" si="6"/>
        <v>443.80154143466689</v>
      </c>
      <c r="N71" s="185">
        <v>33.21</v>
      </c>
      <c r="O71" s="185">
        <f t="shared" si="7"/>
        <v>410.59154143466691</v>
      </c>
      <c r="P71" s="14">
        <v>25</v>
      </c>
      <c r="Q71" s="14">
        <v>5</v>
      </c>
      <c r="R71" s="13">
        <f t="shared" si="12"/>
        <v>82.118308286933384</v>
      </c>
      <c r="S71" s="13">
        <f t="shared" si="9"/>
        <v>492.70984972160028</v>
      </c>
      <c r="T71" s="173">
        <f>'Anexo 8 Tabela TRT'!J63</f>
        <v>1.0065298227544239</v>
      </c>
      <c r="U71" s="13">
        <f t="shared" si="10"/>
        <v>495.92715770964116</v>
      </c>
      <c r="V71" s="13">
        <f t="shared" si="11"/>
        <v>55.543841663479803</v>
      </c>
    </row>
    <row r="72" spans="1:22" s="192" customFormat="1" ht="12.75" customHeight="1" x14ac:dyDescent="0.2">
      <c r="A72" s="381" t="s">
        <v>204</v>
      </c>
      <c r="B72" s="382"/>
      <c r="C72" s="382"/>
      <c r="D72" s="382"/>
      <c r="E72" s="382"/>
      <c r="F72" s="383"/>
      <c r="G72" s="331">
        <f>SUM(G39:G42,G44:G47,G49:G52)/12</f>
        <v>16.211111111111119</v>
      </c>
      <c r="H72" s="185">
        <f t="shared" si="3"/>
        <v>0</v>
      </c>
      <c r="I72" s="331">
        <f>SUM(I39:I42,I44:I47,I49:I52)/12</f>
        <v>1.125</v>
      </c>
      <c r="J72" s="185">
        <f t="shared" si="4"/>
        <v>0</v>
      </c>
      <c r="K72" s="331">
        <f>SUM(K39:K42,K44:K47,K49:K52)/12</f>
        <v>18.416666666666668</v>
      </c>
      <c r="L72" s="185">
        <f t="shared" si="5"/>
        <v>0</v>
      </c>
      <c r="M72" s="185">
        <f t="shared" si="6"/>
        <v>0</v>
      </c>
      <c r="N72" s="185">
        <v>0</v>
      </c>
      <c r="O72" s="185">
        <f t="shared" si="7"/>
        <v>0</v>
      </c>
      <c r="P72" s="211"/>
      <c r="Q72" s="211"/>
      <c r="R72" s="272"/>
      <c r="S72" s="13">
        <f t="shared" si="9"/>
        <v>0</v>
      </c>
      <c r="T72" s="173">
        <f>T71</f>
        <v>1.0065298227544239</v>
      </c>
      <c r="U72" s="13">
        <f t="shared" si="10"/>
        <v>0</v>
      </c>
      <c r="V72" s="13">
        <f t="shared" si="11"/>
        <v>0</v>
      </c>
    </row>
    <row r="73" spans="1:22" s="192" customFormat="1" ht="12.75" customHeight="1" x14ac:dyDescent="0.2">
      <c r="A73" s="27">
        <v>40817</v>
      </c>
      <c r="B73" s="13">
        <f>'Anexo 3 Dif Sal'!E29</f>
        <v>1472.7927260000001</v>
      </c>
      <c r="C73" s="28">
        <v>220</v>
      </c>
      <c r="D73" s="13">
        <f t="shared" si="13"/>
        <v>6.6945123909090913</v>
      </c>
      <c r="E73" s="13">
        <f t="shared" si="14"/>
        <v>10.711219825454547</v>
      </c>
      <c r="F73" s="13">
        <f t="shared" si="15"/>
        <v>12.719573542727273</v>
      </c>
      <c r="G73" s="331">
        <v>0.35000000000000009</v>
      </c>
      <c r="H73" s="185">
        <f t="shared" si="3"/>
        <v>3.7489269389090927</v>
      </c>
      <c r="I73" s="331">
        <v>0</v>
      </c>
      <c r="J73" s="185">
        <f t="shared" si="4"/>
        <v>0</v>
      </c>
      <c r="K73" s="331">
        <v>1</v>
      </c>
      <c r="L73" s="185">
        <f t="shared" si="5"/>
        <v>10.711219825454547</v>
      </c>
      <c r="M73" s="185">
        <f t="shared" si="6"/>
        <v>14.460146764363639</v>
      </c>
      <c r="N73" s="185">
        <v>23.7</v>
      </c>
      <c r="O73" s="185">
        <f t="shared" si="7"/>
        <v>-9.2398532356363603</v>
      </c>
      <c r="P73" s="14">
        <v>25</v>
      </c>
      <c r="Q73" s="14">
        <v>6</v>
      </c>
      <c r="R73" s="13">
        <v>0</v>
      </c>
      <c r="S73" s="13">
        <f t="shared" si="9"/>
        <v>-9.2398532356363603</v>
      </c>
      <c r="T73" s="173">
        <f>'Anexo 8 Tabela TRT'!J64</f>
        <v>1.0059061609346447</v>
      </c>
      <c r="U73" s="13">
        <f t="shared" si="10"/>
        <v>-9.2944252958585256</v>
      </c>
      <c r="V73" s="13">
        <v>0</v>
      </c>
    </row>
    <row r="74" spans="1:22" s="192" customFormat="1" ht="12.75" customHeight="1" x14ac:dyDescent="0.2">
      <c r="A74" s="27">
        <v>40848</v>
      </c>
      <c r="B74" s="13">
        <f>'Anexo 3 Dif Sal'!E30</f>
        <v>1472.7927260000001</v>
      </c>
      <c r="C74" s="28">
        <v>220</v>
      </c>
      <c r="D74" s="13">
        <f t="shared" si="13"/>
        <v>6.6945123909090913</v>
      </c>
      <c r="E74" s="13">
        <f t="shared" si="14"/>
        <v>10.711219825454547</v>
      </c>
      <c r="F74" s="13">
        <f t="shared" si="15"/>
        <v>12.719573542727273</v>
      </c>
      <c r="G74" s="331">
        <v>12.366666666666669</v>
      </c>
      <c r="H74" s="185">
        <f t="shared" si="3"/>
        <v>132.46208517478792</v>
      </c>
      <c r="I74" s="331">
        <v>0</v>
      </c>
      <c r="J74" s="185">
        <f t="shared" si="4"/>
        <v>0</v>
      </c>
      <c r="K74" s="331">
        <v>14</v>
      </c>
      <c r="L74" s="185">
        <f t="shared" si="5"/>
        <v>149.95707755636366</v>
      </c>
      <c r="M74" s="185">
        <f t="shared" si="6"/>
        <v>282.41916273115157</v>
      </c>
      <c r="N74" s="185">
        <v>15.38</v>
      </c>
      <c r="O74" s="185">
        <f t="shared" si="7"/>
        <v>267.03916273115158</v>
      </c>
      <c r="P74" s="14">
        <v>24</v>
      </c>
      <c r="Q74" s="14">
        <v>6</v>
      </c>
      <c r="R74" s="13">
        <f t="shared" si="12"/>
        <v>66.759790682787894</v>
      </c>
      <c r="S74" s="13">
        <f t="shared" si="9"/>
        <v>333.79895341393944</v>
      </c>
      <c r="T74" s="173">
        <f>'Anexo 8 Tabela TRT'!J65</f>
        <v>1.0052577696732055</v>
      </c>
      <c r="U74" s="13">
        <f t="shared" si="10"/>
        <v>335.55399142814696</v>
      </c>
      <c r="V74" s="13">
        <f t="shared" si="11"/>
        <v>37.582047039952457</v>
      </c>
    </row>
    <row r="75" spans="1:22" s="192" customFormat="1" ht="12.75" customHeight="1" x14ac:dyDescent="0.2">
      <c r="A75" s="27">
        <v>40878</v>
      </c>
      <c r="B75" s="13">
        <f>'Anexo 3 Dif Sal'!E31</f>
        <v>1472.7927260000001</v>
      </c>
      <c r="C75" s="28">
        <v>220</v>
      </c>
      <c r="D75" s="13">
        <f t="shared" si="13"/>
        <v>6.6945123909090913</v>
      </c>
      <c r="E75" s="13">
        <f t="shared" si="14"/>
        <v>10.711219825454547</v>
      </c>
      <c r="F75" s="13">
        <f t="shared" si="15"/>
        <v>12.719573542727273</v>
      </c>
      <c r="G75" s="331">
        <v>15.233333333333359</v>
      </c>
      <c r="H75" s="185">
        <f t="shared" si="3"/>
        <v>163.16758200775789</v>
      </c>
      <c r="I75" s="331">
        <v>0</v>
      </c>
      <c r="J75" s="185">
        <f t="shared" si="4"/>
        <v>0</v>
      </c>
      <c r="K75" s="331">
        <v>19</v>
      </c>
      <c r="L75" s="185">
        <f t="shared" si="5"/>
        <v>203.5131766836364</v>
      </c>
      <c r="M75" s="185">
        <f t="shared" si="6"/>
        <v>366.68075869139432</v>
      </c>
      <c r="N75" s="185">
        <v>42.8</v>
      </c>
      <c r="O75" s="185">
        <f t="shared" si="7"/>
        <v>323.88075869139431</v>
      </c>
      <c r="P75" s="14">
        <v>26</v>
      </c>
      <c r="Q75" s="14">
        <v>5</v>
      </c>
      <c r="R75" s="13">
        <f t="shared" si="12"/>
        <v>62.284761286806599</v>
      </c>
      <c r="S75" s="13">
        <f t="shared" si="9"/>
        <v>386.1655199782009</v>
      </c>
      <c r="T75" s="173">
        <f>'Anexo 8 Tabela TRT'!K54</f>
        <v>1.004316724901972</v>
      </c>
      <c r="U75" s="13">
        <f t="shared" si="10"/>
        <v>387.83249029457374</v>
      </c>
      <c r="V75" s="13">
        <f t="shared" si="11"/>
        <v>43.437238912992257</v>
      </c>
    </row>
    <row r="76" spans="1:22" s="193" customFormat="1" ht="19.5" customHeight="1" x14ac:dyDescent="0.2">
      <c r="A76" s="196" t="s">
        <v>173</v>
      </c>
      <c r="B76" s="13">
        <f>B75</f>
        <v>1472.7927260000001</v>
      </c>
      <c r="C76" s="28">
        <v>220</v>
      </c>
      <c r="D76" s="13">
        <f t="shared" si="13"/>
        <v>6.6945123909090913</v>
      </c>
      <c r="E76" s="13">
        <f t="shared" si="14"/>
        <v>10.711219825454547</v>
      </c>
      <c r="F76" s="13">
        <f t="shared" si="15"/>
        <v>12.719573542727273</v>
      </c>
      <c r="G76" s="331">
        <f>SUM(G63:G71,G73:G75)/12</f>
        <v>18.227777777777785</v>
      </c>
      <c r="H76" s="185">
        <f t="shared" si="3"/>
        <v>195.24173470731324</v>
      </c>
      <c r="I76" s="331">
        <f>SUM(I63:I71,I73:I75)/12</f>
        <v>0.80416666666666681</v>
      </c>
      <c r="J76" s="185">
        <f t="shared" si="4"/>
        <v>10.228657057276518</v>
      </c>
      <c r="K76" s="331">
        <f>SUM(K63:K71,K73:K75)/12</f>
        <v>18</v>
      </c>
      <c r="L76" s="185">
        <f t="shared" si="5"/>
        <v>192.80195685818185</v>
      </c>
      <c r="M76" s="185">
        <f t="shared" si="6"/>
        <v>398.27234862277157</v>
      </c>
      <c r="N76" s="185">
        <v>0</v>
      </c>
      <c r="O76" s="185">
        <f t="shared" si="7"/>
        <v>398.27234862277157</v>
      </c>
      <c r="P76" s="211"/>
      <c r="Q76" s="211"/>
      <c r="R76" s="272"/>
      <c r="S76" s="13">
        <f t="shared" si="9"/>
        <v>398.27234862277157</v>
      </c>
      <c r="T76" s="173">
        <f>T74</f>
        <v>1.0052577696732055</v>
      </c>
      <c r="U76" s="13">
        <f t="shared" si="10"/>
        <v>400.36637289903672</v>
      </c>
      <c r="V76" s="13">
        <f t="shared" si="11"/>
        <v>44.841033764692106</v>
      </c>
    </row>
    <row r="77" spans="1:22" s="192" customFormat="1" ht="12.75" customHeight="1" x14ac:dyDescent="0.2">
      <c r="A77" s="27">
        <v>40909</v>
      </c>
      <c r="B77" s="13">
        <f>'Anexo 3 Dif Sal'!E32</f>
        <v>1472.7927260000001</v>
      </c>
      <c r="C77" s="28">
        <v>220</v>
      </c>
      <c r="D77" s="13">
        <f t="shared" si="13"/>
        <v>6.6945123909090913</v>
      </c>
      <c r="E77" s="13">
        <f t="shared" si="14"/>
        <v>10.711219825454547</v>
      </c>
      <c r="F77" s="13">
        <f t="shared" si="15"/>
        <v>12.719573542727273</v>
      </c>
      <c r="G77" s="331">
        <v>16.366666666666681</v>
      </c>
      <c r="H77" s="185">
        <f t="shared" si="3"/>
        <v>175.30696447660625</v>
      </c>
      <c r="I77" s="331">
        <v>0</v>
      </c>
      <c r="J77" s="185">
        <f t="shared" si="4"/>
        <v>0</v>
      </c>
      <c r="K77" s="331">
        <v>21</v>
      </c>
      <c r="L77" s="185">
        <f t="shared" si="5"/>
        <v>224.9356163345455</v>
      </c>
      <c r="M77" s="185">
        <f t="shared" si="6"/>
        <v>400.24258081115175</v>
      </c>
      <c r="N77" s="185">
        <v>20.079999999999998</v>
      </c>
      <c r="O77" s="185">
        <f t="shared" si="7"/>
        <v>380.16258081115177</v>
      </c>
      <c r="P77" s="14">
        <v>26</v>
      </c>
      <c r="Q77" s="14">
        <v>5</v>
      </c>
      <c r="R77" s="13">
        <f t="shared" si="12"/>
        <v>73.108188617529194</v>
      </c>
      <c r="S77" s="13">
        <f t="shared" si="9"/>
        <v>453.27076942868098</v>
      </c>
      <c r="T77" s="173">
        <f>'Anexo 8 Tabela TRT'!K55</f>
        <v>1.0034497443228774</v>
      </c>
      <c r="U77" s="13">
        <f t="shared" si="10"/>
        <v>454.83443769224385</v>
      </c>
      <c r="V77" s="13">
        <f t="shared" si="11"/>
        <v>50.941457021531306</v>
      </c>
    </row>
    <row r="78" spans="1:22" s="192" customFormat="1" ht="12.75" customHeight="1" x14ac:dyDescent="0.2">
      <c r="A78" s="27">
        <v>40940</v>
      </c>
      <c r="B78" s="13">
        <f>'Anexo 3 Dif Sal'!E33</f>
        <v>1472.7927260000001</v>
      </c>
      <c r="C78" s="28">
        <v>220</v>
      </c>
      <c r="D78" s="13">
        <f t="shared" si="13"/>
        <v>6.6945123909090913</v>
      </c>
      <c r="E78" s="13">
        <f t="shared" si="14"/>
        <v>10.711219825454547</v>
      </c>
      <c r="F78" s="13">
        <f t="shared" si="15"/>
        <v>12.719573542727273</v>
      </c>
      <c r="G78" s="331">
        <v>24.383333333333336</v>
      </c>
      <c r="H78" s="185">
        <f t="shared" ref="H78:H80" si="16">E78*G78</f>
        <v>261.17524341066672</v>
      </c>
      <c r="I78" s="331">
        <v>0</v>
      </c>
      <c r="J78" s="185">
        <f t="shared" ref="J78:J80" si="17">F78*I78</f>
        <v>0</v>
      </c>
      <c r="K78" s="331">
        <v>23</v>
      </c>
      <c r="L78" s="185">
        <f t="shared" ref="L78:L80" si="18">E78*K78</f>
        <v>246.3580559854546</v>
      </c>
      <c r="M78" s="185">
        <f t="shared" ref="M78:M80" si="19">H78+J78+L78</f>
        <v>507.53329939612132</v>
      </c>
      <c r="N78" s="185">
        <v>71.8</v>
      </c>
      <c r="O78" s="185">
        <f t="shared" ref="O78:O80" si="20">M78-N78</f>
        <v>435.73329939612131</v>
      </c>
      <c r="P78" s="14">
        <v>24</v>
      </c>
      <c r="Q78" s="14">
        <v>5</v>
      </c>
      <c r="R78" s="13">
        <f t="shared" si="12"/>
        <v>90.777770707525264</v>
      </c>
      <c r="S78" s="13">
        <f t="shared" ref="S78:S80" si="21">O78+R78</f>
        <v>526.5110701036466</v>
      </c>
      <c r="T78" s="173">
        <f>'Anexo 8 Tabela TRT'!K56</f>
        <v>1.0034497443228774</v>
      </c>
      <c r="U78" s="13">
        <f t="shared" ref="U78:U80" si="22">S78*T78</f>
        <v>528.32739867866871</v>
      </c>
      <c r="V78" s="13">
        <f t="shared" ref="V78:V80" si="23">U78*11.2%</f>
        <v>59.172668652010891</v>
      </c>
    </row>
    <row r="79" spans="1:22" s="192" customFormat="1" ht="12.75" customHeight="1" x14ac:dyDescent="0.2">
      <c r="A79" s="27">
        <v>40969</v>
      </c>
      <c r="B79" s="13">
        <f>'Anexo 3 Dif Sal'!E34</f>
        <v>1472.7927260000001</v>
      </c>
      <c r="C79" s="28">
        <v>220</v>
      </c>
      <c r="D79" s="13">
        <f t="shared" si="13"/>
        <v>6.6945123909090913</v>
      </c>
      <c r="E79" s="13">
        <f t="shared" si="14"/>
        <v>10.711219825454547</v>
      </c>
      <c r="F79" s="13">
        <f t="shared" si="15"/>
        <v>12.719573542727273</v>
      </c>
      <c r="G79" s="331">
        <v>14.483333333333334</v>
      </c>
      <c r="H79" s="185">
        <f t="shared" si="16"/>
        <v>155.1341671386667</v>
      </c>
      <c r="I79" s="331">
        <v>0</v>
      </c>
      <c r="J79" s="185">
        <f t="shared" si="17"/>
        <v>0</v>
      </c>
      <c r="K79" s="331">
        <v>18</v>
      </c>
      <c r="L79" s="185">
        <f t="shared" si="18"/>
        <v>192.80195685818185</v>
      </c>
      <c r="M79" s="185">
        <f t="shared" si="19"/>
        <v>347.93612399684855</v>
      </c>
      <c r="N79" s="185">
        <v>53.87</v>
      </c>
      <c r="O79" s="185">
        <f t="shared" si="20"/>
        <v>294.06612399684855</v>
      </c>
      <c r="P79" s="14">
        <v>27</v>
      </c>
      <c r="Q79" s="14">
        <v>4</v>
      </c>
      <c r="R79" s="13">
        <f t="shared" si="12"/>
        <v>43.565351703236821</v>
      </c>
      <c r="S79" s="13">
        <f t="shared" si="21"/>
        <v>337.63147570008539</v>
      </c>
      <c r="T79" s="173">
        <f>'Anexo 8 Tabela TRT'!K57</f>
        <v>1.0023792033337171</v>
      </c>
      <c r="U79" s="13">
        <f t="shared" si="22"/>
        <v>338.43476963263885</v>
      </c>
      <c r="V79" s="13">
        <f t="shared" si="23"/>
        <v>37.904694198855545</v>
      </c>
    </row>
    <row r="80" spans="1:22" s="192" customFormat="1" ht="12.75" customHeight="1" x14ac:dyDescent="0.2">
      <c r="A80" s="273">
        <v>41024</v>
      </c>
      <c r="B80" s="13">
        <f>B79</f>
        <v>1472.7927260000001</v>
      </c>
      <c r="C80" s="28">
        <v>220</v>
      </c>
      <c r="D80" s="13">
        <f t="shared" ref="D80" si="24">B80/C80</f>
        <v>6.6945123909090913</v>
      </c>
      <c r="E80" s="13">
        <f t="shared" si="14"/>
        <v>10.711219825454547</v>
      </c>
      <c r="F80" s="13">
        <f t="shared" si="15"/>
        <v>12.719573542727273</v>
      </c>
      <c r="G80" s="331">
        <v>22.750000000000032</v>
      </c>
      <c r="H80" s="185">
        <f t="shared" si="16"/>
        <v>243.68025102909129</v>
      </c>
      <c r="I80" s="331">
        <v>0.66666666666666663</v>
      </c>
      <c r="J80" s="185">
        <f t="shared" si="17"/>
        <v>8.4797156951515156</v>
      </c>
      <c r="K80" s="331">
        <v>25</v>
      </c>
      <c r="L80" s="185">
        <f t="shared" si="18"/>
        <v>267.7804956363637</v>
      </c>
      <c r="M80" s="185">
        <f t="shared" si="19"/>
        <v>519.94046236060649</v>
      </c>
      <c r="N80" s="185">
        <v>47.31</v>
      </c>
      <c r="O80" s="185">
        <f t="shared" si="20"/>
        <v>472.63046236060649</v>
      </c>
      <c r="P80" s="14">
        <v>21</v>
      </c>
      <c r="Q80" s="14">
        <v>4</v>
      </c>
      <c r="R80" s="13">
        <f t="shared" si="12"/>
        <v>90.024849973448852</v>
      </c>
      <c r="S80" s="13">
        <f t="shared" si="21"/>
        <v>562.65531233405534</v>
      </c>
      <c r="T80" s="173">
        <f>'Anexo 8 Tabela TRT'!K58</f>
        <v>1.0021517148944361</v>
      </c>
      <c r="U80" s="13">
        <f t="shared" si="22"/>
        <v>563.86598615003811</v>
      </c>
      <c r="V80" s="13">
        <f t="shared" si="23"/>
        <v>63.15299044880426</v>
      </c>
    </row>
    <row r="81" spans="1:24" s="16" customFormat="1" x14ac:dyDescent="0.2">
      <c r="A81" s="378" t="s">
        <v>122</v>
      </c>
      <c r="B81" s="379"/>
      <c r="C81" s="379"/>
      <c r="D81" s="379"/>
      <c r="E81" s="379"/>
      <c r="F81" s="379"/>
      <c r="G81" s="379"/>
      <c r="H81" s="379"/>
      <c r="I81" s="379"/>
      <c r="J81" s="379"/>
      <c r="K81" s="379"/>
      <c r="L81" s="379"/>
      <c r="M81" s="379"/>
      <c r="N81" s="379"/>
      <c r="O81" s="379"/>
      <c r="P81" s="379"/>
      <c r="Q81" s="379"/>
      <c r="R81" s="379"/>
      <c r="S81" s="379"/>
      <c r="T81" s="379"/>
      <c r="U81" s="115">
        <f>SUM(U13:U80)</f>
        <v>23429.349044749131</v>
      </c>
      <c r="V81" s="115">
        <f>SUM(V13:V80)</f>
        <v>2628.580060450965</v>
      </c>
      <c r="X81" s="193"/>
    </row>
    <row r="82" spans="1:24" s="194" customFormat="1" x14ac:dyDescent="0.2">
      <c r="B82" s="214"/>
      <c r="G82" s="175"/>
      <c r="H82" s="175"/>
      <c r="I82" s="260"/>
      <c r="J82" s="175"/>
      <c r="K82" s="175"/>
    </row>
    <row r="83" spans="1:24" s="194" customFormat="1" ht="12.75" customHeight="1" x14ac:dyDescent="0.2">
      <c r="B83" s="214"/>
      <c r="G83" s="175"/>
      <c r="H83" s="175"/>
      <c r="I83" s="260"/>
      <c r="J83" s="175"/>
      <c r="K83" s="175"/>
    </row>
    <row r="84" spans="1:24" s="194" customFormat="1" x14ac:dyDescent="0.2">
      <c r="B84" s="214"/>
      <c r="G84" s="175"/>
      <c r="H84" s="175"/>
      <c r="I84" s="260"/>
      <c r="J84" s="175"/>
      <c r="K84" s="175"/>
    </row>
    <row r="85" spans="1:24" s="194" customFormat="1" x14ac:dyDescent="0.2">
      <c r="B85" s="214"/>
      <c r="G85" s="175"/>
      <c r="H85" s="175"/>
      <c r="I85" s="260"/>
      <c r="J85" s="175"/>
      <c r="K85" s="175"/>
    </row>
    <row r="86" spans="1:24" s="194" customFormat="1" x14ac:dyDescent="0.2">
      <c r="B86" s="214"/>
      <c r="G86" s="175"/>
      <c r="H86" s="175"/>
      <c r="I86" s="260"/>
      <c r="J86" s="175"/>
      <c r="K86" s="175"/>
    </row>
    <row r="87" spans="1:24" s="194" customFormat="1" x14ac:dyDescent="0.2">
      <c r="B87" s="214"/>
      <c r="G87" s="175"/>
      <c r="H87" s="175"/>
      <c r="I87" s="260"/>
      <c r="J87" s="175"/>
      <c r="K87" s="175"/>
    </row>
    <row r="88" spans="1:24" s="194" customFormat="1" x14ac:dyDescent="0.2">
      <c r="B88" s="214"/>
      <c r="G88" s="175"/>
      <c r="H88" s="175"/>
      <c r="I88" s="260"/>
      <c r="J88" s="175"/>
      <c r="K88" s="175"/>
    </row>
    <row r="89" spans="1:24" s="194" customFormat="1" x14ac:dyDescent="0.2">
      <c r="B89" s="214"/>
      <c r="G89" s="175"/>
      <c r="H89" s="175"/>
      <c r="I89" s="260"/>
      <c r="J89" s="175"/>
      <c r="K89" s="175"/>
    </row>
    <row r="90" spans="1:24" s="194" customFormat="1" x14ac:dyDescent="0.2">
      <c r="B90" s="214"/>
      <c r="G90" s="175"/>
      <c r="H90" s="175"/>
      <c r="I90" s="260"/>
      <c r="J90" s="175"/>
      <c r="K90" s="175"/>
    </row>
    <row r="91" spans="1:24" s="194" customFormat="1" x14ac:dyDescent="0.2">
      <c r="B91" s="214"/>
      <c r="G91" s="175"/>
      <c r="H91" s="175"/>
      <c r="I91" s="260"/>
      <c r="J91" s="175"/>
      <c r="K91" s="175"/>
    </row>
    <row r="92" spans="1:24" s="194" customFormat="1" ht="12.75" customHeight="1" x14ac:dyDescent="0.2">
      <c r="B92" s="214"/>
      <c r="G92" s="175"/>
      <c r="H92" s="175"/>
      <c r="I92" s="260"/>
      <c r="J92" s="175"/>
      <c r="K92" s="175"/>
    </row>
    <row r="93" spans="1:24" s="194" customFormat="1" x14ac:dyDescent="0.2">
      <c r="B93" s="214"/>
      <c r="G93" s="175"/>
      <c r="H93" s="175"/>
      <c r="I93" s="260"/>
      <c r="J93" s="175"/>
      <c r="K93" s="175"/>
    </row>
    <row r="94" spans="1:24" s="194" customFormat="1" x14ac:dyDescent="0.2">
      <c r="B94" s="214"/>
      <c r="G94" s="175"/>
      <c r="H94" s="175"/>
      <c r="I94" s="260"/>
      <c r="J94" s="175"/>
      <c r="K94" s="175"/>
    </row>
    <row r="95" spans="1:24" s="194" customFormat="1" x14ac:dyDescent="0.2">
      <c r="B95" s="214"/>
      <c r="G95" s="175"/>
      <c r="H95" s="175"/>
      <c r="I95" s="260"/>
      <c r="J95" s="175"/>
      <c r="K95" s="175"/>
    </row>
    <row r="96" spans="1:24" s="194" customFormat="1" x14ac:dyDescent="0.2">
      <c r="B96" s="214"/>
      <c r="G96" s="175"/>
      <c r="H96" s="175"/>
      <c r="I96" s="260"/>
      <c r="J96" s="175"/>
      <c r="K96" s="175"/>
    </row>
    <row r="97" spans="2:11" s="194" customFormat="1" x14ac:dyDescent="0.2">
      <c r="B97" s="214"/>
      <c r="G97" s="175"/>
      <c r="H97" s="175"/>
      <c r="I97" s="260"/>
      <c r="J97" s="175"/>
      <c r="K97" s="175"/>
    </row>
    <row r="98" spans="2:11" s="194" customFormat="1" x14ac:dyDescent="0.2">
      <c r="B98" s="214"/>
      <c r="G98" s="175"/>
      <c r="H98" s="175"/>
      <c r="I98" s="260"/>
      <c r="J98" s="175"/>
      <c r="K98" s="175"/>
    </row>
    <row r="99" spans="2:11" s="194" customFormat="1" x14ac:dyDescent="0.2">
      <c r="B99" s="214"/>
      <c r="G99" s="175"/>
      <c r="H99" s="175"/>
      <c r="I99" s="260"/>
      <c r="J99" s="175"/>
      <c r="K99" s="175"/>
    </row>
    <row r="100" spans="2:11" s="194" customFormat="1" x14ac:dyDescent="0.2">
      <c r="B100" s="214"/>
      <c r="G100" s="175"/>
      <c r="H100" s="175"/>
      <c r="I100" s="260"/>
      <c r="J100" s="175"/>
      <c r="K100" s="175"/>
    </row>
    <row r="101" spans="2:11" s="194" customFormat="1" x14ac:dyDescent="0.2">
      <c r="B101" s="214"/>
      <c r="G101" s="175"/>
      <c r="H101" s="175"/>
      <c r="I101" s="260"/>
      <c r="J101" s="175"/>
      <c r="K101" s="175"/>
    </row>
    <row r="102" spans="2:11" s="194" customFormat="1" x14ac:dyDescent="0.2">
      <c r="B102" s="214"/>
      <c r="G102" s="175"/>
      <c r="H102" s="175"/>
      <c r="I102" s="260"/>
      <c r="J102" s="175"/>
      <c r="K102" s="175"/>
    </row>
    <row r="103" spans="2:11" s="194" customFormat="1" x14ac:dyDescent="0.2">
      <c r="B103" s="214"/>
      <c r="G103" s="175"/>
      <c r="H103" s="175"/>
      <c r="I103" s="260"/>
      <c r="J103" s="175"/>
      <c r="K103" s="175"/>
    </row>
    <row r="104" spans="2:11" s="194" customFormat="1" x14ac:dyDescent="0.2">
      <c r="B104" s="214"/>
      <c r="G104" s="175"/>
      <c r="H104" s="175"/>
      <c r="I104" s="260"/>
      <c r="J104" s="175"/>
      <c r="K104" s="175"/>
    </row>
    <row r="105" spans="2:11" s="194" customFormat="1" x14ac:dyDescent="0.2">
      <c r="B105" s="214"/>
      <c r="G105" s="175"/>
      <c r="H105" s="175"/>
      <c r="I105" s="260"/>
      <c r="J105" s="175"/>
      <c r="K105" s="175"/>
    </row>
  </sheetData>
  <mergeCells count="34">
    <mergeCell ref="Q10:Q11"/>
    <mergeCell ref="C9:C11"/>
    <mergeCell ref="E9:E11"/>
    <mergeCell ref="A26:F26"/>
    <mergeCell ref="P9:R9"/>
    <mergeCell ref="A43:F43"/>
    <mergeCell ref="A6:V6"/>
    <mergeCell ref="A7:V7"/>
    <mergeCell ref="F9:F11"/>
    <mergeCell ref="G9:H9"/>
    <mergeCell ref="K9:L9"/>
    <mergeCell ref="M9:M11"/>
    <mergeCell ref="V9:V11"/>
    <mergeCell ref="P10:P11"/>
    <mergeCell ref="A9:A11"/>
    <mergeCell ref="D9:D11"/>
    <mergeCell ref="K10:K11"/>
    <mergeCell ref="B9:B11"/>
    <mergeCell ref="A81:T81"/>
    <mergeCell ref="S9:S11"/>
    <mergeCell ref="T9:U9"/>
    <mergeCell ref="G10:G11"/>
    <mergeCell ref="L10:L11"/>
    <mergeCell ref="R10:R11"/>
    <mergeCell ref="T10:T11"/>
    <mergeCell ref="U10:U11"/>
    <mergeCell ref="J10:J11"/>
    <mergeCell ref="N9:N11"/>
    <mergeCell ref="I9:J9"/>
    <mergeCell ref="I10:I11"/>
    <mergeCell ref="O9:O11"/>
    <mergeCell ref="H10:H11"/>
    <mergeCell ref="A55:F55"/>
    <mergeCell ref="A72:F72"/>
  </mergeCells>
  <phoneticPr fontId="2" type="noConversion"/>
  <printOptions horizontalCentered="1"/>
  <pageMargins left="0.39370078740157483" right="0.35433070866141736" top="1.06" bottom="0.39370078740157483" header="0.31496062992125984" footer="0.19685039370078741"/>
  <pageSetup paperSize="9" scale="75" orientation="landscape" horizontalDpi="0" verticalDpi="0" r:id="rId1"/>
  <headerFooter alignWithMargins="0">
    <oddFooter>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H59"/>
  <sheetViews>
    <sheetView workbookViewId="0"/>
  </sheetViews>
  <sheetFormatPr defaultRowHeight="12.75" x14ac:dyDescent="0.2"/>
  <cols>
    <col min="1" max="1" width="14.140625" style="175" customWidth="1"/>
    <col min="2" max="2" width="8.7109375" style="213" customWidth="1"/>
    <col min="3" max="3" width="9" style="327" customWidth="1"/>
    <col min="4" max="4" width="8.42578125" style="190" customWidth="1"/>
    <col min="5" max="5" width="12.5703125" style="190" customWidth="1"/>
    <col min="6" max="6" width="8.85546875" style="190" customWidth="1"/>
    <col min="7" max="7" width="9.140625" style="175"/>
    <col min="8" max="8" width="11.5703125" style="175" bestFit="1" customWidth="1"/>
    <col min="9" max="16384" width="9.140625" style="175"/>
  </cols>
  <sheetData>
    <row r="1" spans="1:7" s="8" customFormat="1" x14ac:dyDescent="0.2">
      <c r="A1" s="6" t="s">
        <v>42</v>
      </c>
      <c r="B1"/>
      <c r="C1" s="325"/>
    </row>
    <row r="2" spans="1:7" s="8" customFormat="1" x14ac:dyDescent="0.2">
      <c r="A2" s="6" t="s">
        <v>43</v>
      </c>
      <c r="B2"/>
      <c r="C2" s="325"/>
    </row>
    <row r="3" spans="1:7" s="8" customFormat="1" x14ac:dyDescent="0.2">
      <c r="A3" s="6" t="s">
        <v>44</v>
      </c>
      <c r="B3"/>
      <c r="C3" s="325"/>
    </row>
    <row r="4" spans="1:7" s="8" customFormat="1" x14ac:dyDescent="0.2">
      <c r="A4" s="6" t="s">
        <v>45</v>
      </c>
      <c r="B4"/>
      <c r="C4" s="325"/>
    </row>
    <row r="5" spans="1:7" ht="13.5" thickBot="1" x14ac:dyDescent="0.25">
      <c r="A5" s="29"/>
      <c r="B5" s="212"/>
      <c r="C5" s="326"/>
      <c r="D5" s="30"/>
    </row>
    <row r="6" spans="1:7" ht="17.25" customHeight="1" thickTop="1" x14ac:dyDescent="0.2">
      <c r="A6" s="361" t="s">
        <v>70</v>
      </c>
      <c r="B6" s="362"/>
      <c r="C6" s="362"/>
      <c r="D6" s="362"/>
      <c r="E6" s="362"/>
      <c r="F6" s="363"/>
    </row>
    <row r="7" spans="1:7" ht="15.75" customHeight="1" thickBot="1" x14ac:dyDescent="0.25">
      <c r="A7" s="364" t="s">
        <v>208</v>
      </c>
      <c r="B7" s="365"/>
      <c r="C7" s="365"/>
      <c r="D7" s="365"/>
      <c r="E7" s="365"/>
      <c r="F7" s="366"/>
    </row>
    <row r="8" spans="1:7" ht="13.5" thickTop="1" x14ac:dyDescent="0.2"/>
    <row r="9" spans="1:7" s="9" customFormat="1" ht="39" customHeight="1" x14ac:dyDescent="0.2">
      <c r="A9" s="367" t="s">
        <v>56</v>
      </c>
      <c r="B9" s="370" t="s">
        <v>205</v>
      </c>
      <c r="C9" s="394" t="s">
        <v>206</v>
      </c>
      <c r="D9" s="370" t="s">
        <v>207</v>
      </c>
      <c r="E9" s="380" t="s">
        <v>222</v>
      </c>
      <c r="F9" s="380"/>
    </row>
    <row r="10" spans="1:7" s="9" customFormat="1" ht="29.25" customHeight="1" x14ac:dyDescent="0.2">
      <c r="A10" s="368"/>
      <c r="B10" s="371"/>
      <c r="C10" s="394"/>
      <c r="D10" s="371"/>
      <c r="E10" s="370" t="s">
        <v>18</v>
      </c>
      <c r="F10" s="376" t="s">
        <v>59</v>
      </c>
    </row>
    <row r="11" spans="1:7" s="9" customFormat="1" ht="12" customHeight="1" x14ac:dyDescent="0.2">
      <c r="A11" s="369"/>
      <c r="B11" s="372"/>
      <c r="C11" s="394"/>
      <c r="D11" s="372"/>
      <c r="E11" s="372"/>
      <c r="F11" s="377"/>
    </row>
    <row r="12" spans="1:7" ht="12" customHeight="1" x14ac:dyDescent="0.2">
      <c r="A12" s="187" t="s">
        <v>25</v>
      </c>
      <c r="B12" s="195" t="s">
        <v>26</v>
      </c>
      <c r="C12" s="328" t="s">
        <v>27</v>
      </c>
      <c r="D12" s="195" t="s">
        <v>28</v>
      </c>
      <c r="E12" s="187" t="s">
        <v>29</v>
      </c>
      <c r="F12" s="195" t="s">
        <v>52</v>
      </c>
      <c r="G12" s="9"/>
    </row>
    <row r="13" spans="1:7" s="192" customFormat="1" ht="12.75" customHeight="1" x14ac:dyDescent="0.2">
      <c r="A13" s="27">
        <v>40360</v>
      </c>
      <c r="B13" s="13">
        <v>7</v>
      </c>
      <c r="C13" s="329">
        <v>22</v>
      </c>
      <c r="D13" s="13">
        <f t="shared" ref="D13:D34" si="0">B13*C13</f>
        <v>154</v>
      </c>
      <c r="E13" s="176">
        <f>'Anexo 8 Tabela TRT'!I61</f>
        <v>1.0203414501238037</v>
      </c>
      <c r="F13" s="13">
        <f t="shared" ref="F13:F34" si="1">D13*E13</f>
        <v>157.13258331906579</v>
      </c>
    </row>
    <row r="14" spans="1:7" s="192" customFormat="1" ht="12.75" customHeight="1" x14ac:dyDescent="0.2">
      <c r="A14" s="27">
        <v>40391</v>
      </c>
      <c r="B14" s="13">
        <v>7</v>
      </c>
      <c r="C14" s="329">
        <v>21</v>
      </c>
      <c r="D14" s="13">
        <f t="shared" si="0"/>
        <v>147</v>
      </c>
      <c r="E14" s="176">
        <f>'Anexo 8 Tabela TRT'!I62</f>
        <v>1.0194148020687237</v>
      </c>
      <c r="F14" s="13">
        <f t="shared" si="1"/>
        <v>149.85397590410238</v>
      </c>
    </row>
    <row r="15" spans="1:7" s="192" customFormat="1" ht="12.75" customHeight="1" x14ac:dyDescent="0.2">
      <c r="A15" s="27">
        <v>40422</v>
      </c>
      <c r="B15" s="13">
        <v>7</v>
      </c>
      <c r="C15" s="329">
        <v>21</v>
      </c>
      <c r="D15" s="13">
        <f t="shared" si="0"/>
        <v>147</v>
      </c>
      <c r="E15" s="176">
        <f>'Anexo 8 Tabela TRT'!I63</f>
        <v>1.0186996748969461</v>
      </c>
      <c r="F15" s="13">
        <f t="shared" si="1"/>
        <v>149.74885220985109</v>
      </c>
    </row>
    <row r="16" spans="1:7" s="192" customFormat="1" ht="12.75" customHeight="1" x14ac:dyDescent="0.2">
      <c r="A16" s="27">
        <v>40452</v>
      </c>
      <c r="B16" s="13">
        <v>7</v>
      </c>
      <c r="C16" s="329">
        <v>20</v>
      </c>
      <c r="D16" s="13">
        <f t="shared" si="0"/>
        <v>140</v>
      </c>
      <c r="E16" s="176">
        <f>'Anexo 8 Tabela TRT'!I64</f>
        <v>1.0182190754933136</v>
      </c>
      <c r="F16" s="13">
        <f t="shared" si="1"/>
        <v>142.5506705690639</v>
      </c>
    </row>
    <row r="17" spans="1:6" s="192" customFormat="1" ht="12.75" customHeight="1" x14ac:dyDescent="0.2">
      <c r="A17" s="27">
        <v>40483</v>
      </c>
      <c r="B17" s="13">
        <v>7</v>
      </c>
      <c r="C17" s="329">
        <v>20</v>
      </c>
      <c r="D17" s="13">
        <f t="shared" si="0"/>
        <v>140</v>
      </c>
      <c r="E17" s="176">
        <f>'Anexo 8 Tabela TRT'!I65</f>
        <v>1.0178770687981971</v>
      </c>
      <c r="F17" s="13">
        <f t="shared" si="1"/>
        <v>142.50278963174759</v>
      </c>
    </row>
    <row r="18" spans="1:6" s="192" customFormat="1" ht="12.75" customHeight="1" x14ac:dyDescent="0.2">
      <c r="A18" s="27">
        <v>40513</v>
      </c>
      <c r="B18" s="13">
        <v>7</v>
      </c>
      <c r="C18" s="329">
        <v>22</v>
      </c>
      <c r="D18" s="13">
        <f t="shared" si="0"/>
        <v>154</v>
      </c>
      <c r="E18" s="176">
        <f>'Anexo 8 Tabela TRT'!J54</f>
        <v>1.0164479429903526</v>
      </c>
      <c r="F18" s="13">
        <f t="shared" si="1"/>
        <v>156.5329832205143</v>
      </c>
    </row>
    <row r="19" spans="1:6" s="192" customFormat="1" ht="12.75" customHeight="1" x14ac:dyDescent="0.2">
      <c r="A19" s="27">
        <v>40544</v>
      </c>
      <c r="B19" s="13">
        <v>7</v>
      </c>
      <c r="C19" s="329">
        <v>21</v>
      </c>
      <c r="D19" s="13">
        <f t="shared" si="0"/>
        <v>147</v>
      </c>
      <c r="E19" s="176">
        <f>'Anexo 8 Tabela TRT'!J55</f>
        <v>1.0157217019734419</v>
      </c>
      <c r="F19" s="13">
        <f t="shared" si="1"/>
        <v>149.31109019009597</v>
      </c>
    </row>
    <row r="20" spans="1:6" s="192" customFormat="1" ht="12.75" customHeight="1" x14ac:dyDescent="0.2">
      <c r="A20" s="27">
        <v>40575</v>
      </c>
      <c r="B20" s="13">
        <v>7</v>
      </c>
      <c r="C20" s="329">
        <v>20</v>
      </c>
      <c r="D20" s="13">
        <f t="shared" si="0"/>
        <v>140</v>
      </c>
      <c r="E20" s="176">
        <f>'Anexo 8 Tabela TRT'!J56</f>
        <v>1.015189742548346</v>
      </c>
      <c r="F20" s="13">
        <f t="shared" si="1"/>
        <v>142.12656395676845</v>
      </c>
    </row>
    <row r="21" spans="1:6" s="192" customFormat="1" ht="12.75" customHeight="1" x14ac:dyDescent="0.2">
      <c r="A21" s="27">
        <v>40603</v>
      </c>
      <c r="B21" s="13">
        <v>7</v>
      </c>
      <c r="C21" s="329">
        <v>22</v>
      </c>
      <c r="D21" s="13">
        <f t="shared" si="0"/>
        <v>154</v>
      </c>
      <c r="E21" s="176">
        <f>'Anexo 8 Tabela TRT'!J57</f>
        <v>1.0139608220320433</v>
      </c>
      <c r="F21" s="13">
        <f t="shared" si="1"/>
        <v>156.14996659293467</v>
      </c>
    </row>
    <row r="22" spans="1:6" s="192" customFormat="1" ht="12.75" customHeight="1" x14ac:dyDescent="0.2">
      <c r="A22" s="27">
        <v>40634</v>
      </c>
      <c r="B22" s="13">
        <v>7</v>
      </c>
      <c r="C22" s="329">
        <v>19</v>
      </c>
      <c r="D22" s="13">
        <f t="shared" si="0"/>
        <v>133</v>
      </c>
      <c r="E22" s="176">
        <f>'Anexo 8 Tabela TRT'!J58</f>
        <v>1.0135868084997068</v>
      </c>
      <c r="F22" s="13">
        <f t="shared" si="1"/>
        <v>134.80704553046101</v>
      </c>
    </row>
    <row r="23" spans="1:6" s="192" customFormat="1" ht="12.75" customHeight="1" x14ac:dyDescent="0.2">
      <c r="A23" s="27">
        <v>40664</v>
      </c>
      <c r="B23" s="13">
        <v>7</v>
      </c>
      <c r="C23" s="329">
        <v>22</v>
      </c>
      <c r="D23" s="13">
        <f t="shared" si="0"/>
        <v>154</v>
      </c>
      <c r="E23" s="176">
        <f>'Anexo 8 Tabela TRT'!J59</f>
        <v>1.0119979716841634</v>
      </c>
      <c r="F23" s="13">
        <f t="shared" si="1"/>
        <v>155.84768763936117</v>
      </c>
    </row>
    <row r="24" spans="1:6" s="192" customFormat="1" ht="12.75" customHeight="1" x14ac:dyDescent="0.2">
      <c r="A24" s="27">
        <v>40695</v>
      </c>
      <c r="B24" s="13">
        <v>7</v>
      </c>
      <c r="C24" s="329">
        <v>21</v>
      </c>
      <c r="D24" s="13">
        <f t="shared" si="0"/>
        <v>147</v>
      </c>
      <c r="E24" s="176">
        <f>'Anexo 8 Tabela TRT'!J60</f>
        <v>1.0108718604316418</v>
      </c>
      <c r="F24" s="13">
        <f t="shared" si="1"/>
        <v>148.59816348345134</v>
      </c>
    </row>
    <row r="25" spans="1:6" s="192" customFormat="1" ht="12.75" customHeight="1" x14ac:dyDescent="0.2">
      <c r="A25" s="27">
        <v>40725</v>
      </c>
      <c r="B25" s="13">
        <v>7</v>
      </c>
      <c r="C25" s="329">
        <v>21</v>
      </c>
      <c r="D25" s="13">
        <f t="shared" si="0"/>
        <v>147</v>
      </c>
      <c r="E25" s="176">
        <f>'Anexo 8 Tabela TRT'!J61</f>
        <v>1.0096310239032649</v>
      </c>
      <c r="F25" s="13">
        <f t="shared" si="1"/>
        <v>148.41576051377993</v>
      </c>
    </row>
    <row r="26" spans="1:6" s="192" customFormat="1" ht="12.75" customHeight="1" x14ac:dyDescent="0.2">
      <c r="A26" s="27">
        <v>40756</v>
      </c>
      <c r="B26" s="13">
        <v>7</v>
      </c>
      <c r="C26" s="329">
        <v>22</v>
      </c>
      <c r="D26" s="13">
        <f t="shared" si="0"/>
        <v>154</v>
      </c>
      <c r="E26" s="176">
        <f>'Anexo 8 Tabela TRT'!J62</f>
        <v>1.007539372166647</v>
      </c>
      <c r="F26" s="13">
        <f t="shared" si="1"/>
        <v>155.16106331366365</v>
      </c>
    </row>
    <row r="27" spans="1:6" s="192" customFormat="1" ht="12.75" customHeight="1" x14ac:dyDescent="0.2">
      <c r="A27" s="27">
        <v>40787</v>
      </c>
      <c r="B27" s="13">
        <v>7</v>
      </c>
      <c r="C27" s="329">
        <v>21</v>
      </c>
      <c r="D27" s="13">
        <f t="shared" si="0"/>
        <v>147</v>
      </c>
      <c r="E27" s="176">
        <f>'Anexo 8 Tabela TRT'!J63</f>
        <v>1.0065298227544239</v>
      </c>
      <c r="F27" s="13">
        <f t="shared" si="1"/>
        <v>147.95988394490033</v>
      </c>
    </row>
    <row r="28" spans="1:6" s="192" customFormat="1" ht="12.75" customHeight="1" x14ac:dyDescent="0.2">
      <c r="A28" s="27">
        <v>40817</v>
      </c>
      <c r="B28" s="13">
        <v>7</v>
      </c>
      <c r="C28" s="329">
        <v>20</v>
      </c>
      <c r="D28" s="13">
        <f t="shared" si="0"/>
        <v>140</v>
      </c>
      <c r="E28" s="176">
        <f>'Anexo 8 Tabela TRT'!J64</f>
        <v>1.0059061609346447</v>
      </c>
      <c r="F28" s="13">
        <f t="shared" si="1"/>
        <v>140.82686253085026</v>
      </c>
    </row>
    <row r="29" spans="1:6" s="192" customFormat="1" ht="12.75" customHeight="1" x14ac:dyDescent="0.2">
      <c r="A29" s="27">
        <v>40848</v>
      </c>
      <c r="B29" s="13">
        <v>7</v>
      </c>
      <c r="C29" s="329">
        <v>20</v>
      </c>
      <c r="D29" s="13">
        <f t="shared" si="0"/>
        <v>140</v>
      </c>
      <c r="E29" s="176">
        <f>'Anexo 8 Tabela TRT'!J65</f>
        <v>1.0052577696732055</v>
      </c>
      <c r="F29" s="13">
        <f t="shared" si="1"/>
        <v>140.73608775424876</v>
      </c>
    </row>
    <row r="30" spans="1:6" s="192" customFormat="1" ht="12.75" customHeight="1" x14ac:dyDescent="0.2">
      <c r="A30" s="27">
        <v>40878</v>
      </c>
      <c r="B30" s="13">
        <v>7</v>
      </c>
      <c r="C30" s="329">
        <v>21</v>
      </c>
      <c r="D30" s="13">
        <f t="shared" si="0"/>
        <v>147</v>
      </c>
      <c r="E30" s="176">
        <f>'Anexo 8 Tabela TRT'!K54</f>
        <v>1.004316724901972</v>
      </c>
      <c r="F30" s="13">
        <f t="shared" si="1"/>
        <v>147.63455856058988</v>
      </c>
    </row>
    <row r="31" spans="1:6" s="192" customFormat="1" ht="12.75" customHeight="1" x14ac:dyDescent="0.2">
      <c r="A31" s="27">
        <v>40909</v>
      </c>
      <c r="B31" s="13">
        <v>7</v>
      </c>
      <c r="C31" s="329">
        <v>22</v>
      </c>
      <c r="D31" s="13">
        <f t="shared" si="0"/>
        <v>154</v>
      </c>
      <c r="E31" s="176">
        <f>'Anexo 8 Tabela TRT'!K55</f>
        <v>1.0034497443228774</v>
      </c>
      <c r="F31" s="13">
        <f t="shared" si="1"/>
        <v>154.53126062572312</v>
      </c>
    </row>
    <row r="32" spans="1:6" s="192" customFormat="1" ht="12.75" customHeight="1" x14ac:dyDescent="0.2">
      <c r="A32" s="27">
        <v>40940</v>
      </c>
      <c r="B32" s="13">
        <v>7</v>
      </c>
      <c r="C32" s="329">
        <v>20</v>
      </c>
      <c r="D32" s="13">
        <f t="shared" si="0"/>
        <v>140</v>
      </c>
      <c r="E32" s="176">
        <f>'Anexo 8 Tabela TRT'!K56</f>
        <v>1.0034497443228774</v>
      </c>
      <c r="F32" s="13">
        <f t="shared" si="1"/>
        <v>140.48296420520282</v>
      </c>
    </row>
    <row r="33" spans="1:8" s="192" customFormat="1" ht="12.75" customHeight="1" x14ac:dyDescent="0.2">
      <c r="A33" s="27">
        <v>40969</v>
      </c>
      <c r="B33" s="13">
        <v>7</v>
      </c>
      <c r="C33" s="329">
        <v>22</v>
      </c>
      <c r="D33" s="13">
        <f t="shared" si="0"/>
        <v>154</v>
      </c>
      <c r="E33" s="176">
        <f>'Anexo 8 Tabela TRT'!K57</f>
        <v>1.0023792033337171</v>
      </c>
      <c r="F33" s="13">
        <f t="shared" si="1"/>
        <v>154.36639731339244</v>
      </c>
    </row>
    <row r="34" spans="1:8" s="192" customFormat="1" ht="12.75" customHeight="1" x14ac:dyDescent="0.2">
      <c r="A34" s="273">
        <v>41024</v>
      </c>
      <c r="B34" s="13">
        <v>7</v>
      </c>
      <c r="C34" s="329">
        <v>17</v>
      </c>
      <c r="D34" s="13">
        <f t="shared" si="0"/>
        <v>119</v>
      </c>
      <c r="E34" s="176">
        <f>'Anexo 8 Tabela TRT'!K58</f>
        <v>1.0021517148944361</v>
      </c>
      <c r="F34" s="13">
        <f t="shared" si="1"/>
        <v>119.25605407243789</v>
      </c>
    </row>
    <row r="35" spans="1:8" s="16" customFormat="1" x14ac:dyDescent="0.2">
      <c r="A35" s="378" t="s">
        <v>122</v>
      </c>
      <c r="B35" s="379"/>
      <c r="C35" s="379"/>
      <c r="D35" s="379"/>
      <c r="E35" s="379"/>
      <c r="F35" s="115">
        <f>SUM(F13:F34)</f>
        <v>3234.533265082207</v>
      </c>
      <c r="H35" s="193"/>
    </row>
    <row r="36" spans="1:8" s="194" customFormat="1" x14ac:dyDescent="0.2">
      <c r="B36" s="214"/>
      <c r="C36" s="330"/>
    </row>
    <row r="37" spans="1:8" s="194" customFormat="1" ht="12.75" customHeight="1" x14ac:dyDescent="0.2">
      <c r="B37" s="214"/>
      <c r="C37" s="330"/>
    </row>
    <row r="38" spans="1:8" s="194" customFormat="1" x14ac:dyDescent="0.2">
      <c r="B38" s="214"/>
      <c r="C38" s="330"/>
    </row>
    <row r="39" spans="1:8" s="194" customFormat="1" x14ac:dyDescent="0.2">
      <c r="B39" s="214"/>
      <c r="C39" s="330"/>
    </row>
    <row r="40" spans="1:8" s="194" customFormat="1" x14ac:dyDescent="0.2">
      <c r="B40" s="214"/>
      <c r="C40" s="330"/>
    </row>
    <row r="41" spans="1:8" s="194" customFormat="1" x14ac:dyDescent="0.2">
      <c r="B41" s="214"/>
      <c r="C41" s="330"/>
    </row>
    <row r="42" spans="1:8" s="194" customFormat="1" x14ac:dyDescent="0.2">
      <c r="B42" s="214"/>
      <c r="C42" s="330"/>
    </row>
    <row r="43" spans="1:8" s="194" customFormat="1" x14ac:dyDescent="0.2">
      <c r="B43" s="214"/>
      <c r="C43" s="330"/>
    </row>
    <row r="44" spans="1:8" s="194" customFormat="1" x14ac:dyDescent="0.2">
      <c r="B44" s="214"/>
      <c r="C44" s="330"/>
    </row>
    <row r="45" spans="1:8" s="194" customFormat="1" x14ac:dyDescent="0.2">
      <c r="B45" s="214"/>
      <c r="C45" s="330"/>
    </row>
    <row r="46" spans="1:8" s="194" customFormat="1" ht="12.75" customHeight="1" x14ac:dyDescent="0.2">
      <c r="B46" s="214"/>
      <c r="C46" s="330"/>
    </row>
    <row r="47" spans="1:8" s="194" customFormat="1" x14ac:dyDescent="0.2">
      <c r="B47" s="214"/>
      <c r="C47" s="330"/>
    </row>
    <row r="48" spans="1:8" s="194" customFormat="1" x14ac:dyDescent="0.2">
      <c r="B48" s="214"/>
      <c r="C48" s="330"/>
    </row>
    <row r="49" spans="2:3" s="194" customFormat="1" x14ac:dyDescent="0.2">
      <c r="B49" s="214"/>
      <c r="C49" s="330"/>
    </row>
    <row r="50" spans="2:3" s="194" customFormat="1" x14ac:dyDescent="0.2">
      <c r="B50" s="214"/>
      <c r="C50" s="330"/>
    </row>
    <row r="51" spans="2:3" s="194" customFormat="1" x14ac:dyDescent="0.2">
      <c r="B51" s="214"/>
      <c r="C51" s="330"/>
    </row>
    <row r="52" spans="2:3" s="194" customFormat="1" x14ac:dyDescent="0.2">
      <c r="B52" s="214"/>
      <c r="C52" s="330"/>
    </row>
    <row r="53" spans="2:3" s="194" customFormat="1" x14ac:dyDescent="0.2">
      <c r="B53" s="214"/>
      <c r="C53" s="330"/>
    </row>
    <row r="54" spans="2:3" s="194" customFormat="1" x14ac:dyDescent="0.2">
      <c r="B54" s="214"/>
      <c r="C54" s="330"/>
    </row>
    <row r="55" spans="2:3" s="194" customFormat="1" x14ac:dyDescent="0.2">
      <c r="B55" s="214"/>
      <c r="C55" s="330"/>
    </row>
    <row r="56" spans="2:3" s="194" customFormat="1" x14ac:dyDescent="0.2">
      <c r="B56" s="214"/>
      <c r="C56" s="330"/>
    </row>
    <row r="57" spans="2:3" s="194" customFormat="1" x14ac:dyDescent="0.2">
      <c r="B57" s="214"/>
      <c r="C57" s="330"/>
    </row>
    <row r="58" spans="2:3" s="194" customFormat="1" x14ac:dyDescent="0.2">
      <c r="B58" s="214"/>
      <c r="C58" s="330"/>
    </row>
    <row r="59" spans="2:3" s="194" customFormat="1" x14ac:dyDescent="0.2">
      <c r="B59" s="214"/>
      <c r="C59" s="330"/>
    </row>
  </sheetData>
  <mergeCells count="10">
    <mergeCell ref="A6:F6"/>
    <mergeCell ref="A7:F7"/>
    <mergeCell ref="A9:A11"/>
    <mergeCell ref="B9:B11"/>
    <mergeCell ref="C9:C11"/>
    <mergeCell ref="A35:E35"/>
    <mergeCell ref="E10:E11"/>
    <mergeCell ref="F10:F11"/>
    <mergeCell ref="D9:D11"/>
    <mergeCell ref="E9:F9"/>
  </mergeCells>
  <phoneticPr fontId="2" type="noConversion"/>
  <printOptions horizontalCentered="1"/>
  <pageMargins left="1.18" right="0.36" top="0.98425196850393704" bottom="0.98425196850393704" header="0.51181102362204722" footer="0.51181102362204722"/>
  <pageSetup paperSize="9" orientation="portrait" horizontalDpi="0" verticalDpi="0" r:id="rId1"/>
  <headerFooter alignWithMargins="0">
    <oddFooter>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732"/>
  <sheetViews>
    <sheetView topLeftCell="A7" workbookViewId="0">
      <pane ySplit="6" topLeftCell="A13" activePane="bottomLeft" state="frozen"/>
      <selection activeCell="A7" sqref="A7"/>
      <selection pane="bottomLeft" activeCell="A13" sqref="A13"/>
    </sheetView>
  </sheetViews>
  <sheetFormatPr defaultColWidth="11.28515625" defaultRowHeight="12.75" x14ac:dyDescent="0.2"/>
  <cols>
    <col min="1" max="1" width="9" style="120" customWidth="1"/>
    <col min="2" max="2" width="7.5703125" style="122" customWidth="1"/>
    <col min="3" max="3" width="7.7109375" style="121" customWidth="1"/>
    <col min="4" max="4" width="6.85546875" style="121" customWidth="1"/>
    <col min="5" max="5" width="8.5703125" style="131" customWidth="1"/>
    <col min="6" max="6" width="7.7109375" style="122" customWidth="1"/>
    <col min="7" max="7" width="7.140625" style="123" customWidth="1"/>
    <col min="8" max="8" width="8.28515625" style="122" customWidth="1"/>
    <col min="9" max="9" width="7.5703125" style="125" customWidth="1"/>
    <col min="10" max="10" width="9.140625" style="122" customWidth="1"/>
    <col min="11" max="11" width="10.42578125" style="122" customWidth="1"/>
    <col min="12" max="12" width="8.5703125" style="120" customWidth="1"/>
    <col min="13" max="13" width="11.28515625" style="120" customWidth="1"/>
    <col min="14" max="14" width="8" style="120" customWidth="1"/>
    <col min="15" max="15" width="6.85546875" style="122" customWidth="1"/>
    <col min="16" max="16" width="7.42578125" style="120" customWidth="1"/>
    <col min="17" max="17" width="7" style="120" customWidth="1"/>
    <col min="18" max="18" width="6.140625" style="120" customWidth="1"/>
    <col min="19" max="19" width="5.5703125" style="120" customWidth="1"/>
    <col min="20" max="20" width="7.5703125" style="120" customWidth="1"/>
    <col min="21" max="21" width="7.140625" style="120" customWidth="1"/>
    <col min="22" max="22" width="6.140625" style="120" customWidth="1"/>
    <col min="23" max="23" width="6.85546875" style="120" customWidth="1"/>
    <col min="24" max="24" width="8" style="120" customWidth="1"/>
    <col min="25" max="25" width="5.5703125" style="120" customWidth="1"/>
    <col min="26" max="26" width="7.140625" style="120" customWidth="1"/>
    <col min="27" max="16384" width="11.28515625" style="120"/>
  </cols>
  <sheetData>
    <row r="1" spans="1:26" s="8" customFormat="1" x14ac:dyDescent="0.2">
      <c r="A1" s="6" t="s">
        <v>42</v>
      </c>
      <c r="B1" s="7"/>
      <c r="C1"/>
      <c r="D1" s="18"/>
      <c r="E1" s="277"/>
      <c r="F1" s="6"/>
      <c r="G1" s="17"/>
      <c r="H1" s="6"/>
      <c r="I1" s="6"/>
      <c r="J1" s="6"/>
      <c r="K1" s="7"/>
      <c r="O1" s="7"/>
    </row>
    <row r="2" spans="1:26" s="8" customFormat="1" x14ac:dyDescent="0.2">
      <c r="A2" s="6" t="s">
        <v>43</v>
      </c>
      <c r="B2" s="7"/>
      <c r="C2"/>
      <c r="D2" s="18"/>
      <c r="E2" s="277"/>
      <c r="F2" s="6"/>
      <c r="G2" s="17"/>
      <c r="H2" s="6"/>
      <c r="I2" s="6"/>
      <c r="J2" s="6"/>
      <c r="K2" s="7"/>
      <c r="O2" s="7"/>
    </row>
    <row r="3" spans="1:26" s="8" customFormat="1" x14ac:dyDescent="0.2">
      <c r="A3" s="6" t="s">
        <v>44</v>
      </c>
      <c r="B3" s="7"/>
      <c r="C3"/>
      <c r="D3" s="18"/>
      <c r="E3" s="277"/>
      <c r="F3" s="6"/>
      <c r="G3" s="17"/>
      <c r="H3" s="6"/>
      <c r="I3" s="6"/>
      <c r="J3" s="6"/>
      <c r="K3" s="7"/>
      <c r="O3" s="7"/>
    </row>
    <row r="4" spans="1:26" s="8" customFormat="1" x14ac:dyDescent="0.2">
      <c r="A4" s="6" t="s">
        <v>45</v>
      </c>
      <c r="B4" s="7"/>
      <c r="C4"/>
      <c r="D4" s="18"/>
      <c r="E4" s="277"/>
      <c r="F4" s="6"/>
      <c r="G4" s="17"/>
      <c r="H4" s="6"/>
      <c r="I4" s="6"/>
      <c r="J4" s="6"/>
      <c r="K4" s="7"/>
      <c r="O4" s="7"/>
    </row>
    <row r="5" spans="1:26" ht="13.5" thickBot="1" x14ac:dyDescent="0.25"/>
    <row r="6" spans="1:26" ht="18.75" customHeight="1" thickTop="1" x14ac:dyDescent="0.2">
      <c r="A6" s="361" t="s">
        <v>82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2"/>
      <c r="R6" s="362"/>
      <c r="S6" s="362"/>
      <c r="T6" s="362"/>
      <c r="U6" s="362"/>
      <c r="V6" s="362"/>
      <c r="W6" s="362"/>
      <c r="X6" s="362"/>
      <c r="Y6" s="362"/>
      <c r="Z6" s="363"/>
    </row>
    <row r="7" spans="1:26" ht="21" customHeight="1" thickBot="1" x14ac:dyDescent="0.25">
      <c r="A7" s="406" t="s">
        <v>13</v>
      </c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7"/>
      <c r="N7" s="407"/>
      <c r="O7" s="407"/>
      <c r="P7" s="407"/>
      <c r="Q7" s="407"/>
      <c r="R7" s="407"/>
      <c r="S7" s="407"/>
      <c r="T7" s="407"/>
      <c r="U7" s="407"/>
      <c r="V7" s="407"/>
      <c r="W7" s="407"/>
      <c r="X7" s="407"/>
      <c r="Y7" s="407"/>
      <c r="Z7" s="408"/>
    </row>
    <row r="8" spans="1:26" ht="13.5" thickTop="1" x14ac:dyDescent="0.2">
      <c r="C8" s="126"/>
      <c r="D8" s="126"/>
      <c r="E8" s="278"/>
      <c r="F8" s="127"/>
      <c r="G8" s="128"/>
      <c r="H8" s="127"/>
      <c r="I8" s="129"/>
      <c r="J8" s="127"/>
    </row>
    <row r="9" spans="1:26" s="19" customFormat="1" ht="28.5" customHeight="1" x14ac:dyDescent="0.2">
      <c r="A9" s="420" t="s">
        <v>56</v>
      </c>
      <c r="B9" s="380" t="s">
        <v>113</v>
      </c>
      <c r="C9" s="409" t="s">
        <v>117</v>
      </c>
      <c r="D9" s="410"/>
      <c r="E9" s="411"/>
      <c r="F9" s="380" t="s">
        <v>114</v>
      </c>
      <c r="G9" s="422" t="s">
        <v>17</v>
      </c>
      <c r="H9" s="423" t="s">
        <v>110</v>
      </c>
      <c r="I9" s="380" t="s">
        <v>115</v>
      </c>
      <c r="J9" s="380" t="s">
        <v>111</v>
      </c>
      <c r="K9" s="415" t="s">
        <v>223</v>
      </c>
      <c r="L9" s="416"/>
      <c r="M9" s="419" t="s">
        <v>108</v>
      </c>
      <c r="N9" s="420" t="s">
        <v>164</v>
      </c>
      <c r="O9" s="420"/>
      <c r="P9" s="420"/>
      <c r="Q9" s="420"/>
      <c r="R9" s="420"/>
      <c r="S9" s="420"/>
      <c r="T9" s="420" t="s">
        <v>165</v>
      </c>
      <c r="U9" s="420"/>
      <c r="V9" s="420"/>
      <c r="W9" s="420"/>
      <c r="X9" s="420"/>
      <c r="Y9" s="420"/>
      <c r="Z9" s="420"/>
    </row>
    <row r="10" spans="1:26" s="19" customFormat="1" ht="42" customHeight="1" x14ac:dyDescent="0.2">
      <c r="A10" s="420"/>
      <c r="B10" s="380"/>
      <c r="C10" s="412"/>
      <c r="D10" s="413"/>
      <c r="E10" s="414"/>
      <c r="F10" s="380"/>
      <c r="G10" s="422"/>
      <c r="H10" s="423"/>
      <c r="I10" s="380"/>
      <c r="J10" s="380"/>
      <c r="K10" s="417"/>
      <c r="L10" s="418"/>
      <c r="M10" s="388"/>
      <c r="N10" s="420" t="s">
        <v>148</v>
      </c>
      <c r="O10" s="420"/>
      <c r="P10" s="420"/>
      <c r="Q10" s="420" t="s">
        <v>150</v>
      </c>
      <c r="R10" s="420"/>
      <c r="S10" s="420"/>
      <c r="T10" s="417" t="s">
        <v>148</v>
      </c>
      <c r="U10" s="421"/>
      <c r="V10" s="421"/>
      <c r="W10" s="418"/>
      <c r="X10" s="420" t="s">
        <v>150</v>
      </c>
      <c r="Y10" s="420"/>
      <c r="Z10" s="420"/>
    </row>
    <row r="11" spans="1:26" s="19" customFormat="1" ht="27" customHeight="1" x14ac:dyDescent="0.2">
      <c r="A11" s="420"/>
      <c r="B11" s="380"/>
      <c r="C11" s="10" t="s">
        <v>106</v>
      </c>
      <c r="D11" s="10" t="s">
        <v>107</v>
      </c>
      <c r="E11" s="10" t="s">
        <v>80</v>
      </c>
      <c r="F11" s="380"/>
      <c r="G11" s="422"/>
      <c r="H11" s="423"/>
      <c r="I11" s="380"/>
      <c r="J11" s="380"/>
      <c r="K11" s="305" t="s">
        <v>18</v>
      </c>
      <c r="L11" s="304" t="s">
        <v>19</v>
      </c>
      <c r="M11" s="380"/>
      <c r="N11" s="187" t="s">
        <v>142</v>
      </c>
      <c r="O11" s="10" t="s">
        <v>79</v>
      </c>
      <c r="P11" s="28" t="s">
        <v>143</v>
      </c>
      <c r="Q11" s="187" t="s">
        <v>142</v>
      </c>
      <c r="R11" s="28" t="s">
        <v>79</v>
      </c>
      <c r="S11" s="28" t="s">
        <v>116</v>
      </c>
      <c r="T11" s="187" t="s">
        <v>144</v>
      </c>
      <c r="U11" s="187" t="s">
        <v>218</v>
      </c>
      <c r="V11" s="28" t="s">
        <v>79</v>
      </c>
      <c r="W11" s="28" t="s">
        <v>116</v>
      </c>
      <c r="X11" s="187" t="s">
        <v>218</v>
      </c>
      <c r="Y11" s="28" t="s">
        <v>79</v>
      </c>
      <c r="Z11" s="28" t="s">
        <v>143</v>
      </c>
    </row>
    <row r="12" spans="1:26" s="228" customFormat="1" ht="9" x14ac:dyDescent="0.2">
      <c r="A12" s="187" t="s">
        <v>25</v>
      </c>
      <c r="B12" s="195" t="s">
        <v>26</v>
      </c>
      <c r="C12" s="187" t="s">
        <v>27</v>
      </c>
      <c r="D12" s="187" t="s">
        <v>28</v>
      </c>
      <c r="E12" s="187" t="s">
        <v>29</v>
      </c>
      <c r="F12" s="195" t="s">
        <v>52</v>
      </c>
      <c r="G12" s="187" t="s">
        <v>53</v>
      </c>
      <c r="H12" s="187" t="s">
        <v>54</v>
      </c>
      <c r="I12" s="187" t="s">
        <v>55</v>
      </c>
      <c r="J12" s="195" t="s">
        <v>60</v>
      </c>
      <c r="K12" s="187" t="s">
        <v>61</v>
      </c>
      <c r="L12" s="187" t="s">
        <v>62</v>
      </c>
      <c r="M12" s="187" t="s">
        <v>63</v>
      </c>
      <c r="N12" s="195" t="s">
        <v>64</v>
      </c>
      <c r="O12" s="187" t="s">
        <v>65</v>
      </c>
      <c r="P12" s="187" t="s">
        <v>66</v>
      </c>
      <c r="Q12" s="187" t="s">
        <v>67</v>
      </c>
      <c r="R12" s="195" t="s">
        <v>68</v>
      </c>
      <c r="S12" s="187" t="s">
        <v>109</v>
      </c>
      <c r="T12" s="187" t="s">
        <v>123</v>
      </c>
      <c r="U12" s="187" t="s">
        <v>124</v>
      </c>
      <c r="V12" s="195" t="s">
        <v>149</v>
      </c>
      <c r="W12" s="187" t="s">
        <v>151</v>
      </c>
      <c r="X12" s="187" t="s">
        <v>152</v>
      </c>
      <c r="Y12" s="187" t="s">
        <v>153</v>
      </c>
      <c r="Z12" s="195" t="s">
        <v>154</v>
      </c>
    </row>
    <row r="13" spans="1:26" s="130" customFormat="1" ht="12" x14ac:dyDescent="0.2">
      <c r="A13" s="27">
        <v>39234</v>
      </c>
      <c r="B13" s="13">
        <v>955.52</v>
      </c>
      <c r="C13" s="13"/>
      <c r="D13" s="13">
        <f>'Anexo 4 HE'!S13</f>
        <v>141.55544727272729</v>
      </c>
      <c r="E13" s="13">
        <f t="shared" ref="E13:E76" si="0">SUM(C13:D13)</f>
        <v>141.55544727272729</v>
      </c>
      <c r="F13" s="13">
        <f t="shared" ref="F13:F76" si="1">B13+E13</f>
        <v>1097.0754472727272</v>
      </c>
      <c r="G13" s="188">
        <v>8.6499999999999994E-2</v>
      </c>
      <c r="H13" s="13">
        <f>F13*G13</f>
        <v>94.897026189090894</v>
      </c>
      <c r="I13" s="13">
        <v>82.65</v>
      </c>
      <c r="J13" s="13">
        <f>H13-I13</f>
        <v>12.247026189090889</v>
      </c>
      <c r="K13" s="176">
        <f>'Anexo 4 HE'!T13</f>
        <v>1.0534969804862349</v>
      </c>
      <c r="L13" s="134">
        <f t="shared" ref="L13:L36" si="2">J13*K13</f>
        <v>12.902205110143091</v>
      </c>
      <c r="M13" s="13">
        <f>E13*K13</f>
        <v>149.12823627319662</v>
      </c>
      <c r="N13" s="224"/>
      <c r="O13" s="279"/>
      <c r="P13" s="224"/>
      <c r="Q13" s="224"/>
      <c r="R13" s="225"/>
      <c r="S13" s="224"/>
      <c r="T13" s="224"/>
      <c r="U13" s="224"/>
      <c r="V13" s="225"/>
      <c r="W13" s="224"/>
      <c r="X13" s="224"/>
      <c r="Y13" s="225"/>
      <c r="Z13" s="224"/>
    </row>
    <row r="14" spans="1:26" s="130" customFormat="1" ht="12" x14ac:dyDescent="0.2">
      <c r="A14" s="27">
        <v>39264</v>
      </c>
      <c r="B14" s="13">
        <v>897.33</v>
      </c>
      <c r="C14" s="13"/>
      <c r="D14" s="13">
        <f>'Anexo 4 HE'!S14</f>
        <v>410.58677036713283</v>
      </c>
      <c r="E14" s="13">
        <f t="shared" si="0"/>
        <v>410.58677036713283</v>
      </c>
      <c r="F14" s="13">
        <f t="shared" si="1"/>
        <v>1307.9167703671328</v>
      </c>
      <c r="G14" s="188">
        <v>0.09</v>
      </c>
      <c r="H14" s="13">
        <f t="shared" ref="H14:H77" si="3">F14*G14</f>
        <v>117.71250933304195</v>
      </c>
      <c r="I14" s="13">
        <v>77.62</v>
      </c>
      <c r="J14" s="13">
        <f t="shared" ref="J14:J77" si="4">H14-I14</f>
        <v>40.092509333041946</v>
      </c>
      <c r="K14" s="176">
        <f>'Anexo 4 HE'!T14</f>
        <v>1.0519516634925645</v>
      </c>
      <c r="L14" s="134">
        <f t="shared" si="2"/>
        <v>42.175381886484644</v>
      </c>
      <c r="M14" s="13">
        <f t="shared" ref="M14:M36" si="5">E14*K14</f>
        <v>431.91743609574496</v>
      </c>
      <c r="N14" s="224"/>
      <c r="O14" s="279"/>
      <c r="P14" s="224"/>
      <c r="Q14" s="224"/>
      <c r="R14" s="225"/>
      <c r="S14" s="224"/>
      <c r="T14" s="224"/>
      <c r="U14" s="224"/>
      <c r="V14" s="225"/>
      <c r="W14" s="224"/>
      <c r="X14" s="224"/>
      <c r="Y14" s="225"/>
      <c r="Z14" s="224"/>
    </row>
    <row r="15" spans="1:26" s="130" customFormat="1" ht="12" x14ac:dyDescent="0.2">
      <c r="A15" s="27">
        <v>39295</v>
      </c>
      <c r="B15" s="13">
        <v>932.54</v>
      </c>
      <c r="C15" s="13"/>
      <c r="D15" s="13">
        <f>'Anexo 4 HE'!S15</f>
        <v>420.7267706468532</v>
      </c>
      <c r="E15" s="13">
        <f t="shared" si="0"/>
        <v>420.7267706468532</v>
      </c>
      <c r="F15" s="13">
        <f t="shared" si="1"/>
        <v>1353.2667706468533</v>
      </c>
      <c r="G15" s="188">
        <v>0.09</v>
      </c>
      <c r="H15" s="13">
        <f t="shared" si="3"/>
        <v>121.79400935821678</v>
      </c>
      <c r="I15" s="13">
        <v>80.66</v>
      </c>
      <c r="J15" s="13">
        <f t="shared" si="4"/>
        <v>41.134009358216787</v>
      </c>
      <c r="K15" s="176">
        <f>'Anexo 4 HE'!T15</f>
        <v>1.0504117598526204</v>
      </c>
      <c r="L15" s="134">
        <f t="shared" si="2"/>
        <v>43.20764715975865</v>
      </c>
      <c r="M15" s="13">
        <f t="shared" si="5"/>
        <v>441.93634757227085</v>
      </c>
      <c r="N15" s="224"/>
      <c r="O15" s="279"/>
      <c r="P15" s="224"/>
      <c r="Q15" s="224"/>
      <c r="R15" s="225"/>
      <c r="S15" s="224"/>
      <c r="T15" s="224"/>
      <c r="U15" s="224"/>
      <c r="V15" s="225"/>
      <c r="W15" s="224"/>
      <c r="X15" s="224"/>
      <c r="Y15" s="225"/>
      <c r="Z15" s="224"/>
    </row>
    <row r="16" spans="1:26" s="130" customFormat="1" ht="12" x14ac:dyDescent="0.2">
      <c r="A16" s="27">
        <v>39326</v>
      </c>
      <c r="B16" s="13">
        <v>910.07</v>
      </c>
      <c r="C16" s="13"/>
      <c r="D16" s="13">
        <f>'Anexo 4 HE'!S16</f>
        <v>409.5454318181819</v>
      </c>
      <c r="E16" s="13">
        <f t="shared" si="0"/>
        <v>409.5454318181819</v>
      </c>
      <c r="F16" s="13">
        <f t="shared" si="1"/>
        <v>1319.6154318181821</v>
      </c>
      <c r="G16" s="188">
        <v>0.09</v>
      </c>
      <c r="H16" s="13">
        <f t="shared" si="3"/>
        <v>118.76538886363637</v>
      </c>
      <c r="I16" s="13">
        <v>78.72</v>
      </c>
      <c r="J16" s="13">
        <f t="shared" si="4"/>
        <v>40.045388863636376</v>
      </c>
      <c r="K16" s="176">
        <f>'Anexo 4 HE'!T16</f>
        <v>1.0500421450175739</v>
      </c>
      <c r="L16" s="134">
        <f t="shared" si="2"/>
        <v>42.049346020435607</v>
      </c>
      <c r="M16" s="13">
        <f t="shared" si="5"/>
        <v>430.03996370851229</v>
      </c>
      <c r="N16" s="224"/>
      <c r="O16" s="279"/>
      <c r="P16" s="224"/>
      <c r="Q16" s="224"/>
      <c r="R16" s="225"/>
      <c r="S16" s="224"/>
      <c r="T16" s="224"/>
      <c r="U16" s="224"/>
      <c r="V16" s="225"/>
      <c r="W16" s="224"/>
      <c r="X16" s="224"/>
      <c r="Y16" s="225"/>
      <c r="Z16" s="224"/>
    </row>
    <row r="17" spans="1:26" s="130" customFormat="1" ht="12" x14ac:dyDescent="0.2">
      <c r="A17" s="27">
        <v>39356</v>
      </c>
      <c r="B17" s="13">
        <v>926.87</v>
      </c>
      <c r="C17" s="13"/>
      <c r="D17" s="13">
        <f>'Anexo 4 HE'!S17</f>
        <v>432.76775270979039</v>
      </c>
      <c r="E17" s="13">
        <f t="shared" si="0"/>
        <v>432.76775270979039</v>
      </c>
      <c r="F17" s="13">
        <f t="shared" si="1"/>
        <v>1359.6377527097904</v>
      </c>
      <c r="G17" s="188">
        <v>0.09</v>
      </c>
      <c r="H17" s="13">
        <f t="shared" si="3"/>
        <v>122.36739774388114</v>
      </c>
      <c r="I17" s="13">
        <v>80.17</v>
      </c>
      <c r="J17" s="13">
        <f t="shared" si="4"/>
        <v>42.19739774388114</v>
      </c>
      <c r="K17" s="176">
        <f>'Anexo 4 HE'!T17</f>
        <v>1.048844364753027</v>
      </c>
      <c r="L17" s="134">
        <f t="shared" si="2"/>
        <v>44.25850283091183</v>
      </c>
      <c r="M17" s="13">
        <f t="shared" si="5"/>
        <v>453.90601867649519</v>
      </c>
      <c r="N17" s="224"/>
      <c r="O17" s="279"/>
      <c r="P17" s="224"/>
      <c r="Q17" s="224"/>
      <c r="R17" s="225"/>
      <c r="S17" s="224"/>
      <c r="T17" s="224"/>
      <c r="U17" s="224"/>
      <c r="V17" s="225"/>
      <c r="W17" s="224"/>
      <c r="X17" s="224"/>
      <c r="Y17" s="225"/>
      <c r="Z17" s="224"/>
    </row>
    <row r="18" spans="1:26" s="130" customFormat="1" ht="12" x14ac:dyDescent="0.2">
      <c r="A18" s="27">
        <v>39387</v>
      </c>
      <c r="B18" s="13">
        <v>1150.93</v>
      </c>
      <c r="C18" s="13"/>
      <c r="D18" s="13">
        <f>'Anexo 4 HE'!S18</f>
        <v>138.8525139204545</v>
      </c>
      <c r="E18" s="13">
        <f t="shared" si="0"/>
        <v>138.8525139204545</v>
      </c>
      <c r="F18" s="13">
        <f t="shared" si="1"/>
        <v>1289.7825139204547</v>
      </c>
      <c r="G18" s="188">
        <v>0.09</v>
      </c>
      <c r="H18" s="13">
        <f t="shared" si="3"/>
        <v>116.08042625284092</v>
      </c>
      <c r="I18" s="13">
        <v>103.58</v>
      </c>
      <c r="J18" s="13">
        <f t="shared" si="4"/>
        <v>12.500426252840924</v>
      </c>
      <c r="K18" s="176">
        <f>'Anexo 4 HE'!T18</f>
        <v>1.0482259114652615</v>
      </c>
      <c r="L18" s="134">
        <f t="shared" si="2"/>
        <v>13.10327070258846</v>
      </c>
      <c r="M18" s="13">
        <f t="shared" si="5"/>
        <v>145.54880296351132</v>
      </c>
      <c r="N18" s="224"/>
      <c r="O18" s="279"/>
      <c r="P18" s="224"/>
      <c r="Q18" s="224"/>
      <c r="R18" s="225"/>
      <c r="S18" s="224"/>
      <c r="T18" s="224"/>
      <c r="U18" s="224"/>
      <c r="V18" s="225"/>
      <c r="W18" s="224"/>
      <c r="X18" s="224"/>
      <c r="Y18" s="225"/>
      <c r="Z18" s="224"/>
    </row>
    <row r="19" spans="1:26" s="130" customFormat="1" ht="12" x14ac:dyDescent="0.2">
      <c r="A19" s="27">
        <v>39417</v>
      </c>
      <c r="B19" s="13">
        <v>893.37</v>
      </c>
      <c r="C19" s="13"/>
      <c r="D19" s="13">
        <f>'Anexo 4 HE'!S19</f>
        <v>191.62335303030306</v>
      </c>
      <c r="E19" s="13">
        <f t="shared" si="0"/>
        <v>191.62335303030306</v>
      </c>
      <c r="F19" s="13">
        <f t="shared" si="1"/>
        <v>1084.9933530303031</v>
      </c>
      <c r="G19" s="188">
        <v>8.6499999999999994E-2</v>
      </c>
      <c r="H19" s="13">
        <f t="shared" si="3"/>
        <v>93.851925037121205</v>
      </c>
      <c r="I19" s="13">
        <v>77.28</v>
      </c>
      <c r="J19" s="13">
        <f t="shared" si="4"/>
        <v>16.571925037121204</v>
      </c>
      <c r="K19" s="176">
        <f>'Anexo 4 HE'!T19</f>
        <v>1.0475554759606471</v>
      </c>
      <c r="L19" s="134">
        <f t="shared" si="2"/>
        <v>17.36001081984567</v>
      </c>
      <c r="M19" s="13">
        <f t="shared" si="5"/>
        <v>200.73609278883424</v>
      </c>
      <c r="N19" s="224"/>
      <c r="O19" s="279"/>
      <c r="P19" s="224"/>
      <c r="Q19" s="224"/>
      <c r="R19" s="225"/>
      <c r="S19" s="224"/>
      <c r="T19" s="224"/>
      <c r="U19" s="224"/>
      <c r="V19" s="225"/>
      <c r="W19" s="224"/>
      <c r="X19" s="224"/>
      <c r="Y19" s="225"/>
      <c r="Z19" s="224"/>
    </row>
    <row r="20" spans="1:26" s="130" customFormat="1" ht="18" x14ac:dyDescent="0.2">
      <c r="A20" s="196" t="s">
        <v>171</v>
      </c>
      <c r="B20" s="13">
        <v>647.39</v>
      </c>
      <c r="C20" s="13"/>
      <c r="D20" s="13">
        <f>'Anexo 4 HE'!S20</f>
        <v>177.189561969697</v>
      </c>
      <c r="E20" s="13">
        <f t="shared" si="0"/>
        <v>177.189561969697</v>
      </c>
      <c r="F20" s="13">
        <f t="shared" si="1"/>
        <v>824.57956196969701</v>
      </c>
      <c r="G20" s="188">
        <v>7.6499999999999999E-2</v>
      </c>
      <c r="H20" s="13">
        <f t="shared" si="3"/>
        <v>63.080336490681823</v>
      </c>
      <c r="I20" s="13">
        <v>49.53</v>
      </c>
      <c r="J20" s="13">
        <f t="shared" si="4"/>
        <v>13.550336490681822</v>
      </c>
      <c r="K20" s="176">
        <f>'Anexo 4 HE'!T20</f>
        <v>1.0482259114652615</v>
      </c>
      <c r="L20" s="134">
        <f t="shared" si="2"/>
        <v>14.203813818605946</v>
      </c>
      <c r="M20" s="13">
        <f t="shared" si="5"/>
        <v>185.73469009781607</v>
      </c>
      <c r="N20" s="224"/>
      <c r="O20" s="279"/>
      <c r="P20" s="224"/>
      <c r="Q20" s="224"/>
      <c r="R20" s="225"/>
      <c r="S20" s="224"/>
      <c r="T20" s="224"/>
      <c r="U20" s="224"/>
      <c r="V20" s="225"/>
      <c r="W20" s="224"/>
      <c r="X20" s="224"/>
      <c r="Y20" s="225"/>
      <c r="Z20" s="224"/>
    </row>
    <row r="21" spans="1:26" s="130" customFormat="1" ht="12" x14ac:dyDescent="0.2">
      <c r="A21" s="27">
        <v>39448</v>
      </c>
      <c r="B21" s="13">
        <v>925.46</v>
      </c>
      <c r="C21" s="13"/>
      <c r="D21" s="13">
        <f>'Anexo 4 HE'!S21</f>
        <v>335.67519124125891</v>
      </c>
      <c r="E21" s="13">
        <f t="shared" si="0"/>
        <v>335.67519124125891</v>
      </c>
      <c r="F21" s="13">
        <f t="shared" si="1"/>
        <v>1261.135191241259</v>
      </c>
      <c r="G21" s="188">
        <v>0.09</v>
      </c>
      <c r="H21" s="13">
        <f t="shared" si="3"/>
        <v>113.50216721171331</v>
      </c>
      <c r="I21" s="13">
        <v>83.29</v>
      </c>
      <c r="J21" s="13">
        <f t="shared" si="4"/>
        <v>30.212167211713307</v>
      </c>
      <c r="K21" s="176">
        <f>'Anexo 4 HE'!T21</f>
        <v>1.0464985124630584</v>
      </c>
      <c r="L21" s="134">
        <f t="shared" si="2"/>
        <v>31.616988045343163</v>
      </c>
      <c r="M21" s="13">
        <f t="shared" si="5"/>
        <v>351.28358830473007</v>
      </c>
      <c r="N21" s="224"/>
      <c r="O21" s="279"/>
      <c r="P21" s="224"/>
      <c r="Q21" s="224"/>
      <c r="R21" s="225"/>
      <c r="S21" s="224"/>
      <c r="T21" s="224"/>
      <c r="U21" s="224"/>
      <c r="V21" s="225"/>
      <c r="W21" s="224"/>
      <c r="X21" s="224"/>
      <c r="Y21" s="225"/>
      <c r="Z21" s="224"/>
    </row>
    <row r="22" spans="1:26" s="130" customFormat="1" ht="12" x14ac:dyDescent="0.2">
      <c r="A22" s="27">
        <v>39479</v>
      </c>
      <c r="B22" s="13">
        <v>893.37</v>
      </c>
      <c r="C22" s="13"/>
      <c r="D22" s="13">
        <f>'Anexo 4 HE'!S22</f>
        <v>309.12632386363651</v>
      </c>
      <c r="E22" s="13">
        <f t="shared" si="0"/>
        <v>309.12632386363651</v>
      </c>
      <c r="F22" s="13">
        <f t="shared" si="1"/>
        <v>1202.4963238636365</v>
      </c>
      <c r="G22" s="188">
        <v>0.09</v>
      </c>
      <c r="H22" s="13">
        <f t="shared" si="3"/>
        <v>108.22466914772728</v>
      </c>
      <c r="I22" s="13">
        <v>80.400000000000006</v>
      </c>
      <c r="J22" s="13">
        <f t="shared" si="4"/>
        <v>27.824669147727278</v>
      </c>
      <c r="K22" s="176">
        <f>'Anexo 4 HE'!T22</f>
        <v>1.0462442751042089</v>
      </c>
      <c r="L22" s="134">
        <f t="shared" si="2"/>
        <v>29.111400802478371</v>
      </c>
      <c r="M22" s="13">
        <f t="shared" si="5"/>
        <v>323.42164662633928</v>
      </c>
      <c r="N22" s="224"/>
      <c r="O22" s="279"/>
      <c r="P22" s="224"/>
      <c r="Q22" s="224"/>
      <c r="R22" s="225"/>
      <c r="S22" s="224"/>
      <c r="T22" s="224"/>
      <c r="U22" s="224"/>
      <c r="V22" s="225"/>
      <c r="W22" s="224"/>
      <c r="X22" s="224"/>
      <c r="Y22" s="225"/>
      <c r="Z22" s="224"/>
    </row>
    <row r="23" spans="1:26" s="130" customFormat="1" ht="12" x14ac:dyDescent="0.2">
      <c r="A23" s="27">
        <v>39508</v>
      </c>
      <c r="B23" s="13">
        <v>908.09</v>
      </c>
      <c r="C23" s="13"/>
      <c r="D23" s="13">
        <f>'Anexo 4 HE'!S23</f>
        <v>214.50913309090907</v>
      </c>
      <c r="E23" s="13">
        <f t="shared" si="0"/>
        <v>214.50913309090907</v>
      </c>
      <c r="F23" s="13">
        <f t="shared" si="1"/>
        <v>1122.5991330909092</v>
      </c>
      <c r="G23" s="188">
        <v>0.09</v>
      </c>
      <c r="H23" s="13">
        <f t="shared" si="3"/>
        <v>101.03392197818182</v>
      </c>
      <c r="I23" s="13">
        <v>72.650000000000006</v>
      </c>
      <c r="J23" s="13">
        <f t="shared" si="4"/>
        <v>28.383921978181817</v>
      </c>
      <c r="K23" s="176">
        <f>'Anexo 4 HE'!T23</f>
        <v>1.0458165361409275</v>
      </c>
      <c r="L23" s="134">
        <f t="shared" si="2"/>
        <v>29.684374965316451</v>
      </c>
      <c r="M23" s="13">
        <f t="shared" si="5"/>
        <v>224.33719853972775</v>
      </c>
      <c r="N23" s="224"/>
      <c r="O23" s="279"/>
      <c r="P23" s="224"/>
      <c r="Q23" s="224"/>
      <c r="R23" s="225"/>
      <c r="S23" s="224"/>
      <c r="T23" s="224"/>
      <c r="U23" s="224"/>
      <c r="V23" s="225"/>
      <c r="W23" s="224"/>
      <c r="X23" s="224"/>
      <c r="Y23" s="225"/>
      <c r="Z23" s="224"/>
    </row>
    <row r="24" spans="1:26" s="130" customFormat="1" ht="12" x14ac:dyDescent="0.2">
      <c r="A24" s="27">
        <v>39539</v>
      </c>
      <c r="B24" s="13">
        <v>903.56</v>
      </c>
      <c r="C24" s="13"/>
      <c r="D24" s="13">
        <f>'Anexo 4 HE'!S24</f>
        <v>358.59585454545442</v>
      </c>
      <c r="E24" s="13">
        <f t="shared" si="0"/>
        <v>358.59585454545442</v>
      </c>
      <c r="F24" s="13">
        <f t="shared" si="1"/>
        <v>1262.1558545454543</v>
      </c>
      <c r="G24" s="188">
        <v>0.09</v>
      </c>
      <c r="H24" s="13">
        <f t="shared" si="3"/>
        <v>113.59402690909089</v>
      </c>
      <c r="I24" s="13">
        <v>72.28</v>
      </c>
      <c r="J24" s="13">
        <f t="shared" si="4"/>
        <v>41.314026909090884</v>
      </c>
      <c r="K24" s="176">
        <f>'Anexo 4 HE'!T24</f>
        <v>1.0448187342497182</v>
      </c>
      <c r="L24" s="134">
        <f t="shared" si="2"/>
        <v>43.165669301915131</v>
      </c>
      <c r="M24" s="13">
        <f t="shared" si="5"/>
        <v>374.66766685337774</v>
      </c>
      <c r="N24" s="224"/>
      <c r="O24" s="279"/>
      <c r="P24" s="224"/>
      <c r="Q24" s="224"/>
      <c r="R24" s="225"/>
      <c r="S24" s="224"/>
      <c r="T24" s="224"/>
      <c r="U24" s="224"/>
      <c r="V24" s="225"/>
      <c r="W24" s="224"/>
      <c r="X24" s="224"/>
      <c r="Y24" s="225"/>
      <c r="Z24" s="224"/>
    </row>
    <row r="25" spans="1:26" s="130" customFormat="1" ht="12" x14ac:dyDescent="0.2">
      <c r="A25" s="27">
        <v>39569</v>
      </c>
      <c r="B25" s="13">
        <v>506.24</v>
      </c>
      <c r="C25" s="13"/>
      <c r="D25" s="13">
        <f>'Anexo 4 HE'!S25</f>
        <v>306.91923775454546</v>
      </c>
      <c r="E25" s="13">
        <f t="shared" si="0"/>
        <v>306.91923775454546</v>
      </c>
      <c r="F25" s="13">
        <f t="shared" si="1"/>
        <v>813.15923775454553</v>
      </c>
      <c r="G25" s="188">
        <v>0.08</v>
      </c>
      <c r="H25" s="13">
        <f t="shared" si="3"/>
        <v>65.052739020363646</v>
      </c>
      <c r="I25" s="13">
        <v>80.680000000000007</v>
      </c>
      <c r="J25" s="13">
        <v>0</v>
      </c>
      <c r="K25" s="176">
        <f>'Anexo 4 HE'!T25</f>
        <v>1.0440503132191898</v>
      </c>
      <c r="L25" s="134">
        <f t="shared" si="2"/>
        <v>0</v>
      </c>
      <c r="M25" s="13">
        <f t="shared" si="5"/>
        <v>320.43912631062818</v>
      </c>
      <c r="N25" s="224"/>
      <c r="O25" s="279"/>
      <c r="P25" s="224"/>
      <c r="Q25" s="224"/>
      <c r="R25" s="225"/>
      <c r="S25" s="224"/>
      <c r="T25" s="224"/>
      <c r="U25" s="224"/>
      <c r="V25" s="225"/>
      <c r="W25" s="224"/>
      <c r="X25" s="224"/>
      <c r="Y25" s="225"/>
      <c r="Z25" s="224"/>
    </row>
    <row r="26" spans="1:26" s="130" customFormat="1" ht="12" customHeight="1" x14ac:dyDescent="0.2">
      <c r="A26" s="27" t="s">
        <v>211</v>
      </c>
      <c r="B26" s="13">
        <v>1249.3699999999999</v>
      </c>
      <c r="C26" s="13"/>
      <c r="D26" s="13">
        <f>'Anexo 4 HE'!S26</f>
        <v>0</v>
      </c>
      <c r="E26" s="13">
        <f t="shared" si="0"/>
        <v>0</v>
      </c>
      <c r="F26" s="13">
        <f t="shared" si="1"/>
        <v>1249.3699999999999</v>
      </c>
      <c r="G26" s="188">
        <v>0.11</v>
      </c>
      <c r="H26" s="13">
        <f t="shared" si="3"/>
        <v>137.4307</v>
      </c>
      <c r="I26" s="13">
        <v>112.44</v>
      </c>
      <c r="J26" s="13">
        <f t="shared" si="4"/>
        <v>24.990700000000004</v>
      </c>
      <c r="K26" s="176">
        <f>'Anexo 4 HE'!T26</f>
        <v>1.0440503132191898</v>
      </c>
      <c r="L26" s="134">
        <f t="shared" si="2"/>
        <v>26.091548162566813</v>
      </c>
      <c r="M26" s="13">
        <f t="shared" si="5"/>
        <v>0</v>
      </c>
      <c r="N26" s="224"/>
      <c r="O26" s="279"/>
      <c r="P26" s="224"/>
      <c r="Q26" s="224"/>
      <c r="R26" s="225"/>
      <c r="S26" s="224"/>
      <c r="T26" s="224"/>
      <c r="U26" s="224"/>
      <c r="V26" s="225"/>
      <c r="W26" s="224"/>
      <c r="X26" s="224"/>
      <c r="Y26" s="225"/>
      <c r="Z26" s="224"/>
    </row>
    <row r="27" spans="1:26" s="130" customFormat="1" ht="12" x14ac:dyDescent="0.2">
      <c r="A27" s="27">
        <v>39600</v>
      </c>
      <c r="B27" s="13">
        <v>442.02</v>
      </c>
      <c r="C27" s="13"/>
      <c r="D27" s="13">
        <v>0</v>
      </c>
      <c r="E27" s="13">
        <f t="shared" si="0"/>
        <v>0</v>
      </c>
      <c r="F27" s="13">
        <f t="shared" si="1"/>
        <v>442.02</v>
      </c>
      <c r="G27" s="188">
        <v>0.08</v>
      </c>
      <c r="H27" s="13">
        <f t="shared" si="3"/>
        <v>35.361600000000003</v>
      </c>
      <c r="I27" s="13">
        <v>35.36</v>
      </c>
      <c r="J27" s="13">
        <f t="shared" si="4"/>
        <v>1.6000000000033765E-3</v>
      </c>
      <c r="K27" s="176">
        <f>'Anexo 4 HE'!T27</f>
        <v>1.042855201158662</v>
      </c>
      <c r="L27" s="134">
        <f t="shared" si="2"/>
        <v>1.6685683218573804E-3</v>
      </c>
      <c r="M27" s="13">
        <f t="shared" si="5"/>
        <v>0</v>
      </c>
      <c r="N27" s="224"/>
      <c r="O27" s="279"/>
      <c r="P27" s="224"/>
      <c r="Q27" s="224"/>
      <c r="R27" s="225"/>
      <c r="S27" s="224"/>
      <c r="T27" s="224"/>
      <c r="U27" s="224"/>
      <c r="V27" s="225"/>
      <c r="W27" s="224"/>
      <c r="X27" s="224"/>
      <c r="Y27" s="225"/>
      <c r="Z27" s="224"/>
    </row>
    <row r="28" spans="1:26" s="130" customFormat="1" ht="12" x14ac:dyDescent="0.2">
      <c r="A28" s="27">
        <v>39630</v>
      </c>
      <c r="B28" s="13">
        <v>893.37</v>
      </c>
      <c r="C28" s="13"/>
      <c r="D28" s="13">
        <f>'Anexo 4 HE'!S28</f>
        <v>290.94424363636364</v>
      </c>
      <c r="E28" s="13">
        <f t="shared" si="0"/>
        <v>290.94424363636364</v>
      </c>
      <c r="F28" s="13">
        <f t="shared" si="1"/>
        <v>1184.3142436363637</v>
      </c>
      <c r="G28" s="188">
        <v>0.09</v>
      </c>
      <c r="H28" s="13">
        <f t="shared" si="3"/>
        <v>106.58828192727273</v>
      </c>
      <c r="I28" s="13">
        <v>71.47</v>
      </c>
      <c r="J28" s="13">
        <f t="shared" si="4"/>
        <v>35.118281927272733</v>
      </c>
      <c r="K28" s="176">
        <f>'Anexo 4 HE'!T28</f>
        <v>1.0408629893969561</v>
      </c>
      <c r="L28" s="134">
        <f t="shared" si="2"/>
        <v>36.553319909306197</v>
      </c>
      <c r="M28" s="13">
        <f t="shared" si="5"/>
        <v>302.83309517918178</v>
      </c>
      <c r="N28" s="224"/>
      <c r="O28" s="279"/>
      <c r="P28" s="224"/>
      <c r="Q28" s="224"/>
      <c r="R28" s="225"/>
      <c r="S28" s="224"/>
      <c r="T28" s="224"/>
      <c r="U28" s="224"/>
      <c r="V28" s="225"/>
      <c r="W28" s="224"/>
      <c r="X28" s="224"/>
      <c r="Y28" s="225"/>
      <c r="Z28" s="224"/>
    </row>
    <row r="29" spans="1:26" s="130" customFormat="1" ht="12" x14ac:dyDescent="0.2">
      <c r="A29" s="27">
        <v>39661</v>
      </c>
      <c r="B29" s="13">
        <v>1122.25</v>
      </c>
      <c r="C29" s="13"/>
      <c r="D29" s="13">
        <f>'Anexo 4 HE'!S29</f>
        <v>376.5748811569697</v>
      </c>
      <c r="E29" s="13">
        <f t="shared" si="0"/>
        <v>376.5748811569697</v>
      </c>
      <c r="F29" s="13">
        <f t="shared" si="1"/>
        <v>1498.8248811569697</v>
      </c>
      <c r="G29" s="188">
        <v>0.09</v>
      </c>
      <c r="H29" s="13">
        <f t="shared" si="3"/>
        <v>134.89423930412727</v>
      </c>
      <c r="I29" s="13">
        <v>101</v>
      </c>
      <c r="J29" s="13">
        <f t="shared" si="4"/>
        <v>33.894239304127268</v>
      </c>
      <c r="K29" s="176">
        <f>'Anexo 4 HE'!T29</f>
        <v>1.0392272457122045</v>
      </c>
      <c r="L29" s="134">
        <f t="shared" si="2"/>
        <v>35.223816957538524</v>
      </c>
      <c r="M29" s="13">
        <f t="shared" si="5"/>
        <v>391.34687654915837</v>
      </c>
      <c r="N29" s="224"/>
      <c r="O29" s="279"/>
      <c r="P29" s="224"/>
      <c r="Q29" s="224"/>
      <c r="R29" s="225"/>
      <c r="S29" s="224"/>
      <c r="T29" s="224"/>
      <c r="U29" s="224"/>
      <c r="V29" s="225"/>
      <c r="W29" s="224"/>
      <c r="X29" s="224"/>
      <c r="Y29" s="225"/>
      <c r="Z29" s="224"/>
    </row>
    <row r="30" spans="1:26" s="130" customFormat="1" ht="12" x14ac:dyDescent="0.2">
      <c r="A30" s="27">
        <v>39692</v>
      </c>
      <c r="B30" s="13">
        <v>1162.6400000000001</v>
      </c>
      <c r="C30" s="13"/>
      <c r="D30" s="13">
        <f>'Anexo 4 HE'!S30</f>
        <v>254.05777062937068</v>
      </c>
      <c r="E30" s="13">
        <f t="shared" si="0"/>
        <v>254.05777062937068</v>
      </c>
      <c r="F30" s="13">
        <f t="shared" si="1"/>
        <v>1416.6977706293708</v>
      </c>
      <c r="G30" s="188">
        <v>0.09</v>
      </c>
      <c r="H30" s="13">
        <f t="shared" si="3"/>
        <v>127.50279935664337</v>
      </c>
      <c r="I30" s="13">
        <v>104.64</v>
      </c>
      <c r="J30" s="13">
        <f t="shared" si="4"/>
        <v>22.862799356643364</v>
      </c>
      <c r="K30" s="176">
        <f>'Anexo 4 HE'!T30</f>
        <v>1.0371839932455111</v>
      </c>
      <c r="L30" s="134">
        <f t="shared" si="2"/>
        <v>23.712929533494268</v>
      </c>
      <c r="M30" s="13">
        <f t="shared" si="5"/>
        <v>263.5046530564228</v>
      </c>
      <c r="N30" s="224"/>
      <c r="O30" s="279"/>
      <c r="P30" s="224"/>
      <c r="Q30" s="224"/>
      <c r="R30" s="225"/>
      <c r="S30" s="224"/>
      <c r="T30" s="224"/>
      <c r="U30" s="224"/>
      <c r="V30" s="225"/>
      <c r="W30" s="224"/>
      <c r="X30" s="224"/>
      <c r="Y30" s="225"/>
      <c r="Z30" s="224"/>
    </row>
    <row r="31" spans="1:26" s="130" customFormat="1" ht="12" x14ac:dyDescent="0.2">
      <c r="A31" s="27">
        <v>39722</v>
      </c>
      <c r="B31" s="13">
        <v>955.91</v>
      </c>
      <c r="C31" s="13"/>
      <c r="D31" s="13">
        <f>'Anexo 4 HE'!S31</f>
        <v>311.69746814814835</v>
      </c>
      <c r="E31" s="13">
        <f t="shared" si="0"/>
        <v>311.69746814814835</v>
      </c>
      <c r="F31" s="13">
        <f t="shared" si="1"/>
        <v>1267.6074681481482</v>
      </c>
      <c r="G31" s="188">
        <v>0.09</v>
      </c>
      <c r="H31" s="13">
        <f t="shared" si="3"/>
        <v>114.08467213333333</v>
      </c>
      <c r="I31" s="13">
        <v>86.03</v>
      </c>
      <c r="J31" s="13">
        <f t="shared" si="4"/>
        <v>28.054672133333327</v>
      </c>
      <c r="K31" s="176">
        <f>'Anexo 4 HE'!T31</f>
        <v>1.034591307429094</v>
      </c>
      <c r="L31" s="134">
        <f t="shared" si="2"/>
        <v>29.025119921919895</v>
      </c>
      <c r="M31" s="13">
        <f t="shared" si="5"/>
        <v>322.47949109373116</v>
      </c>
      <c r="N31" s="224"/>
      <c r="O31" s="279"/>
      <c r="P31" s="224"/>
      <c r="Q31" s="224"/>
      <c r="R31" s="225"/>
      <c r="S31" s="224"/>
      <c r="T31" s="224"/>
      <c r="U31" s="224"/>
      <c r="V31" s="225"/>
      <c r="W31" s="224"/>
      <c r="X31" s="224"/>
      <c r="Y31" s="225"/>
      <c r="Z31" s="224"/>
    </row>
    <row r="32" spans="1:26" s="130" customFormat="1" ht="12" x14ac:dyDescent="0.2">
      <c r="A32" s="27">
        <v>39753</v>
      </c>
      <c r="B32" s="13">
        <v>958.99</v>
      </c>
      <c r="C32" s="13"/>
      <c r="D32" s="13">
        <f>'Anexo 4 HE'!S32</f>
        <v>342.80528787878814</v>
      </c>
      <c r="E32" s="13">
        <f t="shared" si="0"/>
        <v>342.80528787878814</v>
      </c>
      <c r="F32" s="13">
        <f t="shared" si="1"/>
        <v>1301.7952878787883</v>
      </c>
      <c r="G32" s="188">
        <v>0.09</v>
      </c>
      <c r="H32" s="13">
        <f t="shared" si="3"/>
        <v>117.16157590909094</v>
      </c>
      <c r="I32" s="13">
        <v>86.31</v>
      </c>
      <c r="J32" s="13">
        <f t="shared" si="4"/>
        <v>30.85157590909094</v>
      </c>
      <c r="K32" s="176">
        <f>'Anexo 4 HE'!T32</f>
        <v>1.0329200427998426</v>
      </c>
      <c r="L32" s="134">
        <f t="shared" si="2"/>
        <v>31.867211108460808</v>
      </c>
      <c r="M32" s="13">
        <f t="shared" si="5"/>
        <v>354.09045262777022</v>
      </c>
      <c r="N32" s="224"/>
      <c r="O32" s="279"/>
      <c r="P32" s="224"/>
      <c r="Q32" s="224"/>
      <c r="R32" s="225"/>
      <c r="S32" s="224"/>
      <c r="T32" s="224"/>
      <c r="U32" s="224"/>
      <c r="V32" s="225"/>
      <c r="W32" s="224"/>
      <c r="X32" s="224"/>
      <c r="Y32" s="225"/>
      <c r="Z32" s="224"/>
    </row>
    <row r="33" spans="1:26" s="130" customFormat="1" ht="12" x14ac:dyDescent="0.2">
      <c r="A33" s="27">
        <v>39783</v>
      </c>
      <c r="B33" s="13">
        <v>982.82</v>
      </c>
      <c r="C33" s="13"/>
      <c r="D33" s="13">
        <f>'Anexo 4 HE'!S33</f>
        <v>303.1832856242425</v>
      </c>
      <c r="E33" s="13">
        <f t="shared" si="0"/>
        <v>303.1832856242425</v>
      </c>
      <c r="F33" s="13">
        <f t="shared" si="1"/>
        <v>1286.0032856242426</v>
      </c>
      <c r="G33" s="188">
        <v>0.09</v>
      </c>
      <c r="H33" s="13">
        <f t="shared" si="3"/>
        <v>115.74029570618183</v>
      </c>
      <c r="I33" s="13">
        <v>88.45</v>
      </c>
      <c r="J33" s="13">
        <f t="shared" si="4"/>
        <v>27.290295706181823</v>
      </c>
      <c r="K33" s="176">
        <f>'Anexo 4 HE'!T33</f>
        <v>1.0307050576309955</v>
      </c>
      <c r="L33" s="134">
        <f t="shared" si="2"/>
        <v>28.128245808607044</v>
      </c>
      <c r="M33" s="13">
        <f t="shared" si="5"/>
        <v>312.49254588208942</v>
      </c>
      <c r="N33" s="224"/>
      <c r="O33" s="279"/>
      <c r="P33" s="224"/>
      <c r="Q33" s="224"/>
      <c r="R33" s="225"/>
      <c r="S33" s="224"/>
      <c r="T33" s="224"/>
      <c r="U33" s="224"/>
      <c r="V33" s="225"/>
      <c r="W33" s="224"/>
      <c r="X33" s="224"/>
      <c r="Y33" s="225"/>
      <c r="Z33" s="224"/>
    </row>
    <row r="34" spans="1:26" s="130" customFormat="1" ht="18" x14ac:dyDescent="0.2">
      <c r="A34" s="196" t="s">
        <v>139</v>
      </c>
      <c r="B34" s="13">
        <v>981.69</v>
      </c>
      <c r="C34" s="13"/>
      <c r="D34" s="13">
        <f>'Anexo 4 HE'!S34</f>
        <v>253.2381805732324</v>
      </c>
      <c r="E34" s="13">
        <f t="shared" si="0"/>
        <v>253.2381805732324</v>
      </c>
      <c r="F34" s="13">
        <f t="shared" si="1"/>
        <v>1234.9281805732326</v>
      </c>
      <c r="G34" s="188">
        <v>0.09</v>
      </c>
      <c r="H34" s="13">
        <f t="shared" si="3"/>
        <v>111.14353625159093</v>
      </c>
      <c r="I34" s="13">
        <v>88.35</v>
      </c>
      <c r="J34" s="13">
        <f t="shared" si="4"/>
        <v>22.793536251590936</v>
      </c>
      <c r="K34" s="176">
        <f>'Anexo 4 HE'!T34</f>
        <v>1.0329200427998426</v>
      </c>
      <c r="L34" s="134">
        <f t="shared" si="2"/>
        <v>23.543900440553074</v>
      </c>
      <c r="M34" s="13">
        <f t="shared" si="5"/>
        <v>261.57479231625746</v>
      </c>
      <c r="N34" s="224"/>
      <c r="O34" s="279"/>
      <c r="P34" s="224"/>
      <c r="Q34" s="224"/>
      <c r="R34" s="225"/>
      <c r="S34" s="224"/>
      <c r="T34" s="224"/>
      <c r="U34" s="224"/>
      <c r="V34" s="225"/>
      <c r="W34" s="224"/>
      <c r="X34" s="224"/>
      <c r="Y34" s="225"/>
      <c r="Z34" s="224"/>
    </row>
    <row r="35" spans="1:26" s="130" customFormat="1" ht="12" x14ac:dyDescent="0.2">
      <c r="A35" s="27">
        <v>39814</v>
      </c>
      <c r="B35" s="13">
        <v>955.91</v>
      </c>
      <c r="C35" s="13"/>
      <c r="D35" s="13">
        <f>'Anexo 4 HE'!S35</f>
        <v>334.49608257575761</v>
      </c>
      <c r="E35" s="13">
        <f t="shared" si="0"/>
        <v>334.49608257575761</v>
      </c>
      <c r="F35" s="13">
        <f t="shared" si="1"/>
        <v>1290.4060825757576</v>
      </c>
      <c r="G35" s="188">
        <v>0.09</v>
      </c>
      <c r="H35" s="13">
        <f t="shared" si="3"/>
        <v>116.13654743181819</v>
      </c>
      <c r="I35" s="13">
        <v>86.03</v>
      </c>
      <c r="J35" s="13">
        <f t="shared" si="4"/>
        <v>30.106547431818186</v>
      </c>
      <c r="K35" s="176">
        <f>'Anexo 4 HE'!T35</f>
        <v>1.0288120434710086</v>
      </c>
      <c r="L35" s="134">
        <f t="shared" si="2"/>
        <v>30.973978585185716</v>
      </c>
      <c r="M35" s="13">
        <f t="shared" si="5"/>
        <v>344.13359824781242</v>
      </c>
      <c r="N35" s="224"/>
      <c r="O35" s="279"/>
      <c r="P35" s="224"/>
      <c r="Q35" s="224"/>
      <c r="R35" s="225"/>
      <c r="S35" s="224"/>
      <c r="T35" s="224"/>
      <c r="U35" s="224"/>
      <c r="V35" s="225"/>
      <c r="W35" s="224"/>
      <c r="X35" s="224"/>
      <c r="Y35" s="225"/>
      <c r="Z35" s="224"/>
    </row>
    <row r="36" spans="1:26" s="130" customFormat="1" ht="12" x14ac:dyDescent="0.2">
      <c r="A36" s="27">
        <v>39845</v>
      </c>
      <c r="B36" s="13">
        <v>955.91</v>
      </c>
      <c r="C36" s="13"/>
      <c r="D36" s="13">
        <f>'Anexo 4 HE'!S36</f>
        <v>424.16585613965742</v>
      </c>
      <c r="E36" s="13">
        <f t="shared" si="0"/>
        <v>424.16585613965742</v>
      </c>
      <c r="F36" s="13">
        <f t="shared" si="1"/>
        <v>1380.0758561396574</v>
      </c>
      <c r="G36" s="188">
        <v>0.09</v>
      </c>
      <c r="H36" s="13">
        <f t="shared" si="3"/>
        <v>124.20682705256917</v>
      </c>
      <c r="I36" s="13">
        <v>76.47</v>
      </c>
      <c r="J36" s="13">
        <f t="shared" si="4"/>
        <v>47.736827052569168</v>
      </c>
      <c r="K36" s="176">
        <f>'Anexo 4 HE'!T36</f>
        <v>1.0283482584064672</v>
      </c>
      <c r="L36" s="134">
        <f t="shared" si="2"/>
        <v>49.090082961360231</v>
      </c>
      <c r="M36" s="13">
        <f t="shared" si="5"/>
        <v>436.19021943670481</v>
      </c>
      <c r="N36" s="224"/>
      <c r="O36" s="279"/>
      <c r="P36" s="224"/>
      <c r="Q36" s="224"/>
      <c r="R36" s="225"/>
      <c r="S36" s="224"/>
      <c r="T36" s="224"/>
      <c r="U36" s="224"/>
      <c r="V36" s="225"/>
      <c r="W36" s="224"/>
      <c r="X36" s="224"/>
      <c r="Y36" s="225"/>
      <c r="Z36" s="224"/>
    </row>
    <row r="37" spans="1:26" s="130" customFormat="1" ht="11.25" x14ac:dyDescent="0.2">
      <c r="A37" s="27">
        <v>39873</v>
      </c>
      <c r="B37" s="13">
        <v>955.91</v>
      </c>
      <c r="C37" s="13"/>
      <c r="D37" s="13">
        <f>'Anexo 4 HE'!S37</f>
        <v>312.91011958041969</v>
      </c>
      <c r="E37" s="13">
        <f t="shared" si="0"/>
        <v>312.91011958041969</v>
      </c>
      <c r="F37" s="13">
        <f t="shared" si="1"/>
        <v>1268.8201195804197</v>
      </c>
      <c r="G37" s="188">
        <v>0.09</v>
      </c>
      <c r="H37" s="13">
        <f t="shared" si="3"/>
        <v>114.19381076223777</v>
      </c>
      <c r="I37" s="13">
        <v>76.47</v>
      </c>
      <c r="J37" s="13">
        <f t="shared" si="4"/>
        <v>37.723810762237775</v>
      </c>
      <c r="K37" s="176"/>
      <c r="L37" s="134"/>
      <c r="M37" s="13"/>
      <c r="N37" s="13">
        <f>J37</f>
        <v>37.723810762237775</v>
      </c>
      <c r="O37" s="299">
        <f>'Multa INSS'!O62</f>
        <v>41.77</v>
      </c>
      <c r="P37" s="240">
        <f t="shared" ref="P37:P80" si="6">N37*(O37%)</f>
        <v>15.75723575538672</v>
      </c>
      <c r="Q37" s="13">
        <f>N37</f>
        <v>37.723810762237775</v>
      </c>
      <c r="R37" s="281">
        <v>0.2</v>
      </c>
      <c r="S37" s="240">
        <f>Q37*R37</f>
        <v>7.5447621524475554</v>
      </c>
      <c r="T37" s="13">
        <f>E37</f>
        <v>312.91011958041969</v>
      </c>
      <c r="U37" s="13">
        <f>T37*21%</f>
        <v>65.711125111888137</v>
      </c>
      <c r="V37" s="280">
        <f t="shared" ref="V37" si="7">O37</f>
        <v>41.77</v>
      </c>
      <c r="W37" s="240">
        <f t="shared" ref="W37:W80" si="8">U37*(V37%)</f>
        <v>27.447536959235677</v>
      </c>
      <c r="X37" s="13">
        <f t="shared" ref="X37:X80" si="9">U37</f>
        <v>65.711125111888137</v>
      </c>
      <c r="Y37" s="281">
        <f t="shared" ref="Y37:Y80" si="10">R37</f>
        <v>0.2</v>
      </c>
      <c r="Z37" s="240">
        <f t="shared" ref="Z37:Z80" si="11">X37*Y37</f>
        <v>13.142225022377628</v>
      </c>
    </row>
    <row r="38" spans="1:26" s="130" customFormat="1" ht="11.25" x14ac:dyDescent="0.2">
      <c r="A38" s="27">
        <v>39904</v>
      </c>
      <c r="B38" s="13">
        <v>955.91</v>
      </c>
      <c r="C38" s="13"/>
      <c r="D38" s="13">
        <f>'Anexo 4 HE'!S38</f>
        <v>381.92151988636397</v>
      </c>
      <c r="E38" s="13">
        <f t="shared" si="0"/>
        <v>381.92151988636397</v>
      </c>
      <c r="F38" s="13">
        <f t="shared" si="1"/>
        <v>1337.8315198863638</v>
      </c>
      <c r="G38" s="188">
        <v>0.09</v>
      </c>
      <c r="H38" s="13">
        <f t="shared" si="3"/>
        <v>120.40483678977274</v>
      </c>
      <c r="I38" s="13">
        <v>76.47</v>
      </c>
      <c r="J38" s="13">
        <f t="shared" si="4"/>
        <v>43.934836789772746</v>
      </c>
      <c r="K38" s="176"/>
      <c r="L38" s="134"/>
      <c r="M38" s="13"/>
      <c r="N38" s="13">
        <f t="shared" ref="N38:N80" si="12">J38</f>
        <v>43.934836789772746</v>
      </c>
      <c r="O38" s="299">
        <f>'Multa INSS'!O63</f>
        <v>41</v>
      </c>
      <c r="P38" s="240">
        <f t="shared" si="6"/>
        <v>18.013283083806826</v>
      </c>
      <c r="Q38" s="13">
        <f t="shared" ref="Q38:Q80" si="13">N38</f>
        <v>43.934836789772746</v>
      </c>
      <c r="R38" s="281">
        <v>0.2</v>
      </c>
      <c r="S38" s="240">
        <f t="shared" ref="S38:S80" si="14">Q38*R38</f>
        <v>8.7869673579545502</v>
      </c>
      <c r="T38" s="13">
        <f t="shared" ref="T38:T80" si="15">E38</f>
        <v>381.92151988636397</v>
      </c>
      <c r="U38" s="13">
        <f t="shared" ref="U38:U80" si="16">T38*21%</f>
        <v>80.203519176136425</v>
      </c>
      <c r="V38" s="280">
        <f t="shared" ref="V38:V80" si="17">O38</f>
        <v>41</v>
      </c>
      <c r="W38" s="240">
        <f t="shared" si="8"/>
        <v>32.883442862215929</v>
      </c>
      <c r="X38" s="13">
        <f t="shared" si="9"/>
        <v>80.203519176136425</v>
      </c>
      <c r="Y38" s="281">
        <f t="shared" si="10"/>
        <v>0.2</v>
      </c>
      <c r="Z38" s="240">
        <f t="shared" si="11"/>
        <v>16.040703835227287</v>
      </c>
    </row>
    <row r="39" spans="1:26" s="130" customFormat="1" ht="11.25" x14ac:dyDescent="0.2">
      <c r="A39" s="27">
        <v>39934</v>
      </c>
      <c r="B39" s="13">
        <v>955.91</v>
      </c>
      <c r="C39" s="13"/>
      <c r="D39" s="13">
        <f>'Anexo 4 HE'!S39</f>
        <v>327.63794318181846</v>
      </c>
      <c r="E39" s="13">
        <f t="shared" si="0"/>
        <v>327.63794318181846</v>
      </c>
      <c r="F39" s="13">
        <f t="shared" si="1"/>
        <v>1283.5479431818185</v>
      </c>
      <c r="G39" s="188">
        <v>0.09</v>
      </c>
      <c r="H39" s="13">
        <f t="shared" si="3"/>
        <v>115.51931488636366</v>
      </c>
      <c r="I39" s="13">
        <v>76.47</v>
      </c>
      <c r="J39" s="13">
        <f t="shared" si="4"/>
        <v>39.049314886363661</v>
      </c>
      <c r="K39" s="176"/>
      <c r="L39" s="134"/>
      <c r="M39" s="13"/>
      <c r="N39" s="13">
        <f t="shared" si="12"/>
        <v>39.049314886363661</v>
      </c>
      <c r="O39" s="299">
        <f>'Multa INSS'!O64</f>
        <v>40.24</v>
      </c>
      <c r="P39" s="240">
        <f t="shared" si="6"/>
        <v>15.713444310272738</v>
      </c>
      <c r="Q39" s="13">
        <f t="shared" si="13"/>
        <v>39.049314886363661</v>
      </c>
      <c r="R39" s="281">
        <v>0.2</v>
      </c>
      <c r="S39" s="240">
        <f t="shared" si="14"/>
        <v>7.8098629772727328</v>
      </c>
      <c r="T39" s="13">
        <f t="shared" si="15"/>
        <v>327.63794318181846</v>
      </c>
      <c r="U39" s="13">
        <f t="shared" si="16"/>
        <v>68.803968068181874</v>
      </c>
      <c r="V39" s="280">
        <f t="shared" si="17"/>
        <v>40.24</v>
      </c>
      <c r="W39" s="240">
        <f t="shared" si="8"/>
        <v>27.686716750636389</v>
      </c>
      <c r="X39" s="13">
        <f t="shared" si="9"/>
        <v>68.803968068181874</v>
      </c>
      <c r="Y39" s="281">
        <f t="shared" si="10"/>
        <v>0.2</v>
      </c>
      <c r="Z39" s="240">
        <f t="shared" si="11"/>
        <v>13.760793613636375</v>
      </c>
    </row>
    <row r="40" spans="1:26" s="130" customFormat="1" ht="11.25" x14ac:dyDescent="0.2">
      <c r="A40" s="27">
        <v>39965</v>
      </c>
      <c r="B40" s="13">
        <v>951.08</v>
      </c>
      <c r="C40" s="13"/>
      <c r="D40" s="13">
        <f>'Anexo 4 HE'!S40</f>
        <v>338.5800000000001</v>
      </c>
      <c r="E40" s="13">
        <f t="shared" si="0"/>
        <v>338.5800000000001</v>
      </c>
      <c r="F40" s="13">
        <f t="shared" si="1"/>
        <v>1289.6600000000001</v>
      </c>
      <c r="G40" s="188">
        <v>0.09</v>
      </c>
      <c r="H40" s="13">
        <f t="shared" si="3"/>
        <v>116.0694</v>
      </c>
      <c r="I40" s="13">
        <v>76.09</v>
      </c>
      <c r="J40" s="13">
        <f t="shared" si="4"/>
        <v>39.979399999999998</v>
      </c>
      <c r="K40" s="176"/>
      <c r="L40" s="134"/>
      <c r="M40" s="13"/>
      <c r="N40" s="13">
        <f t="shared" si="12"/>
        <v>39.979399999999998</v>
      </c>
      <c r="O40" s="299">
        <f>'Multa INSS'!O65</f>
        <v>39.450000000000003</v>
      </c>
      <c r="P40" s="240">
        <f t="shared" si="6"/>
        <v>15.771873299999999</v>
      </c>
      <c r="Q40" s="13">
        <f t="shared" si="13"/>
        <v>39.979399999999998</v>
      </c>
      <c r="R40" s="281">
        <v>0.2</v>
      </c>
      <c r="S40" s="240">
        <f t="shared" si="14"/>
        <v>7.9958799999999997</v>
      </c>
      <c r="T40" s="13">
        <f t="shared" si="15"/>
        <v>338.5800000000001</v>
      </c>
      <c r="U40" s="13">
        <f t="shared" si="16"/>
        <v>71.101800000000011</v>
      </c>
      <c r="V40" s="280">
        <f t="shared" si="17"/>
        <v>39.450000000000003</v>
      </c>
      <c r="W40" s="240">
        <f t="shared" si="8"/>
        <v>28.049660100000004</v>
      </c>
      <c r="X40" s="13">
        <f t="shared" si="9"/>
        <v>71.101800000000011</v>
      </c>
      <c r="Y40" s="281">
        <f t="shared" si="10"/>
        <v>0.2</v>
      </c>
      <c r="Z40" s="240">
        <f t="shared" si="11"/>
        <v>14.220360000000003</v>
      </c>
    </row>
    <row r="41" spans="1:26" s="130" customFormat="1" ht="11.25" x14ac:dyDescent="0.2">
      <c r="A41" s="27">
        <v>39995</v>
      </c>
      <c r="B41" s="13">
        <v>955.91</v>
      </c>
      <c r="C41" s="13"/>
      <c r="D41" s="13">
        <f>'Anexo 4 HE'!S41</f>
        <v>360.34857954545464</v>
      </c>
      <c r="E41" s="13">
        <f t="shared" si="0"/>
        <v>360.34857954545464</v>
      </c>
      <c r="F41" s="13">
        <f t="shared" si="1"/>
        <v>1316.2585795454547</v>
      </c>
      <c r="G41" s="188">
        <v>0.09</v>
      </c>
      <c r="H41" s="13">
        <f t="shared" si="3"/>
        <v>118.46327215909092</v>
      </c>
      <c r="I41" s="13">
        <v>76.47</v>
      </c>
      <c r="J41" s="13">
        <f t="shared" si="4"/>
        <v>41.993272159090921</v>
      </c>
      <c r="K41" s="176"/>
      <c r="L41" s="134"/>
      <c r="M41" s="13"/>
      <c r="N41" s="13">
        <f t="shared" si="12"/>
        <v>41.993272159090921</v>
      </c>
      <c r="O41" s="299">
        <f>'Multa INSS'!O66</f>
        <v>38.76</v>
      </c>
      <c r="P41" s="240">
        <f t="shared" si="6"/>
        <v>16.27659228886364</v>
      </c>
      <c r="Q41" s="13">
        <f t="shared" si="13"/>
        <v>41.993272159090921</v>
      </c>
      <c r="R41" s="281">
        <v>0.2</v>
      </c>
      <c r="S41" s="240">
        <f t="shared" si="14"/>
        <v>8.3986544318181853</v>
      </c>
      <c r="T41" s="13">
        <f t="shared" si="15"/>
        <v>360.34857954545464</v>
      </c>
      <c r="U41" s="13">
        <f t="shared" si="16"/>
        <v>75.673201704545477</v>
      </c>
      <c r="V41" s="280">
        <f t="shared" si="17"/>
        <v>38.76</v>
      </c>
      <c r="W41" s="240">
        <f t="shared" si="8"/>
        <v>29.330932980681826</v>
      </c>
      <c r="X41" s="13">
        <f t="shared" si="9"/>
        <v>75.673201704545477</v>
      </c>
      <c r="Y41" s="281">
        <f t="shared" si="10"/>
        <v>0.2</v>
      </c>
      <c r="Z41" s="240">
        <f t="shared" si="11"/>
        <v>15.134640340909096</v>
      </c>
    </row>
    <row r="42" spans="1:26" s="130" customFormat="1" ht="11.25" x14ac:dyDescent="0.2">
      <c r="A42" s="27">
        <v>40026</v>
      </c>
      <c r="B42" s="13">
        <v>287.57</v>
      </c>
      <c r="C42" s="13"/>
      <c r="D42" s="13">
        <f>'Anexo 4 HE'!S42</f>
        <v>296.77321590909094</v>
      </c>
      <c r="E42" s="13">
        <f t="shared" si="0"/>
        <v>296.77321590909094</v>
      </c>
      <c r="F42" s="13">
        <f t="shared" si="1"/>
        <v>584.34321590909099</v>
      </c>
      <c r="G42" s="188">
        <v>0.08</v>
      </c>
      <c r="H42" s="13">
        <f t="shared" si="3"/>
        <v>46.747457272727281</v>
      </c>
      <c r="I42" s="13">
        <v>76.47</v>
      </c>
      <c r="J42" s="13">
        <v>0</v>
      </c>
      <c r="K42" s="176"/>
      <c r="L42" s="134"/>
      <c r="M42" s="13"/>
      <c r="N42" s="13">
        <f t="shared" si="12"/>
        <v>0</v>
      </c>
      <c r="O42" s="299">
        <f>'Multa INSS'!O67</f>
        <v>38.07</v>
      </c>
      <c r="P42" s="240">
        <f t="shared" si="6"/>
        <v>0</v>
      </c>
      <c r="Q42" s="13">
        <f t="shared" si="13"/>
        <v>0</v>
      </c>
      <c r="R42" s="281">
        <v>0.2</v>
      </c>
      <c r="S42" s="240">
        <f t="shared" si="14"/>
        <v>0</v>
      </c>
      <c r="T42" s="13">
        <f t="shared" si="15"/>
        <v>296.77321590909094</v>
      </c>
      <c r="U42" s="13">
        <f t="shared" si="16"/>
        <v>62.322375340909097</v>
      </c>
      <c r="V42" s="280">
        <f t="shared" si="17"/>
        <v>38.07</v>
      </c>
      <c r="W42" s="240">
        <f t="shared" si="8"/>
        <v>23.726128292284091</v>
      </c>
      <c r="X42" s="13">
        <f t="shared" si="9"/>
        <v>62.322375340909097</v>
      </c>
      <c r="Y42" s="281">
        <f t="shared" si="10"/>
        <v>0.2</v>
      </c>
      <c r="Z42" s="240">
        <f t="shared" si="11"/>
        <v>12.464475068181819</v>
      </c>
    </row>
    <row r="43" spans="1:26" s="130" customFormat="1" ht="11.25" customHeight="1" x14ac:dyDescent="0.2">
      <c r="A43" s="247" t="s">
        <v>211</v>
      </c>
      <c r="B43" s="13">
        <v>1288.24</v>
      </c>
      <c r="C43" s="27"/>
      <c r="D43" s="13">
        <f>'Anexo 4 HE'!S43</f>
        <v>0</v>
      </c>
      <c r="E43" s="13">
        <f t="shared" si="0"/>
        <v>0</v>
      </c>
      <c r="F43" s="13">
        <f t="shared" si="1"/>
        <v>1288.24</v>
      </c>
      <c r="G43" s="188">
        <v>0.11</v>
      </c>
      <c r="H43" s="13">
        <f t="shared" si="3"/>
        <v>141.7064</v>
      </c>
      <c r="I43" s="13">
        <v>65.349999999999994</v>
      </c>
      <c r="J43" s="13">
        <f t="shared" si="4"/>
        <v>76.356400000000008</v>
      </c>
      <c r="K43" s="176"/>
      <c r="L43" s="134"/>
      <c r="M43" s="13"/>
      <c r="N43" s="13">
        <f t="shared" si="12"/>
        <v>76.356400000000008</v>
      </c>
      <c r="O43" s="299">
        <f>O42</f>
        <v>38.07</v>
      </c>
      <c r="P43" s="240">
        <f t="shared" si="6"/>
        <v>29.068881480000002</v>
      </c>
      <c r="Q43" s="13">
        <f t="shared" si="13"/>
        <v>76.356400000000008</v>
      </c>
      <c r="R43" s="281">
        <v>0.2</v>
      </c>
      <c r="S43" s="240">
        <f t="shared" si="14"/>
        <v>15.271280000000003</v>
      </c>
      <c r="T43" s="13">
        <f t="shared" si="15"/>
        <v>0</v>
      </c>
      <c r="U43" s="13">
        <f t="shared" si="16"/>
        <v>0</v>
      </c>
      <c r="V43" s="280">
        <f t="shared" si="17"/>
        <v>38.07</v>
      </c>
      <c r="W43" s="240">
        <f t="shared" si="8"/>
        <v>0</v>
      </c>
      <c r="X43" s="13">
        <f t="shared" si="9"/>
        <v>0</v>
      </c>
      <c r="Y43" s="281">
        <f t="shared" si="10"/>
        <v>0.2</v>
      </c>
      <c r="Z43" s="240">
        <f t="shared" si="11"/>
        <v>0</v>
      </c>
    </row>
    <row r="44" spans="1:26" s="130" customFormat="1" ht="11.25" x14ac:dyDescent="0.2">
      <c r="A44" s="27">
        <v>40057</v>
      </c>
      <c r="B44" s="13">
        <v>704.35</v>
      </c>
      <c r="C44" s="13"/>
      <c r="D44" s="13">
        <f>'Anexo 4 HE'!S44</f>
        <v>65.551636363636362</v>
      </c>
      <c r="E44" s="13">
        <f t="shared" si="0"/>
        <v>65.551636363636362</v>
      </c>
      <c r="F44" s="13">
        <f t="shared" si="1"/>
        <v>769.90163636363638</v>
      </c>
      <c r="G44" s="188">
        <v>0.08</v>
      </c>
      <c r="H44" s="13">
        <f t="shared" si="3"/>
        <v>61.592130909090912</v>
      </c>
      <c r="I44" s="13">
        <v>56.35</v>
      </c>
      <c r="J44" s="13">
        <f t="shared" si="4"/>
        <v>5.2421309090909105</v>
      </c>
      <c r="K44" s="176"/>
      <c r="L44" s="134"/>
      <c r="M44" s="13"/>
      <c r="N44" s="13">
        <f t="shared" si="12"/>
        <v>5.2421309090909105</v>
      </c>
      <c r="O44" s="299">
        <f>'Multa INSS'!O68</f>
        <v>37.380000000000003</v>
      </c>
      <c r="P44" s="240">
        <f t="shared" si="6"/>
        <v>1.9595085338181824</v>
      </c>
      <c r="Q44" s="13">
        <f t="shared" si="13"/>
        <v>5.2421309090909105</v>
      </c>
      <c r="R44" s="281">
        <v>0.2</v>
      </c>
      <c r="S44" s="240">
        <f t="shared" si="14"/>
        <v>1.0484261818181821</v>
      </c>
      <c r="T44" s="13">
        <f t="shared" si="15"/>
        <v>65.551636363636362</v>
      </c>
      <c r="U44" s="13">
        <f t="shared" si="16"/>
        <v>13.765843636363636</v>
      </c>
      <c r="V44" s="280">
        <f t="shared" si="17"/>
        <v>37.380000000000003</v>
      </c>
      <c r="W44" s="240">
        <f t="shared" si="8"/>
        <v>5.1456723512727276</v>
      </c>
      <c r="X44" s="13">
        <f t="shared" si="9"/>
        <v>13.765843636363636</v>
      </c>
      <c r="Y44" s="281">
        <f t="shared" si="10"/>
        <v>0.2</v>
      </c>
      <c r="Z44" s="240">
        <f t="shared" si="11"/>
        <v>2.7531687272727274</v>
      </c>
    </row>
    <row r="45" spans="1:26" s="130" customFormat="1" ht="11.25" x14ac:dyDescent="0.2">
      <c r="A45" s="27">
        <v>40087</v>
      </c>
      <c r="B45" s="13">
        <v>955.91</v>
      </c>
      <c r="C45" s="13"/>
      <c r="D45" s="13">
        <f>'Anexo 4 HE'!S45</f>
        <v>354.97506555944057</v>
      </c>
      <c r="E45" s="13">
        <f t="shared" si="0"/>
        <v>354.97506555944057</v>
      </c>
      <c r="F45" s="13">
        <f t="shared" si="1"/>
        <v>1310.8850655594406</v>
      </c>
      <c r="G45" s="188">
        <v>0.09</v>
      </c>
      <c r="H45" s="13">
        <f t="shared" si="3"/>
        <v>117.97965590034966</v>
      </c>
      <c r="I45" s="13">
        <v>76.47</v>
      </c>
      <c r="J45" s="13">
        <f t="shared" si="4"/>
        <v>41.509655900349657</v>
      </c>
      <c r="K45" s="176"/>
      <c r="L45" s="134"/>
      <c r="M45" s="13"/>
      <c r="N45" s="13">
        <f t="shared" si="12"/>
        <v>41.509655900349657</v>
      </c>
      <c r="O45" s="299">
        <f>'Multa INSS'!O69</f>
        <v>36.72</v>
      </c>
      <c r="P45" s="240">
        <f t="shared" si="6"/>
        <v>15.242345646608392</v>
      </c>
      <c r="Q45" s="13">
        <f t="shared" si="13"/>
        <v>41.509655900349657</v>
      </c>
      <c r="R45" s="281">
        <v>0.2</v>
      </c>
      <c r="S45" s="240">
        <f t="shared" si="14"/>
        <v>8.301931180069932</v>
      </c>
      <c r="T45" s="13">
        <f t="shared" si="15"/>
        <v>354.97506555944057</v>
      </c>
      <c r="U45" s="13">
        <f t="shared" si="16"/>
        <v>74.544763767482522</v>
      </c>
      <c r="V45" s="280">
        <f t="shared" si="17"/>
        <v>36.72</v>
      </c>
      <c r="W45" s="240">
        <f t="shared" si="8"/>
        <v>27.372837255419579</v>
      </c>
      <c r="X45" s="13">
        <f t="shared" si="9"/>
        <v>74.544763767482522</v>
      </c>
      <c r="Y45" s="281">
        <f t="shared" si="10"/>
        <v>0.2</v>
      </c>
      <c r="Z45" s="240">
        <f t="shared" si="11"/>
        <v>14.908952753496505</v>
      </c>
    </row>
    <row r="46" spans="1:26" s="130" customFormat="1" ht="11.25" x14ac:dyDescent="0.2">
      <c r="A46" s="27">
        <v>40118</v>
      </c>
      <c r="B46" s="13">
        <v>958.99</v>
      </c>
      <c r="C46" s="13"/>
      <c r="D46" s="13">
        <f>'Anexo 4 HE'!S46</f>
        <v>306.78941761363637</v>
      </c>
      <c r="E46" s="13">
        <f t="shared" si="0"/>
        <v>306.78941761363637</v>
      </c>
      <c r="F46" s="13">
        <f t="shared" si="1"/>
        <v>1265.7794176136363</v>
      </c>
      <c r="G46" s="188">
        <v>0.09</v>
      </c>
      <c r="H46" s="13">
        <f t="shared" si="3"/>
        <v>113.92014758522726</v>
      </c>
      <c r="I46" s="13">
        <v>76.47</v>
      </c>
      <c r="J46" s="13">
        <f t="shared" si="4"/>
        <v>37.450147585227256</v>
      </c>
      <c r="K46" s="176"/>
      <c r="L46" s="134"/>
      <c r="M46" s="13"/>
      <c r="N46" s="13">
        <f t="shared" si="12"/>
        <v>37.450147585227256</v>
      </c>
      <c r="O46" s="299">
        <f>'Multa INSS'!O70</f>
        <v>35.99</v>
      </c>
      <c r="P46" s="240">
        <f t="shared" si="6"/>
        <v>13.478308115923289</v>
      </c>
      <c r="Q46" s="13">
        <f t="shared" si="13"/>
        <v>37.450147585227256</v>
      </c>
      <c r="R46" s="281">
        <v>0.2</v>
      </c>
      <c r="S46" s="240">
        <f t="shared" si="14"/>
        <v>7.4900295170454516</v>
      </c>
      <c r="T46" s="13">
        <f t="shared" si="15"/>
        <v>306.78941761363637</v>
      </c>
      <c r="U46" s="13">
        <f t="shared" si="16"/>
        <v>64.425777698863641</v>
      </c>
      <c r="V46" s="280">
        <f t="shared" si="17"/>
        <v>35.99</v>
      </c>
      <c r="W46" s="240">
        <f t="shared" si="8"/>
        <v>23.186837393821023</v>
      </c>
      <c r="X46" s="13">
        <f t="shared" si="9"/>
        <v>64.425777698863641</v>
      </c>
      <c r="Y46" s="281">
        <f t="shared" si="10"/>
        <v>0.2</v>
      </c>
      <c r="Z46" s="240">
        <f t="shared" si="11"/>
        <v>12.885155539772729</v>
      </c>
    </row>
    <row r="47" spans="1:26" s="130" customFormat="1" ht="11.25" x14ac:dyDescent="0.2">
      <c r="A47" s="27">
        <v>40148</v>
      </c>
      <c r="B47" s="13">
        <v>1250.18</v>
      </c>
      <c r="C47" s="13"/>
      <c r="D47" s="13">
        <f>'Anexo 4 HE'!S47</f>
        <v>353.45530681818167</v>
      </c>
      <c r="E47" s="13">
        <f t="shared" si="0"/>
        <v>353.45530681818167</v>
      </c>
      <c r="F47" s="13">
        <f t="shared" si="1"/>
        <v>1603.6353068181818</v>
      </c>
      <c r="G47" s="188">
        <v>0.09</v>
      </c>
      <c r="H47" s="13">
        <f t="shared" si="3"/>
        <v>144.32717761363637</v>
      </c>
      <c r="I47" s="13">
        <v>112.52</v>
      </c>
      <c r="J47" s="13">
        <f t="shared" si="4"/>
        <v>31.80717761363637</v>
      </c>
      <c r="K47" s="176"/>
      <c r="L47" s="134"/>
      <c r="M47" s="13"/>
      <c r="N47" s="13">
        <f t="shared" si="12"/>
        <v>31.80717761363637</v>
      </c>
      <c r="O47" s="299">
        <f>'Multa INSS'!O71</f>
        <v>35.33</v>
      </c>
      <c r="P47" s="240">
        <f t="shared" si="6"/>
        <v>11.237475850897729</v>
      </c>
      <c r="Q47" s="13">
        <f t="shared" si="13"/>
        <v>31.80717761363637</v>
      </c>
      <c r="R47" s="281">
        <v>0.2</v>
      </c>
      <c r="S47" s="240">
        <f t="shared" si="14"/>
        <v>6.3614355227272741</v>
      </c>
      <c r="T47" s="13">
        <f t="shared" si="15"/>
        <v>353.45530681818167</v>
      </c>
      <c r="U47" s="13">
        <f t="shared" si="16"/>
        <v>74.225614431818144</v>
      </c>
      <c r="V47" s="280">
        <f t="shared" si="17"/>
        <v>35.33</v>
      </c>
      <c r="W47" s="240">
        <f t="shared" si="8"/>
        <v>26.223909578761351</v>
      </c>
      <c r="X47" s="13">
        <f t="shared" si="9"/>
        <v>74.225614431818144</v>
      </c>
      <c r="Y47" s="281">
        <f t="shared" si="10"/>
        <v>0.2</v>
      </c>
      <c r="Z47" s="240">
        <f t="shared" si="11"/>
        <v>14.84512288636363</v>
      </c>
    </row>
    <row r="48" spans="1:26" s="130" customFormat="1" ht="18" x14ac:dyDescent="0.2">
      <c r="A48" s="196" t="s">
        <v>138</v>
      </c>
      <c r="B48" s="13">
        <v>1018.81</v>
      </c>
      <c r="C48" s="13"/>
      <c r="D48" s="13">
        <f>'Anexo 4 HE'!S48</f>
        <v>271.97578125000007</v>
      </c>
      <c r="E48" s="13">
        <f t="shared" si="0"/>
        <v>271.97578125000007</v>
      </c>
      <c r="F48" s="13">
        <f t="shared" si="1"/>
        <v>1290.7857812500001</v>
      </c>
      <c r="G48" s="188">
        <v>0.09</v>
      </c>
      <c r="H48" s="13">
        <f t="shared" si="3"/>
        <v>116.17072031250001</v>
      </c>
      <c r="I48" s="13">
        <v>91.69</v>
      </c>
      <c r="J48" s="13">
        <f t="shared" si="4"/>
        <v>24.480720312500011</v>
      </c>
      <c r="K48" s="176"/>
      <c r="L48" s="134"/>
      <c r="M48" s="13"/>
      <c r="N48" s="13">
        <f t="shared" si="12"/>
        <v>24.480720312500011</v>
      </c>
      <c r="O48" s="299">
        <f>O47</f>
        <v>35.33</v>
      </c>
      <c r="P48" s="240">
        <f t="shared" si="6"/>
        <v>8.6490384864062548</v>
      </c>
      <c r="Q48" s="13">
        <f t="shared" si="13"/>
        <v>24.480720312500011</v>
      </c>
      <c r="R48" s="281">
        <v>0.2</v>
      </c>
      <c r="S48" s="240">
        <f t="shared" si="14"/>
        <v>4.896144062500003</v>
      </c>
      <c r="T48" s="13">
        <f t="shared" si="15"/>
        <v>271.97578125000007</v>
      </c>
      <c r="U48" s="13">
        <f t="shared" si="16"/>
        <v>57.114914062500013</v>
      </c>
      <c r="V48" s="280">
        <f t="shared" si="17"/>
        <v>35.33</v>
      </c>
      <c r="W48" s="240">
        <f t="shared" si="8"/>
        <v>20.178699138281253</v>
      </c>
      <c r="X48" s="13">
        <f t="shared" si="9"/>
        <v>57.114914062500013</v>
      </c>
      <c r="Y48" s="281">
        <f t="shared" si="10"/>
        <v>0.2</v>
      </c>
      <c r="Z48" s="240">
        <f t="shared" si="11"/>
        <v>11.422982812500003</v>
      </c>
    </row>
    <row r="49" spans="1:26" s="130" customFormat="1" ht="11.25" x14ac:dyDescent="0.2">
      <c r="A49" s="27">
        <v>40179</v>
      </c>
      <c r="B49" s="13">
        <v>1249.74</v>
      </c>
      <c r="C49" s="13"/>
      <c r="D49" s="13">
        <f>'Anexo 4 HE'!S49</f>
        <v>340.88727272727283</v>
      </c>
      <c r="E49" s="13">
        <f t="shared" si="0"/>
        <v>340.88727272727283</v>
      </c>
      <c r="F49" s="13">
        <f t="shared" si="1"/>
        <v>1590.6272727272728</v>
      </c>
      <c r="G49" s="188">
        <v>0.09</v>
      </c>
      <c r="H49" s="13">
        <f t="shared" si="3"/>
        <v>143.15645454545455</v>
      </c>
      <c r="I49" s="13">
        <v>112.48</v>
      </c>
      <c r="J49" s="13">
        <f t="shared" si="4"/>
        <v>30.676454545454547</v>
      </c>
      <c r="K49" s="176"/>
      <c r="L49" s="134"/>
      <c r="M49" s="13"/>
      <c r="N49" s="13">
        <f t="shared" si="12"/>
        <v>30.676454545454547</v>
      </c>
      <c r="O49" s="299">
        <f>'Multa INSS'!Q12</f>
        <v>34.74</v>
      </c>
      <c r="P49" s="240">
        <f t="shared" si="6"/>
        <v>10.657000309090911</v>
      </c>
      <c r="Q49" s="13">
        <f t="shared" si="13"/>
        <v>30.676454545454547</v>
      </c>
      <c r="R49" s="281">
        <v>0.2</v>
      </c>
      <c r="S49" s="240">
        <f t="shared" si="14"/>
        <v>6.1352909090909096</v>
      </c>
      <c r="T49" s="13">
        <f t="shared" si="15"/>
        <v>340.88727272727283</v>
      </c>
      <c r="U49" s="13">
        <f t="shared" si="16"/>
        <v>71.586327272727289</v>
      </c>
      <c r="V49" s="280">
        <f t="shared" si="17"/>
        <v>34.74</v>
      </c>
      <c r="W49" s="240">
        <f t="shared" si="8"/>
        <v>24.869090094545463</v>
      </c>
      <c r="X49" s="13">
        <f t="shared" si="9"/>
        <v>71.586327272727289</v>
      </c>
      <c r="Y49" s="281">
        <f t="shared" si="10"/>
        <v>0.2</v>
      </c>
      <c r="Z49" s="240">
        <f t="shared" si="11"/>
        <v>14.317265454545458</v>
      </c>
    </row>
    <row r="50" spans="1:26" s="130" customFormat="1" ht="11.25" x14ac:dyDescent="0.2">
      <c r="A50" s="27">
        <v>40210</v>
      </c>
      <c r="B50" s="13">
        <v>1012.5</v>
      </c>
      <c r="C50" s="13"/>
      <c r="D50" s="13">
        <f>'Anexo 4 HE'!S50</f>
        <v>348.04387351778661</v>
      </c>
      <c r="E50" s="13">
        <f t="shared" si="0"/>
        <v>348.04387351778661</v>
      </c>
      <c r="F50" s="13">
        <f t="shared" si="1"/>
        <v>1360.5438735177866</v>
      </c>
      <c r="G50" s="188">
        <v>0.09</v>
      </c>
      <c r="H50" s="13">
        <f t="shared" si="3"/>
        <v>122.44894861660079</v>
      </c>
      <c r="I50" s="13">
        <v>81</v>
      </c>
      <c r="J50" s="13">
        <f t="shared" si="4"/>
        <v>41.448948616600788</v>
      </c>
      <c r="K50" s="176"/>
      <c r="L50" s="134"/>
      <c r="M50" s="13"/>
      <c r="N50" s="13">
        <f t="shared" si="12"/>
        <v>41.448948616600788</v>
      </c>
      <c r="O50" s="299">
        <f>'Multa INSS'!Q13</f>
        <v>33.979999999999997</v>
      </c>
      <c r="P50" s="240">
        <f t="shared" si="6"/>
        <v>14.084352739920947</v>
      </c>
      <c r="Q50" s="13">
        <f t="shared" si="13"/>
        <v>41.448948616600788</v>
      </c>
      <c r="R50" s="281">
        <v>0.2</v>
      </c>
      <c r="S50" s="240">
        <f t="shared" si="14"/>
        <v>8.2897897233201583</v>
      </c>
      <c r="T50" s="13">
        <f t="shared" si="15"/>
        <v>348.04387351778661</v>
      </c>
      <c r="U50" s="13">
        <f t="shared" si="16"/>
        <v>73.089213438735186</v>
      </c>
      <c r="V50" s="280">
        <f t="shared" si="17"/>
        <v>33.979999999999997</v>
      </c>
      <c r="W50" s="240">
        <f t="shared" si="8"/>
        <v>24.835714726482216</v>
      </c>
      <c r="X50" s="13">
        <f t="shared" si="9"/>
        <v>73.089213438735186</v>
      </c>
      <c r="Y50" s="281">
        <f t="shared" si="10"/>
        <v>0.2</v>
      </c>
      <c r="Z50" s="240">
        <f t="shared" si="11"/>
        <v>14.617842687747038</v>
      </c>
    </row>
    <row r="51" spans="1:26" s="130" customFormat="1" ht="11.25" x14ac:dyDescent="0.2">
      <c r="A51" s="27">
        <v>40238</v>
      </c>
      <c r="B51" s="13">
        <v>1012.5</v>
      </c>
      <c r="C51" s="13"/>
      <c r="D51" s="13">
        <f>'Anexo 4 HE'!S51</f>
        <v>281.81818181818187</v>
      </c>
      <c r="E51" s="13">
        <f t="shared" si="0"/>
        <v>281.81818181818187</v>
      </c>
      <c r="F51" s="13">
        <f t="shared" si="1"/>
        <v>1294.318181818182</v>
      </c>
      <c r="G51" s="188">
        <v>0.09</v>
      </c>
      <c r="H51" s="13">
        <f t="shared" si="3"/>
        <v>116.48863636363637</v>
      </c>
      <c r="I51" s="13">
        <v>80.849999999999994</v>
      </c>
      <c r="J51" s="13">
        <f t="shared" si="4"/>
        <v>35.63863636363638</v>
      </c>
      <c r="K51" s="176"/>
      <c r="L51" s="134"/>
      <c r="M51" s="13"/>
      <c r="N51" s="13">
        <f t="shared" si="12"/>
        <v>35.63863636363638</v>
      </c>
      <c r="O51" s="299">
        <f>'Multa INSS'!Q14</f>
        <v>33.31</v>
      </c>
      <c r="P51" s="240">
        <f t="shared" si="6"/>
        <v>11.871229772727279</v>
      </c>
      <c r="Q51" s="13">
        <f t="shared" si="13"/>
        <v>35.63863636363638</v>
      </c>
      <c r="R51" s="281">
        <v>0.2</v>
      </c>
      <c r="S51" s="240">
        <f t="shared" si="14"/>
        <v>7.1277272727272765</v>
      </c>
      <c r="T51" s="13">
        <f t="shared" si="15"/>
        <v>281.81818181818187</v>
      </c>
      <c r="U51" s="13">
        <f t="shared" si="16"/>
        <v>59.181818181818187</v>
      </c>
      <c r="V51" s="280">
        <f t="shared" si="17"/>
        <v>33.31</v>
      </c>
      <c r="W51" s="240">
        <f t="shared" si="8"/>
        <v>19.713463636363638</v>
      </c>
      <c r="X51" s="13">
        <f t="shared" si="9"/>
        <v>59.181818181818187</v>
      </c>
      <c r="Y51" s="281">
        <f t="shared" si="10"/>
        <v>0.2</v>
      </c>
      <c r="Z51" s="240">
        <f t="shared" si="11"/>
        <v>11.836363636363638</v>
      </c>
    </row>
    <row r="52" spans="1:26" s="130" customFormat="1" ht="11.25" x14ac:dyDescent="0.2">
      <c r="A52" s="27">
        <v>40269</v>
      </c>
      <c r="B52" s="13">
        <v>1012.5</v>
      </c>
      <c r="C52" s="13"/>
      <c r="D52" s="13">
        <f>'Anexo 4 HE'!S52</f>
        <v>573.33296638257582</v>
      </c>
      <c r="E52" s="13">
        <f t="shared" si="0"/>
        <v>573.33296638257582</v>
      </c>
      <c r="F52" s="13">
        <f t="shared" si="1"/>
        <v>1585.8329663825757</v>
      </c>
      <c r="G52" s="188">
        <v>0.09</v>
      </c>
      <c r="H52" s="13">
        <f t="shared" si="3"/>
        <v>142.72496697443179</v>
      </c>
      <c r="I52" s="13">
        <v>81</v>
      </c>
      <c r="J52" s="13">
        <f t="shared" si="4"/>
        <v>61.724966974431794</v>
      </c>
      <c r="K52" s="176"/>
      <c r="L52" s="134"/>
      <c r="M52" s="13"/>
      <c r="N52" s="13">
        <f t="shared" si="12"/>
        <v>61.724966974431794</v>
      </c>
      <c r="O52" s="299">
        <f>'Multa INSS'!Q15</f>
        <v>32.56</v>
      </c>
      <c r="P52" s="240">
        <f t="shared" si="6"/>
        <v>20.097649246874994</v>
      </c>
      <c r="Q52" s="13">
        <f t="shared" si="13"/>
        <v>61.724966974431794</v>
      </c>
      <c r="R52" s="281">
        <v>0.2</v>
      </c>
      <c r="S52" s="240">
        <f t="shared" si="14"/>
        <v>12.344993394886359</v>
      </c>
      <c r="T52" s="13">
        <f t="shared" si="15"/>
        <v>573.33296638257582</v>
      </c>
      <c r="U52" s="13">
        <f t="shared" si="16"/>
        <v>120.39992294034091</v>
      </c>
      <c r="V52" s="280">
        <f t="shared" si="17"/>
        <v>32.56</v>
      </c>
      <c r="W52" s="240">
        <f t="shared" si="8"/>
        <v>39.202214909375002</v>
      </c>
      <c r="X52" s="13">
        <f t="shared" si="9"/>
        <v>120.39992294034091</v>
      </c>
      <c r="Y52" s="281">
        <f t="shared" si="10"/>
        <v>0.2</v>
      </c>
      <c r="Z52" s="240">
        <f t="shared" si="11"/>
        <v>24.079984588068186</v>
      </c>
    </row>
    <row r="53" spans="1:26" s="130" customFormat="1" ht="11.25" x14ac:dyDescent="0.2">
      <c r="A53" s="27">
        <v>40299</v>
      </c>
      <c r="B53" s="13">
        <v>1012.5</v>
      </c>
      <c r="C53" s="13"/>
      <c r="D53" s="13">
        <f>'Anexo 4 HE'!S53</f>
        <v>455.38738810909081</v>
      </c>
      <c r="E53" s="13">
        <f t="shared" si="0"/>
        <v>455.38738810909081</v>
      </c>
      <c r="F53" s="13">
        <f t="shared" si="1"/>
        <v>1467.8873881090908</v>
      </c>
      <c r="G53" s="188">
        <v>0.09</v>
      </c>
      <c r="H53" s="13">
        <f t="shared" si="3"/>
        <v>132.10986492981817</v>
      </c>
      <c r="I53" s="13">
        <v>81</v>
      </c>
      <c r="J53" s="13">
        <f t="shared" si="4"/>
        <v>51.109864929818173</v>
      </c>
      <c r="K53" s="176"/>
      <c r="L53" s="134"/>
      <c r="M53" s="13"/>
      <c r="N53" s="13">
        <f t="shared" si="12"/>
        <v>51.109864929818173</v>
      </c>
      <c r="O53" s="299">
        <f>'Multa INSS'!Q16</f>
        <v>31.77</v>
      </c>
      <c r="P53" s="240">
        <f t="shared" si="6"/>
        <v>16.237604088203234</v>
      </c>
      <c r="Q53" s="13">
        <f t="shared" si="13"/>
        <v>51.109864929818173</v>
      </c>
      <c r="R53" s="281">
        <v>0.2</v>
      </c>
      <c r="S53" s="240">
        <f t="shared" si="14"/>
        <v>10.221972985963635</v>
      </c>
      <c r="T53" s="13">
        <f t="shared" si="15"/>
        <v>455.38738810909081</v>
      </c>
      <c r="U53" s="13">
        <f t="shared" si="16"/>
        <v>95.631351502909069</v>
      </c>
      <c r="V53" s="280">
        <f t="shared" si="17"/>
        <v>31.77</v>
      </c>
      <c r="W53" s="240">
        <f t="shared" si="8"/>
        <v>30.38208037247421</v>
      </c>
      <c r="X53" s="13">
        <f t="shared" si="9"/>
        <v>95.631351502909069</v>
      </c>
      <c r="Y53" s="281">
        <f t="shared" si="10"/>
        <v>0.2</v>
      </c>
      <c r="Z53" s="240">
        <f t="shared" si="11"/>
        <v>19.126270300581815</v>
      </c>
    </row>
    <row r="54" spans="1:26" s="130" customFormat="1" ht="11.25" x14ac:dyDescent="0.2">
      <c r="A54" s="27">
        <v>40330</v>
      </c>
      <c r="B54" s="13">
        <v>565.64</v>
      </c>
      <c r="C54" s="13">
        <f>'Anexo 3 Dif Sal'!F13</f>
        <v>0</v>
      </c>
      <c r="D54" s="13">
        <f>'Anexo 4 HE'!S54</f>
        <v>272.17188799999991</v>
      </c>
      <c r="E54" s="13">
        <f t="shared" si="0"/>
        <v>272.17188799999991</v>
      </c>
      <c r="F54" s="13">
        <f t="shared" si="1"/>
        <v>837.81188799999995</v>
      </c>
      <c r="G54" s="188">
        <v>0.08</v>
      </c>
      <c r="H54" s="13">
        <f t="shared" si="3"/>
        <v>67.024951039999991</v>
      </c>
      <c r="I54" s="13">
        <v>89.3</v>
      </c>
      <c r="J54" s="13">
        <v>0</v>
      </c>
      <c r="K54" s="176"/>
      <c r="L54" s="134"/>
      <c r="M54" s="13"/>
      <c r="N54" s="13">
        <f t="shared" si="12"/>
        <v>0</v>
      </c>
      <c r="O54" s="299">
        <f>'Multa INSS'!Q17</f>
        <v>30.91</v>
      </c>
      <c r="P54" s="240">
        <f t="shared" si="6"/>
        <v>0</v>
      </c>
      <c r="Q54" s="13">
        <f t="shared" si="13"/>
        <v>0</v>
      </c>
      <c r="R54" s="281">
        <v>0.2</v>
      </c>
      <c r="S54" s="240">
        <f t="shared" si="14"/>
        <v>0</v>
      </c>
      <c r="T54" s="13">
        <f t="shared" si="15"/>
        <v>272.17188799999991</v>
      </c>
      <c r="U54" s="13">
        <f t="shared" si="16"/>
        <v>57.156096479999981</v>
      </c>
      <c r="V54" s="280">
        <f t="shared" si="17"/>
        <v>30.91</v>
      </c>
      <c r="W54" s="240">
        <f t="shared" si="8"/>
        <v>17.666949421967992</v>
      </c>
      <c r="X54" s="13">
        <f t="shared" si="9"/>
        <v>57.156096479999981</v>
      </c>
      <c r="Y54" s="281">
        <f t="shared" si="10"/>
        <v>0.2</v>
      </c>
      <c r="Z54" s="240">
        <f t="shared" si="11"/>
        <v>11.431219295999997</v>
      </c>
    </row>
    <row r="55" spans="1:26" s="130" customFormat="1" ht="11.25" customHeight="1" x14ac:dyDescent="0.2">
      <c r="A55" s="247" t="s">
        <v>211</v>
      </c>
      <c r="B55" s="13">
        <v>1354.21</v>
      </c>
      <c r="C55" s="13">
        <v>0</v>
      </c>
      <c r="D55" s="13">
        <f>'Anexo 4 HE'!S55</f>
        <v>0</v>
      </c>
      <c r="E55" s="13">
        <f t="shared" si="0"/>
        <v>0</v>
      </c>
      <c r="F55" s="13">
        <f t="shared" si="1"/>
        <v>1354.21</v>
      </c>
      <c r="G55" s="188">
        <v>0.11</v>
      </c>
      <c r="H55" s="13">
        <f t="shared" si="3"/>
        <v>148.9631</v>
      </c>
      <c r="I55" s="13">
        <v>121.88000000000001</v>
      </c>
      <c r="J55" s="13">
        <f t="shared" si="4"/>
        <v>27.083099999999988</v>
      </c>
      <c r="K55" s="176"/>
      <c r="L55" s="134"/>
      <c r="M55" s="13"/>
      <c r="N55" s="13">
        <f t="shared" si="12"/>
        <v>27.083099999999988</v>
      </c>
      <c r="O55" s="299">
        <f>O54</f>
        <v>30.91</v>
      </c>
      <c r="P55" s="240">
        <f t="shared" si="6"/>
        <v>8.3713862099999954</v>
      </c>
      <c r="Q55" s="13">
        <f t="shared" si="13"/>
        <v>27.083099999999988</v>
      </c>
      <c r="R55" s="281">
        <v>0.2</v>
      </c>
      <c r="S55" s="240">
        <f t="shared" si="14"/>
        <v>5.4166199999999982</v>
      </c>
      <c r="T55" s="13">
        <f t="shared" si="15"/>
        <v>0</v>
      </c>
      <c r="U55" s="13">
        <f t="shared" si="16"/>
        <v>0</v>
      </c>
      <c r="V55" s="280">
        <f t="shared" si="17"/>
        <v>30.91</v>
      </c>
      <c r="W55" s="240">
        <f t="shared" si="8"/>
        <v>0</v>
      </c>
      <c r="X55" s="13">
        <f t="shared" si="9"/>
        <v>0</v>
      </c>
      <c r="Y55" s="281">
        <f t="shared" si="10"/>
        <v>0.2</v>
      </c>
      <c r="Z55" s="240">
        <f t="shared" si="11"/>
        <v>0</v>
      </c>
    </row>
    <row r="56" spans="1:26" s="130" customFormat="1" ht="11.25" x14ac:dyDescent="0.2">
      <c r="A56" s="27">
        <v>40360</v>
      </c>
      <c r="B56" s="13">
        <v>1038.82</v>
      </c>
      <c r="C56" s="13">
        <f>'Anexo 3 Dif Sal'!F14</f>
        <v>77.911800000000085</v>
      </c>
      <c r="D56" s="13">
        <f>'Anexo 4 HE'!S56</f>
        <v>325.62580986767688</v>
      </c>
      <c r="E56" s="13">
        <f t="shared" si="0"/>
        <v>403.53760986767696</v>
      </c>
      <c r="F56" s="13">
        <f t="shared" si="1"/>
        <v>1442.357609867677</v>
      </c>
      <c r="G56" s="188">
        <v>0.09</v>
      </c>
      <c r="H56" s="13">
        <f t="shared" si="3"/>
        <v>129.81218488809091</v>
      </c>
      <c r="I56" s="13">
        <v>83.11</v>
      </c>
      <c r="J56" s="13">
        <f t="shared" si="4"/>
        <v>46.702184888090912</v>
      </c>
      <c r="K56" s="176"/>
      <c r="L56" s="134"/>
      <c r="M56" s="13"/>
      <c r="N56" s="13">
        <f t="shared" si="12"/>
        <v>46.702184888090912</v>
      </c>
      <c r="O56" s="299">
        <f>'Multa INSS'!Q18</f>
        <v>30.02</v>
      </c>
      <c r="P56" s="240">
        <f t="shared" si="6"/>
        <v>14.019995903404892</v>
      </c>
      <c r="Q56" s="13">
        <f t="shared" si="13"/>
        <v>46.702184888090912</v>
      </c>
      <c r="R56" s="281">
        <v>0.2</v>
      </c>
      <c r="S56" s="240">
        <f t="shared" si="14"/>
        <v>9.3404369776181824</v>
      </c>
      <c r="T56" s="13">
        <f t="shared" si="15"/>
        <v>403.53760986767696</v>
      </c>
      <c r="U56" s="13">
        <f t="shared" si="16"/>
        <v>84.742898072212157</v>
      </c>
      <c r="V56" s="280">
        <f t="shared" si="17"/>
        <v>30.02</v>
      </c>
      <c r="W56" s="240">
        <f t="shared" si="8"/>
        <v>25.439818001278091</v>
      </c>
      <c r="X56" s="13">
        <f t="shared" si="9"/>
        <v>84.742898072212157</v>
      </c>
      <c r="Y56" s="281">
        <f t="shared" si="10"/>
        <v>0.2</v>
      </c>
      <c r="Z56" s="240">
        <f t="shared" si="11"/>
        <v>16.948579614442433</v>
      </c>
    </row>
    <row r="57" spans="1:26" s="130" customFormat="1" ht="11.25" x14ac:dyDescent="0.2">
      <c r="A57" s="27">
        <v>40391</v>
      </c>
      <c r="B57" s="13">
        <v>1321.8</v>
      </c>
      <c r="C57" s="13">
        <f>'Anexo 3 Dif Sal'!F15</f>
        <v>77.911800000000085</v>
      </c>
      <c r="D57" s="13">
        <f>'Anexo 4 HE'!S57</f>
        <v>525.55237756322856</v>
      </c>
      <c r="E57" s="13">
        <f t="shared" si="0"/>
        <v>603.46417756322865</v>
      </c>
      <c r="F57" s="13">
        <f t="shared" si="1"/>
        <v>1925.2641775632287</v>
      </c>
      <c r="G57" s="188">
        <v>0.11</v>
      </c>
      <c r="H57" s="13">
        <f t="shared" si="3"/>
        <v>211.77905953195517</v>
      </c>
      <c r="I57" s="13">
        <v>118.96</v>
      </c>
      <c r="J57" s="13">
        <f t="shared" si="4"/>
        <v>92.819059531955176</v>
      </c>
      <c r="K57" s="176"/>
      <c r="L57" s="134"/>
      <c r="M57" s="13"/>
      <c r="N57" s="13">
        <f t="shared" si="12"/>
        <v>92.819059531955176</v>
      </c>
      <c r="O57" s="299">
        <f>'Multa INSS'!Q19</f>
        <v>29.17</v>
      </c>
      <c r="P57" s="240">
        <f t="shared" si="6"/>
        <v>27.075319665471326</v>
      </c>
      <c r="Q57" s="13">
        <f t="shared" si="13"/>
        <v>92.819059531955176</v>
      </c>
      <c r="R57" s="281">
        <v>0.2</v>
      </c>
      <c r="S57" s="240">
        <f t="shared" si="14"/>
        <v>18.563811906391035</v>
      </c>
      <c r="T57" s="13">
        <f t="shared" si="15"/>
        <v>603.46417756322865</v>
      </c>
      <c r="U57" s="13">
        <f t="shared" si="16"/>
        <v>126.72747728827801</v>
      </c>
      <c r="V57" s="280">
        <f t="shared" si="17"/>
        <v>29.17</v>
      </c>
      <c r="W57" s="240">
        <f t="shared" si="8"/>
        <v>36.9664051249907</v>
      </c>
      <c r="X57" s="13">
        <f t="shared" si="9"/>
        <v>126.72747728827801</v>
      </c>
      <c r="Y57" s="281">
        <f t="shared" si="10"/>
        <v>0.2</v>
      </c>
      <c r="Z57" s="240">
        <f t="shared" si="11"/>
        <v>25.345495457655602</v>
      </c>
    </row>
    <row r="58" spans="1:26" s="130" customFormat="1" ht="11.25" x14ac:dyDescent="0.2">
      <c r="A58" s="27">
        <v>40422</v>
      </c>
      <c r="B58" s="13">
        <v>1525.77</v>
      </c>
      <c r="C58" s="13">
        <f>'Anexo 3 Dif Sal'!F16</f>
        <v>77.911800000000085</v>
      </c>
      <c r="D58" s="13">
        <f>'Anexo 4 HE'!S58</f>
        <v>491.23956531272745</v>
      </c>
      <c r="E58" s="13">
        <f t="shared" si="0"/>
        <v>569.15136531272753</v>
      </c>
      <c r="F58" s="13">
        <f t="shared" si="1"/>
        <v>2094.9213653127276</v>
      </c>
      <c r="G58" s="188">
        <v>0.11</v>
      </c>
      <c r="H58" s="13">
        <f t="shared" si="3"/>
        <v>230.44135018440005</v>
      </c>
      <c r="I58" s="13">
        <v>137.32</v>
      </c>
      <c r="J58" s="13">
        <f t="shared" si="4"/>
        <v>93.121350184400058</v>
      </c>
      <c r="K58" s="176"/>
      <c r="L58" s="134"/>
      <c r="M58" s="13"/>
      <c r="N58" s="13">
        <f t="shared" si="12"/>
        <v>93.121350184400058</v>
      </c>
      <c r="O58" s="299">
        <f>'Multa INSS'!Q20</f>
        <v>28.36</v>
      </c>
      <c r="P58" s="240">
        <f t="shared" si="6"/>
        <v>26.409214912295859</v>
      </c>
      <c r="Q58" s="13">
        <f t="shared" si="13"/>
        <v>93.121350184400058</v>
      </c>
      <c r="R58" s="281">
        <v>0.2</v>
      </c>
      <c r="S58" s="240">
        <f t="shared" si="14"/>
        <v>18.624270036880013</v>
      </c>
      <c r="T58" s="13">
        <f t="shared" si="15"/>
        <v>569.15136531272753</v>
      </c>
      <c r="U58" s="13">
        <f t="shared" si="16"/>
        <v>119.52178671567277</v>
      </c>
      <c r="V58" s="280">
        <f t="shared" si="17"/>
        <v>28.36</v>
      </c>
      <c r="W58" s="240">
        <f t="shared" si="8"/>
        <v>33.896378712564804</v>
      </c>
      <c r="X58" s="13">
        <f t="shared" si="9"/>
        <v>119.52178671567277</v>
      </c>
      <c r="Y58" s="281">
        <f t="shared" si="10"/>
        <v>0.2</v>
      </c>
      <c r="Z58" s="240">
        <f t="shared" si="11"/>
        <v>23.904357343134556</v>
      </c>
    </row>
    <row r="59" spans="1:26" s="130" customFormat="1" ht="11.25" x14ac:dyDescent="0.2">
      <c r="A59" s="27">
        <v>40452</v>
      </c>
      <c r="B59" s="13">
        <v>1298.53</v>
      </c>
      <c r="C59" s="13">
        <f>'Anexo 3 Dif Sal'!F17</f>
        <v>77.911800000000085</v>
      </c>
      <c r="D59" s="13">
        <f>'Anexo 4 HE'!S59</f>
        <v>456.38472210812137</v>
      </c>
      <c r="E59" s="13">
        <f t="shared" si="0"/>
        <v>534.29652210812151</v>
      </c>
      <c r="F59" s="13">
        <f t="shared" si="1"/>
        <v>1832.8265221081215</v>
      </c>
      <c r="G59" s="188">
        <v>0.11</v>
      </c>
      <c r="H59" s="13">
        <f t="shared" si="3"/>
        <v>201.61091743189337</v>
      </c>
      <c r="I59" s="13">
        <v>116.87</v>
      </c>
      <c r="J59" s="13">
        <f t="shared" si="4"/>
        <v>84.740917431893365</v>
      </c>
      <c r="K59" s="176"/>
      <c r="L59" s="134"/>
      <c r="M59" s="13"/>
      <c r="N59" s="13">
        <f t="shared" si="12"/>
        <v>84.740917431893365</v>
      </c>
      <c r="O59" s="299">
        <f>'Multa INSS'!Q21</f>
        <v>27.55</v>
      </c>
      <c r="P59" s="240">
        <f t="shared" si="6"/>
        <v>23.346122752486625</v>
      </c>
      <c r="Q59" s="13">
        <f t="shared" si="13"/>
        <v>84.740917431893365</v>
      </c>
      <c r="R59" s="281">
        <v>0.2</v>
      </c>
      <c r="S59" s="240">
        <f t="shared" si="14"/>
        <v>16.948183486378674</v>
      </c>
      <c r="T59" s="13">
        <f t="shared" si="15"/>
        <v>534.29652210812151</v>
      </c>
      <c r="U59" s="13">
        <f t="shared" si="16"/>
        <v>112.20226964270552</v>
      </c>
      <c r="V59" s="280">
        <f t="shared" si="17"/>
        <v>27.55</v>
      </c>
      <c r="W59" s="240">
        <f t="shared" si="8"/>
        <v>30.911725286565371</v>
      </c>
      <c r="X59" s="13">
        <f t="shared" si="9"/>
        <v>112.20226964270552</v>
      </c>
      <c r="Y59" s="281">
        <f t="shared" si="10"/>
        <v>0.2</v>
      </c>
      <c r="Z59" s="240">
        <f t="shared" si="11"/>
        <v>22.440453928541103</v>
      </c>
    </row>
    <row r="60" spans="1:26" s="130" customFormat="1" ht="11.25" x14ac:dyDescent="0.2">
      <c r="A60" s="27">
        <v>40483</v>
      </c>
      <c r="B60" s="13">
        <v>1544.67</v>
      </c>
      <c r="C60" s="13">
        <f>'Anexo 3 Dif Sal'!F18</f>
        <v>9.0918000000001484</v>
      </c>
      <c r="D60" s="13">
        <f>'Anexo 4 HE'!S60</f>
        <v>493.49870255492431</v>
      </c>
      <c r="E60" s="13">
        <f t="shared" si="0"/>
        <v>502.59050255492446</v>
      </c>
      <c r="F60" s="13">
        <f t="shared" si="1"/>
        <v>2047.2605025549246</v>
      </c>
      <c r="G60" s="188">
        <v>0.11</v>
      </c>
      <c r="H60" s="13">
        <f t="shared" si="3"/>
        <v>225.19865528104171</v>
      </c>
      <c r="I60" s="13">
        <v>139.02000000000001</v>
      </c>
      <c r="J60" s="13">
        <f t="shared" si="4"/>
        <v>86.178655281041699</v>
      </c>
      <c r="K60" s="176"/>
      <c r="L60" s="134"/>
      <c r="M60" s="13"/>
      <c r="N60" s="13">
        <f t="shared" si="12"/>
        <v>86.178655281041699</v>
      </c>
      <c r="O60" s="299">
        <f>'Multa INSS'!Q22</f>
        <v>26.62</v>
      </c>
      <c r="P60" s="240">
        <f t="shared" si="6"/>
        <v>22.9407580358133</v>
      </c>
      <c r="Q60" s="13">
        <f t="shared" si="13"/>
        <v>86.178655281041699</v>
      </c>
      <c r="R60" s="281">
        <v>0.2</v>
      </c>
      <c r="S60" s="240">
        <f t="shared" si="14"/>
        <v>17.235731056208341</v>
      </c>
      <c r="T60" s="13">
        <f t="shared" si="15"/>
        <v>502.59050255492446</v>
      </c>
      <c r="U60" s="13">
        <f t="shared" si="16"/>
        <v>105.54400553653413</v>
      </c>
      <c r="V60" s="280">
        <f t="shared" si="17"/>
        <v>26.62</v>
      </c>
      <c r="W60" s="240">
        <f t="shared" si="8"/>
        <v>28.095814273825383</v>
      </c>
      <c r="X60" s="13">
        <f t="shared" si="9"/>
        <v>105.54400553653413</v>
      </c>
      <c r="Y60" s="281">
        <f t="shared" si="10"/>
        <v>0.2</v>
      </c>
      <c r="Z60" s="240">
        <f t="shared" si="11"/>
        <v>21.108801107306828</v>
      </c>
    </row>
    <row r="61" spans="1:26" s="130" customFormat="1" ht="11.25" x14ac:dyDescent="0.2">
      <c r="A61" s="27">
        <v>40513</v>
      </c>
      <c r="B61" s="13">
        <v>1714.12</v>
      </c>
      <c r="C61" s="13">
        <f>'Anexo 3 Dif Sal'!F19</f>
        <v>9.0918000000001484</v>
      </c>
      <c r="D61" s="13">
        <f>'Anexo 4 HE'!S61</f>
        <v>524.7222935567878</v>
      </c>
      <c r="E61" s="13">
        <f t="shared" si="0"/>
        <v>533.81409355678795</v>
      </c>
      <c r="F61" s="13">
        <f t="shared" si="1"/>
        <v>2247.934093556788</v>
      </c>
      <c r="G61" s="188">
        <v>0.11</v>
      </c>
      <c r="H61" s="13">
        <f t="shared" si="3"/>
        <v>247.27275029124667</v>
      </c>
      <c r="I61" s="13">
        <v>154.27000000000001</v>
      </c>
      <c r="J61" s="13">
        <f t="shared" si="4"/>
        <v>93.002750291246656</v>
      </c>
      <c r="K61" s="176"/>
      <c r="L61" s="134"/>
      <c r="M61" s="13"/>
      <c r="N61" s="13">
        <f t="shared" si="12"/>
        <v>93.002750291246656</v>
      </c>
      <c r="O61" s="299">
        <f>'Multa INSS'!Q23</f>
        <v>25.76</v>
      </c>
      <c r="P61" s="240">
        <f t="shared" si="6"/>
        <v>23.95750847502514</v>
      </c>
      <c r="Q61" s="13">
        <f t="shared" si="13"/>
        <v>93.002750291246656</v>
      </c>
      <c r="R61" s="281">
        <v>0.2</v>
      </c>
      <c r="S61" s="240">
        <f t="shared" si="14"/>
        <v>18.600550058249333</v>
      </c>
      <c r="T61" s="13">
        <f t="shared" si="15"/>
        <v>533.81409355678795</v>
      </c>
      <c r="U61" s="13">
        <f t="shared" si="16"/>
        <v>112.10095964692546</v>
      </c>
      <c r="V61" s="280">
        <f t="shared" si="17"/>
        <v>25.76</v>
      </c>
      <c r="W61" s="240">
        <f t="shared" si="8"/>
        <v>28.877207205047998</v>
      </c>
      <c r="X61" s="13">
        <f t="shared" si="9"/>
        <v>112.10095964692546</v>
      </c>
      <c r="Y61" s="281">
        <f t="shared" si="10"/>
        <v>0.2</v>
      </c>
      <c r="Z61" s="240">
        <f t="shared" si="11"/>
        <v>22.420191929385094</v>
      </c>
    </row>
    <row r="62" spans="1:26" s="130" customFormat="1" ht="18" x14ac:dyDescent="0.2">
      <c r="A62" s="196" t="s">
        <v>172</v>
      </c>
      <c r="B62" s="13">
        <v>1409.27</v>
      </c>
      <c r="C62" s="13">
        <v>0</v>
      </c>
      <c r="D62" s="13">
        <f>'Anexo 4 HE'!S62</f>
        <v>380.3515369386364</v>
      </c>
      <c r="E62" s="13">
        <f t="shared" si="0"/>
        <v>380.3515369386364</v>
      </c>
      <c r="F62" s="13">
        <f t="shared" si="1"/>
        <v>1789.6215369386364</v>
      </c>
      <c r="G62" s="188">
        <v>0.11</v>
      </c>
      <c r="H62" s="13">
        <f t="shared" si="3"/>
        <v>196.85836906325</v>
      </c>
      <c r="I62" s="13">
        <v>126.83</v>
      </c>
      <c r="J62" s="13">
        <f t="shared" si="4"/>
        <v>70.028369063249997</v>
      </c>
      <c r="K62" s="176"/>
      <c r="L62" s="134"/>
      <c r="M62" s="13"/>
      <c r="N62" s="13">
        <f t="shared" si="12"/>
        <v>70.028369063249997</v>
      </c>
      <c r="O62" s="299">
        <f>O61</f>
        <v>25.76</v>
      </c>
      <c r="P62" s="240">
        <f t="shared" si="6"/>
        <v>18.0393078706932</v>
      </c>
      <c r="Q62" s="13">
        <f t="shared" si="13"/>
        <v>70.028369063249997</v>
      </c>
      <c r="R62" s="281">
        <v>0.2</v>
      </c>
      <c r="S62" s="240">
        <f t="shared" si="14"/>
        <v>14.00567381265</v>
      </c>
      <c r="T62" s="13">
        <f t="shared" si="15"/>
        <v>380.3515369386364</v>
      </c>
      <c r="U62" s="13">
        <f t="shared" si="16"/>
        <v>79.873822757113643</v>
      </c>
      <c r="V62" s="280">
        <f t="shared" si="17"/>
        <v>25.76</v>
      </c>
      <c r="W62" s="240">
        <f t="shared" si="8"/>
        <v>20.575496742232474</v>
      </c>
      <c r="X62" s="13">
        <f t="shared" si="9"/>
        <v>79.873822757113643</v>
      </c>
      <c r="Y62" s="281">
        <f t="shared" si="10"/>
        <v>0.2</v>
      </c>
      <c r="Z62" s="240">
        <f t="shared" si="11"/>
        <v>15.97476455142273</v>
      </c>
    </row>
    <row r="63" spans="1:26" s="130" customFormat="1" ht="11.25" x14ac:dyDescent="0.2">
      <c r="A63" s="27">
        <v>40544</v>
      </c>
      <c r="B63" s="13">
        <v>1367.35</v>
      </c>
      <c r="C63" s="13">
        <f>'Anexo 3 Dif Sal'!F20</f>
        <v>9.0918000000001484</v>
      </c>
      <c r="D63" s="13">
        <f>'Anexo 4 HE'!S63</f>
        <v>480.95212272024241</v>
      </c>
      <c r="E63" s="13">
        <f t="shared" si="0"/>
        <v>490.04392272024256</v>
      </c>
      <c r="F63" s="13">
        <f t="shared" si="1"/>
        <v>1857.3939227202425</v>
      </c>
      <c r="G63" s="188">
        <v>0.11</v>
      </c>
      <c r="H63" s="13">
        <f t="shared" si="3"/>
        <v>204.31333149922668</v>
      </c>
      <c r="I63" s="13">
        <v>123.06</v>
      </c>
      <c r="J63" s="13">
        <f t="shared" si="4"/>
        <v>81.253331499226675</v>
      </c>
      <c r="K63" s="176"/>
      <c r="L63" s="134"/>
      <c r="M63" s="13"/>
      <c r="N63" s="13">
        <f t="shared" si="12"/>
        <v>81.253331499226675</v>
      </c>
      <c r="O63" s="299">
        <f>'Multa INSS'!Q24</f>
        <v>24.92</v>
      </c>
      <c r="P63" s="240">
        <f t="shared" si="6"/>
        <v>20.248330209607289</v>
      </c>
      <c r="Q63" s="13">
        <f t="shared" si="13"/>
        <v>81.253331499226675</v>
      </c>
      <c r="R63" s="281">
        <v>0.2</v>
      </c>
      <c r="S63" s="240">
        <f t="shared" si="14"/>
        <v>16.250666299845335</v>
      </c>
      <c r="T63" s="13">
        <f t="shared" si="15"/>
        <v>490.04392272024256</v>
      </c>
      <c r="U63" s="13">
        <f t="shared" si="16"/>
        <v>102.90922377125094</v>
      </c>
      <c r="V63" s="280">
        <f t="shared" si="17"/>
        <v>24.92</v>
      </c>
      <c r="W63" s="240">
        <f t="shared" si="8"/>
        <v>25.644978563795735</v>
      </c>
      <c r="X63" s="13">
        <f t="shared" si="9"/>
        <v>102.90922377125094</v>
      </c>
      <c r="Y63" s="281">
        <f t="shared" si="10"/>
        <v>0.2</v>
      </c>
      <c r="Z63" s="240">
        <f t="shared" si="11"/>
        <v>20.581844754250188</v>
      </c>
    </row>
    <row r="64" spans="1:26" s="130" customFormat="1" ht="11.25" x14ac:dyDescent="0.2">
      <c r="A64" s="27">
        <v>40575</v>
      </c>
      <c r="B64" s="13">
        <v>1405.29</v>
      </c>
      <c r="C64" s="13">
        <f>'Anexo 3 Dif Sal'!F21</f>
        <v>9.0918000000001484</v>
      </c>
      <c r="D64" s="13">
        <f>'Anexo 4 HE'!S64</f>
        <v>453.64591507878777</v>
      </c>
      <c r="E64" s="13">
        <f t="shared" si="0"/>
        <v>462.73771507878791</v>
      </c>
      <c r="F64" s="13">
        <f t="shared" si="1"/>
        <v>1868.0277150787879</v>
      </c>
      <c r="G64" s="188">
        <v>0.11</v>
      </c>
      <c r="H64" s="13">
        <f t="shared" si="3"/>
        <v>205.48304865866666</v>
      </c>
      <c r="I64" s="13">
        <v>126.48</v>
      </c>
      <c r="J64" s="13">
        <f t="shared" si="4"/>
        <v>79.003048658666657</v>
      </c>
      <c r="K64" s="176"/>
      <c r="L64" s="134"/>
      <c r="M64" s="13"/>
      <c r="N64" s="13">
        <f t="shared" si="12"/>
        <v>79.003048658666657</v>
      </c>
      <c r="O64" s="299">
        <f>'Multa INSS'!Q25</f>
        <v>24</v>
      </c>
      <c r="P64" s="240">
        <f t="shared" si="6"/>
        <v>18.960731678079998</v>
      </c>
      <c r="Q64" s="13">
        <f t="shared" si="13"/>
        <v>79.003048658666657</v>
      </c>
      <c r="R64" s="281">
        <v>0.2</v>
      </c>
      <c r="S64" s="240">
        <f t="shared" si="14"/>
        <v>15.800609731733331</v>
      </c>
      <c r="T64" s="13">
        <f t="shared" si="15"/>
        <v>462.73771507878791</v>
      </c>
      <c r="U64" s="13">
        <f t="shared" si="16"/>
        <v>97.174920166545462</v>
      </c>
      <c r="V64" s="280">
        <f t="shared" si="17"/>
        <v>24</v>
      </c>
      <c r="W64" s="240">
        <f t="shared" si="8"/>
        <v>23.321980839970909</v>
      </c>
      <c r="X64" s="13">
        <f t="shared" si="9"/>
        <v>97.174920166545462</v>
      </c>
      <c r="Y64" s="281">
        <f t="shared" si="10"/>
        <v>0.2</v>
      </c>
      <c r="Z64" s="240">
        <f t="shared" si="11"/>
        <v>19.434984033309092</v>
      </c>
    </row>
    <row r="65" spans="1:26" s="130" customFormat="1" ht="11.25" x14ac:dyDescent="0.2">
      <c r="A65" s="27">
        <v>40603</v>
      </c>
      <c r="B65" s="13">
        <v>1367.35</v>
      </c>
      <c r="C65" s="13">
        <f>'Anexo 3 Dif Sal'!F22</f>
        <v>9.0918000000001484</v>
      </c>
      <c r="D65" s="13">
        <f>'Anexo 4 HE'!S65</f>
        <v>518.20306554312378</v>
      </c>
      <c r="E65" s="13">
        <f t="shared" si="0"/>
        <v>527.29486554312393</v>
      </c>
      <c r="F65" s="13">
        <f t="shared" si="1"/>
        <v>1894.6448655431238</v>
      </c>
      <c r="G65" s="188">
        <v>0.11</v>
      </c>
      <c r="H65" s="13">
        <f t="shared" si="3"/>
        <v>208.41093520974363</v>
      </c>
      <c r="I65" s="13">
        <v>123.06</v>
      </c>
      <c r="J65" s="13">
        <f t="shared" si="4"/>
        <v>85.350935209743625</v>
      </c>
      <c r="K65" s="176"/>
      <c r="L65" s="134"/>
      <c r="M65" s="13"/>
      <c r="N65" s="13">
        <f t="shared" si="12"/>
        <v>85.350935209743625</v>
      </c>
      <c r="O65" s="299">
        <f>'Multa INSS'!Q26</f>
        <v>23.16</v>
      </c>
      <c r="P65" s="240">
        <f t="shared" si="6"/>
        <v>19.767276594576625</v>
      </c>
      <c r="Q65" s="13">
        <f t="shared" si="13"/>
        <v>85.350935209743625</v>
      </c>
      <c r="R65" s="281">
        <v>0.2</v>
      </c>
      <c r="S65" s="240">
        <f t="shared" si="14"/>
        <v>17.070187041948724</v>
      </c>
      <c r="T65" s="13">
        <f t="shared" si="15"/>
        <v>527.29486554312393</v>
      </c>
      <c r="U65" s="13">
        <f t="shared" si="16"/>
        <v>110.73192176405603</v>
      </c>
      <c r="V65" s="280">
        <f t="shared" si="17"/>
        <v>23.16</v>
      </c>
      <c r="W65" s="240">
        <f t="shared" si="8"/>
        <v>25.645513080555375</v>
      </c>
      <c r="X65" s="13">
        <f t="shared" si="9"/>
        <v>110.73192176405603</v>
      </c>
      <c r="Y65" s="281">
        <f t="shared" si="10"/>
        <v>0.2</v>
      </c>
      <c r="Z65" s="240">
        <f t="shared" si="11"/>
        <v>22.146384352811207</v>
      </c>
    </row>
    <row r="66" spans="1:26" s="130" customFormat="1" ht="11.25" x14ac:dyDescent="0.2">
      <c r="A66" s="27">
        <v>40634</v>
      </c>
      <c r="B66" s="13">
        <v>1459.91</v>
      </c>
      <c r="C66" s="13">
        <f>'Anexo 3 Dif Sal'!F23</f>
        <v>9.0918000000001484</v>
      </c>
      <c r="D66" s="13">
        <f>'Anexo 4 HE'!S66</f>
        <v>566.2353923750004</v>
      </c>
      <c r="E66" s="13">
        <f t="shared" si="0"/>
        <v>575.32719237500055</v>
      </c>
      <c r="F66" s="13">
        <f t="shared" si="1"/>
        <v>2035.2371923750006</v>
      </c>
      <c r="G66" s="188">
        <v>0.11</v>
      </c>
      <c r="H66" s="13">
        <f t="shared" si="3"/>
        <v>223.87609116125006</v>
      </c>
      <c r="I66" s="13">
        <v>131.38999999999999</v>
      </c>
      <c r="J66" s="13">
        <f t="shared" si="4"/>
        <v>92.486091161250073</v>
      </c>
      <c r="K66" s="176"/>
      <c r="L66" s="134"/>
      <c r="M66" s="13"/>
      <c r="N66" s="13">
        <f t="shared" si="12"/>
        <v>92.486091161250073</v>
      </c>
      <c r="O66" s="299">
        <f>'Multa INSS'!Q27</f>
        <v>22.17</v>
      </c>
      <c r="P66" s="240">
        <f t="shared" si="6"/>
        <v>20.504166410449141</v>
      </c>
      <c r="Q66" s="13">
        <f t="shared" si="13"/>
        <v>92.486091161250073</v>
      </c>
      <c r="R66" s="281">
        <v>0.2</v>
      </c>
      <c r="S66" s="240">
        <f t="shared" si="14"/>
        <v>18.497218232250017</v>
      </c>
      <c r="T66" s="13">
        <f t="shared" si="15"/>
        <v>575.32719237500055</v>
      </c>
      <c r="U66" s="13">
        <f t="shared" si="16"/>
        <v>120.81871039875011</v>
      </c>
      <c r="V66" s="280">
        <f t="shared" si="17"/>
        <v>22.17</v>
      </c>
      <c r="W66" s="240">
        <f t="shared" si="8"/>
        <v>26.7855080954029</v>
      </c>
      <c r="X66" s="13">
        <f t="shared" si="9"/>
        <v>120.81871039875011</v>
      </c>
      <c r="Y66" s="281">
        <f t="shared" si="10"/>
        <v>0.2</v>
      </c>
      <c r="Z66" s="240">
        <f t="shared" si="11"/>
        <v>24.163742079750023</v>
      </c>
    </row>
    <row r="67" spans="1:26" s="130" customFormat="1" ht="11.25" x14ac:dyDescent="0.2">
      <c r="A67" s="27">
        <v>40664</v>
      </c>
      <c r="B67" s="13">
        <v>1477.91</v>
      </c>
      <c r="C67" s="13">
        <f>'Anexo 3 Dif Sal'!F24</f>
        <v>9.0918000000001484</v>
      </c>
      <c r="D67" s="13">
        <f>'Anexo 4 HE'!S67</f>
        <v>297.96296308811208</v>
      </c>
      <c r="E67" s="13">
        <f t="shared" si="0"/>
        <v>307.05476308811222</v>
      </c>
      <c r="F67" s="13">
        <f t="shared" si="1"/>
        <v>1784.9647630881122</v>
      </c>
      <c r="G67" s="188">
        <v>0.09</v>
      </c>
      <c r="H67" s="13">
        <f t="shared" si="3"/>
        <v>160.6468286779301</v>
      </c>
      <c r="I67" s="13">
        <v>133.01</v>
      </c>
      <c r="J67" s="13">
        <f t="shared" si="4"/>
        <v>27.636828677930112</v>
      </c>
      <c r="K67" s="176"/>
      <c r="L67" s="134"/>
      <c r="M67" s="13"/>
      <c r="N67" s="13">
        <f t="shared" si="12"/>
        <v>27.636828677930112</v>
      </c>
      <c r="O67" s="299">
        <f>'Multa INSS'!Q28</f>
        <v>21.21</v>
      </c>
      <c r="P67" s="240">
        <f t="shared" si="6"/>
        <v>5.8617713625889767</v>
      </c>
      <c r="Q67" s="13">
        <f t="shared" si="13"/>
        <v>27.636828677930112</v>
      </c>
      <c r="R67" s="281">
        <v>0.2</v>
      </c>
      <c r="S67" s="240">
        <f t="shared" si="14"/>
        <v>5.5273657355860228</v>
      </c>
      <c r="T67" s="13">
        <f t="shared" si="15"/>
        <v>307.05476308811222</v>
      </c>
      <c r="U67" s="13">
        <f t="shared" si="16"/>
        <v>64.481500248503565</v>
      </c>
      <c r="V67" s="280">
        <f t="shared" si="17"/>
        <v>21.21</v>
      </c>
      <c r="W67" s="240">
        <f t="shared" si="8"/>
        <v>13.676526202707606</v>
      </c>
      <c r="X67" s="13">
        <f t="shared" si="9"/>
        <v>64.481500248503565</v>
      </c>
      <c r="Y67" s="281">
        <f t="shared" si="10"/>
        <v>0.2</v>
      </c>
      <c r="Z67" s="240">
        <f t="shared" si="11"/>
        <v>12.896300049700713</v>
      </c>
    </row>
    <row r="68" spans="1:26" s="130" customFormat="1" ht="11.25" x14ac:dyDescent="0.2">
      <c r="A68" s="27">
        <v>40695</v>
      </c>
      <c r="B68" s="13">
        <v>1491.83</v>
      </c>
      <c r="C68" s="13">
        <f>'Anexo 3 Dif Sal'!F25</f>
        <v>9.0918000000001484</v>
      </c>
      <c r="D68" s="13">
        <f>'Anexo 4 HE'!S68</f>
        <v>525.16995870363655</v>
      </c>
      <c r="E68" s="13">
        <f t="shared" si="0"/>
        <v>534.2617587036367</v>
      </c>
      <c r="F68" s="13">
        <f t="shared" si="1"/>
        <v>2026.0917587036365</v>
      </c>
      <c r="G68" s="188">
        <v>0.11</v>
      </c>
      <c r="H68" s="13">
        <f t="shared" si="3"/>
        <v>222.87009345740003</v>
      </c>
      <c r="I68" s="13">
        <v>126.16</v>
      </c>
      <c r="J68" s="13">
        <f t="shared" si="4"/>
        <v>96.710093457400035</v>
      </c>
      <c r="K68" s="176"/>
      <c r="L68" s="134"/>
      <c r="M68" s="13"/>
      <c r="N68" s="13">
        <f t="shared" si="12"/>
        <v>96.710093457400035</v>
      </c>
      <c r="O68" s="299">
        <f>'Multa INSS'!Q29</f>
        <v>20.239999999999998</v>
      </c>
      <c r="P68" s="240">
        <f t="shared" si="6"/>
        <v>19.574122915777767</v>
      </c>
      <c r="Q68" s="13">
        <f t="shared" si="13"/>
        <v>96.710093457400035</v>
      </c>
      <c r="R68" s="281">
        <v>0.2</v>
      </c>
      <c r="S68" s="240">
        <f t="shared" si="14"/>
        <v>19.342018691480007</v>
      </c>
      <c r="T68" s="13">
        <f t="shared" si="15"/>
        <v>534.2617587036367</v>
      </c>
      <c r="U68" s="13">
        <f t="shared" si="16"/>
        <v>112.1949693277637</v>
      </c>
      <c r="V68" s="280">
        <f t="shared" si="17"/>
        <v>20.239999999999998</v>
      </c>
      <c r="W68" s="240">
        <f t="shared" si="8"/>
        <v>22.708261791939371</v>
      </c>
      <c r="X68" s="13">
        <f t="shared" si="9"/>
        <v>112.1949693277637</v>
      </c>
      <c r="Y68" s="281">
        <f t="shared" si="10"/>
        <v>0.2</v>
      </c>
      <c r="Z68" s="240">
        <f t="shared" si="11"/>
        <v>22.438993865552742</v>
      </c>
    </row>
    <row r="69" spans="1:26" s="130" customFormat="1" ht="11.25" x14ac:dyDescent="0.2">
      <c r="A69" s="27">
        <v>40725</v>
      </c>
      <c r="B69" s="13">
        <v>1392.87</v>
      </c>
      <c r="C69" s="13">
        <f>'Anexo 3 Dif Sal'!F26</f>
        <v>105.44272600000022</v>
      </c>
      <c r="D69" s="13">
        <f>'Anexo 4 HE'!S69</f>
        <v>509.74743966472749</v>
      </c>
      <c r="E69" s="13">
        <f t="shared" si="0"/>
        <v>615.19016566472772</v>
      </c>
      <c r="F69" s="13">
        <f t="shared" si="1"/>
        <v>2008.0601656647277</v>
      </c>
      <c r="G69" s="188">
        <v>0.11</v>
      </c>
      <c r="H69" s="13">
        <f t="shared" si="3"/>
        <v>220.88661822312005</v>
      </c>
      <c r="I69" s="13">
        <v>125.36</v>
      </c>
      <c r="J69" s="13">
        <f t="shared" si="4"/>
        <v>95.526618223120053</v>
      </c>
      <c r="K69" s="176"/>
      <c r="L69" s="134"/>
      <c r="M69" s="13"/>
      <c r="N69" s="13">
        <f t="shared" si="12"/>
        <v>95.526618223120053</v>
      </c>
      <c r="O69" s="299">
        <f>'Multa INSS'!Q30</f>
        <v>19.170000000000002</v>
      </c>
      <c r="P69" s="240">
        <f t="shared" si="6"/>
        <v>18.312452713372114</v>
      </c>
      <c r="Q69" s="13">
        <f t="shared" si="13"/>
        <v>95.526618223120053</v>
      </c>
      <c r="R69" s="281">
        <v>0.2</v>
      </c>
      <c r="S69" s="240">
        <f t="shared" si="14"/>
        <v>19.105323644624011</v>
      </c>
      <c r="T69" s="13">
        <f t="shared" si="15"/>
        <v>615.19016566472772</v>
      </c>
      <c r="U69" s="13">
        <f t="shared" si="16"/>
        <v>129.18993478959283</v>
      </c>
      <c r="V69" s="280">
        <f t="shared" si="17"/>
        <v>19.170000000000002</v>
      </c>
      <c r="W69" s="240">
        <f t="shared" si="8"/>
        <v>24.765710499164946</v>
      </c>
      <c r="X69" s="13">
        <f t="shared" si="9"/>
        <v>129.18993478959283</v>
      </c>
      <c r="Y69" s="281">
        <f t="shared" si="10"/>
        <v>0.2</v>
      </c>
      <c r="Z69" s="240">
        <f t="shared" si="11"/>
        <v>25.837986957918567</v>
      </c>
    </row>
    <row r="70" spans="1:26" s="130" customFormat="1" ht="11.25" x14ac:dyDescent="0.2">
      <c r="A70" s="27">
        <v>40756</v>
      </c>
      <c r="B70" s="13">
        <v>1501.97</v>
      </c>
      <c r="C70" s="13">
        <f>'Anexo 3 Dif Sal'!F27</f>
        <v>105.44272600000022</v>
      </c>
      <c r="D70" s="13">
        <f>'Anexo 4 HE'!S70</f>
        <v>509.63282360203294</v>
      </c>
      <c r="E70" s="13">
        <f t="shared" si="0"/>
        <v>615.07554960203311</v>
      </c>
      <c r="F70" s="13">
        <f t="shared" si="1"/>
        <v>2117.0455496020331</v>
      </c>
      <c r="G70" s="188">
        <v>0.11</v>
      </c>
      <c r="H70" s="13">
        <f t="shared" si="3"/>
        <v>232.87501045622363</v>
      </c>
      <c r="I70" s="13">
        <v>135.18</v>
      </c>
      <c r="J70" s="13">
        <f t="shared" si="4"/>
        <v>97.695010456223628</v>
      </c>
      <c r="K70" s="176"/>
      <c r="L70" s="134"/>
      <c r="M70" s="13"/>
      <c r="N70" s="13">
        <f t="shared" si="12"/>
        <v>97.695010456223628</v>
      </c>
      <c r="O70" s="299">
        <f>'Multa INSS'!Q31</f>
        <v>18.23</v>
      </c>
      <c r="P70" s="240">
        <f t="shared" si="6"/>
        <v>17.809800406169568</v>
      </c>
      <c r="Q70" s="13">
        <f t="shared" si="13"/>
        <v>97.695010456223628</v>
      </c>
      <c r="R70" s="281">
        <v>0.2</v>
      </c>
      <c r="S70" s="240">
        <f t="shared" si="14"/>
        <v>19.539002091244726</v>
      </c>
      <c r="T70" s="13">
        <f t="shared" si="15"/>
        <v>615.07554960203311</v>
      </c>
      <c r="U70" s="13">
        <f t="shared" si="16"/>
        <v>129.16586541642695</v>
      </c>
      <c r="V70" s="280">
        <f t="shared" si="17"/>
        <v>18.23</v>
      </c>
      <c r="W70" s="240">
        <f t="shared" si="8"/>
        <v>23.546937265414638</v>
      </c>
      <c r="X70" s="13">
        <f t="shared" si="9"/>
        <v>129.16586541642695</v>
      </c>
      <c r="Y70" s="281">
        <f t="shared" si="10"/>
        <v>0.2</v>
      </c>
      <c r="Z70" s="240">
        <f t="shared" si="11"/>
        <v>25.833173083285391</v>
      </c>
    </row>
    <row r="71" spans="1:26" s="130" customFormat="1" ht="11.25" x14ac:dyDescent="0.2">
      <c r="A71" s="27">
        <v>40787</v>
      </c>
      <c r="B71" s="13">
        <v>1432</v>
      </c>
      <c r="C71" s="13">
        <f>'Anexo 3 Dif Sal'!F28</f>
        <v>105.44272600000022</v>
      </c>
      <c r="D71" s="13">
        <f>'Anexo 4 HE'!S71</f>
        <v>492.70984972160028</v>
      </c>
      <c r="E71" s="13">
        <f t="shared" si="0"/>
        <v>598.15257572160044</v>
      </c>
      <c r="F71" s="13">
        <f t="shared" si="1"/>
        <v>2030.1525757216004</v>
      </c>
      <c r="G71" s="188">
        <v>0.11</v>
      </c>
      <c r="H71" s="13">
        <f t="shared" si="3"/>
        <v>223.31678332937605</v>
      </c>
      <c r="I71" s="13">
        <v>171.86</v>
      </c>
      <c r="J71" s="13">
        <f t="shared" si="4"/>
        <v>51.456783329376037</v>
      </c>
      <c r="K71" s="176"/>
      <c r="L71" s="134"/>
      <c r="M71" s="13"/>
      <c r="N71" s="13">
        <f t="shared" si="12"/>
        <v>51.456783329376037</v>
      </c>
      <c r="O71" s="299">
        <f>'Multa INSS'!Q32</f>
        <v>17.350000000000001</v>
      </c>
      <c r="P71" s="240">
        <f t="shared" si="6"/>
        <v>8.9277519076467424</v>
      </c>
      <c r="Q71" s="13">
        <f t="shared" si="13"/>
        <v>51.456783329376037</v>
      </c>
      <c r="R71" s="281">
        <v>0.2</v>
      </c>
      <c r="S71" s="240">
        <f t="shared" si="14"/>
        <v>10.291356665875208</v>
      </c>
      <c r="T71" s="13">
        <f t="shared" si="15"/>
        <v>598.15257572160044</v>
      </c>
      <c r="U71" s="13">
        <f t="shared" si="16"/>
        <v>125.61204090153609</v>
      </c>
      <c r="V71" s="280">
        <f t="shared" si="17"/>
        <v>17.350000000000001</v>
      </c>
      <c r="W71" s="240">
        <f t="shared" si="8"/>
        <v>21.793689096416514</v>
      </c>
      <c r="X71" s="13">
        <f t="shared" si="9"/>
        <v>125.61204090153609</v>
      </c>
      <c r="Y71" s="281">
        <f t="shared" si="10"/>
        <v>0.2</v>
      </c>
      <c r="Z71" s="240">
        <f t="shared" si="11"/>
        <v>25.122408180307218</v>
      </c>
    </row>
    <row r="72" spans="1:26" s="130" customFormat="1" ht="11.25" customHeight="1" x14ac:dyDescent="0.2">
      <c r="A72" s="247" t="s">
        <v>211</v>
      </c>
      <c r="B72" s="13">
        <v>477.88000000000011</v>
      </c>
      <c r="C72" s="13">
        <v>0</v>
      </c>
      <c r="D72" s="13">
        <f>'Anexo 4 HE'!S72</f>
        <v>0</v>
      </c>
      <c r="E72" s="13">
        <f t="shared" si="0"/>
        <v>0</v>
      </c>
      <c r="F72" s="13">
        <f t="shared" si="1"/>
        <v>477.88000000000011</v>
      </c>
      <c r="G72" s="188">
        <v>0.08</v>
      </c>
      <c r="H72" s="13">
        <f t="shared" si="3"/>
        <v>38.23040000000001</v>
      </c>
      <c r="I72" s="13">
        <v>38.22999999999999</v>
      </c>
      <c r="J72" s="13">
        <f t="shared" si="4"/>
        <v>4.0000000002038405E-4</v>
      </c>
      <c r="K72" s="176"/>
      <c r="L72" s="134"/>
      <c r="M72" s="13"/>
      <c r="N72" s="13">
        <f t="shared" si="12"/>
        <v>4.0000000002038405E-4</v>
      </c>
      <c r="O72" s="299">
        <f>O71</f>
        <v>17.350000000000001</v>
      </c>
      <c r="P72" s="240">
        <f t="shared" si="6"/>
        <v>6.9400000003536633E-5</v>
      </c>
      <c r="Q72" s="13">
        <f t="shared" si="13"/>
        <v>4.0000000002038405E-4</v>
      </c>
      <c r="R72" s="281">
        <v>0.2</v>
      </c>
      <c r="S72" s="240">
        <f t="shared" si="14"/>
        <v>8.000000000407681E-5</v>
      </c>
      <c r="T72" s="13">
        <f t="shared" si="15"/>
        <v>0</v>
      </c>
      <c r="U72" s="13">
        <f t="shared" si="16"/>
        <v>0</v>
      </c>
      <c r="V72" s="280">
        <f t="shared" si="17"/>
        <v>17.350000000000001</v>
      </c>
      <c r="W72" s="240">
        <f t="shared" si="8"/>
        <v>0</v>
      </c>
      <c r="X72" s="13">
        <f t="shared" si="9"/>
        <v>0</v>
      </c>
      <c r="Y72" s="281">
        <f t="shared" si="10"/>
        <v>0.2</v>
      </c>
      <c r="Z72" s="240">
        <f t="shared" si="11"/>
        <v>0</v>
      </c>
    </row>
    <row r="73" spans="1:26" s="130" customFormat="1" ht="11.25" x14ac:dyDescent="0.2">
      <c r="A73" s="27">
        <v>40817</v>
      </c>
      <c r="B73" s="13">
        <v>1526.66</v>
      </c>
      <c r="C73" s="13">
        <f>'Anexo 3 Dif Sal'!F29</f>
        <v>37.072726000000102</v>
      </c>
      <c r="D73" s="13">
        <v>0</v>
      </c>
      <c r="E73" s="13">
        <f t="shared" si="0"/>
        <v>37.072726000000102</v>
      </c>
      <c r="F73" s="13">
        <f t="shared" si="1"/>
        <v>1563.7327260000002</v>
      </c>
      <c r="G73" s="188">
        <v>0.09</v>
      </c>
      <c r="H73" s="13">
        <f t="shared" si="3"/>
        <v>140.73594534</v>
      </c>
      <c r="I73" s="13">
        <v>137.4</v>
      </c>
      <c r="J73" s="13">
        <f t="shared" si="4"/>
        <v>3.335945339999995</v>
      </c>
      <c r="K73" s="176"/>
      <c r="L73" s="134"/>
      <c r="M73" s="13"/>
      <c r="N73" s="13">
        <f t="shared" si="12"/>
        <v>3.335945339999995</v>
      </c>
      <c r="O73" s="299">
        <f>'Multa INSS'!Q33</f>
        <v>16.489999999999998</v>
      </c>
      <c r="P73" s="240">
        <f t="shared" si="6"/>
        <v>0.55009738656599916</v>
      </c>
      <c r="Q73" s="13">
        <f t="shared" si="13"/>
        <v>3.335945339999995</v>
      </c>
      <c r="R73" s="281">
        <v>0.2</v>
      </c>
      <c r="S73" s="240">
        <f t="shared" si="14"/>
        <v>0.667189067999999</v>
      </c>
      <c r="T73" s="13">
        <f t="shared" si="15"/>
        <v>37.072726000000102</v>
      </c>
      <c r="U73" s="13">
        <f t="shared" si="16"/>
        <v>7.7852724600000212</v>
      </c>
      <c r="V73" s="280">
        <f t="shared" si="17"/>
        <v>16.489999999999998</v>
      </c>
      <c r="W73" s="240">
        <f t="shared" si="8"/>
        <v>1.2837914286540033</v>
      </c>
      <c r="X73" s="13">
        <f t="shared" si="9"/>
        <v>7.7852724600000212</v>
      </c>
      <c r="Y73" s="281">
        <f t="shared" si="10"/>
        <v>0.2</v>
      </c>
      <c r="Z73" s="240">
        <f t="shared" si="11"/>
        <v>1.5570544920000042</v>
      </c>
    </row>
    <row r="74" spans="1:26" s="130" customFormat="1" ht="11.25" x14ac:dyDescent="0.2">
      <c r="A74" s="27">
        <v>40848</v>
      </c>
      <c r="B74" s="13">
        <v>1452.64</v>
      </c>
      <c r="C74" s="13">
        <f>'Anexo 3 Dif Sal'!F30</f>
        <v>37.072726000000102</v>
      </c>
      <c r="D74" s="13">
        <f>'Anexo 4 HE'!S74</f>
        <v>333.79895341393944</v>
      </c>
      <c r="E74" s="13">
        <f t="shared" si="0"/>
        <v>370.87167941393955</v>
      </c>
      <c r="F74" s="13">
        <f t="shared" si="1"/>
        <v>1823.5116794139396</v>
      </c>
      <c r="G74" s="188">
        <v>0.09</v>
      </c>
      <c r="H74" s="13">
        <f t="shared" si="3"/>
        <v>164.11605114725455</v>
      </c>
      <c r="I74" s="13">
        <v>130.74</v>
      </c>
      <c r="J74" s="13">
        <f t="shared" si="4"/>
        <v>33.376051147254543</v>
      </c>
      <c r="K74" s="176"/>
      <c r="L74" s="134"/>
      <c r="M74" s="13"/>
      <c r="N74" s="13">
        <f t="shared" si="12"/>
        <v>33.376051147254543</v>
      </c>
      <c r="O74" s="299">
        <f>'Multa INSS'!Q34</f>
        <v>15.58</v>
      </c>
      <c r="P74" s="240">
        <f t="shared" si="6"/>
        <v>5.1999887687422577</v>
      </c>
      <c r="Q74" s="13">
        <f t="shared" si="13"/>
        <v>33.376051147254543</v>
      </c>
      <c r="R74" s="281">
        <v>0.2</v>
      </c>
      <c r="S74" s="240">
        <f t="shared" si="14"/>
        <v>6.6752102294509088</v>
      </c>
      <c r="T74" s="13">
        <f t="shared" si="15"/>
        <v>370.87167941393955</v>
      </c>
      <c r="U74" s="13">
        <f t="shared" si="16"/>
        <v>77.883052676927306</v>
      </c>
      <c r="V74" s="280">
        <f t="shared" si="17"/>
        <v>15.58</v>
      </c>
      <c r="W74" s="240">
        <f t="shared" si="8"/>
        <v>12.134179607065274</v>
      </c>
      <c r="X74" s="13">
        <f t="shared" si="9"/>
        <v>77.883052676927306</v>
      </c>
      <c r="Y74" s="281">
        <f t="shared" si="10"/>
        <v>0.2</v>
      </c>
      <c r="Z74" s="240">
        <f t="shared" si="11"/>
        <v>15.576610535385463</v>
      </c>
    </row>
    <row r="75" spans="1:26" s="130" customFormat="1" ht="11.25" x14ac:dyDescent="0.2">
      <c r="A75" s="27">
        <v>40878</v>
      </c>
      <c r="B75" s="13">
        <v>1488.31</v>
      </c>
      <c r="C75" s="13">
        <f>'Anexo 3 Dif Sal'!F31</f>
        <v>37.072726000000102</v>
      </c>
      <c r="D75" s="13">
        <f>'Anexo 4 HE'!S75</f>
        <v>386.1655199782009</v>
      </c>
      <c r="E75" s="13">
        <f t="shared" si="0"/>
        <v>423.23824597820101</v>
      </c>
      <c r="F75" s="13">
        <f t="shared" si="1"/>
        <v>1911.5482459782011</v>
      </c>
      <c r="G75" s="188">
        <v>0.11</v>
      </c>
      <c r="H75" s="13">
        <f t="shared" si="3"/>
        <v>210.27030705760211</v>
      </c>
      <c r="I75" s="13">
        <v>133.94999999999999</v>
      </c>
      <c r="J75" s="13">
        <f t="shared" si="4"/>
        <v>76.320307057602122</v>
      </c>
      <c r="K75" s="176"/>
      <c r="L75" s="134"/>
      <c r="M75" s="13"/>
      <c r="N75" s="13">
        <f t="shared" si="12"/>
        <v>76.320307057602122</v>
      </c>
      <c r="O75" s="299">
        <f>'Multa INSS'!Q35</f>
        <v>14.69</v>
      </c>
      <c r="P75" s="240">
        <f t="shared" si="6"/>
        <v>11.211453106761752</v>
      </c>
      <c r="Q75" s="13">
        <f t="shared" si="13"/>
        <v>76.320307057602122</v>
      </c>
      <c r="R75" s="281">
        <v>0.2</v>
      </c>
      <c r="S75" s="240">
        <f t="shared" si="14"/>
        <v>15.264061411520425</v>
      </c>
      <c r="T75" s="13">
        <f t="shared" si="15"/>
        <v>423.23824597820101</v>
      </c>
      <c r="U75" s="13">
        <f t="shared" si="16"/>
        <v>88.880031655422215</v>
      </c>
      <c r="V75" s="280">
        <f t="shared" si="17"/>
        <v>14.69</v>
      </c>
      <c r="W75" s="240">
        <f t="shared" si="8"/>
        <v>13.056476650181523</v>
      </c>
      <c r="X75" s="13">
        <f t="shared" si="9"/>
        <v>88.880031655422215</v>
      </c>
      <c r="Y75" s="281">
        <f t="shared" si="10"/>
        <v>0.2</v>
      </c>
      <c r="Z75" s="240">
        <f t="shared" si="11"/>
        <v>17.776006331084442</v>
      </c>
    </row>
    <row r="76" spans="1:26" s="130" customFormat="1" ht="18" x14ac:dyDescent="0.2">
      <c r="A76" s="196" t="s">
        <v>173</v>
      </c>
      <c r="B76" s="13">
        <v>1490.14</v>
      </c>
      <c r="C76" s="13">
        <v>0</v>
      </c>
      <c r="D76" s="13">
        <f>'Anexo 4 HE'!S76</f>
        <v>398.27234862277157</v>
      </c>
      <c r="E76" s="13">
        <f t="shared" si="0"/>
        <v>398.27234862277157</v>
      </c>
      <c r="F76" s="13">
        <f t="shared" si="1"/>
        <v>1888.4123486227718</v>
      </c>
      <c r="G76" s="188">
        <v>0.09</v>
      </c>
      <c r="H76" s="13">
        <f t="shared" si="3"/>
        <v>169.95711137604945</v>
      </c>
      <c r="I76" s="13">
        <v>134.11000000000001</v>
      </c>
      <c r="J76" s="13">
        <f t="shared" si="4"/>
        <v>35.84711137604944</v>
      </c>
      <c r="K76" s="176"/>
      <c r="L76" s="134"/>
      <c r="M76" s="13"/>
      <c r="N76" s="13">
        <f t="shared" si="12"/>
        <v>35.84711137604944</v>
      </c>
      <c r="O76" s="299">
        <f>O75</f>
        <v>14.69</v>
      </c>
      <c r="P76" s="240">
        <f t="shared" si="6"/>
        <v>5.2659406611416628</v>
      </c>
      <c r="Q76" s="13">
        <f t="shared" si="13"/>
        <v>35.84711137604944</v>
      </c>
      <c r="R76" s="281">
        <v>0.2</v>
      </c>
      <c r="S76" s="240">
        <f t="shared" si="14"/>
        <v>7.1694222752098886</v>
      </c>
      <c r="T76" s="13">
        <f t="shared" si="15"/>
        <v>398.27234862277157</v>
      </c>
      <c r="U76" s="13">
        <f t="shared" si="16"/>
        <v>83.63719321078203</v>
      </c>
      <c r="V76" s="280">
        <f t="shared" si="17"/>
        <v>14.69</v>
      </c>
      <c r="W76" s="240">
        <f t="shared" si="8"/>
        <v>12.286303682663881</v>
      </c>
      <c r="X76" s="13">
        <f t="shared" si="9"/>
        <v>83.63719321078203</v>
      </c>
      <c r="Y76" s="281">
        <f t="shared" si="10"/>
        <v>0.2</v>
      </c>
      <c r="Z76" s="240">
        <f t="shared" si="11"/>
        <v>16.727438642156407</v>
      </c>
    </row>
    <row r="77" spans="1:26" s="130" customFormat="1" ht="11.25" x14ac:dyDescent="0.2">
      <c r="A77" s="27">
        <v>40909</v>
      </c>
      <c r="B77" s="13">
        <v>1451.17</v>
      </c>
      <c r="C77" s="13">
        <f>'Anexo 3 Dif Sal'!F32</f>
        <v>37.072726000000102</v>
      </c>
      <c r="D77" s="13">
        <f>'Anexo 4 HE'!S77</f>
        <v>453.27076942868098</v>
      </c>
      <c r="E77" s="13">
        <f t="shared" ref="E77:E80" si="18">SUM(C77:D77)</f>
        <v>490.34349542868108</v>
      </c>
      <c r="F77" s="13">
        <f t="shared" ref="F77:F80" si="19">B77+E77</f>
        <v>1941.5134954286812</v>
      </c>
      <c r="G77" s="188">
        <v>0.09</v>
      </c>
      <c r="H77" s="13">
        <f t="shared" si="3"/>
        <v>174.7362145885813</v>
      </c>
      <c r="I77" s="13">
        <v>130.61000000000001</v>
      </c>
      <c r="J77" s="13">
        <f t="shared" si="4"/>
        <v>44.126214588581291</v>
      </c>
      <c r="K77" s="176"/>
      <c r="L77" s="134"/>
      <c r="M77" s="13"/>
      <c r="N77" s="13">
        <f t="shared" si="12"/>
        <v>44.126214588581291</v>
      </c>
      <c r="O77" s="299">
        <f>'Multa INSS'!Q36</f>
        <v>13.94</v>
      </c>
      <c r="P77" s="240">
        <f t="shared" si="6"/>
        <v>6.1511943136482321</v>
      </c>
      <c r="Q77" s="13">
        <f t="shared" si="13"/>
        <v>44.126214588581291</v>
      </c>
      <c r="R77" s="281">
        <v>0.2</v>
      </c>
      <c r="S77" s="240">
        <f t="shared" si="14"/>
        <v>8.8252429177162579</v>
      </c>
      <c r="T77" s="13">
        <f t="shared" si="15"/>
        <v>490.34349542868108</v>
      </c>
      <c r="U77" s="13">
        <f t="shared" si="16"/>
        <v>102.97213404002302</v>
      </c>
      <c r="V77" s="280">
        <f t="shared" si="17"/>
        <v>13.94</v>
      </c>
      <c r="W77" s="240">
        <f t="shared" si="8"/>
        <v>14.354315485179209</v>
      </c>
      <c r="X77" s="13">
        <f t="shared" si="9"/>
        <v>102.97213404002302</v>
      </c>
      <c r="Y77" s="281">
        <f t="shared" si="10"/>
        <v>0.2</v>
      </c>
      <c r="Z77" s="240">
        <f t="shared" si="11"/>
        <v>20.594426808004606</v>
      </c>
    </row>
    <row r="78" spans="1:26" s="130" customFormat="1" ht="11.25" x14ac:dyDescent="0.2">
      <c r="A78" s="27">
        <v>40940</v>
      </c>
      <c r="B78" s="13">
        <v>1518.06</v>
      </c>
      <c r="C78" s="13">
        <f>'Anexo 3 Dif Sal'!F33</f>
        <v>37.072726000000102</v>
      </c>
      <c r="D78" s="13">
        <f>'Anexo 4 HE'!S78</f>
        <v>526.5110701036466</v>
      </c>
      <c r="E78" s="13">
        <f t="shared" si="18"/>
        <v>563.5837961036467</v>
      </c>
      <c r="F78" s="13">
        <f t="shared" si="19"/>
        <v>2081.6437961036468</v>
      </c>
      <c r="G78" s="188">
        <v>0.11</v>
      </c>
      <c r="H78" s="13">
        <f t="shared" ref="H78:H80" si="20">F78*G78</f>
        <v>228.98081757140113</v>
      </c>
      <c r="I78" s="13">
        <v>136.63</v>
      </c>
      <c r="J78" s="13">
        <f t="shared" ref="J78:J80" si="21">H78-I78</f>
        <v>92.350817571401137</v>
      </c>
      <c r="K78" s="176"/>
      <c r="L78" s="134"/>
      <c r="M78" s="13"/>
      <c r="N78" s="13">
        <f t="shared" si="12"/>
        <v>92.350817571401137</v>
      </c>
      <c r="O78" s="299">
        <f>'Multa INSS'!Q37</f>
        <v>13.12</v>
      </c>
      <c r="P78" s="240">
        <f t="shared" si="6"/>
        <v>12.116427265367827</v>
      </c>
      <c r="Q78" s="13">
        <f t="shared" si="13"/>
        <v>92.350817571401137</v>
      </c>
      <c r="R78" s="281">
        <v>0.2</v>
      </c>
      <c r="S78" s="240">
        <f t="shared" si="14"/>
        <v>18.470163514280227</v>
      </c>
      <c r="T78" s="13">
        <f t="shared" si="15"/>
        <v>563.5837961036467</v>
      </c>
      <c r="U78" s="13">
        <f t="shared" si="16"/>
        <v>118.3525971817658</v>
      </c>
      <c r="V78" s="280">
        <f t="shared" si="17"/>
        <v>13.12</v>
      </c>
      <c r="W78" s="240">
        <f t="shared" si="8"/>
        <v>15.527860750247671</v>
      </c>
      <c r="X78" s="13">
        <f t="shared" si="9"/>
        <v>118.3525971817658</v>
      </c>
      <c r="Y78" s="281">
        <f t="shared" si="10"/>
        <v>0.2</v>
      </c>
      <c r="Z78" s="240">
        <f t="shared" si="11"/>
        <v>23.67051943635316</v>
      </c>
    </row>
    <row r="79" spans="1:26" s="130" customFormat="1" ht="11.25" x14ac:dyDescent="0.2">
      <c r="A79" s="27">
        <v>40969</v>
      </c>
      <c r="B79" s="13">
        <v>1440.93</v>
      </c>
      <c r="C79" s="13">
        <f>'Anexo 3 Dif Sal'!F34</f>
        <v>37.072726000000102</v>
      </c>
      <c r="D79" s="13">
        <f>'Anexo 4 HE'!S79</f>
        <v>337.63147570008539</v>
      </c>
      <c r="E79" s="13">
        <f t="shared" si="18"/>
        <v>374.70420170008549</v>
      </c>
      <c r="F79" s="13">
        <f t="shared" si="19"/>
        <v>1815.6342017000857</v>
      </c>
      <c r="G79" s="188">
        <v>0.09</v>
      </c>
      <c r="H79" s="13">
        <f t="shared" si="20"/>
        <v>163.40707815300772</v>
      </c>
      <c r="I79" s="13">
        <v>129.68</v>
      </c>
      <c r="J79" s="13">
        <f t="shared" si="21"/>
        <v>33.72707815300771</v>
      </c>
      <c r="K79" s="176"/>
      <c r="L79" s="134"/>
      <c r="M79" s="13"/>
      <c r="N79" s="13">
        <f t="shared" si="12"/>
        <v>33.72707815300771</v>
      </c>
      <c r="O79" s="299">
        <f>'Multa INSS'!Q38</f>
        <v>12.41</v>
      </c>
      <c r="P79" s="240">
        <f t="shared" si="6"/>
        <v>4.1855303987882566</v>
      </c>
      <c r="Q79" s="13">
        <f t="shared" si="13"/>
        <v>33.72707815300771</v>
      </c>
      <c r="R79" s="281">
        <v>0.2</v>
      </c>
      <c r="S79" s="240">
        <f t="shared" si="14"/>
        <v>6.745415630601542</v>
      </c>
      <c r="T79" s="13">
        <f t="shared" si="15"/>
        <v>374.70420170008549</v>
      </c>
      <c r="U79" s="13">
        <f t="shared" si="16"/>
        <v>78.687882357017955</v>
      </c>
      <c r="V79" s="280">
        <f t="shared" si="17"/>
        <v>12.41</v>
      </c>
      <c r="W79" s="240">
        <f t="shared" si="8"/>
        <v>9.765166200505929</v>
      </c>
      <c r="X79" s="13">
        <f t="shared" si="9"/>
        <v>78.687882357017955</v>
      </c>
      <c r="Y79" s="281">
        <f t="shared" si="10"/>
        <v>0.2</v>
      </c>
      <c r="Z79" s="240">
        <f t="shared" si="11"/>
        <v>15.737576471403592</v>
      </c>
    </row>
    <row r="80" spans="1:26" s="130" customFormat="1" ht="11.25" x14ac:dyDescent="0.2">
      <c r="A80" s="295">
        <v>41024</v>
      </c>
      <c r="B80" s="220">
        <v>3194.93</v>
      </c>
      <c r="C80" s="220">
        <f>'Anexo 3 Dif Sal'!F35</f>
        <v>30.893938333333381</v>
      </c>
      <c r="D80" s="220">
        <f>'Anexo 4 HE'!S80</f>
        <v>562.65531233405534</v>
      </c>
      <c r="E80" s="13">
        <f t="shared" si="18"/>
        <v>593.54925066738872</v>
      </c>
      <c r="F80" s="13">
        <f t="shared" si="19"/>
        <v>3788.4792506673884</v>
      </c>
      <c r="G80" s="296">
        <v>0.11</v>
      </c>
      <c r="H80" s="13">
        <f t="shared" si="20"/>
        <v>416.73271757341274</v>
      </c>
      <c r="I80" s="220">
        <v>351.44</v>
      </c>
      <c r="J80" s="13">
        <f t="shared" si="21"/>
        <v>65.292717573412745</v>
      </c>
      <c r="K80" s="297"/>
      <c r="L80" s="298"/>
      <c r="M80" s="220"/>
      <c r="N80" s="13">
        <f t="shared" si="12"/>
        <v>65.292717573412745</v>
      </c>
      <c r="O80" s="299">
        <f>'Multa INSS'!Q39</f>
        <v>11.67</v>
      </c>
      <c r="P80" s="300">
        <f t="shared" si="6"/>
        <v>7.6196601408172668</v>
      </c>
      <c r="Q80" s="220">
        <f t="shared" si="13"/>
        <v>65.292717573412745</v>
      </c>
      <c r="R80" s="301">
        <v>0.2</v>
      </c>
      <c r="S80" s="300">
        <f t="shared" si="14"/>
        <v>13.058543514682549</v>
      </c>
      <c r="T80" s="13">
        <f t="shared" si="15"/>
        <v>593.54925066738872</v>
      </c>
      <c r="U80" s="13">
        <f t="shared" si="16"/>
        <v>124.64534264015163</v>
      </c>
      <c r="V80" s="280">
        <f t="shared" si="17"/>
        <v>11.67</v>
      </c>
      <c r="W80" s="240">
        <f t="shared" si="8"/>
        <v>14.546111486105694</v>
      </c>
      <c r="X80" s="13">
        <f t="shared" si="9"/>
        <v>124.64534264015163</v>
      </c>
      <c r="Y80" s="301">
        <f t="shared" si="10"/>
        <v>0.2</v>
      </c>
      <c r="Z80" s="240">
        <f t="shared" si="11"/>
        <v>24.929068528030328</v>
      </c>
    </row>
    <row r="81" spans="1:26" s="232" customFormat="1" ht="12" x14ac:dyDescent="0.2">
      <c r="A81" s="424" t="s">
        <v>47</v>
      </c>
      <c r="B81" s="424"/>
      <c r="C81" s="424"/>
      <c r="D81" s="424"/>
      <c r="E81" s="424"/>
      <c r="F81" s="424"/>
      <c r="G81" s="424"/>
      <c r="H81" s="424"/>
      <c r="I81" s="424"/>
      <c r="J81" s="424"/>
      <c r="K81" s="424"/>
      <c r="L81" s="241">
        <f>SUM(L13:L80)</f>
        <v>677.05043342114152</v>
      </c>
      <c r="M81" s="282"/>
      <c r="N81" s="332">
        <f>SUM(N13:N80)</f>
        <v>2325.2975085003341</v>
      </c>
      <c r="O81" s="333"/>
      <c r="P81" s="332">
        <f>SUM(P13:P80)</f>
        <v>600.54220247409307</v>
      </c>
      <c r="Q81" s="334"/>
      <c r="R81" s="335"/>
      <c r="S81" s="332">
        <f>SUM(S13:S80)</f>
        <v>465.05950170006702</v>
      </c>
      <c r="T81" s="334"/>
      <c r="U81" s="332">
        <f>SUM(U13:U80)</f>
        <v>3600.7734454811775</v>
      </c>
      <c r="V81" s="335"/>
      <c r="W81" s="332">
        <f>SUM(W13:W80)</f>
        <v>933.508042896294</v>
      </c>
      <c r="X81" s="334"/>
      <c r="Y81" s="335"/>
      <c r="Z81" s="332">
        <f>SUM(Z13:Z80)</f>
        <v>720.15468909623553</v>
      </c>
    </row>
    <row r="82" spans="1:26" s="232" customFormat="1" x14ac:dyDescent="0.2">
      <c r="A82" s="425" t="s">
        <v>48</v>
      </c>
      <c r="B82" s="426"/>
      <c r="C82" s="426"/>
      <c r="D82" s="426"/>
      <c r="E82" s="426"/>
      <c r="F82" s="426"/>
      <c r="G82" s="426"/>
      <c r="H82" s="426"/>
      <c r="I82" s="426"/>
      <c r="J82" s="426"/>
      <c r="K82" s="427"/>
      <c r="L82" s="282"/>
      <c r="M82" s="241">
        <f>SUM(M13:M80)</f>
        <v>7021.7425392003124</v>
      </c>
      <c r="N82" s="283"/>
      <c r="O82" s="284"/>
      <c r="P82" s="283"/>
      <c r="Q82" s="283"/>
      <c r="R82" s="283"/>
      <c r="S82" s="283"/>
      <c r="T82" s="283"/>
      <c r="U82"/>
      <c r="V82"/>
      <c r="W82"/>
      <c r="X82"/>
      <c r="Y82"/>
      <c r="Z82"/>
    </row>
    <row r="83" spans="1:26" x14ac:dyDescent="0.2">
      <c r="A83" s="124"/>
      <c r="B83" s="132"/>
      <c r="E83" s="121"/>
      <c r="F83" s="121"/>
      <c r="G83" s="131"/>
      <c r="H83" s="132"/>
      <c r="I83" s="132"/>
      <c r="J83" s="132"/>
      <c r="K83" s="133"/>
      <c r="L83" s="132"/>
      <c r="M83" s="132"/>
      <c r="R83" s="221"/>
      <c r="S83" s="221"/>
      <c r="T83" s="221"/>
      <c r="U83"/>
      <c r="V83"/>
      <c r="W83"/>
      <c r="X83"/>
      <c r="Y83"/>
      <c r="Z83"/>
    </row>
    <row r="84" spans="1:26" x14ac:dyDescent="0.2">
      <c r="A84"/>
      <c r="B84" s="139"/>
      <c r="C84"/>
      <c r="D84"/>
      <c r="E84"/>
      <c r="F84"/>
      <c r="G84" s="285"/>
      <c r="H84"/>
      <c r="I84" s="223"/>
      <c r="J84" s="233"/>
      <c r="K84" s="234"/>
      <c r="L84" s="235"/>
      <c r="M84" s="221"/>
      <c r="P84" s="221"/>
      <c r="Q84" s="221"/>
      <c r="R84" s="221"/>
      <c r="S84" s="221"/>
      <c r="T84" s="221"/>
      <c r="U84"/>
      <c r="V84"/>
      <c r="W84"/>
      <c r="X84"/>
      <c r="Y84"/>
      <c r="Z84"/>
    </row>
    <row r="85" spans="1:26" ht="23.25" customHeight="1" x14ac:dyDescent="0.2">
      <c r="A85"/>
      <c r="B85" s="139"/>
      <c r="C85"/>
      <c r="D85"/>
      <c r="E85"/>
      <c r="F85"/>
      <c r="G85" s="285"/>
      <c r="H85"/>
      <c r="I85" s="239"/>
      <c r="J85" s="396" t="s">
        <v>159</v>
      </c>
      <c r="K85" s="396"/>
      <c r="L85" s="396"/>
      <c r="M85" s="396"/>
      <c r="O85" s="396" t="s">
        <v>166</v>
      </c>
      <c r="P85" s="396"/>
      <c r="Q85" s="396"/>
      <c r="R85" s="396"/>
      <c r="S85" s="396"/>
      <c r="T85" s="396"/>
      <c r="U85" s="396" t="s">
        <v>145</v>
      </c>
      <c r="V85" s="396"/>
      <c r="W85" s="396"/>
      <c r="X85" s="396"/>
      <c r="Y85" s="396"/>
      <c r="Z85" s="396"/>
    </row>
    <row r="86" spans="1:26" x14ac:dyDescent="0.2">
      <c r="A86"/>
      <c r="B86" s="139"/>
      <c r="C86"/>
      <c r="D86"/>
      <c r="E86"/>
      <c r="F86"/>
      <c r="G86" s="285"/>
      <c r="H86"/>
      <c r="I86" s="239"/>
      <c r="J86" s="395" t="s">
        <v>160</v>
      </c>
      <c r="K86" s="395"/>
      <c r="L86" s="395"/>
      <c r="M86" s="286">
        <v>0.2</v>
      </c>
      <c r="O86" s="287"/>
      <c r="P86" s="400" t="s">
        <v>146</v>
      </c>
      <c r="Q86" s="401"/>
      <c r="R86" s="402"/>
      <c r="S86" s="398">
        <f>M91</f>
        <v>1474.5659332320658</v>
      </c>
      <c r="T86" s="398"/>
      <c r="U86" s="288" t="s">
        <v>62</v>
      </c>
      <c r="V86" s="226" t="s">
        <v>146</v>
      </c>
      <c r="W86" s="227"/>
      <c r="X86" s="289"/>
      <c r="Y86" s="403">
        <f>L81</f>
        <v>677.05043342114152</v>
      </c>
      <c r="Z86" s="403"/>
    </row>
    <row r="87" spans="1:26" x14ac:dyDescent="0.2">
      <c r="A87" s="236"/>
      <c r="B87" s="290"/>
      <c r="C87" s="221"/>
      <c r="D87" s="221"/>
      <c r="E87" s="221"/>
      <c r="F87" s="221"/>
      <c r="G87" s="291"/>
      <c r="H87" s="221"/>
      <c r="I87" s="237"/>
      <c r="J87" s="396" t="s">
        <v>161</v>
      </c>
      <c r="K87" s="396"/>
      <c r="L87" s="396"/>
      <c r="M87" s="292">
        <v>0.01</v>
      </c>
      <c r="N87"/>
      <c r="O87" s="287" t="s">
        <v>124</v>
      </c>
      <c r="P87" s="400" t="s">
        <v>147</v>
      </c>
      <c r="Q87" s="401"/>
      <c r="R87" s="402"/>
      <c r="S87" s="398">
        <f>U81</f>
        <v>3600.7734454811775</v>
      </c>
      <c r="T87" s="398"/>
      <c r="U87" s="288" t="s">
        <v>64</v>
      </c>
      <c r="V87" s="226" t="s">
        <v>147</v>
      </c>
      <c r="W87" s="227"/>
      <c r="X87" s="289"/>
      <c r="Y87" s="403">
        <f>N81</f>
        <v>2325.2975085003341</v>
      </c>
      <c r="Z87" s="403"/>
    </row>
    <row r="88" spans="1:26" x14ac:dyDescent="0.2">
      <c r="A88" s="236"/>
      <c r="B88" s="290"/>
      <c r="C88" s="221"/>
      <c r="D88" s="221"/>
      <c r="E88" s="221"/>
      <c r="F88" s="221"/>
      <c r="G88" s="291"/>
      <c r="H88" s="221"/>
      <c r="I88" s="237"/>
      <c r="J88" s="396" t="s">
        <v>122</v>
      </c>
      <c r="K88" s="396"/>
      <c r="L88" s="396"/>
      <c r="M88" s="292">
        <f>SUM(M86:M87)</f>
        <v>0.21000000000000002</v>
      </c>
      <c r="N88"/>
      <c r="O88" s="287" t="s">
        <v>151</v>
      </c>
      <c r="P88" s="397" t="s">
        <v>148</v>
      </c>
      <c r="Q88" s="397"/>
      <c r="R88" s="397"/>
      <c r="S88" s="398">
        <f>W81</f>
        <v>933.508042896294</v>
      </c>
      <c r="T88" s="398"/>
      <c r="U88" s="288" t="s">
        <v>66</v>
      </c>
      <c r="V88" s="397" t="s">
        <v>148</v>
      </c>
      <c r="W88" s="397"/>
      <c r="X88" s="397"/>
      <c r="Y88" s="403">
        <f>P81</f>
        <v>600.54220247409307</v>
      </c>
      <c r="Z88" s="403"/>
    </row>
    <row r="89" spans="1:26" x14ac:dyDescent="0.2">
      <c r="A89" s="236"/>
      <c r="B89" s="290"/>
      <c r="C89" s="221"/>
      <c r="D89" s="221"/>
      <c r="E89" s="221"/>
      <c r="F89" s="221"/>
      <c r="G89" s="291"/>
      <c r="H89" s="221"/>
      <c r="I89" s="237"/>
      <c r="J89" s="396" t="s">
        <v>162</v>
      </c>
      <c r="K89" s="396"/>
      <c r="L89" s="396"/>
      <c r="M89" s="293">
        <f>M82</f>
        <v>7021.7425392003124</v>
      </c>
      <c r="N89"/>
      <c r="O89" s="287" t="s">
        <v>154</v>
      </c>
      <c r="P89" s="397" t="s">
        <v>150</v>
      </c>
      <c r="Q89" s="397"/>
      <c r="R89" s="397"/>
      <c r="S89" s="398">
        <f>Z81</f>
        <v>720.15468909623553</v>
      </c>
      <c r="T89" s="398"/>
      <c r="U89" s="288" t="s">
        <v>109</v>
      </c>
      <c r="V89" s="397" t="s">
        <v>150</v>
      </c>
      <c r="W89" s="397"/>
      <c r="X89" s="397"/>
      <c r="Y89" s="405">
        <f>S81</f>
        <v>465.05950170006702</v>
      </c>
      <c r="Z89" s="405"/>
    </row>
    <row r="90" spans="1:26" x14ac:dyDescent="0.2">
      <c r="A90" s="236"/>
      <c r="B90" s="290"/>
      <c r="C90" s="221"/>
      <c r="D90" s="221"/>
      <c r="E90" s="221"/>
      <c r="F90" s="221"/>
      <c r="G90" s="291"/>
      <c r="H90" s="221"/>
      <c r="I90" s="238"/>
      <c r="J90" s="395" t="s">
        <v>163</v>
      </c>
      <c r="K90" s="395"/>
      <c r="L90" s="395"/>
      <c r="M90" s="286">
        <f>M88</f>
        <v>0.21000000000000002</v>
      </c>
      <c r="N90"/>
      <c r="O90" s="395" t="s">
        <v>116</v>
      </c>
      <c r="P90" s="395"/>
      <c r="Q90" s="395"/>
      <c r="R90" s="395"/>
      <c r="S90" s="399">
        <f>SUM(S86:S89)</f>
        <v>6729.0021107057728</v>
      </c>
      <c r="T90" s="399"/>
      <c r="U90" s="395" t="s">
        <v>116</v>
      </c>
      <c r="V90" s="395"/>
      <c r="W90" s="395"/>
      <c r="X90" s="395"/>
      <c r="Y90" s="404">
        <f>SUM(Y86:Y89)</f>
        <v>4067.9496460956352</v>
      </c>
      <c r="Z90" s="404"/>
    </row>
    <row r="91" spans="1:26" x14ac:dyDescent="0.2">
      <c r="A91" s="236"/>
      <c r="B91" s="290"/>
      <c r="C91" s="221"/>
      <c r="D91" s="221"/>
      <c r="E91" s="221"/>
      <c r="F91" s="221"/>
      <c r="G91" s="291"/>
      <c r="H91" s="221"/>
      <c r="I91" s="238"/>
      <c r="J91" s="395" t="s">
        <v>122</v>
      </c>
      <c r="K91" s="395"/>
      <c r="L91" s="395"/>
      <c r="M91" s="293">
        <f>M89*M90</f>
        <v>1474.5659332320658</v>
      </c>
      <c r="N91" s="221"/>
      <c r="O91" s="294"/>
      <c r="P91" s="221"/>
      <c r="Q91" s="221"/>
      <c r="R91" s="221"/>
      <c r="S91" s="221"/>
      <c r="T91" s="221"/>
      <c r="U91" s="221"/>
      <c r="V91" s="223"/>
      <c r="W91" s="221"/>
      <c r="X91" s="221"/>
      <c r="Y91" s="223"/>
      <c r="Z91" s="221"/>
    </row>
    <row r="92" spans="1:26" x14ac:dyDescent="0.2">
      <c r="A92" s="124"/>
      <c r="B92" s="132"/>
      <c r="E92" s="121"/>
      <c r="F92" s="121"/>
      <c r="G92" s="131"/>
      <c r="H92" s="132"/>
      <c r="I92" s="132"/>
      <c r="J92" s="132"/>
      <c r="K92" s="133"/>
      <c r="L92" s="132"/>
      <c r="M92" s="132"/>
      <c r="N92" s="221"/>
      <c r="O92" s="294"/>
      <c r="P92" s="221"/>
      <c r="Q92" s="221"/>
      <c r="R92" s="221"/>
      <c r="S92" s="221"/>
      <c r="T92" s="221"/>
      <c r="U92" s="221"/>
      <c r="V92" s="223"/>
      <c r="W92" s="221"/>
      <c r="X92" s="221"/>
      <c r="Y92" s="223"/>
      <c r="Z92" s="221"/>
    </row>
    <row r="93" spans="1:26" x14ac:dyDescent="0.2">
      <c r="A93" s="124"/>
      <c r="B93" s="132"/>
      <c r="E93" s="121"/>
      <c r="F93" s="121"/>
      <c r="G93" s="131"/>
      <c r="H93" s="132"/>
      <c r="I93" s="132"/>
      <c r="J93" s="132"/>
      <c r="K93" s="133"/>
      <c r="L93" s="132"/>
      <c r="M93" s="132"/>
      <c r="N93" s="221"/>
      <c r="O93" s="294"/>
      <c r="P93" s="221"/>
      <c r="Q93" s="221"/>
      <c r="R93" s="221"/>
      <c r="S93" s="221"/>
      <c r="T93" s="221"/>
      <c r="U93" s="221"/>
      <c r="V93" s="223"/>
      <c r="W93" s="221"/>
      <c r="X93" s="221"/>
      <c r="Y93" s="223"/>
      <c r="Z93" s="221"/>
    </row>
    <row r="94" spans="1:26" x14ac:dyDescent="0.2">
      <c r="A94" s="124"/>
      <c r="B94" s="132"/>
      <c r="E94" s="121"/>
      <c r="F94" s="121"/>
      <c r="G94" s="131"/>
      <c r="H94" s="132"/>
      <c r="I94" s="132"/>
      <c r="J94" s="132"/>
      <c r="K94" s="133"/>
      <c r="L94" s="132"/>
      <c r="M94"/>
      <c r="N94"/>
      <c r="O94"/>
      <c r="P94"/>
      <c r="Q94"/>
      <c r="R94"/>
      <c r="S94"/>
      <c r="T94"/>
      <c r="U94"/>
      <c r="V94" s="223"/>
      <c r="W94" s="221"/>
      <c r="X94" s="221"/>
      <c r="Y94" s="223"/>
      <c r="Z94" s="221"/>
    </row>
    <row r="95" spans="1:26" x14ac:dyDescent="0.2">
      <c r="A95" s="124"/>
      <c r="B95" s="132"/>
      <c r="E95" s="121"/>
      <c r="F95" s="121"/>
      <c r="G95" s="131"/>
      <c r="H95" s="132"/>
      <c r="I95" s="132"/>
      <c r="J95" s="132"/>
      <c r="K95" s="133"/>
      <c r="L95" s="132"/>
      <c r="M95"/>
      <c r="N95"/>
      <c r="O95"/>
      <c r="P95"/>
      <c r="Q95"/>
      <c r="R95"/>
      <c r="S95"/>
      <c r="T95"/>
      <c r="U95"/>
      <c r="V95" s="223"/>
      <c r="W95" s="221"/>
      <c r="X95" s="221"/>
      <c r="Y95" s="223"/>
      <c r="Z95" s="221"/>
    </row>
    <row r="96" spans="1:26" x14ac:dyDescent="0.2">
      <c r="A96" s="124"/>
      <c r="B96" s="132"/>
      <c r="E96" s="121"/>
      <c r="F96" s="121"/>
      <c r="G96" s="131"/>
      <c r="H96" s="132"/>
      <c r="I96" s="132"/>
      <c r="J96" s="132"/>
      <c r="K96" s="133"/>
      <c r="L96" s="132"/>
      <c r="M96"/>
      <c r="N96"/>
      <c r="O96"/>
      <c r="P96"/>
      <c r="Q96"/>
      <c r="R96"/>
      <c r="S96"/>
      <c r="T96"/>
      <c r="U96"/>
      <c r="V96" s="223"/>
      <c r="W96" s="221"/>
      <c r="X96" s="221"/>
      <c r="Y96" s="223"/>
      <c r="Z96" s="221"/>
    </row>
    <row r="97" spans="1:26" x14ac:dyDescent="0.2">
      <c r="A97" s="124"/>
      <c r="B97" s="132"/>
      <c r="E97" s="121"/>
      <c r="F97" s="121"/>
      <c r="G97" s="131"/>
      <c r="H97" s="132"/>
      <c r="I97" s="132"/>
      <c r="J97" s="132"/>
      <c r="K97" s="133"/>
      <c r="L97" s="132"/>
      <c r="M97"/>
      <c r="N97"/>
      <c r="O97"/>
      <c r="P97"/>
      <c r="Q97"/>
      <c r="R97"/>
      <c r="S97"/>
      <c r="T97"/>
      <c r="U97"/>
      <c r="V97" s="223"/>
      <c r="W97" s="221"/>
      <c r="X97" s="221"/>
      <c r="Y97" s="223"/>
      <c r="Z97" s="221"/>
    </row>
    <row r="98" spans="1:26" x14ac:dyDescent="0.2">
      <c r="A98" s="124"/>
      <c r="B98" s="132"/>
      <c r="E98" s="121"/>
      <c r="F98" s="121"/>
      <c r="G98" s="131"/>
      <c r="H98" s="132"/>
      <c r="I98" s="132"/>
      <c r="J98" s="132"/>
      <c r="K98" s="133"/>
      <c r="L98" s="132"/>
      <c r="M98"/>
      <c r="N98"/>
      <c r="O98"/>
      <c r="P98"/>
      <c r="Q98"/>
      <c r="R98"/>
      <c r="S98"/>
      <c r="T98"/>
      <c r="U98"/>
      <c r="V98" s="223"/>
      <c r="W98" s="221"/>
      <c r="X98" s="221"/>
      <c r="Y98" s="223"/>
      <c r="Z98" s="221"/>
    </row>
    <row r="99" spans="1:26" x14ac:dyDescent="0.2">
      <c r="A99" s="124"/>
      <c r="B99" s="132"/>
      <c r="E99" s="121"/>
      <c r="F99" s="121"/>
      <c r="G99" s="131"/>
      <c r="H99" s="132"/>
      <c r="I99" s="132"/>
      <c r="J99" s="132"/>
      <c r="K99" s="133"/>
      <c r="L99" s="132"/>
      <c r="M99"/>
      <c r="N99"/>
      <c r="O99"/>
      <c r="P99"/>
      <c r="Q99"/>
      <c r="R99"/>
      <c r="S99"/>
      <c r="T99"/>
      <c r="U99"/>
      <c r="V99" s="223"/>
      <c r="W99" s="221"/>
      <c r="X99" s="221"/>
      <c r="Y99" s="223"/>
      <c r="Z99" s="221"/>
    </row>
    <row r="100" spans="1:26" x14ac:dyDescent="0.2">
      <c r="A100" s="124"/>
      <c r="B100" s="132"/>
      <c r="E100" s="121"/>
      <c r="F100" s="121"/>
      <c r="G100" s="131"/>
      <c r="H100" s="132"/>
      <c r="I100" s="132"/>
      <c r="J100" s="132"/>
      <c r="K100" s="133"/>
      <c r="L100" s="132"/>
      <c r="M100"/>
      <c r="N100"/>
      <c r="O100"/>
      <c r="P100"/>
      <c r="Q100"/>
      <c r="R100"/>
      <c r="S100"/>
      <c r="T100"/>
      <c r="U100"/>
      <c r="V100" s="223"/>
      <c r="W100" s="221"/>
      <c r="X100" s="221"/>
      <c r="Y100" s="223"/>
      <c r="Z100" s="221"/>
    </row>
    <row r="101" spans="1:26" x14ac:dyDescent="0.2">
      <c r="A101" s="124"/>
      <c r="B101" s="132"/>
      <c r="E101" s="121"/>
      <c r="F101" s="121"/>
      <c r="G101" s="131"/>
      <c r="H101" s="132"/>
      <c r="I101" s="132"/>
      <c r="J101" s="132"/>
      <c r="K101" s="133"/>
      <c r="L101" s="132"/>
      <c r="M101"/>
      <c r="N101"/>
      <c r="O101"/>
      <c r="P101"/>
      <c r="Q101"/>
      <c r="R101"/>
      <c r="S101"/>
      <c r="T101"/>
      <c r="U101"/>
      <c r="V101" s="223"/>
      <c r="W101" s="221"/>
      <c r="X101" s="221"/>
      <c r="Y101" s="223"/>
      <c r="Z101" s="221"/>
    </row>
    <row r="102" spans="1:26" x14ac:dyDescent="0.2">
      <c r="A102" s="124"/>
      <c r="B102" s="132"/>
      <c r="E102" s="121"/>
      <c r="F102" s="121"/>
      <c r="G102" s="131"/>
      <c r="H102" s="132"/>
      <c r="I102" s="132"/>
      <c r="J102" s="132"/>
      <c r="K102" s="133"/>
      <c r="L102" s="132"/>
      <c r="M102" s="132"/>
      <c r="N102" s="221"/>
      <c r="O102" s="294"/>
      <c r="P102" s="221"/>
      <c r="Q102" s="221"/>
      <c r="R102" s="221"/>
      <c r="S102" s="221"/>
      <c r="T102" s="221"/>
      <c r="U102" s="221"/>
      <c r="V102" s="223"/>
      <c r="W102" s="221"/>
      <c r="X102" s="221"/>
      <c r="Y102" s="223"/>
      <c r="Z102" s="221"/>
    </row>
    <row r="103" spans="1:26" x14ac:dyDescent="0.2">
      <c r="A103" s="124"/>
      <c r="B103" s="132"/>
      <c r="E103" s="121"/>
      <c r="F103" s="121"/>
      <c r="G103" s="131"/>
      <c r="H103" s="132"/>
      <c r="I103" s="132"/>
      <c r="J103" s="132"/>
      <c r="K103" s="133"/>
      <c r="L103" s="132"/>
      <c r="M103" s="132"/>
      <c r="N103" s="221"/>
      <c r="O103" s="294"/>
      <c r="P103" s="221"/>
      <c r="Q103" s="221"/>
      <c r="R103" s="221"/>
      <c r="S103" s="221"/>
      <c r="T103" s="221"/>
      <c r="U103" s="221"/>
      <c r="V103" s="223"/>
      <c r="W103" s="221"/>
      <c r="X103" s="221"/>
      <c r="Y103" s="223"/>
      <c r="Z103" s="221"/>
    </row>
    <row r="104" spans="1:26" x14ac:dyDescent="0.2">
      <c r="A104" s="124"/>
      <c r="B104" s="132"/>
      <c r="E104" s="121"/>
      <c r="F104" s="121"/>
      <c r="G104" s="131"/>
      <c r="H104" s="132"/>
      <c r="I104" s="132"/>
      <c r="J104" s="132"/>
      <c r="K104" s="133"/>
      <c r="L104" s="132"/>
      <c r="M104" s="132"/>
      <c r="N104" s="221"/>
      <c r="O104" s="294"/>
      <c r="P104" s="221"/>
      <c r="Q104" s="221"/>
      <c r="R104" s="221"/>
      <c r="S104" s="221"/>
      <c r="T104" s="221"/>
      <c r="U104" s="221"/>
      <c r="V104" s="223"/>
      <c r="W104" s="221"/>
      <c r="X104" s="221"/>
      <c r="Y104" s="223"/>
      <c r="Z104" s="221"/>
    </row>
    <row r="105" spans="1:26" x14ac:dyDescent="0.2">
      <c r="A105" s="124"/>
      <c r="B105" s="132"/>
      <c r="E105" s="121"/>
      <c r="F105" s="121"/>
      <c r="G105" s="131"/>
      <c r="H105" s="132"/>
      <c r="I105" s="132"/>
      <c r="J105" s="132"/>
      <c r="K105" s="133"/>
      <c r="L105" s="132"/>
      <c r="M105" s="132"/>
      <c r="N105" s="221"/>
      <c r="O105" s="294"/>
      <c r="P105" s="221"/>
      <c r="Q105" s="221"/>
      <c r="R105" s="221"/>
      <c r="S105" s="221"/>
      <c r="T105" s="221"/>
      <c r="U105" s="221"/>
      <c r="V105" s="223"/>
      <c r="W105" s="221"/>
      <c r="X105" s="221"/>
      <c r="Y105" s="223"/>
      <c r="Z105" s="221"/>
    </row>
    <row r="106" spans="1:26" x14ac:dyDescent="0.2">
      <c r="A106" s="124"/>
      <c r="B106" s="132"/>
      <c r="E106" s="121"/>
      <c r="F106" s="121"/>
      <c r="G106" s="131"/>
      <c r="H106" s="132"/>
      <c r="I106" s="132"/>
      <c r="J106" s="132"/>
      <c r="K106" s="133"/>
      <c r="L106" s="132"/>
      <c r="M106" s="132"/>
      <c r="N106" s="221"/>
      <c r="O106" s="294"/>
      <c r="P106" s="221"/>
      <c r="Q106" s="221"/>
      <c r="R106" s="221"/>
      <c r="S106" s="221"/>
      <c r="T106" s="221"/>
      <c r="U106" s="221"/>
      <c r="V106" s="223"/>
      <c r="W106" s="221"/>
      <c r="X106" s="221"/>
      <c r="Y106" s="223"/>
      <c r="Z106" s="221"/>
    </row>
    <row r="107" spans="1:26" x14ac:dyDescent="0.2">
      <c r="A107" s="124"/>
      <c r="B107" s="132"/>
      <c r="E107" s="121"/>
      <c r="F107" s="121"/>
      <c r="G107" s="131"/>
      <c r="H107" s="132"/>
      <c r="I107" s="132"/>
      <c r="J107" s="132"/>
      <c r="K107" s="133"/>
      <c r="L107" s="132"/>
      <c r="M107" s="132"/>
      <c r="N107" s="221"/>
      <c r="O107" s="294"/>
      <c r="P107" s="221"/>
      <c r="Q107" s="221"/>
      <c r="R107" s="221"/>
      <c r="S107" s="221"/>
      <c r="T107" s="221"/>
      <c r="U107" s="221"/>
      <c r="V107" s="223"/>
      <c r="W107" s="221"/>
      <c r="X107" s="221"/>
      <c r="Y107" s="223"/>
      <c r="Z107" s="221"/>
    </row>
    <row r="108" spans="1:26" x14ac:dyDescent="0.2">
      <c r="A108" s="124"/>
      <c r="B108" s="132"/>
      <c r="E108" s="121"/>
      <c r="F108" s="121"/>
      <c r="G108" s="131"/>
      <c r="H108" s="132"/>
      <c r="I108" s="132"/>
      <c r="J108" s="132"/>
      <c r="K108" s="133"/>
      <c r="L108" s="132"/>
      <c r="M108" s="132"/>
      <c r="N108" s="221"/>
      <c r="O108" s="294"/>
      <c r="P108" s="221"/>
      <c r="Q108" s="221"/>
      <c r="R108" s="221"/>
      <c r="S108" s="221"/>
      <c r="T108" s="221"/>
      <c r="U108" s="221"/>
      <c r="V108" s="223"/>
      <c r="W108" s="221"/>
      <c r="X108" s="221"/>
      <c r="Y108" s="223"/>
      <c r="Z108" s="221"/>
    </row>
    <row r="109" spans="1:26" x14ac:dyDescent="0.2">
      <c r="A109" s="124"/>
      <c r="B109" s="132"/>
      <c r="E109" s="121"/>
      <c r="F109" s="121"/>
      <c r="G109" s="131"/>
      <c r="H109" s="132"/>
      <c r="I109" s="132"/>
      <c r="J109" s="132"/>
      <c r="K109" s="133"/>
      <c r="L109" s="132"/>
      <c r="M109" s="132"/>
      <c r="N109" s="221"/>
      <c r="O109" s="294"/>
      <c r="P109" s="221"/>
      <c r="Q109" s="221"/>
      <c r="R109" s="221"/>
      <c r="S109" s="221"/>
      <c r="T109" s="221"/>
      <c r="U109" s="221"/>
      <c r="V109" s="223"/>
      <c r="W109" s="221"/>
      <c r="X109" s="221"/>
      <c r="Y109" s="223"/>
      <c r="Z109" s="221"/>
    </row>
    <row r="110" spans="1:26" x14ac:dyDescent="0.2">
      <c r="A110" s="124"/>
      <c r="B110" s="132"/>
      <c r="E110" s="121"/>
      <c r="F110" s="121"/>
      <c r="G110" s="131"/>
      <c r="H110" s="132"/>
      <c r="I110" s="132"/>
      <c r="J110" s="132"/>
      <c r="K110" s="133"/>
      <c r="L110" s="132"/>
      <c r="M110" s="132"/>
      <c r="N110" s="221"/>
      <c r="O110" s="294"/>
      <c r="P110" s="221"/>
      <c r="Q110" s="221"/>
      <c r="R110" s="221"/>
      <c r="S110" s="221"/>
      <c r="T110" s="221"/>
      <c r="U110" s="221"/>
      <c r="V110" s="223"/>
      <c r="W110" s="221"/>
      <c r="X110" s="221"/>
      <c r="Y110" s="223"/>
      <c r="Z110" s="221"/>
    </row>
    <row r="111" spans="1:26" x14ac:dyDescent="0.2">
      <c r="A111" s="124"/>
      <c r="B111" s="132"/>
      <c r="E111" s="121"/>
      <c r="F111" s="121"/>
      <c r="G111" s="131"/>
      <c r="H111" s="132"/>
      <c r="I111" s="132"/>
      <c r="J111" s="132"/>
      <c r="K111" s="133"/>
      <c r="L111" s="132"/>
      <c r="M111" s="132"/>
      <c r="N111" s="221"/>
      <c r="O111" s="294"/>
      <c r="P111" s="221"/>
      <c r="Q111" s="221"/>
      <c r="R111" s="221"/>
      <c r="S111" s="221"/>
      <c r="T111" s="221"/>
      <c r="U111" s="221"/>
      <c r="V111" s="223"/>
      <c r="W111" s="221"/>
      <c r="X111" s="221"/>
      <c r="Y111" s="223"/>
      <c r="Z111" s="221"/>
    </row>
    <row r="112" spans="1:26" x14ac:dyDescent="0.2">
      <c r="A112" s="124"/>
      <c r="B112" s="132"/>
      <c r="E112" s="121"/>
      <c r="F112" s="121"/>
      <c r="G112" s="131"/>
      <c r="H112" s="132"/>
      <c r="I112" s="132"/>
      <c r="J112" s="132"/>
      <c r="K112" s="133"/>
      <c r="L112" s="132"/>
      <c r="M112" s="132"/>
      <c r="N112" s="221"/>
      <c r="O112" s="294"/>
      <c r="P112" s="221"/>
      <c r="Q112" s="221"/>
      <c r="R112" s="221"/>
      <c r="S112" s="221"/>
      <c r="T112" s="221"/>
      <c r="U112" s="221"/>
      <c r="V112" s="223"/>
      <c r="W112" s="221"/>
      <c r="X112" s="221"/>
      <c r="Y112" s="223"/>
      <c r="Z112" s="221"/>
    </row>
    <row r="113" spans="1:26" x14ac:dyDescent="0.2">
      <c r="A113" s="124"/>
      <c r="B113" s="132"/>
      <c r="E113" s="121"/>
      <c r="F113" s="121"/>
      <c r="G113" s="131"/>
      <c r="H113" s="132"/>
      <c r="I113" s="132"/>
      <c r="J113" s="132"/>
      <c r="K113" s="133"/>
      <c r="L113" s="132"/>
      <c r="M113" s="132"/>
      <c r="N113" s="221"/>
      <c r="O113" s="294"/>
      <c r="P113" s="221"/>
      <c r="Q113" s="221"/>
      <c r="R113" s="221"/>
      <c r="S113" s="221"/>
      <c r="T113" s="221"/>
      <c r="U113" s="221"/>
      <c r="V113" s="223"/>
      <c r="W113" s="221"/>
      <c r="X113" s="221"/>
      <c r="Y113" s="223"/>
      <c r="Z113" s="221"/>
    </row>
    <row r="114" spans="1:26" x14ac:dyDescent="0.2">
      <c r="A114" s="124"/>
      <c r="B114" s="132"/>
      <c r="E114" s="121"/>
      <c r="F114" s="121"/>
      <c r="G114" s="131"/>
      <c r="H114" s="132"/>
      <c r="I114" s="132"/>
      <c r="J114" s="132"/>
      <c r="K114" s="133"/>
      <c r="L114" s="132"/>
      <c r="M114" s="132"/>
      <c r="N114" s="221"/>
      <c r="O114" s="294"/>
      <c r="P114" s="221"/>
      <c r="Q114" s="221"/>
      <c r="R114" s="221"/>
      <c r="S114" s="221"/>
      <c r="T114" s="221"/>
      <c r="U114" s="221"/>
      <c r="V114" s="223"/>
      <c r="W114" s="221"/>
      <c r="X114" s="221"/>
      <c r="Y114" s="223"/>
      <c r="Z114" s="221"/>
    </row>
    <row r="115" spans="1:26" x14ac:dyDescent="0.2">
      <c r="A115" s="124"/>
      <c r="B115" s="132"/>
      <c r="E115" s="121"/>
      <c r="F115" s="121"/>
      <c r="G115" s="131"/>
      <c r="H115" s="132"/>
      <c r="I115" s="132"/>
      <c r="J115" s="132"/>
      <c r="K115" s="133"/>
      <c r="L115" s="132"/>
      <c r="M115" s="132"/>
      <c r="N115" s="221"/>
      <c r="O115" s="294"/>
      <c r="P115" s="221"/>
      <c r="Q115" s="221"/>
      <c r="R115" s="221"/>
      <c r="S115" s="221"/>
      <c r="T115" s="221"/>
      <c r="U115" s="221"/>
      <c r="V115" s="223"/>
      <c r="W115" s="221"/>
      <c r="X115" s="221"/>
      <c r="Y115" s="223"/>
      <c r="Z115" s="221"/>
    </row>
    <row r="116" spans="1:26" x14ac:dyDescent="0.2">
      <c r="A116" s="124"/>
      <c r="B116" s="132"/>
      <c r="E116" s="121"/>
      <c r="F116" s="121"/>
      <c r="G116" s="131"/>
      <c r="H116" s="132"/>
      <c r="I116" s="132"/>
      <c r="J116" s="132"/>
      <c r="K116" s="133"/>
      <c r="L116" s="132"/>
      <c r="M116" s="132"/>
      <c r="N116" s="221"/>
      <c r="O116" s="294"/>
      <c r="P116" s="221"/>
      <c r="Q116" s="221"/>
      <c r="R116" s="221"/>
      <c r="S116" s="221"/>
      <c r="T116" s="221"/>
      <c r="U116" s="221"/>
      <c r="V116" s="223"/>
      <c r="W116" s="221"/>
      <c r="X116" s="221"/>
      <c r="Y116" s="223"/>
      <c r="Z116" s="221"/>
    </row>
    <row r="117" spans="1:26" x14ac:dyDescent="0.2">
      <c r="A117" s="124"/>
      <c r="B117" s="132"/>
      <c r="E117" s="121"/>
      <c r="F117" s="121"/>
      <c r="G117" s="131"/>
      <c r="H117" s="132"/>
      <c r="I117" s="132"/>
      <c r="J117" s="132"/>
      <c r="K117" s="133"/>
      <c r="L117" s="132"/>
      <c r="M117" s="132"/>
      <c r="N117" s="221"/>
      <c r="O117" s="294"/>
      <c r="P117" s="221"/>
      <c r="Q117" s="221"/>
      <c r="R117" s="221"/>
      <c r="S117" s="221"/>
      <c r="T117" s="221"/>
      <c r="U117" s="221"/>
      <c r="V117" s="223"/>
      <c r="W117" s="221"/>
      <c r="X117" s="221"/>
      <c r="Y117" s="223"/>
      <c r="Z117" s="221"/>
    </row>
    <row r="118" spans="1:26" x14ac:dyDescent="0.2">
      <c r="A118" s="124"/>
      <c r="B118" s="132"/>
      <c r="E118" s="121"/>
      <c r="F118" s="121"/>
      <c r="G118" s="131"/>
      <c r="H118" s="132"/>
      <c r="I118" s="132"/>
      <c r="J118" s="132"/>
      <c r="K118" s="133"/>
      <c r="L118" s="132"/>
      <c r="M118" s="132"/>
      <c r="N118" s="221"/>
      <c r="O118" s="294"/>
      <c r="P118" s="221"/>
      <c r="Q118" s="221"/>
      <c r="R118" s="221"/>
      <c r="S118" s="221"/>
      <c r="T118" s="221"/>
      <c r="U118" s="221"/>
      <c r="V118" s="223"/>
      <c r="W118" s="221"/>
      <c r="X118" s="221"/>
      <c r="Y118" s="223"/>
      <c r="Z118" s="221"/>
    </row>
    <row r="119" spans="1:26" x14ac:dyDescent="0.2">
      <c r="A119" s="124"/>
      <c r="B119" s="132"/>
      <c r="E119" s="121"/>
      <c r="F119" s="121"/>
      <c r="G119" s="131"/>
      <c r="H119" s="132"/>
      <c r="I119" s="132"/>
      <c r="J119" s="132"/>
      <c r="K119" s="133"/>
      <c r="L119" s="132"/>
      <c r="M119" s="132"/>
      <c r="N119" s="221"/>
      <c r="O119" s="294"/>
      <c r="P119" s="221"/>
      <c r="Q119" s="221"/>
      <c r="R119" s="221"/>
      <c r="S119" s="221"/>
      <c r="T119" s="221"/>
      <c r="U119" s="221"/>
      <c r="V119" s="223"/>
      <c r="W119" s="221"/>
      <c r="X119" s="221"/>
      <c r="Y119" s="223"/>
      <c r="Z119" s="221"/>
    </row>
    <row r="120" spans="1:26" x14ac:dyDescent="0.2">
      <c r="A120" s="124"/>
      <c r="B120" s="132"/>
      <c r="E120" s="121"/>
      <c r="F120" s="121"/>
      <c r="G120" s="131"/>
      <c r="H120" s="132"/>
      <c r="I120" s="132"/>
      <c r="J120" s="132"/>
      <c r="K120" s="133"/>
      <c r="L120" s="132"/>
      <c r="M120" s="132"/>
      <c r="N120" s="221"/>
      <c r="O120" s="294"/>
      <c r="P120" s="221"/>
      <c r="Q120" s="221"/>
      <c r="R120" s="221"/>
      <c r="S120" s="221"/>
      <c r="T120" s="221"/>
      <c r="U120" s="221"/>
      <c r="V120" s="223"/>
      <c r="W120" s="221"/>
      <c r="X120" s="221"/>
      <c r="Y120" s="223"/>
      <c r="Z120" s="221"/>
    </row>
    <row r="121" spans="1:26" x14ac:dyDescent="0.2">
      <c r="A121" s="124"/>
      <c r="B121" s="132"/>
      <c r="E121" s="121"/>
      <c r="F121" s="121"/>
      <c r="G121" s="131"/>
      <c r="H121" s="132"/>
      <c r="I121" s="132"/>
      <c r="J121" s="132"/>
      <c r="K121" s="133"/>
      <c r="L121" s="132"/>
      <c r="M121" s="132"/>
      <c r="N121" s="221"/>
      <c r="O121" s="294"/>
      <c r="P121" s="221"/>
      <c r="Q121" s="221"/>
      <c r="R121" s="221"/>
      <c r="S121" s="221"/>
      <c r="T121" s="221"/>
      <c r="U121" s="221"/>
      <c r="V121" s="223"/>
      <c r="W121" s="221"/>
      <c r="X121" s="221"/>
      <c r="Y121" s="223"/>
      <c r="Z121" s="221"/>
    </row>
    <row r="122" spans="1:26" x14ac:dyDescent="0.2">
      <c r="A122" s="124"/>
      <c r="B122" s="132"/>
      <c r="E122" s="121"/>
      <c r="F122" s="121"/>
      <c r="G122" s="131"/>
      <c r="H122" s="132"/>
      <c r="I122" s="132"/>
      <c r="J122" s="132"/>
      <c r="K122" s="133"/>
      <c r="L122" s="132"/>
      <c r="M122" s="132"/>
      <c r="N122" s="221"/>
      <c r="O122" s="294"/>
      <c r="P122" s="221"/>
      <c r="Q122" s="221"/>
      <c r="R122" s="221"/>
      <c r="S122" s="221"/>
      <c r="T122" s="221"/>
      <c r="U122" s="221"/>
      <c r="V122" s="223"/>
      <c r="W122" s="221"/>
      <c r="X122" s="221"/>
      <c r="Y122" s="223"/>
      <c r="Z122" s="221"/>
    </row>
    <row r="123" spans="1:26" x14ac:dyDescent="0.2">
      <c r="A123" s="124"/>
      <c r="B123" s="132"/>
      <c r="E123" s="121"/>
      <c r="F123" s="121"/>
      <c r="G123" s="131"/>
      <c r="H123" s="132"/>
      <c r="I123" s="132"/>
      <c r="J123" s="132"/>
      <c r="K123" s="133"/>
      <c r="L123" s="132"/>
      <c r="M123" s="132"/>
      <c r="N123" s="221"/>
      <c r="O123" s="294"/>
      <c r="P123" s="221"/>
      <c r="Q123" s="221"/>
      <c r="R123" s="221"/>
      <c r="S123" s="221"/>
      <c r="T123" s="221"/>
      <c r="U123" s="221"/>
      <c r="V123" s="223"/>
      <c r="W123" s="221"/>
      <c r="X123" s="221"/>
      <c r="Y123" s="223"/>
      <c r="Z123" s="221"/>
    </row>
    <row r="124" spans="1:26" x14ac:dyDescent="0.2">
      <c r="A124" s="124"/>
      <c r="B124" s="132"/>
      <c r="E124" s="121"/>
      <c r="F124" s="121"/>
      <c r="G124" s="131"/>
      <c r="H124" s="132"/>
      <c r="I124" s="132"/>
      <c r="J124" s="132"/>
      <c r="K124" s="133"/>
      <c r="L124" s="132"/>
      <c r="M124" s="132"/>
      <c r="N124" s="221"/>
      <c r="O124" s="294"/>
      <c r="P124" s="221"/>
      <c r="Q124" s="221"/>
      <c r="R124" s="221"/>
      <c r="S124" s="221"/>
      <c r="T124" s="221"/>
      <c r="U124" s="221"/>
      <c r="V124" s="223"/>
      <c r="W124" s="221"/>
      <c r="X124" s="221"/>
      <c r="Y124" s="223"/>
      <c r="Z124" s="221"/>
    </row>
    <row r="125" spans="1:26" x14ac:dyDescent="0.2">
      <c r="A125" s="124"/>
      <c r="B125" s="132"/>
      <c r="E125" s="121"/>
      <c r="F125" s="121"/>
      <c r="G125" s="131"/>
      <c r="H125" s="132"/>
      <c r="I125" s="132"/>
      <c r="J125" s="132"/>
      <c r="K125" s="133"/>
      <c r="L125" s="132"/>
      <c r="M125" s="132"/>
      <c r="N125" s="221"/>
      <c r="O125" s="294"/>
      <c r="P125" s="221"/>
      <c r="Q125" s="221"/>
      <c r="R125" s="221"/>
      <c r="S125" s="221"/>
      <c r="T125" s="221"/>
      <c r="U125" s="221"/>
      <c r="V125" s="223"/>
      <c r="W125" s="221"/>
      <c r="X125" s="221"/>
      <c r="Y125" s="223"/>
      <c r="Z125" s="221"/>
    </row>
    <row r="126" spans="1:26" x14ac:dyDescent="0.2">
      <c r="A126" s="124"/>
      <c r="B126" s="132"/>
      <c r="E126" s="121"/>
      <c r="F126" s="121"/>
      <c r="G126" s="131"/>
      <c r="H126" s="132"/>
      <c r="I126" s="132"/>
      <c r="J126" s="132"/>
      <c r="K126" s="133"/>
      <c r="L126" s="132"/>
      <c r="M126" s="132"/>
      <c r="N126" s="221"/>
      <c r="O126" s="294"/>
      <c r="P126" s="221"/>
      <c r="Q126" s="221"/>
      <c r="R126" s="221"/>
      <c r="S126" s="221"/>
      <c r="T126" s="221"/>
      <c r="U126" s="221"/>
      <c r="V126" s="223"/>
      <c r="W126" s="221"/>
      <c r="X126" s="221"/>
      <c r="Y126" s="223"/>
      <c r="Z126" s="221"/>
    </row>
    <row r="127" spans="1:26" x14ac:dyDescent="0.2">
      <c r="A127" s="124"/>
      <c r="B127" s="132"/>
      <c r="E127" s="121"/>
      <c r="F127" s="121"/>
      <c r="G127" s="131"/>
      <c r="H127" s="132"/>
      <c r="I127" s="132"/>
      <c r="J127" s="132"/>
      <c r="K127" s="133"/>
      <c r="L127" s="132"/>
      <c r="M127" s="132"/>
      <c r="N127" s="221"/>
      <c r="O127" s="294"/>
      <c r="P127" s="221"/>
      <c r="Q127" s="221"/>
      <c r="R127" s="221"/>
      <c r="S127" s="221"/>
      <c r="T127" s="221"/>
      <c r="U127" s="221"/>
      <c r="V127" s="223"/>
      <c r="W127" s="221"/>
      <c r="X127" s="221"/>
      <c r="Y127" s="223"/>
      <c r="Z127" s="221"/>
    </row>
    <row r="128" spans="1:26" x14ac:dyDescent="0.2">
      <c r="A128" s="124"/>
      <c r="B128" s="132"/>
      <c r="E128" s="121"/>
      <c r="F128" s="121"/>
      <c r="G128" s="131"/>
      <c r="H128" s="132"/>
      <c r="I128" s="132"/>
      <c r="J128" s="132"/>
      <c r="K128" s="133"/>
      <c r="L128" s="132"/>
      <c r="M128" s="132"/>
      <c r="N128" s="221"/>
      <c r="O128" s="294"/>
      <c r="P128" s="221"/>
      <c r="Q128" s="221"/>
      <c r="R128" s="221"/>
      <c r="S128" s="221"/>
      <c r="T128" s="221"/>
      <c r="U128" s="221"/>
      <c r="V128" s="223"/>
      <c r="W128" s="221"/>
      <c r="X128" s="221"/>
      <c r="Y128" s="223"/>
      <c r="Z128" s="221"/>
    </row>
    <row r="129" spans="1:26" x14ac:dyDescent="0.2">
      <c r="A129" s="124"/>
      <c r="B129" s="132"/>
      <c r="E129" s="121"/>
      <c r="F129" s="121"/>
      <c r="G129" s="131"/>
      <c r="H129" s="132"/>
      <c r="I129" s="132"/>
      <c r="J129" s="132"/>
      <c r="K129" s="133"/>
      <c r="L129" s="132"/>
      <c r="M129" s="132"/>
      <c r="N129" s="221"/>
      <c r="O129" s="294"/>
      <c r="P129" s="221"/>
      <c r="Q129" s="221"/>
      <c r="R129" s="221"/>
      <c r="S129" s="221"/>
      <c r="T129" s="221"/>
      <c r="U129" s="221"/>
      <c r="V129" s="223"/>
      <c r="W129" s="221"/>
      <c r="X129" s="221"/>
      <c r="Y129" s="223"/>
      <c r="Z129" s="221"/>
    </row>
    <row r="130" spans="1:26" x14ac:dyDescent="0.2">
      <c r="A130" s="124"/>
      <c r="B130" s="132"/>
      <c r="E130" s="121"/>
      <c r="F130" s="121"/>
      <c r="G130" s="131"/>
      <c r="H130" s="132"/>
      <c r="I130" s="132"/>
      <c r="J130" s="132"/>
      <c r="K130" s="133"/>
      <c r="L130" s="132"/>
      <c r="M130" s="132"/>
      <c r="N130" s="221"/>
      <c r="O130" s="294"/>
      <c r="P130" s="221"/>
      <c r="Q130" s="221"/>
      <c r="R130" s="221"/>
      <c r="S130" s="221"/>
      <c r="T130" s="221"/>
      <c r="U130" s="221"/>
      <c r="V130" s="223"/>
      <c r="W130" s="221"/>
      <c r="X130" s="221"/>
      <c r="Y130" s="223"/>
      <c r="Z130" s="221"/>
    </row>
    <row r="131" spans="1:26" x14ac:dyDescent="0.2">
      <c r="A131" s="124"/>
      <c r="B131" s="132"/>
      <c r="E131" s="121"/>
      <c r="F131" s="121"/>
      <c r="G131" s="131"/>
      <c r="H131" s="132"/>
      <c r="I131" s="132"/>
      <c r="J131" s="132"/>
      <c r="K131" s="133"/>
      <c r="L131" s="132"/>
      <c r="M131" s="132"/>
      <c r="N131" s="221"/>
      <c r="O131" s="294"/>
      <c r="P131" s="221"/>
      <c r="Q131" s="221"/>
      <c r="R131" s="221"/>
      <c r="S131" s="221"/>
      <c r="T131" s="221"/>
      <c r="U131" s="221"/>
      <c r="V131" s="223"/>
      <c r="W131" s="221"/>
      <c r="X131" s="221"/>
      <c r="Y131" s="223"/>
      <c r="Z131" s="221"/>
    </row>
    <row r="132" spans="1:26" x14ac:dyDescent="0.2">
      <c r="A132" s="124"/>
      <c r="B132" s="132"/>
      <c r="E132" s="121"/>
      <c r="F132" s="121"/>
      <c r="G132" s="131"/>
      <c r="H132" s="132"/>
      <c r="I132" s="132"/>
      <c r="J132" s="132"/>
      <c r="K132" s="133"/>
      <c r="L132" s="132"/>
      <c r="M132" s="132"/>
      <c r="N132" s="221"/>
      <c r="O132" s="294"/>
      <c r="P132" s="221"/>
      <c r="Q132" s="221"/>
      <c r="R132" s="221"/>
      <c r="S132" s="221"/>
      <c r="T132" s="221"/>
      <c r="U132" s="221"/>
      <c r="V132" s="223"/>
      <c r="W132" s="221"/>
      <c r="X132" s="221"/>
      <c r="Y132" s="223"/>
      <c r="Z132" s="221"/>
    </row>
    <row r="133" spans="1:26" x14ac:dyDescent="0.2">
      <c r="A133" s="124"/>
      <c r="B133" s="132"/>
      <c r="E133" s="121"/>
      <c r="F133" s="121"/>
      <c r="G133" s="131"/>
      <c r="H133" s="132"/>
      <c r="I133" s="132"/>
      <c r="J133" s="132"/>
      <c r="K133" s="133"/>
      <c r="L133" s="132"/>
      <c r="M133" s="132"/>
      <c r="N133" s="221"/>
      <c r="O133" s="294"/>
      <c r="P133" s="221"/>
      <c r="Q133" s="221"/>
      <c r="R133" s="221"/>
      <c r="S133" s="221"/>
      <c r="T133" s="221"/>
      <c r="U133" s="221"/>
      <c r="V133" s="223"/>
      <c r="W133" s="221"/>
      <c r="X133" s="221"/>
      <c r="Y133" s="223"/>
      <c r="Z133" s="221"/>
    </row>
    <row r="134" spans="1:26" x14ac:dyDescent="0.2">
      <c r="A134" s="124"/>
      <c r="B134" s="132"/>
      <c r="E134" s="121"/>
      <c r="F134" s="121"/>
      <c r="G134" s="131"/>
      <c r="H134" s="132"/>
      <c r="I134" s="132"/>
      <c r="J134" s="132"/>
      <c r="K134" s="133"/>
      <c r="L134" s="132"/>
      <c r="M134" s="132"/>
      <c r="N134" s="221"/>
      <c r="O134" s="294"/>
      <c r="P134" s="221"/>
      <c r="Q134" s="221"/>
      <c r="R134" s="221"/>
      <c r="S134" s="221"/>
      <c r="T134" s="221"/>
      <c r="U134" s="221"/>
      <c r="V134" s="223"/>
      <c r="W134" s="221"/>
      <c r="X134" s="221"/>
      <c r="Y134" s="223"/>
      <c r="Z134" s="221"/>
    </row>
    <row r="135" spans="1:26" x14ac:dyDescent="0.2">
      <c r="A135" s="124"/>
      <c r="B135" s="132"/>
      <c r="E135" s="121"/>
      <c r="F135" s="121"/>
      <c r="G135" s="131"/>
      <c r="H135" s="132"/>
      <c r="I135" s="132"/>
      <c r="J135" s="132"/>
      <c r="K135" s="133"/>
      <c r="L135" s="132"/>
      <c r="M135" s="132"/>
      <c r="N135" s="221"/>
      <c r="O135" s="294"/>
      <c r="P135" s="221"/>
      <c r="Q135" s="221"/>
      <c r="R135" s="221"/>
      <c r="S135" s="221"/>
      <c r="T135" s="221"/>
      <c r="U135" s="221"/>
      <c r="V135" s="223"/>
      <c r="W135" s="221"/>
      <c r="X135" s="221"/>
      <c r="Y135" s="223"/>
      <c r="Z135" s="221"/>
    </row>
    <row r="136" spans="1:26" x14ac:dyDescent="0.2">
      <c r="A136" s="124"/>
      <c r="B136" s="132"/>
      <c r="E136" s="121"/>
      <c r="F136" s="121"/>
      <c r="G136" s="131"/>
      <c r="H136" s="132"/>
      <c r="I136" s="132"/>
      <c r="J136" s="132"/>
      <c r="K136" s="133"/>
      <c r="L136" s="132"/>
      <c r="M136" s="132"/>
      <c r="N136" s="221"/>
      <c r="O136" s="294"/>
      <c r="P136" s="221"/>
      <c r="Q136" s="221"/>
      <c r="R136" s="221"/>
      <c r="S136" s="221"/>
      <c r="T136" s="221"/>
      <c r="U136" s="221"/>
      <c r="V136" s="223"/>
      <c r="W136" s="221"/>
      <c r="X136" s="221"/>
      <c r="Y136" s="223"/>
      <c r="Z136" s="221"/>
    </row>
    <row r="137" spans="1:26" x14ac:dyDescent="0.2">
      <c r="A137" s="124"/>
      <c r="B137" s="132"/>
      <c r="E137" s="121"/>
      <c r="F137" s="121"/>
      <c r="G137" s="131"/>
      <c r="H137" s="132"/>
      <c r="I137" s="132"/>
      <c r="J137" s="132"/>
      <c r="K137" s="133"/>
      <c r="L137" s="132"/>
      <c r="M137" s="132"/>
      <c r="N137" s="221"/>
      <c r="O137" s="294"/>
      <c r="P137" s="221"/>
      <c r="Q137" s="221"/>
      <c r="R137" s="221"/>
      <c r="S137" s="221"/>
      <c r="T137" s="221"/>
      <c r="U137" s="221"/>
      <c r="V137" s="223"/>
      <c r="W137" s="221"/>
      <c r="X137" s="221"/>
      <c r="Y137" s="223"/>
      <c r="Z137" s="221"/>
    </row>
    <row r="138" spans="1:26" x14ac:dyDescent="0.2">
      <c r="A138" s="124"/>
      <c r="B138" s="132"/>
      <c r="E138" s="121"/>
      <c r="F138" s="121"/>
      <c r="G138" s="131"/>
      <c r="H138" s="132"/>
      <c r="I138" s="132"/>
      <c r="J138" s="132"/>
      <c r="K138" s="133"/>
      <c r="L138" s="132"/>
      <c r="M138" s="132"/>
      <c r="N138" s="221"/>
      <c r="O138" s="294"/>
      <c r="P138" s="221"/>
      <c r="Q138" s="221"/>
      <c r="R138" s="221"/>
      <c r="S138" s="221"/>
      <c r="T138" s="221"/>
      <c r="U138" s="221"/>
      <c r="V138" s="223"/>
      <c r="W138" s="221"/>
      <c r="X138" s="221"/>
      <c r="Y138" s="223"/>
      <c r="Z138" s="221"/>
    </row>
    <row r="139" spans="1:26" x14ac:dyDescent="0.2">
      <c r="A139" s="124"/>
      <c r="B139" s="132"/>
      <c r="E139" s="121"/>
      <c r="F139" s="121"/>
      <c r="G139" s="131"/>
      <c r="H139" s="132"/>
      <c r="I139" s="132"/>
      <c r="J139" s="132"/>
      <c r="K139" s="133"/>
      <c r="L139" s="132"/>
      <c r="M139" s="132"/>
      <c r="N139" s="221"/>
      <c r="O139" s="294"/>
      <c r="P139" s="221"/>
      <c r="Q139" s="221"/>
      <c r="R139" s="221"/>
      <c r="S139" s="221"/>
      <c r="T139" s="221"/>
      <c r="U139" s="221"/>
      <c r="V139" s="223"/>
      <c r="W139" s="221"/>
      <c r="X139" s="221"/>
      <c r="Y139" s="223"/>
      <c r="Z139" s="221"/>
    </row>
    <row r="140" spans="1:26" x14ac:dyDescent="0.2">
      <c r="A140" s="124"/>
      <c r="B140" s="132"/>
      <c r="E140" s="121"/>
      <c r="F140" s="121"/>
      <c r="G140" s="131"/>
      <c r="H140" s="132"/>
      <c r="I140" s="132"/>
      <c r="J140" s="132"/>
      <c r="K140" s="133"/>
      <c r="L140" s="132"/>
      <c r="M140" s="132"/>
      <c r="N140" s="221"/>
      <c r="O140" s="294"/>
      <c r="P140" s="221"/>
      <c r="Q140" s="221"/>
      <c r="R140" s="221"/>
      <c r="S140" s="221"/>
      <c r="T140" s="221"/>
      <c r="U140" s="221"/>
      <c r="V140" s="223"/>
      <c r="W140" s="221"/>
      <c r="X140" s="221"/>
      <c r="Y140" s="223"/>
      <c r="Z140" s="221"/>
    </row>
    <row r="141" spans="1:26" x14ac:dyDescent="0.2">
      <c r="A141" s="124"/>
      <c r="B141" s="132"/>
      <c r="E141" s="121"/>
      <c r="F141" s="121"/>
      <c r="G141" s="131"/>
      <c r="H141" s="132"/>
      <c r="I141" s="132"/>
      <c r="J141" s="132"/>
      <c r="K141" s="133"/>
      <c r="L141" s="132"/>
      <c r="M141" s="132"/>
      <c r="N141" s="221"/>
      <c r="O141" s="294"/>
      <c r="P141" s="221"/>
      <c r="Q141" s="221"/>
      <c r="R141" s="221"/>
      <c r="S141" s="221"/>
      <c r="T141" s="221"/>
      <c r="U141" s="221"/>
      <c r="V141" s="223"/>
      <c r="W141" s="221"/>
      <c r="X141" s="221"/>
      <c r="Y141" s="223"/>
      <c r="Z141" s="221"/>
    </row>
    <row r="142" spans="1:26" x14ac:dyDescent="0.2">
      <c r="A142" s="124"/>
      <c r="B142" s="132"/>
      <c r="E142" s="121"/>
      <c r="F142" s="121"/>
      <c r="G142" s="131"/>
      <c r="H142" s="132"/>
      <c r="I142" s="132"/>
      <c r="J142" s="132"/>
      <c r="K142" s="133"/>
      <c r="L142" s="132"/>
      <c r="M142" s="132"/>
      <c r="N142" s="221"/>
      <c r="O142" s="294"/>
      <c r="P142" s="221"/>
      <c r="Q142" s="221"/>
      <c r="R142" s="221"/>
      <c r="S142" s="221"/>
      <c r="T142" s="221"/>
      <c r="U142" s="221"/>
      <c r="V142" s="223"/>
      <c r="W142" s="221"/>
      <c r="X142" s="221"/>
      <c r="Y142" s="223"/>
      <c r="Z142" s="221"/>
    </row>
    <row r="143" spans="1:26" x14ac:dyDescent="0.2">
      <c r="A143" s="124"/>
      <c r="B143" s="132"/>
      <c r="E143" s="121"/>
      <c r="F143" s="121"/>
      <c r="G143" s="131"/>
      <c r="H143" s="132"/>
      <c r="I143" s="132"/>
      <c r="J143" s="132"/>
      <c r="K143" s="133"/>
      <c r="L143" s="132"/>
      <c r="M143" s="132"/>
      <c r="N143" s="221"/>
      <c r="O143" s="294"/>
      <c r="P143" s="221"/>
      <c r="Q143" s="221"/>
      <c r="R143" s="221"/>
      <c r="S143" s="221"/>
      <c r="T143" s="221"/>
      <c r="U143" s="221"/>
      <c r="V143" s="223"/>
      <c r="W143" s="221"/>
      <c r="X143" s="221"/>
      <c r="Y143" s="223"/>
      <c r="Z143" s="221"/>
    </row>
    <row r="144" spans="1:26" x14ac:dyDescent="0.2">
      <c r="A144" s="124"/>
      <c r="B144" s="132"/>
      <c r="E144" s="121"/>
      <c r="F144" s="121"/>
      <c r="G144" s="131"/>
      <c r="H144" s="132"/>
      <c r="I144" s="132"/>
      <c r="J144" s="132"/>
      <c r="K144" s="133"/>
      <c r="L144" s="132"/>
      <c r="M144" s="132"/>
      <c r="N144" s="221"/>
      <c r="O144" s="294"/>
      <c r="P144" s="221"/>
      <c r="Q144" s="221"/>
      <c r="R144" s="221"/>
      <c r="S144" s="221"/>
      <c r="T144" s="221"/>
      <c r="U144" s="221"/>
      <c r="V144" s="223"/>
      <c r="W144" s="221"/>
      <c r="X144" s="221"/>
      <c r="Y144" s="223"/>
      <c r="Z144" s="221"/>
    </row>
    <row r="145" spans="1:26" x14ac:dyDescent="0.2">
      <c r="A145" s="124"/>
      <c r="B145" s="132"/>
      <c r="E145" s="121"/>
      <c r="F145" s="121"/>
      <c r="G145" s="131"/>
      <c r="H145" s="132"/>
      <c r="I145" s="132"/>
      <c r="J145" s="132"/>
      <c r="K145" s="133"/>
      <c r="L145" s="132"/>
      <c r="M145" s="132"/>
      <c r="N145" s="221"/>
      <c r="O145" s="294"/>
      <c r="P145" s="221"/>
      <c r="Q145" s="221"/>
      <c r="R145" s="221"/>
      <c r="S145" s="221"/>
      <c r="T145" s="221"/>
      <c r="U145" s="221"/>
      <c r="V145" s="223"/>
      <c r="W145" s="221"/>
      <c r="X145" s="221"/>
      <c r="Y145" s="223"/>
      <c r="Z145" s="221"/>
    </row>
    <row r="146" spans="1:26" x14ac:dyDescent="0.2">
      <c r="A146" s="124"/>
      <c r="B146" s="132"/>
      <c r="E146" s="121"/>
      <c r="F146" s="121"/>
      <c r="G146" s="131"/>
      <c r="H146" s="132"/>
      <c r="I146" s="132"/>
      <c r="J146" s="132"/>
      <c r="K146" s="133"/>
      <c r="L146" s="132"/>
      <c r="M146" s="132"/>
      <c r="N146" s="221"/>
      <c r="O146" s="294"/>
      <c r="P146" s="221"/>
      <c r="Q146" s="221"/>
      <c r="R146" s="221"/>
      <c r="S146" s="221"/>
      <c r="T146" s="221"/>
      <c r="U146" s="221"/>
      <c r="V146" s="223"/>
      <c r="W146" s="221"/>
      <c r="X146" s="221"/>
      <c r="Y146" s="223"/>
      <c r="Z146" s="221"/>
    </row>
    <row r="147" spans="1:26" x14ac:dyDescent="0.2">
      <c r="A147" s="124"/>
      <c r="B147" s="132"/>
      <c r="E147" s="121"/>
      <c r="F147" s="121"/>
      <c r="G147" s="131"/>
      <c r="H147" s="132"/>
      <c r="I147" s="132"/>
      <c r="J147" s="132"/>
      <c r="K147" s="133"/>
      <c r="L147" s="132"/>
      <c r="M147" s="132"/>
      <c r="N147" s="221"/>
      <c r="O147" s="294"/>
      <c r="P147" s="221"/>
      <c r="Q147" s="221"/>
      <c r="R147" s="221"/>
      <c r="S147" s="221"/>
      <c r="T147" s="221"/>
      <c r="U147" s="221"/>
      <c r="V147" s="223"/>
      <c r="W147" s="221"/>
      <c r="X147" s="221"/>
      <c r="Y147" s="223"/>
      <c r="Z147" s="221"/>
    </row>
    <row r="148" spans="1:26" x14ac:dyDescent="0.2">
      <c r="A148" s="124"/>
      <c r="B148" s="132"/>
      <c r="E148" s="121"/>
      <c r="F148" s="121"/>
      <c r="G148" s="131"/>
      <c r="H148" s="132"/>
      <c r="I148" s="132"/>
      <c r="J148" s="132"/>
      <c r="K148" s="133"/>
      <c r="L148" s="132"/>
      <c r="M148" s="132"/>
      <c r="N148" s="221"/>
      <c r="O148" s="294"/>
      <c r="P148" s="221"/>
      <c r="Q148" s="221"/>
      <c r="R148" s="221"/>
      <c r="S148" s="221"/>
      <c r="T148" s="221"/>
      <c r="U148" s="221"/>
      <c r="V148" s="223"/>
      <c r="W148" s="221"/>
      <c r="X148" s="221"/>
      <c r="Y148" s="223"/>
      <c r="Z148" s="221"/>
    </row>
    <row r="149" spans="1:26" x14ac:dyDescent="0.2">
      <c r="A149" s="124"/>
      <c r="B149" s="132"/>
      <c r="E149" s="121"/>
      <c r="F149" s="121"/>
      <c r="G149" s="131"/>
      <c r="H149" s="132"/>
      <c r="I149" s="132"/>
      <c r="J149" s="132"/>
      <c r="K149" s="133"/>
      <c r="L149" s="132"/>
      <c r="M149" s="132"/>
      <c r="N149" s="221"/>
      <c r="O149" s="294"/>
      <c r="P149" s="221"/>
      <c r="Q149" s="221"/>
      <c r="R149" s="221"/>
      <c r="S149" s="221"/>
      <c r="T149" s="221"/>
      <c r="U149" s="221"/>
      <c r="V149" s="223"/>
      <c r="W149" s="221"/>
      <c r="X149" s="221"/>
      <c r="Y149" s="223"/>
      <c r="Z149" s="221"/>
    </row>
    <row r="150" spans="1:26" x14ac:dyDescent="0.2">
      <c r="A150" s="124"/>
      <c r="B150" s="132"/>
      <c r="E150" s="121"/>
      <c r="F150" s="121"/>
      <c r="G150" s="131"/>
      <c r="H150" s="132"/>
      <c r="I150" s="132"/>
      <c r="J150" s="132"/>
      <c r="K150" s="133"/>
      <c r="L150" s="132"/>
      <c r="M150" s="132"/>
      <c r="N150" s="221"/>
      <c r="O150" s="294"/>
      <c r="P150" s="221"/>
      <c r="Q150" s="221"/>
      <c r="R150" s="221"/>
      <c r="S150" s="221"/>
      <c r="T150" s="221"/>
      <c r="U150" s="221"/>
      <c r="V150" s="223"/>
      <c r="W150" s="221"/>
      <c r="X150" s="221"/>
      <c r="Y150" s="223"/>
      <c r="Z150" s="221"/>
    </row>
    <row r="151" spans="1:26" x14ac:dyDescent="0.2">
      <c r="A151" s="124"/>
      <c r="B151" s="132"/>
      <c r="E151" s="121"/>
      <c r="F151" s="121"/>
      <c r="G151" s="131"/>
      <c r="H151" s="132"/>
      <c r="I151" s="132"/>
      <c r="J151" s="132"/>
      <c r="K151" s="133"/>
      <c r="L151" s="132"/>
      <c r="M151" s="132"/>
      <c r="N151" s="221"/>
      <c r="O151" s="294"/>
      <c r="P151" s="221"/>
      <c r="Q151" s="221"/>
      <c r="R151" s="221"/>
      <c r="S151" s="221"/>
      <c r="T151" s="221"/>
      <c r="U151" s="221"/>
      <c r="V151" s="223"/>
      <c r="W151" s="221"/>
      <c r="X151" s="221"/>
      <c r="Y151" s="223"/>
      <c r="Z151" s="221"/>
    </row>
    <row r="152" spans="1:26" x14ac:dyDescent="0.2">
      <c r="A152" s="124"/>
      <c r="B152" s="132"/>
      <c r="E152" s="121"/>
      <c r="F152" s="121"/>
      <c r="G152" s="131"/>
      <c r="H152" s="132"/>
      <c r="I152" s="132"/>
      <c r="J152" s="132"/>
      <c r="K152" s="133"/>
      <c r="L152" s="132"/>
      <c r="M152" s="132"/>
      <c r="N152" s="221"/>
      <c r="O152" s="294"/>
      <c r="P152" s="221"/>
      <c r="Q152" s="221"/>
      <c r="R152" s="221"/>
      <c r="S152" s="221"/>
      <c r="T152" s="221"/>
      <c r="U152" s="221"/>
      <c r="V152" s="223"/>
      <c r="W152" s="221"/>
      <c r="X152" s="221"/>
      <c r="Y152" s="223"/>
      <c r="Z152" s="221"/>
    </row>
    <row r="153" spans="1:26" x14ac:dyDescent="0.2">
      <c r="A153" s="124"/>
      <c r="B153" s="132"/>
      <c r="E153" s="121"/>
      <c r="F153" s="121"/>
      <c r="G153" s="131"/>
      <c r="H153" s="132"/>
      <c r="I153" s="132"/>
      <c r="J153" s="132"/>
      <c r="K153" s="133"/>
      <c r="L153" s="132"/>
      <c r="M153" s="132"/>
      <c r="N153" s="221"/>
      <c r="O153" s="294"/>
      <c r="P153" s="221"/>
      <c r="Q153" s="221"/>
      <c r="R153" s="221"/>
      <c r="S153" s="221"/>
      <c r="T153" s="221"/>
      <c r="U153" s="221"/>
      <c r="V153" s="223"/>
      <c r="W153" s="221"/>
      <c r="X153" s="221"/>
      <c r="Y153" s="223"/>
      <c r="Z153" s="221"/>
    </row>
    <row r="154" spans="1:26" x14ac:dyDescent="0.2">
      <c r="A154" s="124"/>
      <c r="B154" s="132"/>
      <c r="E154" s="121"/>
      <c r="F154" s="121"/>
      <c r="G154" s="131"/>
      <c r="H154" s="132"/>
      <c r="I154" s="132"/>
      <c r="J154" s="132"/>
      <c r="K154" s="133"/>
      <c r="L154" s="132"/>
      <c r="M154" s="132"/>
      <c r="N154" s="221"/>
      <c r="O154" s="294"/>
      <c r="P154" s="221"/>
      <c r="Q154" s="221"/>
      <c r="R154" s="221"/>
      <c r="S154" s="221"/>
      <c r="T154" s="221"/>
      <c r="U154" s="221"/>
      <c r="V154" s="223"/>
      <c r="W154" s="221"/>
      <c r="X154" s="221"/>
      <c r="Y154" s="223"/>
      <c r="Z154" s="221"/>
    </row>
    <row r="155" spans="1:26" x14ac:dyDescent="0.2">
      <c r="A155" s="124"/>
      <c r="B155" s="132"/>
      <c r="E155" s="121"/>
      <c r="F155" s="121"/>
      <c r="G155" s="131"/>
      <c r="H155" s="132"/>
      <c r="I155" s="132"/>
      <c r="J155" s="132"/>
      <c r="K155" s="133"/>
      <c r="L155" s="132"/>
      <c r="M155" s="132"/>
      <c r="N155" s="221"/>
      <c r="O155" s="294"/>
      <c r="P155" s="221"/>
      <c r="Q155" s="221"/>
      <c r="R155" s="221"/>
      <c r="S155" s="221"/>
      <c r="T155" s="221"/>
      <c r="U155" s="221"/>
      <c r="V155" s="223"/>
      <c r="W155" s="221"/>
      <c r="X155" s="221"/>
      <c r="Y155" s="223"/>
      <c r="Z155" s="221"/>
    </row>
    <row r="156" spans="1:26" x14ac:dyDescent="0.2">
      <c r="A156" s="124"/>
      <c r="B156" s="132"/>
      <c r="E156" s="121"/>
      <c r="F156" s="121"/>
      <c r="G156" s="131"/>
      <c r="H156" s="132"/>
      <c r="I156" s="132"/>
      <c r="J156" s="132"/>
      <c r="K156" s="133"/>
      <c r="L156" s="132"/>
      <c r="M156" s="132"/>
      <c r="N156" s="221"/>
      <c r="O156" s="294"/>
      <c r="P156" s="221"/>
      <c r="Q156" s="221"/>
      <c r="R156" s="221"/>
      <c r="S156" s="221"/>
      <c r="T156" s="221"/>
      <c r="U156" s="221"/>
      <c r="V156" s="223"/>
      <c r="W156" s="221"/>
      <c r="X156" s="221"/>
      <c r="Y156" s="223"/>
      <c r="Z156" s="221"/>
    </row>
    <row r="157" spans="1:26" x14ac:dyDescent="0.2">
      <c r="A157" s="124"/>
      <c r="B157" s="132"/>
      <c r="E157" s="121"/>
      <c r="F157" s="121"/>
      <c r="G157" s="131"/>
      <c r="H157" s="132"/>
      <c r="I157" s="132"/>
      <c r="J157" s="132"/>
      <c r="K157" s="133"/>
      <c r="L157" s="132"/>
      <c r="M157" s="132"/>
      <c r="N157" s="221"/>
      <c r="O157" s="294"/>
      <c r="P157" s="221"/>
      <c r="Q157" s="221"/>
      <c r="R157" s="221"/>
      <c r="S157" s="221"/>
      <c r="T157" s="221"/>
      <c r="U157" s="221"/>
      <c r="V157" s="223"/>
      <c r="W157" s="221"/>
      <c r="X157" s="221"/>
      <c r="Y157" s="223"/>
      <c r="Z157" s="221"/>
    </row>
    <row r="158" spans="1:26" x14ac:dyDescent="0.2">
      <c r="A158" s="124"/>
      <c r="B158" s="132"/>
      <c r="E158" s="121"/>
      <c r="F158" s="121"/>
      <c r="G158" s="131"/>
      <c r="H158" s="132"/>
      <c r="I158" s="132"/>
      <c r="J158" s="132"/>
      <c r="K158" s="133"/>
      <c r="L158" s="132"/>
      <c r="M158" s="132"/>
      <c r="N158" s="221"/>
      <c r="O158" s="294"/>
      <c r="P158" s="221"/>
      <c r="Q158" s="221"/>
      <c r="R158" s="221"/>
      <c r="S158" s="221"/>
      <c r="T158" s="221"/>
      <c r="U158" s="221"/>
      <c r="V158" s="223"/>
      <c r="W158" s="221"/>
      <c r="X158" s="221"/>
      <c r="Y158" s="223"/>
      <c r="Z158" s="221"/>
    </row>
    <row r="159" spans="1:26" x14ac:dyDescent="0.2">
      <c r="A159" s="124"/>
      <c r="B159" s="132"/>
      <c r="E159" s="121"/>
      <c r="F159" s="121"/>
      <c r="G159" s="131"/>
      <c r="H159" s="132"/>
      <c r="I159" s="132"/>
      <c r="J159" s="132"/>
      <c r="K159" s="133"/>
      <c r="L159" s="132"/>
      <c r="M159" s="132"/>
      <c r="N159" s="221"/>
      <c r="O159" s="294"/>
      <c r="P159" s="221"/>
      <c r="Q159" s="221"/>
      <c r="R159" s="221"/>
      <c r="S159" s="221"/>
      <c r="T159" s="221"/>
      <c r="U159" s="221"/>
      <c r="V159" s="223"/>
      <c r="W159" s="221"/>
      <c r="X159" s="221"/>
      <c r="Y159" s="223"/>
      <c r="Z159" s="221"/>
    </row>
    <row r="160" spans="1:26" x14ac:dyDescent="0.2">
      <c r="A160" s="124"/>
      <c r="B160" s="132"/>
      <c r="E160" s="121"/>
      <c r="F160" s="121"/>
      <c r="G160" s="131"/>
      <c r="H160" s="132"/>
      <c r="I160" s="132"/>
      <c r="J160" s="132"/>
      <c r="K160" s="133"/>
      <c r="L160" s="132"/>
      <c r="M160" s="132"/>
      <c r="N160" s="221"/>
      <c r="O160" s="294"/>
      <c r="P160" s="221"/>
      <c r="Q160" s="221"/>
      <c r="R160" s="221"/>
      <c r="S160" s="221"/>
      <c r="T160" s="221"/>
      <c r="U160" s="221"/>
      <c r="V160" s="223"/>
      <c r="W160" s="221"/>
      <c r="X160" s="221"/>
      <c r="Y160" s="223"/>
      <c r="Z160" s="221"/>
    </row>
    <row r="161" spans="1:26" x14ac:dyDescent="0.2">
      <c r="A161" s="124"/>
      <c r="B161" s="132"/>
      <c r="E161" s="121"/>
      <c r="F161" s="121"/>
      <c r="G161" s="131"/>
      <c r="H161" s="132"/>
      <c r="I161" s="132"/>
      <c r="J161" s="132"/>
      <c r="K161" s="133"/>
      <c r="L161" s="132"/>
      <c r="M161" s="132"/>
      <c r="N161" s="221"/>
      <c r="O161" s="294"/>
      <c r="P161" s="221"/>
      <c r="Q161" s="221"/>
      <c r="R161" s="221"/>
      <c r="S161" s="221"/>
      <c r="T161" s="221"/>
      <c r="U161" s="221"/>
      <c r="V161" s="223"/>
      <c r="W161" s="221"/>
      <c r="X161" s="221"/>
      <c r="Y161" s="223"/>
      <c r="Z161" s="221"/>
    </row>
    <row r="162" spans="1:26" x14ac:dyDescent="0.2">
      <c r="A162" s="124"/>
      <c r="B162" s="132"/>
      <c r="E162" s="121"/>
      <c r="F162" s="121"/>
      <c r="G162" s="131"/>
      <c r="H162" s="132"/>
      <c r="I162" s="132"/>
      <c r="J162" s="132"/>
      <c r="K162" s="133"/>
      <c r="L162" s="132"/>
      <c r="M162" s="132"/>
      <c r="N162" s="221"/>
      <c r="O162" s="294"/>
      <c r="P162" s="221"/>
      <c r="Q162" s="221"/>
      <c r="R162" s="221"/>
      <c r="S162" s="221"/>
      <c r="T162" s="221"/>
      <c r="U162" s="221"/>
      <c r="V162" s="223"/>
      <c r="W162" s="221"/>
      <c r="X162" s="221"/>
      <c r="Y162" s="223"/>
      <c r="Z162" s="221"/>
    </row>
    <row r="163" spans="1:26" x14ac:dyDescent="0.2">
      <c r="A163" s="124"/>
      <c r="B163" s="132"/>
      <c r="E163" s="121"/>
      <c r="F163" s="121"/>
      <c r="G163" s="131"/>
      <c r="H163" s="132"/>
      <c r="I163" s="132"/>
      <c r="J163" s="132"/>
      <c r="K163" s="133"/>
      <c r="L163" s="132"/>
      <c r="M163" s="132"/>
      <c r="N163" s="221"/>
      <c r="O163" s="294"/>
      <c r="P163" s="221"/>
      <c r="Q163" s="221"/>
      <c r="R163" s="221"/>
      <c r="S163" s="221"/>
      <c r="T163" s="221"/>
      <c r="U163" s="221"/>
      <c r="V163" s="223"/>
      <c r="W163" s="221"/>
      <c r="X163" s="221"/>
      <c r="Y163" s="223"/>
      <c r="Z163" s="221"/>
    </row>
    <row r="164" spans="1:26" x14ac:dyDescent="0.2">
      <c r="A164" s="124"/>
      <c r="B164" s="132"/>
      <c r="E164" s="121"/>
      <c r="F164" s="121"/>
      <c r="G164" s="131"/>
      <c r="H164" s="132"/>
      <c r="I164" s="132"/>
      <c r="J164" s="132"/>
      <c r="K164" s="133"/>
      <c r="L164" s="132"/>
      <c r="M164" s="132"/>
      <c r="N164" s="221"/>
      <c r="O164" s="294"/>
      <c r="P164" s="221"/>
      <c r="Q164" s="221"/>
      <c r="R164" s="221"/>
      <c r="S164" s="221"/>
      <c r="T164" s="221"/>
      <c r="U164" s="221"/>
      <c r="V164" s="223"/>
      <c r="W164" s="221"/>
      <c r="X164" s="221"/>
      <c r="Y164" s="223"/>
      <c r="Z164" s="221"/>
    </row>
    <row r="165" spans="1:26" x14ac:dyDescent="0.2">
      <c r="A165" s="124"/>
      <c r="B165" s="132"/>
      <c r="E165" s="121"/>
      <c r="F165" s="121"/>
      <c r="G165" s="131"/>
      <c r="H165" s="132"/>
      <c r="I165" s="132"/>
      <c r="J165" s="132"/>
      <c r="K165" s="133"/>
      <c r="L165" s="132"/>
      <c r="M165" s="132"/>
      <c r="N165" s="221"/>
      <c r="O165" s="294"/>
      <c r="P165" s="221"/>
      <c r="Q165" s="221"/>
      <c r="R165" s="221"/>
      <c r="S165" s="221"/>
      <c r="T165" s="221"/>
      <c r="U165" s="221"/>
      <c r="V165" s="223"/>
      <c r="W165" s="221"/>
      <c r="X165" s="221"/>
      <c r="Y165" s="223"/>
      <c r="Z165" s="221"/>
    </row>
    <row r="166" spans="1:26" x14ac:dyDescent="0.2">
      <c r="A166" s="124"/>
      <c r="B166" s="132"/>
      <c r="E166" s="121"/>
      <c r="F166" s="121"/>
      <c r="G166" s="131"/>
      <c r="H166" s="132"/>
      <c r="I166" s="132"/>
      <c r="J166" s="132"/>
      <c r="K166" s="133"/>
      <c r="L166" s="132"/>
      <c r="M166" s="132"/>
      <c r="N166" s="221"/>
      <c r="O166" s="294"/>
      <c r="P166" s="221"/>
      <c r="Q166" s="221"/>
      <c r="R166" s="221"/>
      <c r="S166" s="221"/>
      <c r="T166" s="221"/>
      <c r="U166" s="221"/>
      <c r="V166" s="223"/>
      <c r="W166" s="221"/>
      <c r="X166" s="221"/>
      <c r="Y166" s="223"/>
      <c r="Z166" s="221"/>
    </row>
    <row r="167" spans="1:26" x14ac:dyDescent="0.2">
      <c r="A167" s="124"/>
      <c r="B167" s="132"/>
      <c r="E167" s="121"/>
      <c r="F167" s="121"/>
      <c r="G167" s="131"/>
      <c r="H167" s="132"/>
      <c r="I167" s="132"/>
      <c r="J167" s="132"/>
      <c r="K167" s="133"/>
      <c r="L167" s="132"/>
      <c r="M167" s="132"/>
      <c r="N167" s="221"/>
      <c r="O167" s="294"/>
      <c r="P167" s="221"/>
      <c r="Q167" s="221"/>
      <c r="R167" s="221"/>
      <c r="S167" s="221"/>
      <c r="T167" s="221"/>
      <c r="U167" s="221"/>
      <c r="V167" s="223"/>
      <c r="W167" s="221"/>
      <c r="X167" s="221"/>
      <c r="Y167" s="223"/>
      <c r="Z167" s="221"/>
    </row>
    <row r="168" spans="1:26" x14ac:dyDescent="0.2">
      <c r="A168" s="124"/>
      <c r="B168" s="132"/>
      <c r="E168" s="121"/>
      <c r="F168" s="121"/>
      <c r="G168" s="131"/>
      <c r="H168" s="132"/>
      <c r="I168" s="132"/>
      <c r="J168" s="132"/>
      <c r="K168" s="133"/>
      <c r="L168" s="132"/>
      <c r="M168" s="132"/>
      <c r="N168" s="221"/>
      <c r="O168" s="294"/>
      <c r="P168" s="221"/>
      <c r="Q168" s="221"/>
      <c r="R168" s="221"/>
      <c r="S168" s="221"/>
      <c r="T168" s="221"/>
      <c r="U168" s="221"/>
      <c r="V168" s="223"/>
      <c r="W168" s="221"/>
      <c r="X168" s="221"/>
      <c r="Y168" s="223"/>
      <c r="Z168" s="221"/>
    </row>
    <row r="169" spans="1:26" x14ac:dyDescent="0.2">
      <c r="A169" s="124"/>
      <c r="B169" s="132"/>
      <c r="E169" s="121"/>
      <c r="F169" s="121"/>
      <c r="G169" s="131"/>
      <c r="H169" s="132"/>
      <c r="I169" s="132"/>
      <c r="J169" s="132"/>
      <c r="K169" s="133"/>
      <c r="L169" s="132"/>
      <c r="M169" s="132"/>
      <c r="N169" s="221"/>
      <c r="O169" s="294"/>
      <c r="P169" s="221"/>
      <c r="Q169" s="221"/>
      <c r="R169" s="221"/>
      <c r="S169" s="221"/>
      <c r="T169" s="221"/>
      <c r="U169" s="221"/>
      <c r="V169" s="223"/>
      <c r="W169" s="221"/>
      <c r="X169" s="221"/>
      <c r="Y169" s="223"/>
      <c r="Z169" s="221"/>
    </row>
    <row r="170" spans="1:26" x14ac:dyDescent="0.2">
      <c r="A170" s="124"/>
      <c r="B170" s="132"/>
      <c r="E170" s="121"/>
      <c r="F170" s="121"/>
      <c r="G170" s="131"/>
      <c r="H170" s="132"/>
      <c r="I170" s="132"/>
      <c r="J170" s="132"/>
      <c r="K170" s="133"/>
      <c r="L170" s="132"/>
      <c r="M170" s="132"/>
      <c r="N170" s="221"/>
      <c r="O170" s="294"/>
      <c r="P170" s="221"/>
      <c r="Q170" s="221"/>
      <c r="R170" s="221"/>
      <c r="S170" s="221"/>
      <c r="T170" s="221"/>
      <c r="U170" s="221"/>
      <c r="V170" s="223"/>
      <c r="W170" s="221"/>
      <c r="X170" s="221"/>
      <c r="Y170" s="223"/>
      <c r="Z170" s="221"/>
    </row>
    <row r="171" spans="1:26" x14ac:dyDescent="0.2">
      <c r="A171" s="124"/>
      <c r="B171" s="132"/>
      <c r="E171" s="121"/>
      <c r="F171" s="121"/>
      <c r="G171" s="131"/>
      <c r="H171" s="132"/>
      <c r="I171" s="132"/>
      <c r="J171" s="132"/>
      <c r="K171" s="133"/>
      <c r="L171" s="132"/>
      <c r="M171" s="132"/>
      <c r="N171" s="221"/>
      <c r="O171" s="294"/>
      <c r="P171" s="221"/>
      <c r="Q171" s="221"/>
      <c r="R171" s="221"/>
      <c r="S171" s="221"/>
      <c r="T171" s="221"/>
      <c r="U171" s="221"/>
      <c r="V171" s="223"/>
      <c r="W171" s="221"/>
      <c r="X171" s="221"/>
      <c r="Y171" s="223"/>
      <c r="Z171" s="221"/>
    </row>
    <row r="172" spans="1:26" x14ac:dyDescent="0.2">
      <c r="A172" s="124"/>
      <c r="B172" s="132"/>
      <c r="E172" s="121"/>
      <c r="F172" s="121"/>
      <c r="G172" s="131"/>
      <c r="H172" s="132"/>
      <c r="I172" s="132"/>
      <c r="J172" s="132"/>
      <c r="K172" s="133"/>
      <c r="L172" s="132"/>
      <c r="M172" s="132"/>
      <c r="N172" s="221"/>
      <c r="O172" s="294"/>
      <c r="P172" s="221"/>
      <c r="Q172" s="221"/>
      <c r="R172" s="221"/>
      <c r="S172" s="221"/>
      <c r="T172" s="221"/>
      <c r="U172" s="221"/>
      <c r="V172" s="223"/>
      <c r="W172" s="221"/>
      <c r="X172" s="221"/>
      <c r="Y172" s="223"/>
      <c r="Z172" s="221"/>
    </row>
    <row r="173" spans="1:26" x14ac:dyDescent="0.2">
      <c r="A173" s="124"/>
      <c r="B173" s="132"/>
      <c r="E173" s="121"/>
      <c r="F173" s="121"/>
      <c r="G173" s="131"/>
      <c r="H173" s="132"/>
      <c r="I173" s="132"/>
      <c r="J173" s="132"/>
      <c r="K173" s="133"/>
      <c r="L173" s="132"/>
      <c r="M173" s="132"/>
      <c r="N173" s="221"/>
      <c r="O173" s="294"/>
      <c r="P173" s="221"/>
      <c r="Q173" s="221"/>
      <c r="R173" s="221"/>
      <c r="S173" s="221"/>
      <c r="T173" s="221"/>
      <c r="U173" s="221"/>
      <c r="V173" s="223"/>
      <c r="W173" s="221"/>
      <c r="X173" s="221"/>
      <c r="Y173" s="223"/>
      <c r="Z173" s="221"/>
    </row>
    <row r="174" spans="1:26" x14ac:dyDescent="0.2">
      <c r="A174" s="124"/>
      <c r="B174" s="132"/>
      <c r="E174" s="121"/>
      <c r="F174" s="121"/>
      <c r="G174" s="131"/>
      <c r="H174" s="132"/>
      <c r="I174" s="132"/>
      <c r="J174" s="132"/>
      <c r="K174" s="133"/>
      <c r="L174" s="132"/>
      <c r="M174" s="132"/>
      <c r="N174" s="221"/>
      <c r="O174" s="294"/>
      <c r="P174" s="221"/>
      <c r="Q174" s="221"/>
      <c r="R174" s="221"/>
      <c r="S174" s="221"/>
      <c r="T174" s="221"/>
      <c r="U174" s="221"/>
      <c r="V174" s="223"/>
      <c r="W174" s="221"/>
      <c r="X174" s="221"/>
      <c r="Y174" s="223"/>
      <c r="Z174" s="221"/>
    </row>
    <row r="175" spans="1:26" x14ac:dyDescent="0.2">
      <c r="A175" s="124"/>
      <c r="B175" s="132"/>
      <c r="E175" s="121"/>
      <c r="F175" s="121"/>
      <c r="G175" s="131"/>
      <c r="H175" s="132"/>
      <c r="I175" s="132"/>
      <c r="J175" s="132"/>
      <c r="K175" s="133"/>
      <c r="L175" s="132"/>
      <c r="M175" s="132"/>
      <c r="N175" s="221"/>
      <c r="O175" s="294"/>
      <c r="P175" s="221"/>
      <c r="Q175" s="221"/>
      <c r="R175" s="221"/>
      <c r="S175" s="221"/>
      <c r="T175" s="221"/>
      <c r="U175" s="221"/>
      <c r="V175" s="223"/>
      <c r="W175" s="221"/>
      <c r="X175" s="221"/>
      <c r="Y175" s="223"/>
      <c r="Z175" s="221"/>
    </row>
    <row r="176" spans="1:26" x14ac:dyDescent="0.2">
      <c r="A176" s="124"/>
      <c r="B176" s="132"/>
      <c r="E176" s="121"/>
      <c r="F176" s="121"/>
      <c r="G176" s="131"/>
      <c r="H176" s="132"/>
      <c r="I176" s="132"/>
      <c r="J176" s="132"/>
      <c r="K176" s="133"/>
      <c r="L176" s="132"/>
      <c r="M176" s="132"/>
      <c r="N176" s="221"/>
      <c r="O176" s="294"/>
      <c r="P176" s="221"/>
      <c r="Q176" s="221"/>
      <c r="R176" s="221"/>
      <c r="S176" s="221"/>
      <c r="T176" s="221"/>
      <c r="U176" s="221"/>
      <c r="V176" s="223"/>
      <c r="W176" s="221"/>
      <c r="X176" s="221"/>
      <c r="Y176" s="223"/>
      <c r="Z176" s="221"/>
    </row>
    <row r="177" spans="1:26" x14ac:dyDescent="0.2">
      <c r="A177" s="124"/>
      <c r="B177" s="132"/>
      <c r="E177" s="121"/>
      <c r="F177" s="121"/>
      <c r="G177" s="131"/>
      <c r="H177" s="132"/>
      <c r="I177" s="132"/>
      <c r="J177" s="132"/>
      <c r="K177" s="133"/>
      <c r="L177" s="132"/>
      <c r="M177" s="132"/>
      <c r="N177" s="221"/>
      <c r="O177" s="294"/>
      <c r="P177" s="221"/>
      <c r="Q177" s="221"/>
      <c r="R177" s="221"/>
      <c r="S177" s="221"/>
      <c r="T177" s="221"/>
      <c r="U177" s="221"/>
      <c r="V177" s="223"/>
      <c r="W177" s="221"/>
      <c r="X177" s="221"/>
      <c r="Y177" s="223"/>
      <c r="Z177" s="221"/>
    </row>
    <row r="178" spans="1:26" x14ac:dyDescent="0.2">
      <c r="A178" s="124"/>
      <c r="B178" s="132"/>
      <c r="E178" s="121"/>
      <c r="F178" s="121"/>
      <c r="G178" s="131"/>
      <c r="H178" s="132"/>
      <c r="I178" s="132"/>
      <c r="J178" s="132"/>
      <c r="K178" s="133"/>
      <c r="L178" s="132"/>
      <c r="M178" s="132"/>
      <c r="N178" s="221"/>
      <c r="O178" s="294"/>
      <c r="P178" s="221"/>
      <c r="Q178" s="221"/>
      <c r="R178" s="221"/>
      <c r="S178" s="221"/>
      <c r="T178" s="221"/>
      <c r="U178" s="221"/>
      <c r="V178" s="223"/>
      <c r="W178" s="221"/>
      <c r="X178" s="221"/>
      <c r="Y178" s="223"/>
      <c r="Z178" s="221"/>
    </row>
    <row r="179" spans="1:26" x14ac:dyDescent="0.2">
      <c r="A179" s="124"/>
      <c r="B179" s="132"/>
      <c r="E179" s="121"/>
      <c r="F179" s="121"/>
      <c r="G179" s="131"/>
      <c r="H179" s="132"/>
      <c r="I179" s="132"/>
      <c r="J179" s="132"/>
      <c r="K179" s="133"/>
      <c r="L179" s="132"/>
      <c r="M179" s="132"/>
      <c r="N179" s="221"/>
      <c r="O179" s="294"/>
      <c r="P179" s="221"/>
      <c r="Q179" s="221"/>
      <c r="R179" s="221"/>
      <c r="S179" s="221"/>
      <c r="T179" s="221"/>
      <c r="U179" s="221"/>
      <c r="V179" s="223"/>
      <c r="W179" s="221"/>
      <c r="X179" s="221"/>
      <c r="Y179" s="223"/>
      <c r="Z179" s="221"/>
    </row>
    <row r="180" spans="1:26" x14ac:dyDescent="0.2">
      <c r="A180" s="124"/>
      <c r="B180" s="132"/>
      <c r="E180" s="121"/>
      <c r="F180" s="121"/>
      <c r="G180" s="131"/>
      <c r="H180" s="132"/>
      <c r="I180" s="132"/>
      <c r="J180" s="132"/>
      <c r="K180" s="133"/>
      <c r="L180" s="132"/>
      <c r="M180" s="132"/>
      <c r="N180" s="221"/>
      <c r="O180" s="294"/>
      <c r="P180" s="221"/>
      <c r="Q180" s="221"/>
      <c r="R180" s="221"/>
      <c r="S180" s="221"/>
      <c r="T180" s="221"/>
      <c r="U180" s="221"/>
      <c r="V180" s="223"/>
      <c r="W180" s="221"/>
      <c r="X180" s="221"/>
      <c r="Y180" s="223"/>
      <c r="Z180" s="221"/>
    </row>
    <row r="181" spans="1:26" x14ac:dyDescent="0.2">
      <c r="A181" s="124"/>
      <c r="B181" s="132"/>
      <c r="E181" s="121"/>
      <c r="F181" s="121"/>
      <c r="G181" s="131"/>
      <c r="H181" s="132"/>
      <c r="I181" s="132"/>
      <c r="J181" s="132"/>
      <c r="K181" s="133"/>
      <c r="L181" s="132"/>
      <c r="M181" s="132"/>
      <c r="N181" s="221"/>
      <c r="O181" s="294"/>
      <c r="P181" s="221"/>
      <c r="Q181" s="221"/>
      <c r="R181" s="221"/>
      <c r="S181" s="221"/>
      <c r="T181" s="221"/>
      <c r="U181" s="221"/>
      <c r="V181" s="223"/>
      <c r="W181" s="221"/>
      <c r="X181" s="221"/>
      <c r="Y181" s="223"/>
      <c r="Z181" s="221"/>
    </row>
    <row r="182" spans="1:26" x14ac:dyDescent="0.2">
      <c r="A182" s="124"/>
      <c r="B182" s="132"/>
      <c r="E182" s="121"/>
      <c r="F182" s="121"/>
      <c r="G182" s="131"/>
      <c r="H182" s="132"/>
      <c r="I182" s="132"/>
      <c r="J182" s="132"/>
      <c r="K182" s="133"/>
      <c r="L182" s="132"/>
      <c r="M182" s="132"/>
      <c r="N182" s="221"/>
      <c r="O182" s="294"/>
      <c r="P182" s="221"/>
      <c r="Q182" s="221"/>
      <c r="R182" s="221"/>
      <c r="S182" s="221"/>
      <c r="T182" s="221"/>
      <c r="U182" s="221"/>
      <c r="V182" s="223"/>
      <c r="W182" s="221"/>
      <c r="X182" s="221"/>
      <c r="Y182" s="223"/>
      <c r="Z182" s="221"/>
    </row>
    <row r="183" spans="1:26" x14ac:dyDescent="0.2">
      <c r="A183" s="124"/>
      <c r="B183" s="132"/>
      <c r="E183" s="121"/>
      <c r="F183" s="121"/>
      <c r="G183" s="131"/>
      <c r="H183" s="132"/>
      <c r="I183" s="132"/>
      <c r="J183" s="132"/>
      <c r="K183" s="133"/>
      <c r="L183" s="132"/>
      <c r="M183" s="132"/>
      <c r="N183" s="221"/>
      <c r="O183" s="294"/>
      <c r="P183" s="221"/>
      <c r="Q183" s="221"/>
      <c r="R183" s="221"/>
      <c r="S183" s="221"/>
      <c r="T183" s="221"/>
      <c r="U183" s="221"/>
      <c r="V183" s="223"/>
      <c r="W183" s="221"/>
      <c r="X183" s="221"/>
      <c r="Y183" s="223"/>
      <c r="Z183" s="221"/>
    </row>
    <row r="184" spans="1:26" x14ac:dyDescent="0.2">
      <c r="A184" s="124"/>
      <c r="B184" s="132"/>
      <c r="E184" s="121"/>
      <c r="F184" s="121"/>
      <c r="G184" s="131"/>
      <c r="H184" s="132"/>
      <c r="I184" s="132"/>
      <c r="J184" s="132"/>
      <c r="K184" s="133"/>
      <c r="L184" s="132"/>
      <c r="M184" s="132"/>
      <c r="N184" s="221"/>
      <c r="O184" s="294"/>
      <c r="P184" s="221"/>
      <c r="Q184" s="221"/>
      <c r="R184" s="221"/>
      <c r="S184" s="221"/>
      <c r="T184" s="221"/>
      <c r="U184" s="221"/>
      <c r="V184" s="223"/>
      <c r="W184" s="221"/>
      <c r="X184" s="221"/>
      <c r="Y184" s="223"/>
      <c r="Z184" s="221"/>
    </row>
    <row r="185" spans="1:26" x14ac:dyDescent="0.2">
      <c r="A185" s="124"/>
      <c r="B185" s="132"/>
      <c r="E185" s="121"/>
      <c r="F185" s="121"/>
      <c r="G185" s="131"/>
      <c r="H185" s="132"/>
      <c r="I185" s="132"/>
      <c r="J185" s="132"/>
      <c r="K185" s="133"/>
      <c r="L185" s="132"/>
      <c r="M185" s="132"/>
      <c r="N185" s="221"/>
      <c r="O185" s="294"/>
      <c r="P185" s="221"/>
      <c r="Q185" s="221"/>
      <c r="R185" s="221"/>
      <c r="S185" s="221"/>
      <c r="T185" s="221"/>
      <c r="U185" s="221"/>
      <c r="V185" s="223"/>
      <c r="W185" s="221"/>
      <c r="X185" s="221"/>
      <c r="Y185" s="223"/>
      <c r="Z185" s="221"/>
    </row>
    <row r="186" spans="1:26" x14ac:dyDescent="0.2">
      <c r="A186" s="124"/>
      <c r="B186" s="132"/>
      <c r="E186" s="121"/>
      <c r="F186" s="121"/>
      <c r="G186" s="131"/>
      <c r="H186" s="132"/>
      <c r="I186" s="132"/>
      <c r="J186" s="132"/>
      <c r="K186" s="133"/>
      <c r="L186" s="132"/>
      <c r="M186" s="132"/>
      <c r="N186" s="221"/>
      <c r="O186" s="294"/>
      <c r="P186" s="221"/>
      <c r="Q186" s="221"/>
      <c r="R186" s="221"/>
      <c r="S186" s="221"/>
      <c r="T186" s="221"/>
      <c r="U186" s="221"/>
      <c r="V186" s="223"/>
      <c r="W186" s="221"/>
      <c r="X186" s="221"/>
      <c r="Y186" s="223"/>
      <c r="Z186" s="221"/>
    </row>
    <row r="187" spans="1:26" x14ac:dyDescent="0.2">
      <c r="A187" s="124"/>
      <c r="B187" s="132"/>
      <c r="E187" s="121"/>
      <c r="F187" s="121"/>
      <c r="G187" s="131"/>
      <c r="H187" s="132"/>
      <c r="I187" s="132"/>
      <c r="J187" s="132"/>
      <c r="K187" s="133"/>
      <c r="L187" s="132"/>
      <c r="M187" s="132"/>
      <c r="N187" s="221"/>
      <c r="O187" s="294"/>
      <c r="P187" s="221"/>
      <c r="Q187" s="221"/>
      <c r="R187" s="221"/>
      <c r="S187" s="221"/>
      <c r="T187" s="221"/>
      <c r="U187" s="221"/>
      <c r="V187" s="223"/>
      <c r="W187" s="221"/>
      <c r="X187" s="221"/>
      <c r="Y187" s="223"/>
      <c r="Z187" s="221"/>
    </row>
    <row r="188" spans="1:26" x14ac:dyDescent="0.2">
      <c r="A188" s="124"/>
      <c r="B188" s="132"/>
      <c r="E188" s="121"/>
      <c r="F188" s="121"/>
      <c r="G188" s="131"/>
      <c r="H188" s="132"/>
      <c r="I188" s="132"/>
      <c r="J188" s="132"/>
      <c r="K188" s="133"/>
      <c r="L188" s="132"/>
      <c r="M188" s="132"/>
      <c r="N188" s="221"/>
      <c r="O188" s="294"/>
      <c r="P188" s="221"/>
      <c r="Q188" s="221"/>
      <c r="R188" s="221"/>
      <c r="S188" s="221"/>
      <c r="T188" s="221"/>
      <c r="U188" s="221"/>
      <c r="V188" s="223"/>
      <c r="W188" s="221"/>
      <c r="X188" s="221"/>
      <c r="Y188" s="223"/>
      <c r="Z188" s="221"/>
    </row>
    <row r="189" spans="1:26" x14ac:dyDescent="0.2">
      <c r="A189" s="124"/>
      <c r="B189" s="132"/>
      <c r="E189" s="121"/>
      <c r="F189" s="121"/>
      <c r="G189" s="131"/>
      <c r="H189" s="132"/>
      <c r="I189" s="132"/>
      <c r="J189" s="132"/>
      <c r="K189" s="133"/>
      <c r="L189" s="132"/>
      <c r="M189" s="132"/>
      <c r="N189" s="221"/>
      <c r="O189" s="294"/>
      <c r="P189" s="221"/>
      <c r="Q189" s="221"/>
      <c r="R189" s="221"/>
      <c r="S189" s="221"/>
      <c r="T189" s="221"/>
      <c r="U189" s="221"/>
      <c r="V189" s="223"/>
      <c r="W189" s="221"/>
      <c r="X189" s="221"/>
      <c r="Y189" s="223"/>
      <c r="Z189" s="221"/>
    </row>
    <row r="190" spans="1:26" x14ac:dyDescent="0.2">
      <c r="A190" s="124"/>
      <c r="B190" s="132"/>
      <c r="E190" s="121"/>
      <c r="F190" s="121"/>
      <c r="G190" s="131"/>
      <c r="H190" s="132"/>
      <c r="I190" s="132"/>
      <c r="J190" s="132"/>
      <c r="K190" s="133"/>
      <c r="L190" s="132"/>
      <c r="M190" s="132"/>
      <c r="N190" s="221"/>
      <c r="O190" s="294"/>
      <c r="P190" s="221"/>
      <c r="Q190" s="221"/>
      <c r="R190" s="221"/>
      <c r="S190" s="221"/>
      <c r="T190" s="221"/>
      <c r="U190" s="221"/>
      <c r="V190" s="223"/>
      <c r="W190" s="221"/>
      <c r="X190" s="221"/>
      <c r="Y190" s="223"/>
      <c r="Z190" s="221"/>
    </row>
    <row r="191" spans="1:26" x14ac:dyDescent="0.2">
      <c r="A191" s="124"/>
      <c r="B191" s="132"/>
      <c r="E191" s="121"/>
      <c r="F191" s="121"/>
      <c r="G191" s="131"/>
      <c r="H191" s="132"/>
      <c r="I191" s="132"/>
      <c r="J191" s="132"/>
      <c r="K191" s="133"/>
      <c r="L191" s="132"/>
      <c r="M191" s="132"/>
      <c r="N191" s="221"/>
      <c r="O191" s="294"/>
      <c r="P191" s="221"/>
      <c r="Q191" s="221"/>
      <c r="R191" s="221"/>
      <c r="S191" s="221"/>
      <c r="T191" s="221"/>
      <c r="U191" s="221"/>
      <c r="V191" s="223"/>
      <c r="W191" s="221"/>
      <c r="X191" s="221"/>
      <c r="Y191" s="223"/>
      <c r="Z191" s="221"/>
    </row>
    <row r="192" spans="1:26" x14ac:dyDescent="0.2">
      <c r="A192" s="124"/>
      <c r="B192" s="132"/>
      <c r="E192" s="121"/>
      <c r="F192" s="121"/>
      <c r="G192" s="131"/>
      <c r="H192" s="132"/>
      <c r="I192" s="132"/>
      <c r="J192" s="132"/>
      <c r="K192" s="133"/>
      <c r="L192" s="132"/>
      <c r="M192" s="132"/>
      <c r="N192" s="221"/>
      <c r="O192" s="294"/>
      <c r="P192" s="221"/>
      <c r="Q192" s="221"/>
      <c r="R192" s="221"/>
      <c r="S192" s="221"/>
      <c r="T192" s="221"/>
      <c r="U192" s="221"/>
      <c r="V192" s="223"/>
      <c r="W192" s="221"/>
      <c r="X192" s="221"/>
      <c r="Y192" s="223"/>
      <c r="Z192" s="221"/>
    </row>
    <row r="193" spans="1:26" x14ac:dyDescent="0.2">
      <c r="A193" s="124"/>
      <c r="B193" s="132"/>
      <c r="E193" s="121"/>
      <c r="F193" s="121"/>
      <c r="G193" s="131"/>
      <c r="H193" s="132"/>
      <c r="I193" s="132"/>
      <c r="J193" s="132"/>
      <c r="K193" s="133"/>
      <c r="L193" s="132"/>
      <c r="M193" s="132"/>
      <c r="N193" s="221"/>
      <c r="O193" s="294"/>
      <c r="P193" s="221"/>
      <c r="Q193" s="221"/>
      <c r="R193" s="221"/>
      <c r="S193" s="221"/>
      <c r="T193" s="221"/>
      <c r="U193" s="221"/>
      <c r="V193" s="223"/>
      <c r="W193" s="221"/>
      <c r="X193" s="221"/>
      <c r="Y193" s="223"/>
      <c r="Z193" s="221"/>
    </row>
    <row r="194" spans="1:26" x14ac:dyDescent="0.2">
      <c r="A194" s="124"/>
      <c r="B194" s="132"/>
      <c r="E194" s="121"/>
      <c r="F194" s="121"/>
      <c r="G194" s="131"/>
      <c r="H194" s="132"/>
      <c r="I194" s="132"/>
      <c r="J194" s="132"/>
      <c r="K194" s="133"/>
      <c r="L194" s="132"/>
      <c r="M194" s="132"/>
      <c r="N194" s="221"/>
      <c r="O194" s="294"/>
      <c r="P194" s="221"/>
      <c r="Q194" s="221"/>
      <c r="R194" s="221"/>
      <c r="S194" s="221"/>
      <c r="T194" s="221"/>
      <c r="U194" s="221"/>
      <c r="V194" s="223"/>
      <c r="W194" s="221"/>
      <c r="X194" s="221"/>
      <c r="Y194" s="223"/>
      <c r="Z194" s="221"/>
    </row>
    <row r="195" spans="1:26" x14ac:dyDescent="0.2">
      <c r="A195" s="124"/>
      <c r="B195" s="132"/>
      <c r="E195" s="121"/>
      <c r="F195" s="121"/>
      <c r="G195" s="131"/>
      <c r="H195" s="132"/>
      <c r="I195" s="132"/>
      <c r="J195" s="132"/>
      <c r="K195" s="133"/>
      <c r="L195" s="132"/>
      <c r="M195" s="132"/>
      <c r="N195" s="221"/>
      <c r="O195" s="294"/>
      <c r="P195" s="221"/>
      <c r="Q195" s="221"/>
      <c r="R195" s="221"/>
      <c r="S195" s="221"/>
      <c r="T195" s="221"/>
      <c r="U195" s="221"/>
      <c r="V195" s="223"/>
      <c r="W195" s="221"/>
      <c r="X195" s="221"/>
      <c r="Y195" s="223"/>
      <c r="Z195" s="221"/>
    </row>
    <row r="196" spans="1:26" x14ac:dyDescent="0.2">
      <c r="A196" s="124"/>
      <c r="B196" s="132"/>
      <c r="E196" s="121"/>
      <c r="F196" s="121"/>
      <c r="G196" s="131"/>
      <c r="H196" s="132"/>
      <c r="I196" s="132"/>
      <c r="J196" s="132"/>
      <c r="K196" s="133"/>
      <c r="L196" s="132"/>
      <c r="M196" s="132"/>
      <c r="N196" s="221"/>
      <c r="O196" s="294"/>
      <c r="P196" s="221"/>
      <c r="Q196" s="221"/>
      <c r="R196" s="221"/>
      <c r="S196" s="221"/>
      <c r="T196" s="221"/>
      <c r="U196" s="221"/>
      <c r="V196" s="223"/>
      <c r="W196" s="221"/>
      <c r="X196" s="221"/>
      <c r="Y196" s="223"/>
      <c r="Z196" s="221"/>
    </row>
    <row r="197" spans="1:26" x14ac:dyDescent="0.2">
      <c r="A197" s="124"/>
      <c r="B197" s="132"/>
      <c r="F197" s="132"/>
      <c r="G197" s="131"/>
      <c r="H197" s="132"/>
      <c r="I197" s="133"/>
      <c r="J197" s="132"/>
      <c r="K197" s="132"/>
      <c r="U197" s="221"/>
      <c r="V197" s="223"/>
      <c r="W197" s="221"/>
      <c r="X197" s="221"/>
      <c r="Y197" s="223"/>
      <c r="Z197" s="221"/>
    </row>
    <row r="198" spans="1:26" x14ac:dyDescent="0.2">
      <c r="A198" s="124"/>
      <c r="B198" s="132"/>
      <c r="F198" s="132"/>
      <c r="G198" s="131"/>
      <c r="H198" s="132"/>
      <c r="I198" s="133"/>
      <c r="J198" s="132"/>
      <c r="K198" s="132"/>
      <c r="U198" s="221"/>
      <c r="V198" s="223"/>
      <c r="W198" s="221"/>
      <c r="X198" s="221"/>
      <c r="Y198" s="223"/>
      <c r="Z198" s="221"/>
    </row>
    <row r="199" spans="1:26" x14ac:dyDescent="0.2">
      <c r="A199" s="124"/>
      <c r="B199" s="132"/>
      <c r="F199" s="132"/>
      <c r="G199" s="131"/>
      <c r="H199" s="132"/>
      <c r="I199" s="133"/>
      <c r="J199" s="132"/>
      <c r="K199" s="132"/>
    </row>
    <row r="200" spans="1:26" x14ac:dyDescent="0.2">
      <c r="A200" s="124"/>
      <c r="B200" s="132"/>
      <c r="F200" s="132"/>
      <c r="G200" s="131"/>
      <c r="H200" s="132"/>
      <c r="I200" s="133"/>
      <c r="J200" s="132"/>
      <c r="K200" s="132"/>
    </row>
    <row r="201" spans="1:26" x14ac:dyDescent="0.2">
      <c r="A201" s="124"/>
      <c r="B201" s="132"/>
      <c r="F201" s="132"/>
      <c r="G201" s="131"/>
      <c r="H201" s="132"/>
      <c r="I201" s="133"/>
      <c r="J201" s="132"/>
      <c r="K201" s="132"/>
    </row>
    <row r="202" spans="1:26" x14ac:dyDescent="0.2">
      <c r="A202" s="124"/>
      <c r="B202" s="132"/>
      <c r="F202" s="132"/>
      <c r="G202" s="131"/>
      <c r="H202" s="132"/>
      <c r="I202" s="133"/>
      <c r="J202" s="132"/>
      <c r="K202" s="132"/>
    </row>
    <row r="203" spans="1:26" x14ac:dyDescent="0.2">
      <c r="A203" s="124"/>
      <c r="B203" s="132"/>
      <c r="F203" s="132"/>
      <c r="G203" s="131"/>
      <c r="H203" s="132"/>
      <c r="I203" s="133"/>
      <c r="J203" s="132"/>
      <c r="K203" s="132"/>
    </row>
    <row r="204" spans="1:26" x14ac:dyDescent="0.2">
      <c r="A204" s="124"/>
      <c r="B204" s="132"/>
      <c r="F204" s="132"/>
      <c r="G204" s="131"/>
      <c r="H204" s="132"/>
      <c r="I204" s="133"/>
      <c r="J204" s="132"/>
      <c r="K204" s="132"/>
    </row>
    <row r="205" spans="1:26" x14ac:dyDescent="0.2">
      <c r="A205" s="124"/>
      <c r="B205" s="132"/>
      <c r="F205" s="132"/>
      <c r="G205" s="131"/>
      <c r="H205" s="132"/>
      <c r="I205" s="133"/>
      <c r="J205" s="132"/>
      <c r="K205" s="132"/>
    </row>
    <row r="206" spans="1:26" x14ac:dyDescent="0.2">
      <c r="A206" s="124"/>
      <c r="B206" s="132"/>
      <c r="F206" s="132"/>
      <c r="G206" s="131"/>
      <c r="H206" s="132"/>
      <c r="I206" s="133"/>
      <c r="J206" s="132"/>
      <c r="K206" s="132"/>
    </row>
    <row r="207" spans="1:26" x14ac:dyDescent="0.2">
      <c r="A207" s="124"/>
      <c r="B207" s="132"/>
      <c r="F207" s="132"/>
      <c r="G207" s="131"/>
      <c r="H207" s="132"/>
      <c r="I207" s="133"/>
      <c r="J207" s="132"/>
      <c r="K207" s="132"/>
    </row>
    <row r="208" spans="1:26" x14ac:dyDescent="0.2">
      <c r="A208" s="124"/>
      <c r="B208" s="132"/>
      <c r="F208" s="132"/>
      <c r="G208" s="131"/>
      <c r="H208" s="132"/>
      <c r="I208" s="133"/>
      <c r="J208" s="132"/>
      <c r="K208" s="132"/>
    </row>
    <row r="209" spans="1:11" x14ac:dyDescent="0.2">
      <c r="A209" s="124"/>
      <c r="B209" s="132"/>
      <c r="F209" s="132"/>
      <c r="G209" s="131"/>
      <c r="H209" s="132"/>
      <c r="I209" s="133"/>
      <c r="J209" s="132"/>
      <c r="K209" s="132"/>
    </row>
    <row r="210" spans="1:11" x14ac:dyDescent="0.2">
      <c r="A210" s="124"/>
      <c r="B210" s="132"/>
      <c r="F210" s="132"/>
      <c r="G210" s="131"/>
      <c r="H210" s="132"/>
      <c r="I210" s="133"/>
      <c r="J210" s="132"/>
      <c r="K210" s="132"/>
    </row>
    <row r="211" spans="1:11" x14ac:dyDescent="0.2">
      <c r="A211" s="124"/>
      <c r="B211" s="132"/>
      <c r="F211" s="132"/>
      <c r="G211" s="131"/>
      <c r="H211" s="132"/>
      <c r="I211" s="133"/>
      <c r="J211" s="132"/>
      <c r="K211" s="132"/>
    </row>
    <row r="212" spans="1:11" x14ac:dyDescent="0.2">
      <c r="A212" s="124"/>
      <c r="B212" s="132"/>
      <c r="F212" s="132"/>
      <c r="G212" s="131"/>
      <c r="H212" s="132"/>
      <c r="I212" s="133"/>
      <c r="J212" s="132"/>
      <c r="K212" s="132"/>
    </row>
    <row r="213" spans="1:11" x14ac:dyDescent="0.2">
      <c r="A213" s="124"/>
      <c r="B213" s="132"/>
      <c r="F213" s="132"/>
      <c r="G213" s="131"/>
      <c r="H213" s="132"/>
      <c r="I213" s="133"/>
      <c r="J213" s="132"/>
      <c r="K213" s="132"/>
    </row>
    <row r="214" spans="1:11" x14ac:dyDescent="0.2">
      <c r="A214" s="124"/>
      <c r="B214" s="132"/>
      <c r="F214" s="132"/>
      <c r="G214" s="131"/>
      <c r="H214" s="132"/>
      <c r="I214" s="133"/>
      <c r="J214" s="132"/>
      <c r="K214" s="132"/>
    </row>
    <row r="215" spans="1:11" x14ac:dyDescent="0.2">
      <c r="A215" s="124"/>
      <c r="B215" s="132"/>
      <c r="F215" s="132"/>
      <c r="G215" s="131"/>
      <c r="H215" s="132"/>
      <c r="I215" s="133"/>
      <c r="J215" s="132"/>
      <c r="K215" s="132"/>
    </row>
    <row r="216" spans="1:11" x14ac:dyDescent="0.2">
      <c r="A216" s="124"/>
      <c r="B216" s="132"/>
      <c r="F216" s="132"/>
      <c r="G216" s="131"/>
      <c r="H216" s="132"/>
      <c r="I216" s="133"/>
      <c r="J216" s="132"/>
      <c r="K216" s="132"/>
    </row>
    <row r="217" spans="1:11" x14ac:dyDescent="0.2">
      <c r="A217" s="124"/>
      <c r="B217" s="132"/>
      <c r="F217" s="132"/>
      <c r="G217" s="131"/>
      <c r="H217" s="132"/>
      <c r="I217" s="133"/>
      <c r="J217" s="132"/>
      <c r="K217" s="132"/>
    </row>
    <row r="218" spans="1:11" x14ac:dyDescent="0.2">
      <c r="A218" s="124"/>
      <c r="B218" s="132"/>
      <c r="F218" s="132"/>
      <c r="G218" s="131"/>
      <c r="H218" s="132"/>
      <c r="I218" s="133"/>
      <c r="J218" s="132"/>
      <c r="K218" s="132"/>
    </row>
    <row r="219" spans="1:11" x14ac:dyDescent="0.2">
      <c r="A219" s="124"/>
      <c r="B219" s="132"/>
      <c r="F219" s="132"/>
      <c r="G219" s="131"/>
      <c r="H219" s="132"/>
      <c r="I219" s="133"/>
      <c r="J219" s="132"/>
      <c r="K219" s="132"/>
    </row>
    <row r="220" spans="1:11" x14ac:dyDescent="0.2">
      <c r="A220" s="124"/>
      <c r="B220" s="132"/>
      <c r="F220" s="132"/>
      <c r="G220" s="131"/>
      <c r="H220" s="132"/>
      <c r="I220" s="133"/>
      <c r="J220" s="132"/>
      <c r="K220" s="132"/>
    </row>
    <row r="221" spans="1:11" x14ac:dyDescent="0.2">
      <c r="A221" s="124"/>
      <c r="B221" s="132"/>
      <c r="F221" s="132"/>
      <c r="G221" s="131"/>
      <c r="H221" s="132"/>
      <c r="I221" s="133"/>
      <c r="J221" s="132"/>
      <c r="K221" s="132"/>
    </row>
    <row r="222" spans="1:11" x14ac:dyDescent="0.2">
      <c r="A222" s="124"/>
      <c r="B222" s="132"/>
      <c r="F222" s="132"/>
      <c r="G222" s="131"/>
      <c r="H222" s="132"/>
      <c r="I222" s="133"/>
      <c r="J222" s="132"/>
      <c r="K222" s="132"/>
    </row>
    <row r="223" spans="1:11" x14ac:dyDescent="0.2">
      <c r="A223" s="124"/>
      <c r="B223" s="132"/>
      <c r="F223" s="132"/>
      <c r="G223" s="131"/>
      <c r="H223" s="132"/>
      <c r="I223" s="133"/>
      <c r="J223" s="132"/>
      <c r="K223" s="132"/>
    </row>
    <row r="224" spans="1:11" x14ac:dyDescent="0.2">
      <c r="A224" s="124"/>
      <c r="B224" s="132"/>
      <c r="F224" s="132"/>
      <c r="G224" s="131"/>
      <c r="H224" s="132"/>
      <c r="I224" s="133"/>
      <c r="J224" s="132"/>
      <c r="K224" s="132"/>
    </row>
    <row r="225" spans="1:11" x14ac:dyDescent="0.2">
      <c r="A225" s="124"/>
      <c r="B225" s="132"/>
      <c r="F225" s="132"/>
      <c r="G225" s="131"/>
      <c r="H225" s="132"/>
      <c r="I225" s="133"/>
      <c r="J225" s="132"/>
      <c r="K225" s="132"/>
    </row>
    <row r="226" spans="1:11" x14ac:dyDescent="0.2">
      <c r="A226" s="124"/>
      <c r="B226" s="132"/>
      <c r="F226" s="132"/>
      <c r="G226" s="131"/>
      <c r="H226" s="132"/>
      <c r="I226" s="133"/>
      <c r="J226" s="132"/>
      <c r="K226" s="132"/>
    </row>
    <row r="227" spans="1:11" x14ac:dyDescent="0.2">
      <c r="A227" s="124"/>
      <c r="B227" s="132"/>
      <c r="F227" s="132"/>
      <c r="G227" s="131"/>
      <c r="H227" s="132"/>
      <c r="I227" s="133"/>
      <c r="J227" s="132"/>
      <c r="K227" s="132"/>
    </row>
    <row r="228" spans="1:11" x14ac:dyDescent="0.2">
      <c r="A228" s="124"/>
      <c r="B228" s="132"/>
      <c r="F228" s="132"/>
      <c r="G228" s="131"/>
      <c r="H228" s="132"/>
      <c r="I228" s="133"/>
      <c r="J228" s="132"/>
      <c r="K228" s="132"/>
    </row>
    <row r="229" spans="1:11" x14ac:dyDescent="0.2">
      <c r="A229" s="124"/>
      <c r="B229" s="132"/>
      <c r="F229" s="132"/>
      <c r="G229" s="131"/>
      <c r="H229" s="132"/>
      <c r="I229" s="133"/>
      <c r="J229" s="132"/>
      <c r="K229" s="132"/>
    </row>
    <row r="230" spans="1:11" x14ac:dyDescent="0.2">
      <c r="A230" s="124"/>
      <c r="B230" s="132"/>
      <c r="F230" s="132"/>
      <c r="G230" s="131"/>
      <c r="H230" s="132"/>
      <c r="I230" s="133"/>
      <c r="J230" s="132"/>
      <c r="K230" s="132"/>
    </row>
    <row r="231" spans="1:11" x14ac:dyDescent="0.2">
      <c r="A231" s="124"/>
      <c r="B231" s="132"/>
      <c r="F231" s="132"/>
      <c r="G231" s="131"/>
      <c r="H231" s="132"/>
      <c r="I231" s="133"/>
      <c r="J231" s="132"/>
      <c r="K231" s="132"/>
    </row>
    <row r="232" spans="1:11" x14ac:dyDescent="0.2">
      <c r="A232" s="124"/>
      <c r="B232" s="132"/>
      <c r="F232" s="132"/>
      <c r="G232" s="131"/>
      <c r="H232" s="132"/>
      <c r="I232" s="133"/>
      <c r="J232" s="132"/>
      <c r="K232" s="132"/>
    </row>
    <row r="233" spans="1:11" x14ac:dyDescent="0.2">
      <c r="A233" s="124"/>
      <c r="B233" s="132"/>
      <c r="F233" s="132"/>
      <c r="G233" s="131"/>
      <c r="H233" s="132"/>
      <c r="I233" s="133"/>
      <c r="J233" s="132"/>
      <c r="K233" s="132"/>
    </row>
    <row r="234" spans="1:11" x14ac:dyDescent="0.2">
      <c r="A234" s="124"/>
      <c r="B234" s="132"/>
      <c r="F234" s="132"/>
      <c r="G234" s="131"/>
      <c r="H234" s="132"/>
      <c r="I234" s="133"/>
      <c r="J234" s="132"/>
      <c r="K234" s="132"/>
    </row>
    <row r="235" spans="1:11" x14ac:dyDescent="0.2">
      <c r="A235" s="124"/>
      <c r="B235" s="132"/>
      <c r="F235" s="132"/>
      <c r="G235" s="131"/>
      <c r="H235" s="132"/>
      <c r="I235" s="133"/>
      <c r="J235" s="132"/>
      <c r="K235" s="132"/>
    </row>
    <row r="236" spans="1:11" x14ac:dyDescent="0.2">
      <c r="A236" s="124"/>
      <c r="B236" s="132"/>
      <c r="F236" s="132"/>
      <c r="G236" s="131"/>
      <c r="H236" s="132"/>
      <c r="I236" s="133"/>
      <c r="J236" s="132"/>
      <c r="K236" s="132"/>
    </row>
    <row r="237" spans="1:11" x14ac:dyDescent="0.2">
      <c r="A237" s="124"/>
      <c r="B237" s="132"/>
      <c r="F237" s="132"/>
      <c r="G237" s="131"/>
      <c r="H237" s="132"/>
      <c r="I237" s="133"/>
      <c r="J237" s="132"/>
      <c r="K237" s="132"/>
    </row>
    <row r="238" spans="1:11" x14ac:dyDescent="0.2">
      <c r="A238" s="124"/>
      <c r="B238" s="132"/>
      <c r="F238" s="132"/>
      <c r="G238" s="131"/>
      <c r="H238" s="132"/>
      <c r="I238" s="133"/>
      <c r="J238" s="132"/>
      <c r="K238" s="132"/>
    </row>
    <row r="239" spans="1:11" x14ac:dyDescent="0.2">
      <c r="A239" s="124"/>
      <c r="B239" s="132"/>
      <c r="F239" s="132"/>
      <c r="G239" s="131"/>
      <c r="H239" s="132"/>
      <c r="I239" s="133"/>
      <c r="J239" s="132"/>
      <c r="K239" s="132"/>
    </row>
    <row r="240" spans="1:11" x14ac:dyDescent="0.2">
      <c r="A240" s="124"/>
      <c r="B240" s="132"/>
      <c r="F240" s="132"/>
      <c r="G240" s="131"/>
      <c r="H240" s="132"/>
      <c r="I240" s="133"/>
      <c r="J240" s="132"/>
      <c r="K240" s="132"/>
    </row>
    <row r="241" spans="1:11" x14ac:dyDescent="0.2">
      <c r="A241" s="124"/>
      <c r="B241" s="132"/>
      <c r="F241" s="132"/>
      <c r="G241" s="131"/>
      <c r="H241" s="132"/>
      <c r="I241" s="133"/>
      <c r="J241" s="132"/>
      <c r="K241" s="132"/>
    </row>
    <row r="242" spans="1:11" x14ac:dyDescent="0.2">
      <c r="A242" s="124"/>
      <c r="B242" s="132"/>
      <c r="F242" s="132"/>
      <c r="G242" s="131"/>
      <c r="H242" s="132"/>
      <c r="I242" s="133"/>
      <c r="J242" s="132"/>
      <c r="K242" s="132"/>
    </row>
    <row r="243" spans="1:11" x14ac:dyDescent="0.2">
      <c r="A243" s="124"/>
      <c r="B243" s="132"/>
      <c r="F243" s="132"/>
      <c r="G243" s="131"/>
      <c r="H243" s="132"/>
      <c r="I243" s="133"/>
      <c r="J243" s="132"/>
      <c r="K243" s="132"/>
    </row>
    <row r="244" spans="1:11" x14ac:dyDescent="0.2">
      <c r="A244" s="124"/>
      <c r="B244" s="132"/>
      <c r="F244" s="132"/>
      <c r="G244" s="131"/>
      <c r="H244" s="132"/>
      <c r="I244" s="133"/>
      <c r="J244" s="132"/>
      <c r="K244" s="132"/>
    </row>
    <row r="245" spans="1:11" x14ac:dyDescent="0.2">
      <c r="A245" s="124"/>
      <c r="B245" s="132"/>
      <c r="F245" s="132"/>
      <c r="G245" s="131"/>
      <c r="H245" s="132"/>
      <c r="I245" s="133"/>
      <c r="J245" s="132"/>
      <c r="K245" s="132"/>
    </row>
    <row r="246" spans="1:11" x14ac:dyDescent="0.2">
      <c r="A246" s="124"/>
      <c r="B246" s="132"/>
      <c r="F246" s="132"/>
      <c r="G246" s="131"/>
      <c r="H246" s="132"/>
      <c r="I246" s="133"/>
      <c r="J246" s="132"/>
      <c r="K246" s="132"/>
    </row>
    <row r="247" spans="1:11" x14ac:dyDescent="0.2">
      <c r="A247" s="124"/>
      <c r="B247" s="132"/>
      <c r="F247" s="132"/>
      <c r="G247" s="131"/>
      <c r="H247" s="132"/>
      <c r="I247" s="133"/>
      <c r="J247" s="132"/>
      <c r="K247" s="132"/>
    </row>
    <row r="248" spans="1:11" x14ac:dyDescent="0.2">
      <c r="A248" s="124"/>
      <c r="B248" s="132"/>
      <c r="F248" s="132"/>
      <c r="G248" s="131"/>
      <c r="H248" s="132"/>
      <c r="I248" s="133"/>
      <c r="J248" s="132"/>
      <c r="K248" s="132"/>
    </row>
    <row r="249" spans="1:11" x14ac:dyDescent="0.2">
      <c r="A249" s="124"/>
      <c r="B249" s="132"/>
      <c r="F249" s="132"/>
      <c r="G249" s="131"/>
      <c r="H249" s="132"/>
      <c r="I249" s="133"/>
      <c r="J249" s="132"/>
      <c r="K249" s="132"/>
    </row>
    <row r="250" spans="1:11" x14ac:dyDescent="0.2">
      <c r="A250" s="124"/>
      <c r="B250" s="132"/>
      <c r="F250" s="132"/>
      <c r="G250" s="131"/>
      <c r="H250" s="132"/>
      <c r="I250" s="133"/>
      <c r="J250" s="132"/>
      <c r="K250" s="132"/>
    </row>
    <row r="251" spans="1:11" x14ac:dyDescent="0.2">
      <c r="A251" s="124"/>
      <c r="B251" s="132"/>
      <c r="F251" s="132"/>
      <c r="G251" s="131"/>
      <c r="H251" s="132"/>
      <c r="I251" s="133"/>
      <c r="J251" s="132"/>
      <c r="K251" s="132"/>
    </row>
    <row r="252" spans="1:11" x14ac:dyDescent="0.2">
      <c r="A252" s="124"/>
      <c r="B252" s="132"/>
      <c r="F252" s="132"/>
      <c r="G252" s="131"/>
      <c r="H252" s="132"/>
      <c r="I252" s="133"/>
      <c r="J252" s="132"/>
      <c r="K252" s="132"/>
    </row>
    <row r="253" spans="1:11" x14ac:dyDescent="0.2">
      <c r="A253" s="124"/>
      <c r="B253" s="132"/>
      <c r="F253" s="132"/>
      <c r="G253" s="131"/>
      <c r="H253" s="132"/>
      <c r="I253" s="133"/>
      <c r="J253" s="132"/>
      <c r="K253" s="132"/>
    </row>
    <row r="254" spans="1:11" x14ac:dyDescent="0.2">
      <c r="A254" s="124"/>
      <c r="B254" s="132"/>
      <c r="F254" s="132"/>
      <c r="G254" s="131"/>
      <c r="H254" s="132"/>
      <c r="I254" s="133"/>
      <c r="J254" s="132"/>
      <c r="K254" s="132"/>
    </row>
    <row r="255" spans="1:11" x14ac:dyDescent="0.2">
      <c r="A255" s="124"/>
      <c r="B255" s="132"/>
      <c r="F255" s="132"/>
      <c r="G255" s="131"/>
      <c r="H255" s="132"/>
      <c r="I255" s="133"/>
      <c r="J255" s="132"/>
      <c r="K255" s="132"/>
    </row>
    <row r="256" spans="1:11" x14ac:dyDescent="0.2">
      <c r="A256" s="124"/>
      <c r="B256" s="132"/>
      <c r="F256" s="132"/>
      <c r="G256" s="131"/>
      <c r="H256" s="132"/>
      <c r="I256" s="133"/>
      <c r="J256" s="132"/>
      <c r="K256" s="132"/>
    </row>
    <row r="257" spans="1:11" x14ac:dyDescent="0.2">
      <c r="A257" s="124"/>
      <c r="B257" s="132"/>
      <c r="F257" s="132"/>
      <c r="G257" s="131"/>
      <c r="H257" s="132"/>
      <c r="I257" s="133"/>
      <c r="J257" s="132"/>
      <c r="K257" s="132"/>
    </row>
    <row r="258" spans="1:11" x14ac:dyDescent="0.2">
      <c r="A258" s="124"/>
      <c r="B258" s="132"/>
      <c r="F258" s="132"/>
      <c r="G258" s="131"/>
      <c r="H258" s="132"/>
      <c r="I258" s="133"/>
      <c r="J258" s="132"/>
      <c r="K258" s="132"/>
    </row>
    <row r="259" spans="1:11" x14ac:dyDescent="0.2">
      <c r="A259" s="124"/>
      <c r="B259" s="132"/>
      <c r="F259" s="132"/>
      <c r="G259" s="131"/>
      <c r="H259" s="132"/>
      <c r="I259" s="133"/>
      <c r="J259" s="132"/>
      <c r="K259" s="132"/>
    </row>
    <row r="260" spans="1:11" x14ac:dyDescent="0.2">
      <c r="A260" s="124"/>
      <c r="B260" s="132"/>
      <c r="F260" s="132"/>
      <c r="G260" s="131"/>
      <c r="H260" s="132"/>
      <c r="I260" s="133"/>
      <c r="J260" s="132"/>
      <c r="K260" s="132"/>
    </row>
    <row r="261" spans="1:11" x14ac:dyDescent="0.2">
      <c r="A261" s="124"/>
      <c r="B261" s="132"/>
      <c r="F261" s="132"/>
      <c r="G261" s="131"/>
      <c r="H261" s="132"/>
      <c r="I261" s="133"/>
      <c r="J261" s="132"/>
      <c r="K261" s="132"/>
    </row>
    <row r="262" spans="1:11" x14ac:dyDescent="0.2">
      <c r="A262" s="124"/>
      <c r="B262" s="132"/>
      <c r="F262" s="132"/>
      <c r="G262" s="131"/>
      <c r="H262" s="132"/>
      <c r="I262" s="133"/>
      <c r="J262" s="132"/>
      <c r="K262" s="132"/>
    </row>
    <row r="263" spans="1:11" x14ac:dyDescent="0.2">
      <c r="A263" s="124"/>
      <c r="B263" s="132"/>
      <c r="F263" s="132"/>
      <c r="G263" s="131"/>
      <c r="H263" s="132"/>
      <c r="I263" s="133"/>
      <c r="J263" s="132"/>
      <c r="K263" s="132"/>
    </row>
    <row r="264" spans="1:11" x14ac:dyDescent="0.2">
      <c r="A264" s="124"/>
      <c r="B264" s="132"/>
      <c r="F264" s="132"/>
      <c r="G264" s="131"/>
      <c r="H264" s="132"/>
      <c r="I264" s="133"/>
      <c r="J264" s="132"/>
      <c r="K264" s="132"/>
    </row>
    <row r="265" spans="1:11" x14ac:dyDescent="0.2">
      <c r="A265" s="124"/>
      <c r="B265" s="132"/>
      <c r="F265" s="132"/>
      <c r="G265" s="131"/>
      <c r="H265" s="132"/>
      <c r="I265" s="133"/>
      <c r="J265" s="132"/>
      <c r="K265" s="132"/>
    </row>
    <row r="266" spans="1:11" x14ac:dyDescent="0.2">
      <c r="A266" s="124"/>
      <c r="B266" s="132"/>
      <c r="F266" s="132"/>
      <c r="G266" s="131"/>
      <c r="H266" s="132"/>
      <c r="I266" s="133"/>
      <c r="J266" s="132"/>
      <c r="K266" s="132"/>
    </row>
    <row r="267" spans="1:11" x14ac:dyDescent="0.2">
      <c r="A267" s="124"/>
      <c r="B267" s="132"/>
      <c r="F267" s="132"/>
      <c r="G267" s="131"/>
      <c r="H267" s="132"/>
      <c r="I267" s="133"/>
      <c r="J267" s="132"/>
      <c r="K267" s="132"/>
    </row>
    <row r="268" spans="1:11" x14ac:dyDescent="0.2">
      <c r="A268" s="124"/>
      <c r="B268" s="132"/>
      <c r="F268" s="132"/>
      <c r="G268" s="131"/>
      <c r="H268" s="132"/>
      <c r="I268" s="133"/>
      <c r="J268" s="132"/>
      <c r="K268" s="132"/>
    </row>
    <row r="269" spans="1:11" x14ac:dyDescent="0.2">
      <c r="A269" s="124"/>
      <c r="B269" s="132"/>
      <c r="F269" s="132"/>
      <c r="G269" s="131"/>
      <c r="H269" s="132"/>
      <c r="I269" s="133"/>
      <c r="J269" s="132"/>
      <c r="K269" s="132"/>
    </row>
    <row r="270" spans="1:11" x14ac:dyDescent="0.2">
      <c r="A270" s="124"/>
      <c r="B270" s="132"/>
      <c r="F270" s="132"/>
      <c r="G270" s="131"/>
      <c r="H270" s="132"/>
      <c r="I270" s="133"/>
      <c r="J270" s="132"/>
      <c r="K270" s="132"/>
    </row>
    <row r="271" spans="1:11" x14ac:dyDescent="0.2">
      <c r="A271" s="124"/>
      <c r="B271" s="132"/>
      <c r="F271" s="132"/>
      <c r="G271" s="131"/>
      <c r="H271" s="132"/>
      <c r="I271" s="133"/>
      <c r="J271" s="132"/>
      <c r="K271" s="132"/>
    </row>
    <row r="272" spans="1:11" x14ac:dyDescent="0.2">
      <c r="A272" s="124"/>
      <c r="B272" s="132"/>
      <c r="F272" s="132"/>
      <c r="G272" s="131"/>
      <c r="H272" s="132"/>
      <c r="I272" s="133"/>
      <c r="J272" s="132"/>
      <c r="K272" s="132"/>
    </row>
    <row r="273" spans="1:11" x14ac:dyDescent="0.2">
      <c r="A273" s="124"/>
      <c r="B273" s="132"/>
      <c r="F273" s="132"/>
      <c r="G273" s="131"/>
      <c r="H273" s="132"/>
      <c r="I273" s="133"/>
      <c r="J273" s="132"/>
      <c r="K273" s="132"/>
    </row>
    <row r="274" spans="1:11" x14ac:dyDescent="0.2">
      <c r="A274" s="124"/>
      <c r="B274" s="132"/>
      <c r="F274" s="132"/>
      <c r="G274" s="131"/>
      <c r="H274" s="132"/>
      <c r="I274" s="133"/>
      <c r="J274" s="132"/>
      <c r="K274" s="132"/>
    </row>
    <row r="275" spans="1:11" x14ac:dyDescent="0.2">
      <c r="A275" s="124"/>
      <c r="B275" s="132"/>
      <c r="F275" s="132"/>
      <c r="G275" s="131"/>
      <c r="H275" s="132"/>
      <c r="I275" s="133"/>
      <c r="J275" s="132"/>
      <c r="K275" s="132"/>
    </row>
    <row r="276" spans="1:11" x14ac:dyDescent="0.2">
      <c r="A276" s="124"/>
      <c r="B276" s="132"/>
      <c r="F276" s="132"/>
      <c r="G276" s="131"/>
      <c r="H276" s="132"/>
      <c r="I276" s="133"/>
      <c r="J276" s="132"/>
      <c r="K276" s="132"/>
    </row>
    <row r="277" spans="1:11" x14ac:dyDescent="0.2">
      <c r="A277" s="124"/>
      <c r="B277" s="132"/>
      <c r="F277" s="132"/>
      <c r="G277" s="131"/>
      <c r="H277" s="132"/>
      <c r="I277" s="133"/>
      <c r="J277" s="132"/>
      <c r="K277" s="132"/>
    </row>
    <row r="278" spans="1:11" x14ac:dyDescent="0.2">
      <c r="A278" s="124"/>
      <c r="B278" s="132"/>
      <c r="F278" s="132"/>
      <c r="G278" s="131"/>
      <c r="H278" s="132"/>
      <c r="I278" s="133"/>
      <c r="J278" s="132"/>
      <c r="K278" s="132"/>
    </row>
    <row r="279" spans="1:11" x14ac:dyDescent="0.2">
      <c r="A279" s="124"/>
      <c r="B279" s="132"/>
      <c r="F279" s="132"/>
      <c r="G279" s="131"/>
      <c r="H279" s="132"/>
      <c r="I279" s="133"/>
      <c r="J279" s="132"/>
      <c r="K279" s="132"/>
    </row>
    <row r="280" spans="1:11" x14ac:dyDescent="0.2">
      <c r="A280" s="124"/>
      <c r="B280" s="132"/>
      <c r="F280" s="132"/>
      <c r="G280" s="131"/>
      <c r="H280" s="132"/>
      <c r="I280" s="133"/>
      <c r="J280" s="132"/>
      <c r="K280" s="132"/>
    </row>
    <row r="281" spans="1:11" x14ac:dyDescent="0.2">
      <c r="A281" s="124"/>
      <c r="B281" s="132"/>
      <c r="F281" s="132"/>
      <c r="G281" s="131"/>
      <c r="H281" s="132"/>
      <c r="I281" s="133"/>
      <c r="J281" s="132"/>
      <c r="K281" s="132"/>
    </row>
    <row r="282" spans="1:11" x14ac:dyDescent="0.2">
      <c r="A282" s="124"/>
      <c r="B282" s="132"/>
      <c r="F282" s="132"/>
      <c r="G282" s="131"/>
      <c r="H282" s="132"/>
      <c r="I282" s="133"/>
      <c r="J282" s="132"/>
      <c r="K282" s="132"/>
    </row>
    <row r="283" spans="1:11" x14ac:dyDescent="0.2">
      <c r="A283" s="124"/>
      <c r="B283" s="132"/>
      <c r="F283" s="132"/>
      <c r="G283" s="131"/>
      <c r="H283" s="132"/>
      <c r="I283" s="133"/>
      <c r="J283" s="132"/>
      <c r="K283" s="132"/>
    </row>
    <row r="284" spans="1:11" x14ac:dyDescent="0.2">
      <c r="A284" s="124"/>
      <c r="B284" s="132"/>
      <c r="F284" s="132"/>
      <c r="G284" s="131"/>
      <c r="H284" s="132"/>
      <c r="I284" s="133"/>
      <c r="J284" s="132"/>
      <c r="K284" s="132"/>
    </row>
    <row r="285" spans="1:11" x14ac:dyDescent="0.2">
      <c r="A285" s="124"/>
      <c r="B285" s="132"/>
      <c r="F285" s="132"/>
      <c r="G285" s="131"/>
      <c r="H285" s="132"/>
      <c r="I285" s="133"/>
      <c r="J285" s="132"/>
      <c r="K285" s="132"/>
    </row>
    <row r="286" spans="1:11" x14ac:dyDescent="0.2">
      <c r="A286" s="124"/>
      <c r="B286" s="132"/>
      <c r="F286" s="132"/>
      <c r="G286" s="131"/>
      <c r="H286" s="132"/>
      <c r="I286" s="133"/>
      <c r="J286" s="132"/>
      <c r="K286" s="132"/>
    </row>
    <row r="287" spans="1:11" x14ac:dyDescent="0.2">
      <c r="A287" s="124"/>
      <c r="B287" s="132"/>
      <c r="F287" s="132"/>
      <c r="G287" s="131"/>
      <c r="H287" s="132"/>
      <c r="I287" s="133"/>
      <c r="J287" s="132"/>
      <c r="K287" s="132"/>
    </row>
    <row r="288" spans="1:11" x14ac:dyDescent="0.2">
      <c r="A288" s="124"/>
      <c r="B288" s="132"/>
      <c r="F288" s="132"/>
      <c r="G288" s="131"/>
      <c r="H288" s="132"/>
      <c r="I288" s="133"/>
      <c r="J288" s="132"/>
      <c r="K288" s="132"/>
    </row>
    <row r="289" spans="1:11" x14ac:dyDescent="0.2">
      <c r="A289" s="124"/>
      <c r="B289" s="132"/>
      <c r="F289" s="132"/>
      <c r="G289" s="131"/>
      <c r="H289" s="132"/>
      <c r="I289" s="133"/>
      <c r="J289" s="132"/>
      <c r="K289" s="132"/>
    </row>
    <row r="290" spans="1:11" x14ac:dyDescent="0.2">
      <c r="A290" s="124"/>
      <c r="B290" s="132"/>
      <c r="F290" s="132"/>
      <c r="G290" s="131"/>
      <c r="H290" s="132"/>
      <c r="I290" s="133"/>
      <c r="J290" s="132"/>
      <c r="K290" s="132"/>
    </row>
    <row r="291" spans="1:11" x14ac:dyDescent="0.2">
      <c r="A291" s="124"/>
      <c r="B291" s="132"/>
      <c r="F291" s="132"/>
      <c r="G291" s="131"/>
      <c r="H291" s="132"/>
      <c r="I291" s="133"/>
      <c r="J291" s="132"/>
      <c r="K291" s="132"/>
    </row>
    <row r="292" spans="1:11" x14ac:dyDescent="0.2">
      <c r="A292" s="124"/>
      <c r="B292" s="132"/>
      <c r="F292" s="132"/>
      <c r="G292" s="131"/>
      <c r="H292" s="132"/>
      <c r="I292" s="133"/>
      <c r="J292" s="132"/>
      <c r="K292" s="132"/>
    </row>
    <row r="293" spans="1:11" x14ac:dyDescent="0.2">
      <c r="A293" s="124"/>
      <c r="B293" s="132"/>
      <c r="F293" s="132"/>
      <c r="G293" s="131"/>
      <c r="H293" s="132"/>
      <c r="I293" s="133"/>
      <c r="J293" s="132"/>
      <c r="K293" s="132"/>
    </row>
    <row r="294" spans="1:11" x14ac:dyDescent="0.2">
      <c r="A294" s="124"/>
      <c r="B294" s="132"/>
      <c r="F294" s="132"/>
      <c r="G294" s="131"/>
      <c r="H294" s="132"/>
      <c r="I294" s="133"/>
      <c r="J294" s="132"/>
      <c r="K294" s="132"/>
    </row>
    <row r="295" spans="1:11" x14ac:dyDescent="0.2">
      <c r="A295" s="124"/>
      <c r="B295" s="132"/>
      <c r="F295" s="132"/>
      <c r="G295" s="131"/>
      <c r="H295" s="132"/>
      <c r="I295" s="133"/>
      <c r="J295" s="132"/>
      <c r="K295" s="132"/>
    </row>
    <row r="296" spans="1:11" x14ac:dyDescent="0.2">
      <c r="A296" s="124"/>
      <c r="B296" s="132"/>
      <c r="F296" s="132"/>
      <c r="G296" s="131"/>
      <c r="H296" s="132"/>
      <c r="I296" s="133"/>
      <c r="J296" s="132"/>
      <c r="K296" s="132"/>
    </row>
    <row r="297" spans="1:11" x14ac:dyDescent="0.2">
      <c r="A297" s="124"/>
      <c r="B297" s="132"/>
      <c r="F297" s="132"/>
      <c r="G297" s="131"/>
      <c r="H297" s="132"/>
      <c r="I297" s="133"/>
      <c r="J297" s="132"/>
      <c r="K297" s="132"/>
    </row>
    <row r="298" spans="1:11" x14ac:dyDescent="0.2">
      <c r="A298" s="124"/>
      <c r="B298" s="132"/>
      <c r="F298" s="132"/>
      <c r="G298" s="131"/>
      <c r="H298" s="132"/>
      <c r="I298" s="133"/>
      <c r="J298" s="132"/>
      <c r="K298" s="132"/>
    </row>
    <row r="299" spans="1:11" x14ac:dyDescent="0.2">
      <c r="A299" s="124"/>
      <c r="B299" s="132"/>
      <c r="F299" s="132"/>
      <c r="G299" s="131"/>
      <c r="H299" s="132"/>
      <c r="I299" s="133"/>
      <c r="J299" s="132"/>
      <c r="K299" s="132"/>
    </row>
    <row r="300" spans="1:11" x14ac:dyDescent="0.2">
      <c r="A300" s="124"/>
      <c r="B300" s="132"/>
      <c r="F300" s="132"/>
      <c r="G300" s="131"/>
      <c r="H300" s="132"/>
      <c r="I300" s="133"/>
      <c r="J300" s="132"/>
      <c r="K300" s="132"/>
    </row>
    <row r="301" spans="1:11" x14ac:dyDescent="0.2">
      <c r="A301" s="124"/>
      <c r="B301" s="132"/>
      <c r="F301" s="132"/>
      <c r="G301" s="131"/>
      <c r="H301" s="132"/>
      <c r="I301" s="133"/>
      <c r="J301" s="132"/>
      <c r="K301" s="132"/>
    </row>
    <row r="302" spans="1:11" x14ac:dyDescent="0.2">
      <c r="A302" s="124"/>
      <c r="B302" s="132"/>
      <c r="F302" s="132"/>
      <c r="G302" s="131"/>
      <c r="H302" s="132"/>
      <c r="I302" s="133"/>
      <c r="J302" s="132"/>
      <c r="K302" s="132"/>
    </row>
    <row r="303" spans="1:11" x14ac:dyDescent="0.2">
      <c r="A303" s="124"/>
      <c r="B303" s="132"/>
      <c r="F303" s="132"/>
      <c r="G303" s="131"/>
      <c r="H303" s="132"/>
      <c r="I303" s="133"/>
      <c r="J303" s="132"/>
      <c r="K303" s="132"/>
    </row>
    <row r="304" spans="1:11" x14ac:dyDescent="0.2">
      <c r="A304" s="124"/>
      <c r="B304" s="132"/>
      <c r="F304" s="132"/>
      <c r="G304" s="131"/>
      <c r="H304" s="132"/>
      <c r="I304" s="133"/>
      <c r="J304" s="132"/>
      <c r="K304" s="132"/>
    </row>
    <row r="305" spans="1:11" x14ac:dyDescent="0.2">
      <c r="A305" s="124"/>
      <c r="B305" s="132"/>
      <c r="F305" s="132"/>
      <c r="G305" s="131"/>
      <c r="H305" s="132"/>
      <c r="I305" s="133"/>
      <c r="J305" s="132"/>
      <c r="K305" s="132"/>
    </row>
    <row r="306" spans="1:11" x14ac:dyDescent="0.2">
      <c r="A306" s="124"/>
      <c r="B306" s="132"/>
      <c r="F306" s="132"/>
      <c r="G306" s="131"/>
      <c r="H306" s="132"/>
      <c r="I306" s="133"/>
      <c r="J306" s="132"/>
      <c r="K306" s="132"/>
    </row>
    <row r="307" spans="1:11" x14ac:dyDescent="0.2">
      <c r="A307" s="124"/>
      <c r="B307" s="132"/>
      <c r="F307" s="132"/>
      <c r="G307" s="131"/>
      <c r="H307" s="132"/>
      <c r="I307" s="133"/>
      <c r="J307" s="132"/>
      <c r="K307" s="132"/>
    </row>
    <row r="308" spans="1:11" x14ac:dyDescent="0.2">
      <c r="A308" s="124"/>
      <c r="B308" s="132"/>
      <c r="F308" s="132"/>
      <c r="G308" s="131"/>
      <c r="H308" s="132"/>
      <c r="I308" s="133"/>
      <c r="J308" s="132"/>
      <c r="K308" s="132"/>
    </row>
    <row r="309" spans="1:11" x14ac:dyDescent="0.2">
      <c r="A309" s="124"/>
      <c r="B309" s="132"/>
      <c r="F309" s="132"/>
      <c r="G309" s="131"/>
      <c r="H309" s="132"/>
      <c r="I309" s="133"/>
      <c r="J309" s="132"/>
      <c r="K309" s="132"/>
    </row>
    <row r="310" spans="1:11" x14ac:dyDescent="0.2">
      <c r="A310" s="124"/>
      <c r="B310" s="132"/>
      <c r="F310" s="132"/>
      <c r="G310" s="131"/>
      <c r="H310" s="132"/>
      <c r="I310" s="133"/>
      <c r="J310" s="132"/>
      <c r="K310" s="132"/>
    </row>
    <row r="311" spans="1:11" x14ac:dyDescent="0.2">
      <c r="A311" s="124"/>
      <c r="B311" s="132"/>
      <c r="F311" s="132"/>
      <c r="G311" s="131"/>
      <c r="H311" s="132"/>
      <c r="I311" s="133"/>
      <c r="J311" s="132"/>
      <c r="K311" s="132"/>
    </row>
    <row r="312" spans="1:11" x14ac:dyDescent="0.2">
      <c r="A312" s="124"/>
      <c r="B312" s="132"/>
      <c r="F312" s="132"/>
      <c r="G312" s="131"/>
      <c r="H312" s="132"/>
      <c r="I312" s="133"/>
      <c r="J312" s="132"/>
      <c r="K312" s="132"/>
    </row>
    <row r="313" spans="1:11" x14ac:dyDescent="0.2">
      <c r="A313" s="124"/>
      <c r="B313" s="132"/>
      <c r="F313" s="132"/>
      <c r="G313" s="131"/>
      <c r="H313" s="132"/>
      <c r="I313" s="133"/>
      <c r="J313" s="132"/>
      <c r="K313" s="132"/>
    </row>
    <row r="314" spans="1:11" x14ac:dyDescent="0.2">
      <c r="A314" s="124"/>
      <c r="B314" s="132"/>
      <c r="F314" s="132"/>
      <c r="G314" s="131"/>
      <c r="H314" s="132"/>
      <c r="I314" s="133"/>
      <c r="J314" s="132"/>
      <c r="K314" s="132"/>
    </row>
    <row r="315" spans="1:11" x14ac:dyDescent="0.2">
      <c r="A315" s="124"/>
      <c r="B315" s="132"/>
      <c r="F315" s="132"/>
      <c r="G315" s="131"/>
      <c r="H315" s="132"/>
      <c r="I315" s="133"/>
      <c r="J315" s="132"/>
      <c r="K315" s="132"/>
    </row>
    <row r="316" spans="1:11" x14ac:dyDescent="0.2">
      <c r="A316" s="124"/>
      <c r="B316" s="132"/>
      <c r="F316" s="132"/>
      <c r="G316" s="131"/>
      <c r="H316" s="132"/>
      <c r="I316" s="133"/>
      <c r="J316" s="132"/>
      <c r="K316" s="132"/>
    </row>
    <row r="317" spans="1:11" x14ac:dyDescent="0.2">
      <c r="A317" s="124"/>
      <c r="B317" s="132"/>
      <c r="F317" s="132"/>
      <c r="G317" s="131"/>
      <c r="H317" s="132"/>
      <c r="I317" s="133"/>
      <c r="J317" s="132"/>
      <c r="K317" s="132"/>
    </row>
    <row r="318" spans="1:11" x14ac:dyDescent="0.2">
      <c r="A318" s="124"/>
      <c r="B318" s="132"/>
      <c r="F318" s="132"/>
      <c r="G318" s="131"/>
      <c r="H318" s="132"/>
      <c r="I318" s="133"/>
      <c r="J318" s="132"/>
      <c r="K318" s="132"/>
    </row>
    <row r="319" spans="1:11" x14ac:dyDescent="0.2">
      <c r="A319" s="124"/>
      <c r="B319" s="132"/>
      <c r="F319" s="132"/>
      <c r="G319" s="131"/>
      <c r="H319" s="132"/>
      <c r="I319" s="133"/>
      <c r="J319" s="132"/>
      <c r="K319" s="132"/>
    </row>
    <row r="320" spans="1:11" x14ac:dyDescent="0.2">
      <c r="A320" s="124"/>
      <c r="B320" s="132"/>
      <c r="F320" s="132"/>
      <c r="G320" s="131"/>
      <c r="H320" s="132"/>
      <c r="I320" s="133"/>
      <c r="J320" s="132"/>
      <c r="K320" s="132"/>
    </row>
    <row r="321" spans="1:11" x14ac:dyDescent="0.2">
      <c r="A321" s="124"/>
      <c r="B321" s="132"/>
      <c r="F321" s="132"/>
      <c r="G321" s="131"/>
      <c r="H321" s="132"/>
      <c r="I321" s="133"/>
      <c r="J321" s="132"/>
      <c r="K321" s="132"/>
    </row>
    <row r="322" spans="1:11" x14ac:dyDescent="0.2">
      <c r="A322" s="124"/>
      <c r="B322" s="132"/>
      <c r="F322" s="132"/>
      <c r="G322" s="131"/>
      <c r="H322" s="132"/>
      <c r="I322" s="133"/>
      <c r="J322" s="132"/>
      <c r="K322" s="132"/>
    </row>
    <row r="323" spans="1:11" x14ac:dyDescent="0.2">
      <c r="A323" s="124"/>
      <c r="B323" s="132"/>
      <c r="F323" s="132"/>
      <c r="G323" s="131"/>
      <c r="H323" s="132"/>
      <c r="I323" s="133"/>
      <c r="J323" s="132"/>
      <c r="K323" s="132"/>
    </row>
    <row r="324" spans="1:11" x14ac:dyDescent="0.2">
      <c r="A324" s="124"/>
      <c r="B324" s="132"/>
      <c r="F324" s="132"/>
      <c r="G324" s="131"/>
      <c r="H324" s="132"/>
      <c r="I324" s="133"/>
      <c r="J324" s="132"/>
      <c r="K324" s="132"/>
    </row>
    <row r="325" spans="1:11" x14ac:dyDescent="0.2">
      <c r="A325" s="124"/>
      <c r="B325" s="132"/>
      <c r="F325" s="132"/>
      <c r="G325" s="131"/>
      <c r="H325" s="132"/>
      <c r="I325" s="133"/>
      <c r="J325" s="132"/>
      <c r="K325" s="132"/>
    </row>
    <row r="326" spans="1:11" x14ac:dyDescent="0.2">
      <c r="A326" s="124"/>
      <c r="B326" s="132"/>
      <c r="F326" s="132"/>
      <c r="G326" s="131"/>
      <c r="H326" s="132"/>
      <c r="I326" s="133"/>
      <c r="J326" s="132"/>
      <c r="K326" s="132"/>
    </row>
    <row r="327" spans="1:11" x14ac:dyDescent="0.2">
      <c r="A327" s="124"/>
      <c r="B327" s="132"/>
      <c r="F327" s="132"/>
      <c r="G327" s="131"/>
      <c r="H327" s="132"/>
      <c r="I327" s="133"/>
      <c r="J327" s="132"/>
      <c r="K327" s="132"/>
    </row>
    <row r="328" spans="1:11" x14ac:dyDescent="0.2">
      <c r="A328" s="124"/>
      <c r="B328" s="132"/>
      <c r="F328" s="132"/>
      <c r="G328" s="131"/>
      <c r="H328" s="132"/>
      <c r="I328" s="133"/>
      <c r="J328" s="132"/>
      <c r="K328" s="132"/>
    </row>
    <row r="329" spans="1:11" x14ac:dyDescent="0.2">
      <c r="A329" s="124"/>
      <c r="B329" s="132"/>
      <c r="F329" s="132"/>
      <c r="G329" s="131"/>
      <c r="H329" s="132"/>
      <c r="I329" s="133"/>
      <c r="J329" s="132"/>
      <c r="K329" s="132"/>
    </row>
    <row r="330" spans="1:11" x14ac:dyDescent="0.2">
      <c r="A330" s="124"/>
      <c r="B330" s="132"/>
      <c r="F330" s="132"/>
      <c r="G330" s="131"/>
      <c r="H330" s="132"/>
      <c r="I330" s="133"/>
      <c r="J330" s="132"/>
      <c r="K330" s="132"/>
    </row>
    <row r="331" spans="1:11" x14ac:dyDescent="0.2">
      <c r="A331" s="124"/>
      <c r="B331" s="132"/>
      <c r="F331" s="132"/>
      <c r="G331" s="131"/>
      <c r="H331" s="132"/>
      <c r="I331" s="133"/>
      <c r="J331" s="132"/>
      <c r="K331" s="132"/>
    </row>
    <row r="332" spans="1:11" x14ac:dyDescent="0.2">
      <c r="A332" s="124"/>
      <c r="B332" s="132"/>
      <c r="F332" s="132"/>
      <c r="G332" s="131"/>
      <c r="H332" s="132"/>
      <c r="I332" s="133"/>
      <c r="J332" s="132"/>
      <c r="K332" s="132"/>
    </row>
    <row r="333" spans="1:11" x14ac:dyDescent="0.2">
      <c r="A333" s="124"/>
      <c r="B333" s="132"/>
      <c r="F333" s="132"/>
      <c r="G333" s="131"/>
      <c r="H333" s="132"/>
      <c r="I333" s="133"/>
      <c r="J333" s="132"/>
      <c r="K333" s="132"/>
    </row>
    <row r="334" spans="1:11" x14ac:dyDescent="0.2">
      <c r="A334" s="124"/>
      <c r="B334" s="132"/>
      <c r="F334" s="132"/>
      <c r="G334" s="131"/>
      <c r="H334" s="132"/>
      <c r="I334" s="133"/>
      <c r="J334" s="132"/>
      <c r="K334" s="132"/>
    </row>
    <row r="335" spans="1:11" x14ac:dyDescent="0.2">
      <c r="A335" s="124"/>
      <c r="B335" s="132"/>
      <c r="F335" s="132"/>
      <c r="G335" s="131"/>
      <c r="H335" s="132"/>
      <c r="I335" s="133"/>
      <c r="J335" s="132"/>
      <c r="K335" s="132"/>
    </row>
    <row r="336" spans="1:11" x14ac:dyDescent="0.2">
      <c r="A336" s="124"/>
      <c r="B336" s="132"/>
      <c r="F336" s="132"/>
      <c r="G336" s="131"/>
      <c r="H336" s="132"/>
      <c r="I336" s="133"/>
      <c r="J336" s="132"/>
      <c r="K336" s="132"/>
    </row>
    <row r="337" spans="1:11" x14ac:dyDescent="0.2">
      <c r="A337" s="124"/>
      <c r="B337" s="132"/>
      <c r="F337" s="132"/>
      <c r="G337" s="131"/>
      <c r="H337" s="132"/>
      <c r="I337" s="133"/>
      <c r="J337" s="132"/>
      <c r="K337" s="132"/>
    </row>
    <row r="338" spans="1:11" x14ac:dyDescent="0.2">
      <c r="A338" s="124"/>
      <c r="B338" s="132"/>
      <c r="F338" s="132"/>
      <c r="G338" s="131"/>
      <c r="H338" s="132"/>
      <c r="I338" s="133"/>
      <c r="J338" s="132"/>
      <c r="K338" s="132"/>
    </row>
    <row r="339" spans="1:11" x14ac:dyDescent="0.2">
      <c r="A339" s="124"/>
      <c r="B339" s="132"/>
      <c r="F339" s="132"/>
      <c r="G339" s="131"/>
      <c r="H339" s="132"/>
      <c r="I339" s="133"/>
      <c r="J339" s="132"/>
      <c r="K339" s="132"/>
    </row>
    <row r="340" spans="1:11" x14ac:dyDescent="0.2">
      <c r="A340" s="124"/>
      <c r="B340" s="132"/>
      <c r="F340" s="132"/>
      <c r="G340" s="131"/>
      <c r="H340" s="132"/>
      <c r="I340" s="133"/>
      <c r="J340" s="132"/>
      <c r="K340" s="132"/>
    </row>
    <row r="341" spans="1:11" x14ac:dyDescent="0.2">
      <c r="A341" s="124"/>
      <c r="B341" s="132"/>
      <c r="F341" s="132"/>
      <c r="G341" s="131"/>
      <c r="H341" s="132"/>
      <c r="I341" s="133"/>
      <c r="J341" s="132"/>
      <c r="K341" s="132"/>
    </row>
    <row r="342" spans="1:11" x14ac:dyDescent="0.2">
      <c r="A342" s="124"/>
      <c r="B342" s="132"/>
      <c r="F342" s="132"/>
      <c r="G342" s="131"/>
      <c r="H342" s="132"/>
      <c r="I342" s="133"/>
      <c r="J342" s="132"/>
      <c r="K342" s="132"/>
    </row>
    <row r="343" spans="1:11" x14ac:dyDescent="0.2">
      <c r="A343" s="124"/>
      <c r="B343" s="132"/>
      <c r="F343" s="132"/>
      <c r="G343" s="131"/>
      <c r="H343" s="132"/>
      <c r="I343" s="133"/>
      <c r="J343" s="132"/>
      <c r="K343" s="132"/>
    </row>
    <row r="344" spans="1:11" x14ac:dyDescent="0.2">
      <c r="A344" s="124"/>
      <c r="B344" s="132"/>
      <c r="F344" s="132"/>
      <c r="G344" s="131"/>
      <c r="H344" s="132"/>
      <c r="I344" s="133"/>
      <c r="J344" s="132"/>
      <c r="K344" s="132"/>
    </row>
    <row r="345" spans="1:11" x14ac:dyDescent="0.2">
      <c r="A345" s="124"/>
      <c r="B345" s="132"/>
      <c r="F345" s="132"/>
      <c r="G345" s="131"/>
      <c r="H345" s="132"/>
      <c r="I345" s="133"/>
      <c r="J345" s="132"/>
      <c r="K345" s="132"/>
    </row>
    <row r="346" spans="1:11" x14ac:dyDescent="0.2">
      <c r="A346" s="124"/>
      <c r="B346" s="132"/>
      <c r="F346" s="132"/>
      <c r="G346" s="131"/>
      <c r="H346" s="132"/>
      <c r="I346" s="133"/>
      <c r="J346" s="132"/>
      <c r="K346" s="132"/>
    </row>
    <row r="347" spans="1:11" x14ac:dyDescent="0.2">
      <c r="A347" s="124"/>
      <c r="B347" s="132"/>
      <c r="F347" s="132"/>
      <c r="G347" s="131"/>
      <c r="H347" s="132"/>
      <c r="I347" s="133"/>
      <c r="J347" s="132"/>
      <c r="K347" s="132"/>
    </row>
    <row r="348" spans="1:11" x14ac:dyDescent="0.2">
      <c r="A348" s="124"/>
      <c r="B348" s="132"/>
      <c r="F348" s="132"/>
      <c r="G348" s="131"/>
      <c r="H348" s="132"/>
      <c r="I348" s="133"/>
      <c r="J348" s="132"/>
      <c r="K348" s="132"/>
    </row>
    <row r="349" spans="1:11" x14ac:dyDescent="0.2">
      <c r="A349" s="124"/>
      <c r="B349" s="132"/>
      <c r="F349" s="132"/>
      <c r="G349" s="131"/>
      <c r="H349" s="132"/>
      <c r="I349" s="133"/>
      <c r="J349" s="132"/>
      <c r="K349" s="132"/>
    </row>
    <row r="350" spans="1:11" x14ac:dyDescent="0.2">
      <c r="A350" s="124"/>
      <c r="B350" s="132"/>
      <c r="F350" s="132"/>
      <c r="G350" s="131"/>
      <c r="H350" s="132"/>
      <c r="I350" s="133"/>
      <c r="J350" s="132"/>
      <c r="K350" s="132"/>
    </row>
    <row r="351" spans="1:11" x14ac:dyDescent="0.2">
      <c r="A351" s="124"/>
      <c r="B351" s="132"/>
      <c r="F351" s="132"/>
      <c r="G351" s="131"/>
      <c r="H351" s="132"/>
      <c r="I351" s="133"/>
      <c r="J351" s="132"/>
      <c r="K351" s="132"/>
    </row>
    <row r="352" spans="1:11" x14ac:dyDescent="0.2">
      <c r="A352" s="124"/>
      <c r="B352" s="132"/>
      <c r="F352" s="132"/>
      <c r="G352" s="131"/>
      <c r="H352" s="132"/>
      <c r="I352" s="133"/>
      <c r="J352" s="132"/>
      <c r="K352" s="132"/>
    </row>
    <row r="353" spans="1:11" x14ac:dyDescent="0.2">
      <c r="A353" s="124"/>
      <c r="B353" s="132"/>
      <c r="F353" s="132"/>
      <c r="G353" s="131"/>
      <c r="H353" s="132"/>
      <c r="I353" s="133"/>
      <c r="J353" s="132"/>
      <c r="K353" s="132"/>
    </row>
    <row r="354" spans="1:11" x14ac:dyDescent="0.2">
      <c r="A354" s="124"/>
      <c r="B354" s="132"/>
      <c r="F354" s="132"/>
      <c r="G354" s="131"/>
      <c r="H354" s="132"/>
      <c r="I354" s="133"/>
      <c r="J354" s="132"/>
      <c r="K354" s="132"/>
    </row>
    <row r="355" spans="1:11" x14ac:dyDescent="0.2">
      <c r="A355" s="124"/>
      <c r="B355" s="132"/>
      <c r="F355" s="132"/>
      <c r="G355" s="131"/>
      <c r="H355" s="132"/>
      <c r="I355" s="133"/>
      <c r="J355" s="132"/>
      <c r="K355" s="132"/>
    </row>
    <row r="356" spans="1:11" x14ac:dyDescent="0.2">
      <c r="A356" s="124"/>
      <c r="B356" s="132"/>
      <c r="F356" s="132"/>
      <c r="G356" s="131"/>
      <c r="H356" s="132"/>
      <c r="I356" s="133"/>
      <c r="J356" s="132"/>
      <c r="K356" s="132"/>
    </row>
    <row r="357" spans="1:11" x14ac:dyDescent="0.2">
      <c r="A357" s="124"/>
      <c r="B357" s="132"/>
      <c r="F357" s="132"/>
      <c r="G357" s="131"/>
      <c r="H357" s="132"/>
      <c r="I357" s="133"/>
      <c r="J357" s="132"/>
      <c r="K357" s="132"/>
    </row>
    <row r="358" spans="1:11" x14ac:dyDescent="0.2">
      <c r="A358" s="124"/>
      <c r="B358" s="132"/>
      <c r="F358" s="132"/>
      <c r="G358" s="131"/>
      <c r="H358" s="132"/>
      <c r="I358" s="133"/>
      <c r="J358" s="132"/>
      <c r="K358" s="132"/>
    </row>
    <row r="359" spans="1:11" x14ac:dyDescent="0.2">
      <c r="A359" s="124"/>
      <c r="B359" s="132"/>
      <c r="F359" s="132"/>
      <c r="G359" s="131"/>
      <c r="H359" s="132"/>
      <c r="I359" s="133"/>
      <c r="J359" s="132"/>
      <c r="K359" s="132"/>
    </row>
    <row r="360" spans="1:11" x14ac:dyDescent="0.2">
      <c r="A360" s="124"/>
      <c r="B360" s="132"/>
      <c r="F360" s="132"/>
      <c r="G360" s="131"/>
      <c r="H360" s="132"/>
      <c r="I360" s="133"/>
      <c r="J360" s="132"/>
      <c r="K360" s="132"/>
    </row>
    <row r="361" spans="1:11" x14ac:dyDescent="0.2">
      <c r="A361" s="124"/>
      <c r="B361" s="132"/>
      <c r="F361" s="132"/>
      <c r="G361" s="131"/>
      <c r="H361" s="132"/>
      <c r="I361" s="133"/>
      <c r="J361" s="132"/>
      <c r="K361" s="132"/>
    </row>
    <row r="362" spans="1:11" x14ac:dyDescent="0.2">
      <c r="A362" s="124"/>
      <c r="B362" s="132"/>
      <c r="F362" s="132"/>
      <c r="G362" s="131"/>
      <c r="H362" s="132"/>
      <c r="I362" s="133"/>
      <c r="J362" s="132"/>
      <c r="K362" s="132"/>
    </row>
    <row r="363" spans="1:11" x14ac:dyDescent="0.2">
      <c r="A363" s="124"/>
      <c r="B363" s="132"/>
      <c r="F363" s="132"/>
      <c r="G363" s="131"/>
      <c r="H363" s="132"/>
      <c r="I363" s="133"/>
      <c r="J363" s="132"/>
      <c r="K363" s="132"/>
    </row>
    <row r="364" spans="1:11" x14ac:dyDescent="0.2">
      <c r="A364" s="124"/>
      <c r="B364" s="132"/>
      <c r="F364" s="132"/>
      <c r="G364" s="131"/>
      <c r="H364" s="132"/>
      <c r="I364" s="133"/>
      <c r="J364" s="132"/>
      <c r="K364" s="132"/>
    </row>
    <row r="365" spans="1:11" x14ac:dyDescent="0.2">
      <c r="A365" s="124"/>
      <c r="B365" s="132"/>
      <c r="F365" s="132"/>
      <c r="G365" s="131"/>
      <c r="H365" s="132"/>
      <c r="I365" s="133"/>
      <c r="J365" s="132"/>
      <c r="K365" s="132"/>
    </row>
    <row r="366" spans="1:11" x14ac:dyDescent="0.2">
      <c r="A366" s="124"/>
      <c r="B366" s="132"/>
      <c r="F366" s="132"/>
      <c r="G366" s="131"/>
      <c r="H366" s="132"/>
      <c r="I366" s="133"/>
      <c r="J366" s="132"/>
      <c r="K366" s="132"/>
    </row>
    <row r="367" spans="1:11" x14ac:dyDescent="0.2">
      <c r="A367" s="124"/>
      <c r="B367" s="132"/>
      <c r="F367" s="132"/>
      <c r="G367" s="131"/>
      <c r="H367" s="132"/>
      <c r="I367" s="133"/>
      <c r="J367" s="132"/>
      <c r="K367" s="132"/>
    </row>
    <row r="368" spans="1:11" x14ac:dyDescent="0.2">
      <c r="A368" s="124"/>
      <c r="B368" s="132"/>
      <c r="F368" s="132"/>
      <c r="G368" s="131"/>
      <c r="H368" s="132"/>
      <c r="I368" s="133"/>
      <c r="J368" s="132"/>
      <c r="K368" s="132"/>
    </row>
    <row r="369" spans="1:11" x14ac:dyDescent="0.2">
      <c r="A369" s="124"/>
      <c r="B369" s="132"/>
      <c r="F369" s="132"/>
      <c r="G369" s="131"/>
      <c r="H369" s="132"/>
      <c r="I369" s="133"/>
      <c r="J369" s="132"/>
      <c r="K369" s="132"/>
    </row>
    <row r="370" spans="1:11" x14ac:dyDescent="0.2">
      <c r="A370" s="124"/>
      <c r="B370" s="132"/>
      <c r="F370" s="132"/>
      <c r="G370" s="131"/>
      <c r="H370" s="132"/>
      <c r="I370" s="133"/>
      <c r="J370" s="132"/>
      <c r="K370" s="132"/>
    </row>
    <row r="371" spans="1:11" x14ac:dyDescent="0.2">
      <c r="A371" s="124"/>
      <c r="B371" s="132"/>
      <c r="F371" s="132"/>
      <c r="G371" s="131"/>
      <c r="H371" s="132"/>
      <c r="I371" s="133"/>
      <c r="J371" s="132"/>
      <c r="K371" s="132"/>
    </row>
    <row r="372" spans="1:11" x14ac:dyDescent="0.2">
      <c r="A372" s="124"/>
      <c r="B372" s="132"/>
      <c r="F372" s="132"/>
      <c r="G372" s="131"/>
      <c r="H372" s="132"/>
      <c r="I372" s="133"/>
      <c r="J372" s="132"/>
      <c r="K372" s="132"/>
    </row>
    <row r="373" spans="1:11" x14ac:dyDescent="0.2">
      <c r="A373" s="124"/>
      <c r="B373" s="132"/>
      <c r="F373" s="132"/>
      <c r="G373" s="131"/>
      <c r="H373" s="132"/>
      <c r="I373" s="133"/>
      <c r="J373" s="132"/>
      <c r="K373" s="132"/>
    </row>
    <row r="374" spans="1:11" x14ac:dyDescent="0.2">
      <c r="A374" s="124"/>
      <c r="B374" s="132"/>
      <c r="F374" s="132"/>
      <c r="G374" s="131"/>
      <c r="H374" s="132"/>
      <c r="I374" s="133"/>
      <c r="J374" s="132"/>
      <c r="K374" s="132"/>
    </row>
    <row r="375" spans="1:11" x14ac:dyDescent="0.2">
      <c r="A375" s="124"/>
      <c r="B375" s="132"/>
      <c r="F375" s="132"/>
      <c r="G375" s="131"/>
      <c r="H375" s="132"/>
      <c r="I375" s="133"/>
      <c r="J375" s="132"/>
      <c r="K375" s="132"/>
    </row>
    <row r="376" spans="1:11" x14ac:dyDescent="0.2">
      <c r="A376" s="124"/>
      <c r="B376" s="132"/>
      <c r="F376" s="132"/>
      <c r="G376" s="131"/>
      <c r="H376" s="132"/>
      <c r="I376" s="133"/>
      <c r="J376" s="132"/>
      <c r="K376" s="132"/>
    </row>
    <row r="377" spans="1:11" x14ac:dyDescent="0.2">
      <c r="A377" s="124"/>
      <c r="B377" s="132"/>
      <c r="F377" s="132"/>
      <c r="G377" s="131"/>
      <c r="H377" s="132"/>
      <c r="I377" s="133"/>
      <c r="J377" s="132"/>
      <c r="K377" s="132"/>
    </row>
    <row r="378" spans="1:11" x14ac:dyDescent="0.2">
      <c r="A378" s="124"/>
      <c r="B378" s="132"/>
      <c r="F378" s="132"/>
      <c r="G378" s="131"/>
      <c r="H378" s="132"/>
      <c r="I378" s="133"/>
      <c r="J378" s="132"/>
      <c r="K378" s="132"/>
    </row>
    <row r="379" spans="1:11" x14ac:dyDescent="0.2">
      <c r="A379" s="124"/>
      <c r="B379" s="132"/>
      <c r="F379" s="132"/>
      <c r="G379" s="131"/>
      <c r="H379" s="132"/>
      <c r="I379" s="133"/>
      <c r="J379" s="132"/>
      <c r="K379" s="132"/>
    </row>
    <row r="380" spans="1:11" x14ac:dyDescent="0.2">
      <c r="A380" s="124"/>
      <c r="B380" s="132"/>
      <c r="F380" s="132"/>
      <c r="G380" s="131"/>
      <c r="H380" s="132"/>
      <c r="I380" s="133"/>
      <c r="J380" s="132"/>
      <c r="K380" s="132"/>
    </row>
    <row r="381" spans="1:11" x14ac:dyDescent="0.2">
      <c r="A381" s="124"/>
      <c r="B381" s="132"/>
      <c r="F381" s="132"/>
      <c r="G381" s="131"/>
      <c r="H381" s="132"/>
      <c r="I381" s="133"/>
      <c r="J381" s="132"/>
      <c r="K381" s="132"/>
    </row>
    <row r="382" spans="1:11" x14ac:dyDescent="0.2">
      <c r="A382" s="124"/>
      <c r="B382" s="132"/>
      <c r="F382" s="132"/>
      <c r="G382" s="131"/>
      <c r="H382" s="132"/>
      <c r="I382" s="133"/>
      <c r="J382" s="132"/>
      <c r="K382" s="132"/>
    </row>
    <row r="383" spans="1:11" x14ac:dyDescent="0.2">
      <c r="A383" s="124"/>
      <c r="B383" s="132"/>
      <c r="F383" s="132"/>
      <c r="G383" s="131"/>
      <c r="H383" s="132"/>
      <c r="I383" s="133"/>
      <c r="J383" s="132"/>
      <c r="K383" s="132"/>
    </row>
    <row r="384" spans="1:11" x14ac:dyDescent="0.2">
      <c r="A384" s="124"/>
      <c r="B384" s="132"/>
      <c r="F384" s="132"/>
      <c r="G384" s="131"/>
      <c r="H384" s="132"/>
      <c r="I384" s="133"/>
      <c r="J384" s="132"/>
      <c r="K384" s="132"/>
    </row>
    <row r="385" spans="1:11" x14ac:dyDescent="0.2">
      <c r="A385" s="124"/>
      <c r="B385" s="132"/>
      <c r="F385" s="132"/>
      <c r="G385" s="131"/>
      <c r="H385" s="132"/>
      <c r="I385" s="133"/>
      <c r="J385" s="132"/>
      <c r="K385" s="132"/>
    </row>
    <row r="386" spans="1:11" x14ac:dyDescent="0.2">
      <c r="A386" s="124"/>
      <c r="B386" s="132"/>
      <c r="F386" s="132"/>
      <c r="G386" s="131"/>
      <c r="H386" s="132"/>
      <c r="I386" s="133"/>
      <c r="J386" s="132"/>
      <c r="K386" s="132"/>
    </row>
    <row r="387" spans="1:11" x14ac:dyDescent="0.2">
      <c r="A387" s="124"/>
      <c r="B387" s="132"/>
      <c r="F387" s="132"/>
      <c r="G387" s="131"/>
      <c r="H387" s="132"/>
      <c r="I387" s="133"/>
      <c r="J387" s="132"/>
      <c r="K387" s="132"/>
    </row>
    <row r="388" spans="1:11" x14ac:dyDescent="0.2">
      <c r="A388" s="124"/>
      <c r="B388" s="132"/>
      <c r="F388" s="132"/>
      <c r="G388" s="131"/>
      <c r="H388" s="132"/>
      <c r="I388" s="133"/>
      <c r="J388" s="132"/>
      <c r="K388" s="132"/>
    </row>
    <row r="389" spans="1:11" x14ac:dyDescent="0.2">
      <c r="A389" s="124"/>
      <c r="B389" s="132"/>
      <c r="F389" s="132"/>
      <c r="G389" s="131"/>
      <c r="H389" s="132"/>
      <c r="I389" s="133"/>
      <c r="J389" s="132"/>
      <c r="K389" s="132"/>
    </row>
    <row r="390" spans="1:11" x14ac:dyDescent="0.2">
      <c r="A390" s="124"/>
      <c r="B390" s="132"/>
      <c r="F390" s="132"/>
      <c r="G390" s="131"/>
      <c r="H390" s="132"/>
      <c r="I390" s="133"/>
      <c r="J390" s="132"/>
      <c r="K390" s="132"/>
    </row>
    <row r="391" spans="1:11" x14ac:dyDescent="0.2">
      <c r="A391" s="124"/>
      <c r="B391" s="132"/>
      <c r="F391" s="132"/>
      <c r="G391" s="131"/>
      <c r="H391" s="132"/>
      <c r="I391" s="133"/>
      <c r="J391" s="132"/>
      <c r="K391" s="132"/>
    </row>
    <row r="392" spans="1:11" x14ac:dyDescent="0.2">
      <c r="A392" s="124"/>
      <c r="B392" s="132"/>
      <c r="F392" s="132"/>
      <c r="G392" s="131"/>
      <c r="H392" s="132"/>
      <c r="I392" s="133"/>
      <c r="J392" s="132"/>
      <c r="K392" s="132"/>
    </row>
    <row r="393" spans="1:11" x14ac:dyDescent="0.2">
      <c r="A393" s="124"/>
      <c r="B393" s="132"/>
      <c r="F393" s="132"/>
      <c r="G393" s="131"/>
      <c r="H393" s="132"/>
      <c r="I393" s="133"/>
      <c r="J393" s="132"/>
      <c r="K393" s="132"/>
    </row>
    <row r="394" spans="1:11" x14ac:dyDescent="0.2">
      <c r="A394" s="124"/>
      <c r="B394" s="132"/>
      <c r="F394" s="132"/>
      <c r="G394" s="131"/>
      <c r="H394" s="132"/>
      <c r="I394" s="133"/>
      <c r="J394" s="132"/>
      <c r="K394" s="132"/>
    </row>
    <row r="395" spans="1:11" x14ac:dyDescent="0.2">
      <c r="A395" s="124"/>
      <c r="B395" s="132"/>
      <c r="F395" s="132"/>
      <c r="G395" s="131"/>
      <c r="H395" s="132"/>
      <c r="I395" s="133"/>
      <c r="J395" s="132"/>
      <c r="K395" s="132"/>
    </row>
    <row r="396" spans="1:11" x14ac:dyDescent="0.2">
      <c r="A396" s="124"/>
      <c r="B396" s="132"/>
      <c r="F396" s="132"/>
      <c r="G396" s="131"/>
      <c r="H396" s="132"/>
      <c r="I396" s="133"/>
      <c r="J396" s="132"/>
      <c r="K396" s="132"/>
    </row>
    <row r="397" spans="1:11" x14ac:dyDescent="0.2">
      <c r="A397" s="124"/>
      <c r="B397" s="132"/>
      <c r="F397" s="132"/>
      <c r="G397" s="131"/>
      <c r="H397" s="132"/>
      <c r="I397" s="133"/>
      <c r="J397" s="132"/>
      <c r="K397" s="132"/>
    </row>
    <row r="398" spans="1:11" x14ac:dyDescent="0.2">
      <c r="A398" s="124"/>
      <c r="B398" s="132"/>
      <c r="F398" s="132"/>
      <c r="G398" s="131"/>
      <c r="H398" s="132"/>
      <c r="I398" s="133"/>
      <c r="J398" s="132"/>
      <c r="K398" s="132"/>
    </row>
    <row r="399" spans="1:11" x14ac:dyDescent="0.2">
      <c r="A399" s="124"/>
      <c r="B399" s="132"/>
      <c r="F399" s="132"/>
      <c r="G399" s="131"/>
      <c r="H399" s="132"/>
      <c r="I399" s="133"/>
      <c r="J399" s="132"/>
      <c r="K399" s="132"/>
    </row>
    <row r="400" spans="1:11" x14ac:dyDescent="0.2">
      <c r="A400" s="124"/>
      <c r="B400" s="132"/>
      <c r="F400" s="132"/>
      <c r="G400" s="131"/>
      <c r="H400" s="132"/>
      <c r="I400" s="133"/>
      <c r="J400" s="132"/>
      <c r="K400" s="132"/>
    </row>
    <row r="401" spans="1:11" x14ac:dyDescent="0.2">
      <c r="A401" s="124"/>
      <c r="B401" s="132"/>
      <c r="F401" s="132"/>
      <c r="G401" s="131"/>
      <c r="H401" s="132"/>
      <c r="I401" s="133"/>
      <c r="J401" s="132"/>
      <c r="K401" s="132"/>
    </row>
    <row r="402" spans="1:11" x14ac:dyDescent="0.2">
      <c r="A402" s="124"/>
      <c r="B402" s="132"/>
      <c r="F402" s="132"/>
      <c r="G402" s="131"/>
      <c r="H402" s="132"/>
      <c r="I402" s="133"/>
      <c r="J402" s="132"/>
      <c r="K402" s="132"/>
    </row>
    <row r="403" spans="1:11" x14ac:dyDescent="0.2">
      <c r="A403" s="124"/>
      <c r="B403" s="132"/>
      <c r="F403" s="132"/>
      <c r="G403" s="131"/>
      <c r="H403" s="132"/>
      <c r="I403" s="133"/>
      <c r="J403" s="132"/>
      <c r="K403" s="132"/>
    </row>
    <row r="404" spans="1:11" x14ac:dyDescent="0.2">
      <c r="A404" s="124"/>
      <c r="B404" s="132"/>
      <c r="F404" s="132"/>
      <c r="G404" s="131"/>
      <c r="H404" s="132"/>
      <c r="I404" s="133"/>
      <c r="J404" s="132"/>
      <c r="K404" s="132"/>
    </row>
    <row r="405" spans="1:11" x14ac:dyDescent="0.2">
      <c r="A405" s="124"/>
      <c r="B405" s="132"/>
      <c r="F405" s="132"/>
      <c r="G405" s="131"/>
      <c r="H405" s="132"/>
      <c r="I405" s="133"/>
      <c r="J405" s="132"/>
      <c r="K405" s="132"/>
    </row>
    <row r="406" spans="1:11" x14ac:dyDescent="0.2">
      <c r="A406" s="124"/>
      <c r="B406" s="132"/>
      <c r="F406" s="132"/>
      <c r="G406" s="131"/>
      <c r="H406" s="132"/>
      <c r="I406" s="133"/>
      <c r="J406" s="132"/>
      <c r="K406" s="132"/>
    </row>
    <row r="407" spans="1:11" x14ac:dyDescent="0.2">
      <c r="A407" s="124"/>
      <c r="B407" s="132"/>
      <c r="F407" s="132"/>
      <c r="G407" s="131"/>
      <c r="H407" s="132"/>
      <c r="I407" s="133"/>
      <c r="J407" s="132"/>
      <c r="K407" s="132"/>
    </row>
    <row r="408" spans="1:11" x14ac:dyDescent="0.2">
      <c r="A408" s="124"/>
      <c r="B408" s="132"/>
      <c r="F408" s="132"/>
      <c r="G408" s="131"/>
      <c r="H408" s="132"/>
      <c r="I408" s="133"/>
      <c r="J408" s="132"/>
      <c r="K408" s="132"/>
    </row>
    <row r="409" spans="1:11" x14ac:dyDescent="0.2">
      <c r="A409" s="124"/>
      <c r="B409" s="132"/>
      <c r="F409" s="132"/>
      <c r="G409" s="131"/>
      <c r="H409" s="132"/>
      <c r="I409" s="133"/>
      <c r="J409" s="132"/>
      <c r="K409" s="132"/>
    </row>
    <row r="410" spans="1:11" x14ac:dyDescent="0.2">
      <c r="A410" s="124"/>
      <c r="B410" s="132"/>
      <c r="F410" s="132"/>
      <c r="G410" s="131"/>
      <c r="H410" s="132"/>
      <c r="I410" s="133"/>
      <c r="J410" s="132"/>
      <c r="K410" s="132"/>
    </row>
    <row r="411" spans="1:11" x14ac:dyDescent="0.2">
      <c r="A411" s="124"/>
      <c r="B411" s="132"/>
      <c r="F411" s="132"/>
      <c r="G411" s="131"/>
      <c r="H411" s="132"/>
      <c r="I411" s="133"/>
      <c r="J411" s="132"/>
      <c r="K411" s="132"/>
    </row>
    <row r="412" spans="1:11" x14ac:dyDescent="0.2">
      <c r="A412" s="124"/>
      <c r="B412" s="132"/>
      <c r="F412" s="132"/>
      <c r="G412" s="131"/>
      <c r="H412" s="132"/>
      <c r="I412" s="133"/>
      <c r="J412" s="132"/>
      <c r="K412" s="132"/>
    </row>
    <row r="413" spans="1:11" x14ac:dyDescent="0.2">
      <c r="A413" s="124"/>
      <c r="B413" s="132"/>
      <c r="F413" s="132"/>
      <c r="G413" s="131"/>
      <c r="H413" s="132"/>
      <c r="I413" s="133"/>
      <c r="J413" s="132"/>
      <c r="K413" s="132"/>
    </row>
    <row r="414" spans="1:11" x14ac:dyDescent="0.2">
      <c r="A414" s="124"/>
      <c r="B414" s="132"/>
      <c r="F414" s="132"/>
      <c r="G414" s="131"/>
      <c r="H414" s="132"/>
      <c r="I414" s="133"/>
      <c r="J414" s="132"/>
      <c r="K414" s="132"/>
    </row>
    <row r="415" spans="1:11" x14ac:dyDescent="0.2">
      <c r="A415" s="124"/>
      <c r="B415" s="132"/>
      <c r="F415" s="132"/>
      <c r="G415" s="131"/>
      <c r="H415" s="132"/>
      <c r="I415" s="133"/>
      <c r="J415" s="132"/>
      <c r="K415" s="132"/>
    </row>
    <row r="416" spans="1:11" x14ac:dyDescent="0.2">
      <c r="A416" s="124"/>
      <c r="B416" s="132"/>
      <c r="F416" s="132"/>
      <c r="G416" s="131"/>
      <c r="H416" s="132"/>
      <c r="I416" s="133"/>
      <c r="J416" s="132"/>
      <c r="K416" s="132"/>
    </row>
    <row r="417" spans="1:11" x14ac:dyDescent="0.2">
      <c r="A417" s="124"/>
      <c r="B417" s="132"/>
      <c r="F417" s="132"/>
      <c r="G417" s="131"/>
      <c r="H417" s="132"/>
      <c r="I417" s="133"/>
      <c r="J417" s="132"/>
      <c r="K417" s="132"/>
    </row>
    <row r="418" spans="1:11" x14ac:dyDescent="0.2">
      <c r="A418" s="124"/>
      <c r="B418" s="132"/>
      <c r="F418" s="132"/>
      <c r="G418" s="131"/>
      <c r="H418" s="132"/>
      <c r="I418" s="133"/>
      <c r="J418" s="132"/>
      <c r="K418" s="132"/>
    </row>
    <row r="419" spans="1:11" x14ac:dyDescent="0.2">
      <c r="A419" s="124"/>
      <c r="B419" s="132"/>
      <c r="F419" s="132"/>
      <c r="G419" s="131"/>
      <c r="H419" s="132"/>
      <c r="I419" s="133"/>
      <c r="J419" s="132"/>
      <c r="K419" s="132"/>
    </row>
    <row r="420" spans="1:11" x14ac:dyDescent="0.2">
      <c r="A420" s="124"/>
      <c r="B420" s="132"/>
      <c r="F420" s="132"/>
      <c r="G420" s="131"/>
      <c r="H420" s="132"/>
      <c r="I420" s="133"/>
      <c r="J420" s="132"/>
      <c r="K420" s="132"/>
    </row>
    <row r="421" spans="1:11" x14ac:dyDescent="0.2">
      <c r="A421" s="124"/>
      <c r="B421" s="132"/>
      <c r="F421" s="132"/>
      <c r="G421" s="131"/>
      <c r="H421" s="132"/>
      <c r="I421" s="133"/>
      <c r="J421" s="132"/>
      <c r="K421" s="132"/>
    </row>
    <row r="422" spans="1:11" x14ac:dyDescent="0.2">
      <c r="A422" s="124"/>
      <c r="B422" s="132"/>
      <c r="F422" s="132"/>
      <c r="G422" s="131"/>
      <c r="H422" s="132"/>
      <c r="I422" s="133"/>
      <c r="J422" s="132"/>
      <c r="K422" s="132"/>
    </row>
    <row r="423" spans="1:11" x14ac:dyDescent="0.2">
      <c r="A423" s="124"/>
      <c r="B423" s="132"/>
      <c r="F423" s="132"/>
      <c r="G423" s="131"/>
      <c r="H423" s="132"/>
      <c r="I423" s="133"/>
      <c r="J423" s="132"/>
      <c r="K423" s="132"/>
    </row>
    <row r="424" spans="1:11" x14ac:dyDescent="0.2">
      <c r="A424" s="124"/>
      <c r="B424" s="132"/>
      <c r="F424" s="132"/>
      <c r="G424" s="131"/>
      <c r="H424" s="132"/>
      <c r="I424" s="133"/>
      <c r="J424" s="132"/>
      <c r="K424" s="132"/>
    </row>
    <row r="425" spans="1:11" x14ac:dyDescent="0.2">
      <c r="A425" s="124"/>
      <c r="B425" s="132"/>
      <c r="F425" s="132"/>
      <c r="G425" s="131"/>
      <c r="H425" s="132"/>
      <c r="I425" s="133"/>
      <c r="J425" s="132"/>
      <c r="K425" s="132"/>
    </row>
    <row r="426" spans="1:11" x14ac:dyDescent="0.2">
      <c r="A426" s="124"/>
      <c r="B426" s="132"/>
      <c r="F426" s="132"/>
      <c r="G426" s="131"/>
      <c r="H426" s="132"/>
      <c r="I426" s="133"/>
      <c r="J426" s="132"/>
      <c r="K426" s="132"/>
    </row>
    <row r="427" spans="1:11" x14ac:dyDescent="0.2">
      <c r="A427" s="124"/>
      <c r="B427" s="132"/>
      <c r="F427" s="132"/>
      <c r="G427" s="131"/>
      <c r="H427" s="132"/>
      <c r="I427" s="133"/>
      <c r="J427" s="132"/>
      <c r="K427" s="132"/>
    </row>
    <row r="428" spans="1:11" x14ac:dyDescent="0.2">
      <c r="A428" s="124"/>
      <c r="B428" s="132"/>
      <c r="F428" s="132"/>
      <c r="G428" s="131"/>
      <c r="H428" s="132"/>
      <c r="I428" s="133"/>
      <c r="J428" s="132"/>
      <c r="K428" s="132"/>
    </row>
    <row r="429" spans="1:11" x14ac:dyDescent="0.2">
      <c r="A429" s="124"/>
      <c r="B429" s="132"/>
      <c r="F429" s="132"/>
      <c r="G429" s="131"/>
      <c r="H429" s="132"/>
      <c r="I429" s="133"/>
      <c r="J429" s="132"/>
      <c r="K429" s="132"/>
    </row>
    <row r="430" spans="1:11" x14ac:dyDescent="0.2">
      <c r="A430" s="124"/>
      <c r="B430" s="132"/>
      <c r="F430" s="132"/>
      <c r="G430" s="131"/>
      <c r="H430" s="132"/>
      <c r="I430" s="133"/>
      <c r="J430" s="132"/>
      <c r="K430" s="132"/>
    </row>
    <row r="431" spans="1:11" x14ac:dyDescent="0.2">
      <c r="A431" s="124"/>
      <c r="B431" s="132"/>
      <c r="F431" s="132"/>
      <c r="G431" s="131"/>
      <c r="H431" s="132"/>
      <c r="I431" s="133"/>
      <c r="J431" s="132"/>
      <c r="K431" s="132"/>
    </row>
    <row r="432" spans="1:11" x14ac:dyDescent="0.2">
      <c r="A432" s="124"/>
      <c r="B432" s="132"/>
      <c r="F432" s="132"/>
      <c r="G432" s="131"/>
      <c r="H432" s="132"/>
      <c r="I432" s="133"/>
      <c r="J432" s="132"/>
      <c r="K432" s="132"/>
    </row>
    <row r="433" spans="1:11" x14ac:dyDescent="0.2">
      <c r="A433" s="124"/>
      <c r="B433" s="132"/>
      <c r="F433" s="132"/>
      <c r="G433" s="131"/>
      <c r="H433" s="132"/>
      <c r="I433" s="133"/>
      <c r="J433" s="132"/>
      <c r="K433" s="132"/>
    </row>
    <row r="434" spans="1:11" x14ac:dyDescent="0.2">
      <c r="A434" s="124"/>
      <c r="B434" s="132"/>
      <c r="F434" s="132"/>
      <c r="G434" s="131"/>
      <c r="H434" s="132"/>
      <c r="I434" s="133"/>
      <c r="J434" s="132"/>
      <c r="K434" s="132"/>
    </row>
    <row r="435" spans="1:11" x14ac:dyDescent="0.2">
      <c r="A435" s="124"/>
      <c r="B435" s="132"/>
      <c r="F435" s="132"/>
      <c r="G435" s="131"/>
      <c r="H435" s="132"/>
      <c r="I435" s="133"/>
      <c r="J435" s="132"/>
      <c r="K435" s="132"/>
    </row>
    <row r="436" spans="1:11" x14ac:dyDescent="0.2">
      <c r="A436" s="124"/>
      <c r="B436" s="132"/>
      <c r="F436" s="132"/>
      <c r="G436" s="131"/>
      <c r="H436" s="132"/>
      <c r="I436" s="133"/>
      <c r="J436" s="132"/>
      <c r="K436" s="132"/>
    </row>
    <row r="437" spans="1:11" x14ac:dyDescent="0.2">
      <c r="A437" s="124"/>
      <c r="B437" s="132"/>
      <c r="F437" s="132"/>
      <c r="G437" s="131"/>
      <c r="H437" s="132"/>
      <c r="I437" s="133"/>
      <c r="J437" s="132"/>
      <c r="K437" s="132"/>
    </row>
    <row r="438" spans="1:11" x14ac:dyDescent="0.2">
      <c r="A438" s="124"/>
      <c r="B438" s="132"/>
      <c r="F438" s="132"/>
      <c r="G438" s="131"/>
      <c r="H438" s="132"/>
      <c r="I438" s="133"/>
      <c r="J438" s="132"/>
      <c r="K438" s="132"/>
    </row>
    <row r="439" spans="1:11" x14ac:dyDescent="0.2">
      <c r="A439" s="124"/>
      <c r="B439" s="132"/>
      <c r="F439" s="132"/>
      <c r="G439" s="131"/>
      <c r="H439" s="132"/>
      <c r="I439" s="133"/>
      <c r="J439" s="132"/>
      <c r="K439" s="132"/>
    </row>
    <row r="440" spans="1:11" x14ac:dyDescent="0.2">
      <c r="A440" s="124"/>
      <c r="B440" s="132"/>
      <c r="F440" s="132"/>
      <c r="G440" s="131"/>
      <c r="H440" s="132"/>
      <c r="I440" s="133"/>
      <c r="J440" s="132"/>
      <c r="K440" s="132"/>
    </row>
    <row r="441" spans="1:11" x14ac:dyDescent="0.2">
      <c r="A441" s="124"/>
      <c r="B441" s="132"/>
      <c r="F441" s="132"/>
      <c r="G441" s="131"/>
      <c r="H441" s="132"/>
      <c r="I441" s="133"/>
      <c r="J441" s="132"/>
      <c r="K441" s="132"/>
    </row>
    <row r="442" spans="1:11" x14ac:dyDescent="0.2">
      <c r="A442" s="124"/>
      <c r="B442" s="132"/>
      <c r="F442" s="132"/>
      <c r="G442" s="131"/>
      <c r="H442" s="132"/>
      <c r="I442" s="133"/>
      <c r="J442" s="132"/>
      <c r="K442" s="132"/>
    </row>
    <row r="443" spans="1:11" x14ac:dyDescent="0.2">
      <c r="A443" s="124"/>
      <c r="B443" s="132"/>
      <c r="F443" s="132"/>
      <c r="G443" s="131"/>
      <c r="H443" s="132"/>
      <c r="I443" s="133"/>
      <c r="J443" s="132"/>
      <c r="K443" s="132"/>
    </row>
    <row r="444" spans="1:11" x14ac:dyDescent="0.2">
      <c r="A444" s="124"/>
      <c r="B444" s="132"/>
      <c r="F444" s="132"/>
      <c r="G444" s="131"/>
      <c r="H444" s="132"/>
      <c r="I444" s="133"/>
      <c r="J444" s="132"/>
      <c r="K444" s="132"/>
    </row>
    <row r="445" spans="1:11" x14ac:dyDescent="0.2">
      <c r="A445" s="124"/>
      <c r="B445" s="132"/>
      <c r="F445" s="132"/>
      <c r="G445" s="131"/>
      <c r="H445" s="132"/>
      <c r="I445" s="133"/>
      <c r="J445" s="132"/>
      <c r="K445" s="132"/>
    </row>
    <row r="446" spans="1:11" x14ac:dyDescent="0.2">
      <c r="A446" s="124"/>
      <c r="B446" s="132"/>
      <c r="F446" s="132"/>
      <c r="G446" s="131"/>
      <c r="H446" s="132"/>
      <c r="I446" s="133"/>
      <c r="J446" s="132"/>
      <c r="K446" s="132"/>
    </row>
    <row r="447" spans="1:11" x14ac:dyDescent="0.2">
      <c r="A447" s="124"/>
      <c r="B447" s="132"/>
      <c r="F447" s="132"/>
      <c r="G447" s="131"/>
      <c r="H447" s="132"/>
      <c r="I447" s="133"/>
      <c r="J447" s="132"/>
      <c r="K447" s="132"/>
    </row>
    <row r="448" spans="1:11" x14ac:dyDescent="0.2">
      <c r="A448" s="124"/>
      <c r="B448" s="132"/>
      <c r="F448" s="132"/>
      <c r="G448" s="131"/>
      <c r="H448" s="132"/>
      <c r="I448" s="133"/>
      <c r="J448" s="132"/>
      <c r="K448" s="132"/>
    </row>
    <row r="449" spans="1:11" x14ac:dyDescent="0.2">
      <c r="A449" s="124"/>
      <c r="B449" s="132"/>
      <c r="F449" s="132"/>
      <c r="G449" s="131"/>
      <c r="H449" s="132"/>
      <c r="I449" s="133"/>
      <c r="J449" s="132"/>
      <c r="K449" s="132"/>
    </row>
    <row r="450" spans="1:11" x14ac:dyDescent="0.2">
      <c r="A450" s="124"/>
      <c r="B450" s="132"/>
      <c r="F450" s="132"/>
      <c r="G450" s="131"/>
      <c r="H450" s="132"/>
      <c r="I450" s="133"/>
      <c r="J450" s="132"/>
      <c r="K450" s="132"/>
    </row>
    <row r="451" spans="1:11" x14ac:dyDescent="0.2">
      <c r="A451" s="124"/>
      <c r="B451" s="132"/>
      <c r="F451" s="132"/>
      <c r="G451" s="131"/>
      <c r="H451" s="132"/>
      <c r="I451" s="133"/>
      <c r="J451" s="132"/>
      <c r="K451" s="132"/>
    </row>
    <row r="452" spans="1:11" x14ac:dyDescent="0.2">
      <c r="A452" s="124"/>
      <c r="B452" s="132"/>
      <c r="F452" s="132"/>
      <c r="G452" s="131"/>
      <c r="H452" s="132"/>
      <c r="I452" s="133"/>
      <c r="J452" s="132"/>
      <c r="K452" s="132"/>
    </row>
    <row r="453" spans="1:11" x14ac:dyDescent="0.2">
      <c r="A453" s="124"/>
      <c r="B453" s="132"/>
      <c r="F453" s="132"/>
      <c r="G453" s="131"/>
      <c r="H453" s="132"/>
      <c r="I453" s="133"/>
      <c r="J453" s="132"/>
      <c r="K453" s="132"/>
    </row>
    <row r="454" spans="1:11" x14ac:dyDescent="0.2">
      <c r="A454" s="124"/>
      <c r="B454" s="132"/>
      <c r="F454" s="132"/>
      <c r="G454" s="131"/>
      <c r="H454" s="132"/>
      <c r="I454" s="133"/>
      <c r="J454" s="132"/>
      <c r="K454" s="132"/>
    </row>
    <row r="455" spans="1:11" x14ac:dyDescent="0.2">
      <c r="A455" s="124"/>
      <c r="B455" s="132"/>
      <c r="F455" s="132"/>
      <c r="G455" s="131"/>
      <c r="H455" s="132"/>
      <c r="I455" s="133"/>
      <c r="J455" s="132"/>
      <c r="K455" s="132"/>
    </row>
    <row r="456" spans="1:11" x14ac:dyDescent="0.2">
      <c r="A456" s="124"/>
      <c r="B456" s="132"/>
      <c r="F456" s="132"/>
      <c r="G456" s="131"/>
      <c r="H456" s="132"/>
      <c r="I456" s="133"/>
      <c r="J456" s="132"/>
      <c r="K456" s="132"/>
    </row>
    <row r="457" spans="1:11" x14ac:dyDescent="0.2">
      <c r="A457" s="124"/>
      <c r="B457" s="132"/>
      <c r="F457" s="132"/>
      <c r="G457" s="131"/>
      <c r="H457" s="132"/>
      <c r="I457" s="133"/>
      <c r="J457" s="132"/>
      <c r="K457" s="132"/>
    </row>
    <row r="458" spans="1:11" x14ac:dyDescent="0.2">
      <c r="A458" s="124"/>
      <c r="B458" s="132"/>
      <c r="F458" s="132"/>
      <c r="G458" s="131"/>
      <c r="H458" s="132"/>
      <c r="I458" s="133"/>
      <c r="J458" s="132"/>
      <c r="K458" s="132"/>
    </row>
    <row r="459" spans="1:11" x14ac:dyDescent="0.2">
      <c r="A459" s="124"/>
      <c r="B459" s="132"/>
      <c r="F459" s="132"/>
      <c r="G459" s="131"/>
      <c r="H459" s="132"/>
      <c r="I459" s="133"/>
      <c r="J459" s="132"/>
      <c r="K459" s="132"/>
    </row>
    <row r="460" spans="1:11" x14ac:dyDescent="0.2">
      <c r="A460" s="124"/>
      <c r="B460" s="132"/>
      <c r="F460" s="132"/>
      <c r="G460" s="131"/>
      <c r="H460" s="132"/>
      <c r="I460" s="133"/>
      <c r="J460" s="132"/>
      <c r="K460" s="132"/>
    </row>
    <row r="461" spans="1:11" x14ac:dyDescent="0.2">
      <c r="A461" s="124"/>
      <c r="B461" s="132"/>
      <c r="F461" s="132"/>
      <c r="G461" s="131"/>
      <c r="H461" s="132"/>
      <c r="I461" s="133"/>
      <c r="J461" s="132"/>
      <c r="K461" s="132"/>
    </row>
    <row r="462" spans="1:11" x14ac:dyDescent="0.2">
      <c r="A462" s="124"/>
      <c r="B462" s="132"/>
      <c r="F462" s="132"/>
      <c r="G462" s="131"/>
      <c r="H462" s="132"/>
      <c r="I462" s="133"/>
      <c r="J462" s="132"/>
      <c r="K462" s="132"/>
    </row>
    <row r="463" spans="1:11" x14ac:dyDescent="0.2">
      <c r="A463" s="124"/>
      <c r="B463" s="132"/>
      <c r="F463" s="132"/>
      <c r="G463" s="131"/>
      <c r="H463" s="132"/>
      <c r="I463" s="133"/>
      <c r="J463" s="132"/>
      <c r="K463" s="132"/>
    </row>
    <row r="464" spans="1:11" x14ac:dyDescent="0.2">
      <c r="A464" s="124"/>
      <c r="B464" s="132"/>
      <c r="F464" s="132"/>
      <c r="G464" s="131"/>
      <c r="H464" s="132"/>
      <c r="I464" s="133"/>
      <c r="J464" s="132"/>
      <c r="K464" s="132"/>
    </row>
    <row r="465" spans="1:11" x14ac:dyDescent="0.2">
      <c r="A465" s="124"/>
      <c r="B465" s="132"/>
      <c r="F465" s="132"/>
      <c r="G465" s="131"/>
      <c r="H465" s="132"/>
      <c r="I465" s="133"/>
      <c r="J465" s="132"/>
      <c r="K465" s="132"/>
    </row>
    <row r="466" spans="1:11" x14ac:dyDescent="0.2">
      <c r="A466" s="124"/>
      <c r="B466" s="132"/>
      <c r="F466" s="132"/>
      <c r="G466" s="131"/>
      <c r="H466" s="132"/>
      <c r="I466" s="133"/>
      <c r="J466" s="132"/>
      <c r="K466" s="132"/>
    </row>
    <row r="467" spans="1:11" x14ac:dyDescent="0.2">
      <c r="A467" s="124"/>
      <c r="B467" s="132"/>
      <c r="F467" s="132"/>
      <c r="G467" s="131"/>
      <c r="H467" s="132"/>
      <c r="I467" s="133"/>
      <c r="J467" s="132"/>
      <c r="K467" s="132"/>
    </row>
    <row r="468" spans="1:11" x14ac:dyDescent="0.2">
      <c r="A468" s="124"/>
      <c r="B468" s="132"/>
      <c r="F468" s="132"/>
      <c r="G468" s="131"/>
      <c r="H468" s="132"/>
      <c r="I468" s="133"/>
      <c r="J468" s="132"/>
      <c r="K468" s="132"/>
    </row>
    <row r="469" spans="1:11" x14ac:dyDescent="0.2">
      <c r="A469" s="124"/>
      <c r="B469" s="132"/>
      <c r="F469" s="132"/>
      <c r="G469" s="131"/>
      <c r="H469" s="132"/>
      <c r="I469" s="133"/>
      <c r="J469" s="132"/>
      <c r="K469" s="132"/>
    </row>
    <row r="470" spans="1:11" x14ac:dyDescent="0.2">
      <c r="A470" s="124"/>
      <c r="B470" s="132"/>
      <c r="F470" s="132"/>
      <c r="G470" s="131"/>
      <c r="H470" s="132"/>
      <c r="I470" s="133"/>
      <c r="J470" s="132"/>
      <c r="K470" s="132"/>
    </row>
    <row r="471" spans="1:11" x14ac:dyDescent="0.2">
      <c r="A471" s="124"/>
      <c r="B471" s="132"/>
      <c r="F471" s="132"/>
      <c r="G471" s="131"/>
      <c r="H471" s="132"/>
      <c r="I471" s="133"/>
      <c r="J471" s="132"/>
      <c r="K471" s="132"/>
    </row>
    <row r="472" spans="1:11" x14ac:dyDescent="0.2">
      <c r="A472" s="124"/>
      <c r="B472" s="132"/>
      <c r="F472" s="132"/>
      <c r="G472" s="131"/>
      <c r="H472" s="132"/>
      <c r="I472" s="133"/>
      <c r="J472" s="132"/>
      <c r="K472" s="132"/>
    </row>
    <row r="473" spans="1:11" x14ac:dyDescent="0.2">
      <c r="A473" s="124"/>
      <c r="B473" s="132"/>
      <c r="F473" s="132"/>
      <c r="G473" s="131"/>
      <c r="H473" s="132"/>
      <c r="I473" s="133"/>
      <c r="J473" s="132"/>
      <c r="K473" s="132"/>
    </row>
    <row r="474" spans="1:11" x14ac:dyDescent="0.2">
      <c r="A474" s="124"/>
      <c r="B474" s="132"/>
      <c r="F474" s="132"/>
      <c r="G474" s="131"/>
      <c r="H474" s="132"/>
      <c r="I474" s="133"/>
      <c r="J474" s="132"/>
      <c r="K474" s="132"/>
    </row>
    <row r="475" spans="1:11" x14ac:dyDescent="0.2">
      <c r="A475" s="124"/>
      <c r="B475" s="132"/>
      <c r="F475" s="132"/>
      <c r="G475" s="131"/>
      <c r="H475" s="132"/>
      <c r="I475" s="133"/>
      <c r="J475" s="132"/>
      <c r="K475" s="132"/>
    </row>
    <row r="476" spans="1:11" x14ac:dyDescent="0.2">
      <c r="A476" s="124"/>
      <c r="B476" s="132"/>
      <c r="F476" s="132"/>
      <c r="G476" s="131"/>
      <c r="H476" s="132"/>
      <c r="I476" s="133"/>
      <c r="J476" s="132"/>
      <c r="K476" s="132"/>
    </row>
    <row r="477" spans="1:11" x14ac:dyDescent="0.2">
      <c r="A477" s="124"/>
      <c r="B477" s="132"/>
      <c r="F477" s="132"/>
      <c r="G477" s="131"/>
      <c r="H477" s="132"/>
      <c r="I477" s="133"/>
      <c r="J477" s="132"/>
      <c r="K477" s="132"/>
    </row>
    <row r="478" spans="1:11" x14ac:dyDescent="0.2">
      <c r="A478" s="124"/>
      <c r="B478" s="132"/>
      <c r="F478" s="132"/>
      <c r="G478" s="131"/>
      <c r="H478" s="132"/>
      <c r="I478" s="133"/>
      <c r="J478" s="132"/>
      <c r="K478" s="132"/>
    </row>
    <row r="479" spans="1:11" x14ac:dyDescent="0.2">
      <c r="A479" s="124"/>
      <c r="B479" s="132"/>
      <c r="F479" s="132"/>
      <c r="G479" s="131"/>
      <c r="H479" s="132"/>
      <c r="I479" s="133"/>
      <c r="J479" s="132"/>
      <c r="K479" s="132"/>
    </row>
    <row r="480" spans="1:11" x14ac:dyDescent="0.2">
      <c r="A480" s="124"/>
      <c r="B480" s="132"/>
      <c r="F480" s="132"/>
      <c r="G480" s="131"/>
      <c r="H480" s="132"/>
      <c r="I480" s="133"/>
      <c r="J480" s="132"/>
      <c r="K480" s="132"/>
    </row>
    <row r="481" spans="1:11" x14ac:dyDescent="0.2">
      <c r="A481" s="124"/>
      <c r="B481" s="132"/>
      <c r="F481" s="132"/>
      <c r="G481" s="131"/>
      <c r="H481" s="132"/>
      <c r="I481" s="133"/>
      <c r="J481" s="132"/>
      <c r="K481" s="132"/>
    </row>
    <row r="482" spans="1:11" x14ac:dyDescent="0.2">
      <c r="A482" s="124"/>
      <c r="B482" s="132"/>
      <c r="F482" s="132"/>
      <c r="G482" s="131"/>
      <c r="H482" s="132"/>
      <c r="I482" s="133"/>
      <c r="J482" s="132"/>
      <c r="K482" s="132"/>
    </row>
    <row r="483" spans="1:11" x14ac:dyDescent="0.2">
      <c r="A483" s="124"/>
      <c r="B483" s="132"/>
      <c r="F483" s="132"/>
      <c r="G483" s="131"/>
      <c r="H483" s="132"/>
      <c r="I483" s="133"/>
      <c r="J483" s="132"/>
      <c r="K483" s="132"/>
    </row>
    <row r="484" spans="1:11" x14ac:dyDescent="0.2">
      <c r="A484" s="124"/>
      <c r="B484" s="132"/>
      <c r="F484" s="132"/>
      <c r="G484" s="131"/>
      <c r="H484" s="132"/>
      <c r="I484" s="133"/>
      <c r="J484" s="132"/>
      <c r="K484" s="132"/>
    </row>
    <row r="485" spans="1:11" x14ac:dyDescent="0.2">
      <c r="A485" s="124"/>
      <c r="B485" s="132"/>
      <c r="F485" s="132"/>
      <c r="G485" s="131"/>
      <c r="H485" s="132"/>
      <c r="I485" s="133"/>
      <c r="J485" s="132"/>
      <c r="K485" s="132"/>
    </row>
    <row r="486" spans="1:11" x14ac:dyDescent="0.2">
      <c r="A486" s="124"/>
      <c r="B486" s="132"/>
      <c r="F486" s="132"/>
      <c r="G486" s="131"/>
      <c r="H486" s="132"/>
      <c r="I486" s="133"/>
      <c r="J486" s="132"/>
      <c r="K486" s="132"/>
    </row>
    <row r="487" spans="1:11" x14ac:dyDescent="0.2">
      <c r="A487" s="124"/>
      <c r="B487" s="132"/>
      <c r="F487" s="132"/>
      <c r="G487" s="131"/>
      <c r="H487" s="132"/>
      <c r="I487" s="133"/>
      <c r="J487" s="132"/>
      <c r="K487" s="132"/>
    </row>
    <row r="488" spans="1:11" x14ac:dyDescent="0.2">
      <c r="A488" s="124"/>
      <c r="B488" s="132"/>
      <c r="F488" s="132"/>
      <c r="G488" s="131"/>
      <c r="H488" s="132"/>
      <c r="I488" s="133"/>
      <c r="J488" s="132"/>
      <c r="K488" s="132"/>
    </row>
    <row r="489" spans="1:11" x14ac:dyDescent="0.2">
      <c r="A489" s="124"/>
      <c r="B489" s="132"/>
      <c r="F489" s="132"/>
      <c r="G489" s="131"/>
      <c r="H489" s="132"/>
      <c r="I489" s="133"/>
      <c r="J489" s="132"/>
      <c r="K489" s="132"/>
    </row>
    <row r="490" spans="1:11" x14ac:dyDescent="0.2">
      <c r="A490" s="124"/>
      <c r="B490" s="132"/>
      <c r="F490" s="132"/>
      <c r="G490" s="131"/>
      <c r="H490" s="132"/>
      <c r="I490" s="133"/>
      <c r="J490" s="132"/>
      <c r="K490" s="132"/>
    </row>
    <row r="491" spans="1:11" x14ac:dyDescent="0.2">
      <c r="A491" s="124"/>
      <c r="B491" s="132"/>
      <c r="F491" s="132"/>
      <c r="G491" s="131"/>
      <c r="H491" s="132"/>
      <c r="I491" s="133"/>
      <c r="J491" s="132"/>
      <c r="K491" s="132"/>
    </row>
    <row r="492" spans="1:11" x14ac:dyDescent="0.2">
      <c r="A492" s="124"/>
      <c r="B492" s="132"/>
      <c r="F492" s="132"/>
      <c r="G492" s="131"/>
      <c r="H492" s="132"/>
      <c r="I492" s="133"/>
      <c r="J492" s="132"/>
      <c r="K492" s="132"/>
    </row>
    <row r="493" spans="1:11" x14ac:dyDescent="0.2">
      <c r="A493" s="124"/>
      <c r="B493" s="132"/>
      <c r="F493" s="132"/>
      <c r="G493" s="131"/>
      <c r="H493" s="132"/>
      <c r="I493" s="133"/>
      <c r="J493" s="132"/>
      <c r="K493" s="132"/>
    </row>
    <row r="494" spans="1:11" x14ac:dyDescent="0.2">
      <c r="A494" s="124"/>
      <c r="B494" s="132"/>
      <c r="F494" s="132"/>
      <c r="G494" s="131"/>
      <c r="H494" s="132"/>
      <c r="I494" s="133"/>
      <c r="J494" s="132"/>
      <c r="K494" s="132"/>
    </row>
    <row r="495" spans="1:11" x14ac:dyDescent="0.2">
      <c r="A495" s="124"/>
      <c r="B495" s="132"/>
      <c r="F495" s="132"/>
      <c r="G495" s="131"/>
      <c r="H495" s="132"/>
      <c r="I495" s="133"/>
      <c r="J495" s="132"/>
      <c r="K495" s="132"/>
    </row>
    <row r="496" spans="1:11" x14ac:dyDescent="0.2">
      <c r="A496" s="124"/>
      <c r="B496" s="132"/>
      <c r="F496" s="132"/>
      <c r="G496" s="131"/>
      <c r="H496" s="132"/>
      <c r="I496" s="133"/>
      <c r="J496" s="132"/>
      <c r="K496" s="132"/>
    </row>
    <row r="497" spans="1:11" x14ac:dyDescent="0.2">
      <c r="A497" s="124"/>
      <c r="B497" s="132"/>
      <c r="F497" s="132"/>
      <c r="G497" s="131"/>
      <c r="H497" s="132"/>
      <c r="I497" s="133"/>
      <c r="J497" s="132"/>
      <c r="K497" s="132"/>
    </row>
    <row r="498" spans="1:11" x14ac:dyDescent="0.2">
      <c r="A498" s="124"/>
      <c r="B498" s="132"/>
      <c r="F498" s="132"/>
      <c r="G498" s="131"/>
      <c r="H498" s="132"/>
      <c r="I498" s="133"/>
      <c r="J498" s="132"/>
      <c r="K498" s="132"/>
    </row>
    <row r="499" spans="1:11" x14ac:dyDescent="0.2">
      <c r="A499" s="124"/>
      <c r="B499" s="132"/>
      <c r="F499" s="132"/>
      <c r="G499" s="131"/>
      <c r="H499" s="132"/>
      <c r="I499" s="133"/>
      <c r="J499" s="132"/>
      <c r="K499" s="132"/>
    </row>
    <row r="500" spans="1:11" x14ac:dyDescent="0.2">
      <c r="A500" s="124"/>
      <c r="B500" s="132"/>
      <c r="F500" s="132"/>
      <c r="G500" s="131"/>
      <c r="H500" s="132"/>
      <c r="I500" s="133"/>
      <c r="J500" s="132"/>
      <c r="K500" s="132"/>
    </row>
    <row r="501" spans="1:11" x14ac:dyDescent="0.2">
      <c r="A501" s="124"/>
      <c r="B501" s="132"/>
      <c r="F501" s="132"/>
      <c r="G501" s="131"/>
      <c r="H501" s="132"/>
      <c r="I501" s="133"/>
      <c r="J501" s="132"/>
      <c r="K501" s="132"/>
    </row>
    <row r="502" spans="1:11" x14ac:dyDescent="0.2">
      <c r="A502" s="124"/>
      <c r="B502" s="132"/>
      <c r="F502" s="132"/>
      <c r="G502" s="131"/>
      <c r="H502" s="132"/>
      <c r="I502" s="133"/>
      <c r="J502" s="132"/>
      <c r="K502" s="132"/>
    </row>
    <row r="503" spans="1:11" x14ac:dyDescent="0.2">
      <c r="A503" s="124"/>
      <c r="B503" s="132"/>
      <c r="F503" s="132"/>
      <c r="G503" s="131"/>
      <c r="H503" s="132"/>
      <c r="I503" s="133"/>
      <c r="J503" s="132"/>
      <c r="K503" s="132"/>
    </row>
    <row r="504" spans="1:11" x14ac:dyDescent="0.2">
      <c r="A504" s="124"/>
      <c r="B504" s="132"/>
      <c r="F504" s="132"/>
      <c r="G504" s="131"/>
      <c r="H504" s="132"/>
      <c r="I504" s="133"/>
      <c r="J504" s="132"/>
      <c r="K504" s="132"/>
    </row>
    <row r="505" spans="1:11" x14ac:dyDescent="0.2">
      <c r="A505" s="124"/>
      <c r="B505" s="132"/>
      <c r="F505" s="132"/>
      <c r="G505" s="131"/>
      <c r="H505" s="132"/>
      <c r="I505" s="133"/>
      <c r="J505" s="132"/>
      <c r="K505" s="132"/>
    </row>
    <row r="506" spans="1:11" x14ac:dyDescent="0.2">
      <c r="A506" s="124"/>
      <c r="B506" s="132"/>
      <c r="F506" s="132"/>
      <c r="G506" s="131"/>
      <c r="H506" s="132"/>
      <c r="I506" s="133"/>
      <c r="J506" s="132"/>
      <c r="K506" s="132"/>
    </row>
    <row r="507" spans="1:11" x14ac:dyDescent="0.2">
      <c r="A507" s="124"/>
      <c r="B507" s="132"/>
      <c r="F507" s="132"/>
      <c r="G507" s="131"/>
      <c r="H507" s="132"/>
      <c r="I507" s="133"/>
      <c r="J507" s="132"/>
      <c r="K507" s="132"/>
    </row>
    <row r="508" spans="1:11" x14ac:dyDescent="0.2">
      <c r="A508" s="124"/>
      <c r="B508" s="132"/>
      <c r="F508" s="132"/>
      <c r="G508" s="131"/>
      <c r="H508" s="132"/>
      <c r="I508" s="133"/>
      <c r="J508" s="132"/>
      <c r="K508" s="132"/>
    </row>
    <row r="509" spans="1:11" x14ac:dyDescent="0.2">
      <c r="A509" s="124"/>
      <c r="B509" s="132"/>
      <c r="F509" s="132"/>
      <c r="G509" s="131"/>
      <c r="H509" s="132"/>
      <c r="I509" s="133"/>
      <c r="J509" s="132"/>
      <c r="K509" s="132"/>
    </row>
    <row r="510" spans="1:11" x14ac:dyDescent="0.2">
      <c r="A510" s="124"/>
      <c r="B510" s="132"/>
      <c r="F510" s="132"/>
      <c r="G510" s="131"/>
      <c r="H510" s="132"/>
      <c r="I510" s="133"/>
      <c r="J510" s="132"/>
      <c r="K510" s="132"/>
    </row>
    <row r="511" spans="1:11" x14ac:dyDescent="0.2">
      <c r="A511" s="124"/>
      <c r="B511" s="132"/>
      <c r="F511" s="132"/>
      <c r="G511" s="131"/>
      <c r="H511" s="132"/>
      <c r="I511" s="133"/>
      <c r="J511" s="132"/>
      <c r="K511" s="132"/>
    </row>
    <row r="512" spans="1:11" x14ac:dyDescent="0.2">
      <c r="A512" s="124"/>
      <c r="B512" s="132"/>
      <c r="F512" s="132"/>
      <c r="G512" s="131"/>
      <c r="H512" s="132"/>
      <c r="I512" s="133"/>
      <c r="J512" s="132"/>
      <c r="K512" s="132"/>
    </row>
    <row r="513" spans="1:11" x14ac:dyDescent="0.2">
      <c r="A513" s="124"/>
      <c r="B513" s="132"/>
      <c r="F513" s="132"/>
      <c r="G513" s="131"/>
      <c r="H513" s="132"/>
      <c r="I513" s="133"/>
      <c r="J513" s="132"/>
      <c r="K513" s="132"/>
    </row>
    <row r="514" spans="1:11" x14ac:dyDescent="0.2">
      <c r="A514" s="124"/>
      <c r="B514" s="132"/>
      <c r="F514" s="132"/>
      <c r="G514" s="131"/>
      <c r="H514" s="132"/>
      <c r="I514" s="133"/>
      <c r="J514" s="132"/>
      <c r="K514" s="132"/>
    </row>
    <row r="515" spans="1:11" x14ac:dyDescent="0.2">
      <c r="A515" s="124"/>
      <c r="B515" s="132"/>
      <c r="F515" s="132"/>
      <c r="G515" s="131"/>
      <c r="H515" s="132"/>
      <c r="I515" s="133"/>
      <c r="J515" s="132"/>
      <c r="K515" s="132"/>
    </row>
    <row r="516" spans="1:11" x14ac:dyDescent="0.2">
      <c r="A516" s="124"/>
      <c r="B516" s="132"/>
      <c r="F516" s="132"/>
      <c r="G516" s="131"/>
      <c r="H516" s="132"/>
      <c r="I516" s="133"/>
      <c r="J516" s="132"/>
      <c r="K516" s="132"/>
    </row>
    <row r="517" spans="1:11" x14ac:dyDescent="0.2">
      <c r="A517" s="124"/>
      <c r="B517" s="132"/>
      <c r="F517" s="132"/>
      <c r="G517" s="131"/>
      <c r="H517" s="132"/>
      <c r="I517" s="133"/>
      <c r="J517" s="132"/>
      <c r="K517" s="132"/>
    </row>
    <row r="518" spans="1:11" x14ac:dyDescent="0.2">
      <c r="A518" s="124"/>
      <c r="B518" s="132"/>
      <c r="F518" s="132"/>
      <c r="G518" s="131"/>
      <c r="H518" s="132"/>
      <c r="I518" s="133"/>
      <c r="J518" s="132"/>
      <c r="K518" s="132"/>
    </row>
    <row r="519" spans="1:11" x14ac:dyDescent="0.2">
      <c r="A519" s="124"/>
      <c r="B519" s="132"/>
      <c r="F519" s="132"/>
      <c r="G519" s="131"/>
      <c r="H519" s="132"/>
      <c r="I519" s="133"/>
      <c r="J519" s="132"/>
      <c r="K519" s="132"/>
    </row>
    <row r="520" spans="1:11" x14ac:dyDescent="0.2">
      <c r="A520" s="124"/>
      <c r="B520" s="132"/>
      <c r="F520" s="132"/>
      <c r="G520" s="131"/>
      <c r="H520" s="132"/>
      <c r="I520" s="133"/>
      <c r="J520" s="132"/>
      <c r="K520" s="132"/>
    </row>
    <row r="521" spans="1:11" x14ac:dyDescent="0.2">
      <c r="A521" s="124"/>
      <c r="B521" s="132"/>
      <c r="F521" s="132"/>
      <c r="G521" s="131"/>
      <c r="H521" s="132"/>
      <c r="I521" s="133"/>
      <c r="J521" s="132"/>
      <c r="K521" s="132"/>
    </row>
    <row r="522" spans="1:11" x14ac:dyDescent="0.2">
      <c r="A522" s="124"/>
      <c r="B522" s="132"/>
      <c r="F522" s="132"/>
      <c r="G522" s="131"/>
      <c r="H522" s="132"/>
      <c r="I522" s="133"/>
      <c r="J522" s="132"/>
      <c r="K522" s="132"/>
    </row>
    <row r="523" spans="1:11" x14ac:dyDescent="0.2">
      <c r="A523" s="124"/>
      <c r="B523" s="132"/>
      <c r="F523" s="132"/>
      <c r="G523" s="131"/>
      <c r="H523" s="132"/>
      <c r="I523" s="133"/>
      <c r="J523" s="132"/>
      <c r="K523" s="132"/>
    </row>
    <row r="524" spans="1:11" x14ac:dyDescent="0.2">
      <c r="A524" s="124"/>
      <c r="B524" s="132"/>
      <c r="F524" s="132"/>
      <c r="G524" s="131"/>
      <c r="H524" s="132"/>
      <c r="I524" s="133"/>
      <c r="J524" s="132"/>
      <c r="K524" s="132"/>
    </row>
    <row r="525" spans="1:11" x14ac:dyDescent="0.2">
      <c r="A525" s="124"/>
      <c r="B525" s="132"/>
      <c r="F525" s="132"/>
      <c r="G525" s="131"/>
      <c r="H525" s="132"/>
      <c r="I525" s="133"/>
      <c r="J525" s="132"/>
      <c r="K525" s="132"/>
    </row>
    <row r="526" spans="1:11" x14ac:dyDescent="0.2">
      <c r="A526" s="124"/>
      <c r="B526" s="132"/>
      <c r="F526" s="132"/>
      <c r="G526" s="131"/>
      <c r="H526" s="132"/>
      <c r="I526" s="133"/>
      <c r="J526" s="132"/>
      <c r="K526" s="132"/>
    </row>
    <row r="527" spans="1:11" x14ac:dyDescent="0.2">
      <c r="A527" s="124"/>
      <c r="B527" s="132"/>
      <c r="F527" s="132"/>
      <c r="G527" s="131"/>
      <c r="H527" s="132"/>
      <c r="I527" s="133"/>
      <c r="J527" s="132"/>
      <c r="K527" s="132"/>
    </row>
    <row r="528" spans="1:11" x14ac:dyDescent="0.2">
      <c r="A528" s="124"/>
      <c r="B528" s="132"/>
      <c r="F528" s="132"/>
      <c r="G528" s="131"/>
      <c r="H528" s="132"/>
      <c r="I528" s="133"/>
      <c r="J528" s="132"/>
      <c r="K528" s="132"/>
    </row>
    <row r="529" spans="1:11" x14ac:dyDescent="0.2">
      <c r="A529" s="124"/>
      <c r="B529" s="132"/>
      <c r="F529" s="132"/>
      <c r="G529" s="131"/>
      <c r="H529" s="132"/>
      <c r="I529" s="133"/>
      <c r="J529" s="132"/>
      <c r="K529" s="132"/>
    </row>
    <row r="530" spans="1:11" x14ac:dyDescent="0.2">
      <c r="A530" s="124"/>
      <c r="B530" s="132"/>
      <c r="F530" s="132"/>
      <c r="G530" s="131"/>
      <c r="H530" s="132"/>
      <c r="I530" s="133"/>
      <c r="J530" s="132"/>
      <c r="K530" s="132"/>
    </row>
    <row r="531" spans="1:11" x14ac:dyDescent="0.2">
      <c r="A531" s="124"/>
      <c r="B531" s="132"/>
      <c r="F531" s="132"/>
      <c r="G531" s="131"/>
      <c r="H531" s="132"/>
      <c r="I531" s="133"/>
      <c r="J531" s="132"/>
      <c r="K531" s="132"/>
    </row>
    <row r="532" spans="1:11" x14ac:dyDescent="0.2">
      <c r="A532" s="124"/>
      <c r="B532" s="132"/>
      <c r="F532" s="132"/>
      <c r="G532" s="131"/>
      <c r="H532" s="132"/>
      <c r="I532" s="133"/>
      <c r="J532" s="132"/>
      <c r="K532" s="132"/>
    </row>
    <row r="533" spans="1:11" x14ac:dyDescent="0.2">
      <c r="A533" s="124"/>
      <c r="B533" s="132"/>
      <c r="F533" s="132"/>
      <c r="G533" s="131"/>
      <c r="H533" s="132"/>
      <c r="I533" s="133"/>
      <c r="J533" s="132"/>
      <c r="K533" s="132"/>
    </row>
    <row r="534" spans="1:11" x14ac:dyDescent="0.2">
      <c r="A534" s="124"/>
      <c r="B534" s="132"/>
      <c r="F534" s="132"/>
      <c r="G534" s="131"/>
      <c r="H534" s="132"/>
      <c r="I534" s="133"/>
      <c r="J534" s="132"/>
      <c r="K534" s="132"/>
    </row>
    <row r="535" spans="1:11" x14ac:dyDescent="0.2">
      <c r="A535" s="124"/>
      <c r="B535" s="132"/>
      <c r="F535" s="132"/>
      <c r="G535" s="131"/>
      <c r="H535" s="132"/>
      <c r="I535" s="133"/>
      <c r="J535" s="132"/>
      <c r="K535" s="132"/>
    </row>
    <row r="536" spans="1:11" x14ac:dyDescent="0.2">
      <c r="A536" s="124"/>
      <c r="B536" s="132"/>
      <c r="F536" s="132"/>
      <c r="G536" s="131"/>
      <c r="H536" s="132"/>
      <c r="I536" s="133"/>
      <c r="J536" s="132"/>
      <c r="K536" s="132"/>
    </row>
    <row r="537" spans="1:11" x14ac:dyDescent="0.2">
      <c r="A537" s="124"/>
      <c r="B537" s="132"/>
      <c r="F537" s="132"/>
      <c r="G537" s="131"/>
      <c r="H537" s="132"/>
      <c r="I537" s="133"/>
      <c r="J537" s="132"/>
      <c r="K537" s="132"/>
    </row>
    <row r="538" spans="1:11" x14ac:dyDescent="0.2">
      <c r="A538" s="124"/>
      <c r="B538" s="132"/>
      <c r="F538" s="132"/>
      <c r="G538" s="131"/>
      <c r="H538" s="132"/>
      <c r="I538" s="133"/>
      <c r="J538" s="132"/>
      <c r="K538" s="132"/>
    </row>
    <row r="539" spans="1:11" x14ac:dyDescent="0.2">
      <c r="A539" s="124"/>
      <c r="B539" s="132"/>
      <c r="F539" s="132"/>
      <c r="G539" s="131"/>
      <c r="H539" s="132"/>
      <c r="I539" s="133"/>
      <c r="J539" s="132"/>
      <c r="K539" s="132"/>
    </row>
    <row r="540" spans="1:11" x14ac:dyDescent="0.2">
      <c r="A540" s="124"/>
      <c r="B540" s="132"/>
      <c r="F540" s="132"/>
      <c r="G540" s="131"/>
      <c r="H540" s="132"/>
      <c r="I540" s="133"/>
      <c r="J540" s="132"/>
      <c r="K540" s="132"/>
    </row>
    <row r="541" spans="1:11" x14ac:dyDescent="0.2">
      <c r="A541" s="124"/>
      <c r="B541" s="132"/>
      <c r="F541" s="132"/>
      <c r="G541" s="131"/>
      <c r="H541" s="132"/>
      <c r="I541" s="133"/>
      <c r="J541" s="132"/>
      <c r="K541" s="132"/>
    </row>
    <row r="542" spans="1:11" x14ac:dyDescent="0.2">
      <c r="A542" s="124"/>
      <c r="B542" s="132"/>
      <c r="F542" s="132"/>
      <c r="G542" s="131"/>
      <c r="H542" s="132"/>
      <c r="I542" s="133"/>
      <c r="J542" s="132"/>
      <c r="K542" s="132"/>
    </row>
    <row r="543" spans="1:11" x14ac:dyDescent="0.2">
      <c r="A543" s="124"/>
      <c r="B543" s="132"/>
      <c r="F543" s="132"/>
      <c r="G543" s="131"/>
      <c r="H543" s="132"/>
      <c r="I543" s="133"/>
      <c r="J543" s="132"/>
      <c r="K543" s="132"/>
    </row>
    <row r="544" spans="1:11" x14ac:dyDescent="0.2">
      <c r="A544" s="124"/>
      <c r="B544" s="132"/>
      <c r="F544" s="132"/>
      <c r="G544" s="131"/>
      <c r="H544" s="132"/>
      <c r="I544" s="133"/>
      <c r="J544" s="132"/>
      <c r="K544" s="132"/>
    </row>
    <row r="545" spans="1:11" x14ac:dyDescent="0.2">
      <c r="A545" s="124"/>
      <c r="B545" s="132"/>
      <c r="F545" s="132"/>
      <c r="G545" s="131"/>
      <c r="H545" s="132"/>
      <c r="I545" s="133"/>
      <c r="J545" s="132"/>
      <c r="K545" s="132"/>
    </row>
    <row r="546" spans="1:11" x14ac:dyDescent="0.2">
      <c r="A546" s="124"/>
      <c r="B546" s="132"/>
      <c r="F546" s="132"/>
      <c r="G546" s="131"/>
      <c r="H546" s="132"/>
      <c r="I546" s="133"/>
      <c r="J546" s="132"/>
      <c r="K546" s="132"/>
    </row>
    <row r="547" spans="1:11" x14ac:dyDescent="0.2">
      <c r="A547" s="124"/>
      <c r="B547" s="132"/>
      <c r="F547" s="132"/>
      <c r="G547" s="131"/>
      <c r="H547" s="132"/>
      <c r="I547" s="133"/>
      <c r="J547" s="132"/>
      <c r="K547" s="132"/>
    </row>
    <row r="548" spans="1:11" x14ac:dyDescent="0.2">
      <c r="A548" s="124"/>
      <c r="B548" s="132"/>
      <c r="F548" s="132"/>
      <c r="G548" s="131"/>
      <c r="H548" s="132"/>
      <c r="I548" s="133"/>
      <c r="J548" s="132"/>
      <c r="K548" s="132"/>
    </row>
    <row r="549" spans="1:11" x14ac:dyDescent="0.2">
      <c r="A549" s="124"/>
      <c r="B549" s="132"/>
      <c r="F549" s="132"/>
      <c r="G549" s="131"/>
      <c r="H549" s="132"/>
      <c r="I549" s="133"/>
      <c r="J549" s="132"/>
      <c r="K549" s="132"/>
    </row>
    <row r="550" spans="1:11" x14ac:dyDescent="0.2">
      <c r="A550" s="124"/>
      <c r="B550" s="132"/>
      <c r="F550" s="132"/>
      <c r="G550" s="131"/>
      <c r="H550" s="132"/>
      <c r="I550" s="133"/>
      <c r="J550" s="132"/>
      <c r="K550" s="132"/>
    </row>
    <row r="551" spans="1:11" x14ac:dyDescent="0.2">
      <c r="A551" s="124"/>
      <c r="B551" s="132"/>
      <c r="F551" s="132"/>
      <c r="G551" s="131"/>
      <c r="H551" s="132"/>
      <c r="I551" s="133"/>
      <c r="J551" s="132"/>
      <c r="K551" s="132"/>
    </row>
    <row r="552" spans="1:11" x14ac:dyDescent="0.2">
      <c r="A552" s="124"/>
      <c r="B552" s="132"/>
      <c r="F552" s="132"/>
      <c r="G552" s="131"/>
      <c r="H552" s="132"/>
      <c r="I552" s="133"/>
      <c r="J552" s="132"/>
      <c r="K552" s="132"/>
    </row>
    <row r="553" spans="1:11" x14ac:dyDescent="0.2">
      <c r="A553" s="124"/>
      <c r="B553" s="132"/>
      <c r="F553" s="132"/>
      <c r="G553" s="131"/>
      <c r="H553" s="132"/>
      <c r="I553" s="133"/>
      <c r="J553" s="132"/>
      <c r="K553" s="132"/>
    </row>
    <row r="554" spans="1:11" x14ac:dyDescent="0.2">
      <c r="A554" s="124"/>
      <c r="B554" s="132"/>
      <c r="F554" s="132"/>
      <c r="G554" s="131"/>
      <c r="H554" s="132"/>
      <c r="I554" s="133"/>
      <c r="J554" s="132"/>
      <c r="K554" s="132"/>
    </row>
    <row r="555" spans="1:11" x14ac:dyDescent="0.2">
      <c r="A555" s="124"/>
      <c r="B555" s="132"/>
      <c r="F555" s="132"/>
      <c r="G555" s="131"/>
      <c r="H555" s="132"/>
      <c r="I555" s="133"/>
      <c r="J555" s="132"/>
      <c r="K555" s="132"/>
    </row>
    <row r="556" spans="1:11" x14ac:dyDescent="0.2">
      <c r="A556" s="124"/>
      <c r="B556" s="132"/>
      <c r="F556" s="132"/>
      <c r="G556" s="131"/>
      <c r="H556" s="132"/>
      <c r="I556" s="133"/>
      <c r="J556" s="132"/>
      <c r="K556" s="132"/>
    </row>
    <row r="557" spans="1:11" x14ac:dyDescent="0.2">
      <c r="A557" s="124"/>
      <c r="B557" s="132"/>
      <c r="F557" s="132"/>
      <c r="G557" s="131"/>
      <c r="H557" s="132"/>
      <c r="I557" s="133"/>
      <c r="J557" s="132"/>
      <c r="K557" s="132"/>
    </row>
    <row r="558" spans="1:11" x14ac:dyDescent="0.2">
      <c r="A558" s="124"/>
      <c r="B558" s="132"/>
      <c r="F558" s="132"/>
      <c r="G558" s="131"/>
      <c r="H558" s="132"/>
      <c r="I558" s="133"/>
      <c r="J558" s="132"/>
      <c r="K558" s="132"/>
    </row>
    <row r="559" spans="1:11" x14ac:dyDescent="0.2">
      <c r="A559" s="124"/>
      <c r="B559" s="132"/>
      <c r="F559" s="132"/>
      <c r="G559" s="131"/>
      <c r="H559" s="132"/>
      <c r="I559" s="133"/>
      <c r="J559" s="132"/>
      <c r="K559" s="132"/>
    </row>
    <row r="560" spans="1:11" x14ac:dyDescent="0.2">
      <c r="A560" s="124"/>
      <c r="B560" s="132"/>
      <c r="F560" s="132"/>
      <c r="G560" s="131"/>
      <c r="H560" s="132"/>
      <c r="I560" s="133"/>
      <c r="J560" s="132"/>
      <c r="K560" s="132"/>
    </row>
    <row r="561" spans="1:11" x14ac:dyDescent="0.2">
      <c r="A561" s="124"/>
      <c r="B561" s="132"/>
      <c r="F561" s="132"/>
      <c r="G561" s="131"/>
      <c r="H561" s="132"/>
      <c r="I561" s="133"/>
      <c r="J561" s="132"/>
      <c r="K561" s="132"/>
    </row>
    <row r="562" spans="1:11" x14ac:dyDescent="0.2">
      <c r="A562" s="124"/>
      <c r="B562" s="132"/>
      <c r="F562" s="132"/>
      <c r="G562" s="131"/>
      <c r="H562" s="132"/>
      <c r="I562" s="133"/>
      <c r="J562" s="132"/>
      <c r="K562" s="132"/>
    </row>
    <row r="563" spans="1:11" x14ac:dyDescent="0.2">
      <c r="A563" s="124"/>
      <c r="B563" s="132"/>
      <c r="F563" s="132"/>
      <c r="G563" s="131"/>
      <c r="H563" s="132"/>
      <c r="I563" s="133"/>
      <c r="J563" s="132"/>
      <c r="K563" s="132"/>
    </row>
    <row r="564" spans="1:11" x14ac:dyDescent="0.2">
      <c r="A564" s="124"/>
      <c r="B564" s="132"/>
      <c r="F564" s="132"/>
      <c r="G564" s="131"/>
      <c r="H564" s="132"/>
      <c r="I564" s="133"/>
      <c r="J564" s="132"/>
      <c r="K564" s="132"/>
    </row>
    <row r="565" spans="1:11" x14ac:dyDescent="0.2">
      <c r="A565" s="124"/>
      <c r="B565" s="132"/>
      <c r="F565" s="132"/>
      <c r="G565" s="131"/>
      <c r="H565" s="132"/>
      <c r="I565" s="133"/>
      <c r="J565" s="132"/>
      <c r="K565" s="132"/>
    </row>
    <row r="566" spans="1:11" x14ac:dyDescent="0.2">
      <c r="A566" s="124"/>
      <c r="B566" s="132"/>
      <c r="F566" s="132"/>
      <c r="G566" s="131"/>
      <c r="H566" s="132"/>
      <c r="I566" s="133"/>
      <c r="J566" s="132"/>
      <c r="K566" s="132"/>
    </row>
    <row r="567" spans="1:11" x14ac:dyDescent="0.2">
      <c r="A567" s="124"/>
      <c r="B567" s="132"/>
      <c r="F567" s="132"/>
      <c r="G567" s="131"/>
      <c r="H567" s="132"/>
      <c r="I567" s="133"/>
      <c r="J567" s="132"/>
      <c r="K567" s="132"/>
    </row>
    <row r="568" spans="1:11" x14ac:dyDescent="0.2">
      <c r="A568" s="124"/>
      <c r="B568" s="132"/>
      <c r="F568" s="132"/>
      <c r="G568" s="131"/>
      <c r="H568" s="132"/>
      <c r="I568" s="133"/>
      <c r="J568" s="132"/>
      <c r="K568" s="132"/>
    </row>
    <row r="569" spans="1:11" x14ac:dyDescent="0.2">
      <c r="A569" s="124"/>
      <c r="B569" s="132"/>
      <c r="F569" s="132"/>
      <c r="G569" s="131"/>
      <c r="H569" s="132"/>
      <c r="I569" s="133"/>
      <c r="J569" s="132"/>
      <c r="K569" s="132"/>
    </row>
    <row r="570" spans="1:11" x14ac:dyDescent="0.2">
      <c r="A570" s="124"/>
      <c r="B570" s="132"/>
      <c r="F570" s="132"/>
      <c r="G570" s="131"/>
      <c r="H570" s="132"/>
      <c r="I570" s="133"/>
      <c r="J570" s="132"/>
      <c r="K570" s="132"/>
    </row>
    <row r="571" spans="1:11" x14ac:dyDescent="0.2">
      <c r="A571" s="124"/>
      <c r="B571" s="132"/>
      <c r="F571" s="132"/>
      <c r="G571" s="131"/>
      <c r="H571" s="132"/>
      <c r="I571" s="133"/>
      <c r="J571" s="132"/>
      <c r="K571" s="132"/>
    </row>
    <row r="572" spans="1:11" x14ac:dyDescent="0.2">
      <c r="A572" s="124"/>
      <c r="B572" s="132"/>
      <c r="F572" s="132"/>
      <c r="G572" s="131"/>
      <c r="H572" s="132"/>
      <c r="I572" s="133"/>
      <c r="J572" s="132"/>
      <c r="K572" s="132"/>
    </row>
    <row r="573" spans="1:11" x14ac:dyDescent="0.2">
      <c r="A573" s="124"/>
      <c r="B573" s="132"/>
      <c r="F573" s="132"/>
      <c r="G573" s="131"/>
      <c r="H573" s="132"/>
      <c r="I573" s="133"/>
      <c r="J573" s="132"/>
      <c r="K573" s="132"/>
    </row>
    <row r="574" spans="1:11" x14ac:dyDescent="0.2">
      <c r="A574" s="124"/>
      <c r="B574" s="132"/>
      <c r="F574" s="132"/>
      <c r="G574" s="131"/>
      <c r="H574" s="132"/>
      <c r="I574" s="133"/>
      <c r="J574" s="132"/>
      <c r="K574" s="132"/>
    </row>
    <row r="575" spans="1:11" x14ac:dyDescent="0.2">
      <c r="A575" s="124"/>
      <c r="B575" s="132"/>
      <c r="F575" s="132"/>
      <c r="G575" s="131"/>
      <c r="H575" s="132"/>
      <c r="I575" s="133"/>
      <c r="J575" s="132"/>
      <c r="K575" s="132"/>
    </row>
    <row r="576" spans="1:11" x14ac:dyDescent="0.2">
      <c r="A576" s="124"/>
      <c r="B576" s="132"/>
      <c r="F576" s="132"/>
      <c r="G576" s="131"/>
      <c r="H576" s="132"/>
      <c r="I576" s="133"/>
      <c r="J576" s="132"/>
      <c r="K576" s="132"/>
    </row>
    <row r="577" spans="1:11" x14ac:dyDescent="0.2">
      <c r="A577" s="124"/>
      <c r="B577" s="132"/>
      <c r="F577" s="132"/>
      <c r="G577" s="131"/>
      <c r="H577" s="132"/>
      <c r="I577" s="133"/>
      <c r="J577" s="132"/>
      <c r="K577" s="132"/>
    </row>
    <row r="578" spans="1:11" x14ac:dyDescent="0.2">
      <c r="A578" s="124"/>
      <c r="B578" s="132"/>
      <c r="F578" s="132"/>
      <c r="G578" s="131"/>
      <c r="H578" s="132"/>
      <c r="I578" s="133"/>
      <c r="J578" s="132"/>
      <c r="K578" s="132"/>
    </row>
    <row r="579" spans="1:11" x14ac:dyDescent="0.2">
      <c r="A579" s="124"/>
      <c r="B579" s="132"/>
      <c r="F579" s="132"/>
      <c r="G579" s="131"/>
      <c r="H579" s="132"/>
      <c r="I579" s="133"/>
      <c r="J579" s="132"/>
      <c r="K579" s="132"/>
    </row>
    <row r="580" spans="1:11" x14ac:dyDescent="0.2">
      <c r="A580" s="124"/>
      <c r="B580" s="132"/>
      <c r="F580" s="132"/>
      <c r="G580" s="131"/>
      <c r="H580" s="132"/>
      <c r="I580" s="133"/>
      <c r="J580" s="132"/>
      <c r="K580" s="132"/>
    </row>
    <row r="581" spans="1:11" x14ac:dyDescent="0.2">
      <c r="A581" s="124"/>
      <c r="B581" s="132"/>
      <c r="F581" s="132"/>
      <c r="G581" s="131"/>
      <c r="H581" s="132"/>
      <c r="I581" s="133"/>
      <c r="J581" s="132"/>
      <c r="K581" s="132"/>
    </row>
    <row r="582" spans="1:11" x14ac:dyDescent="0.2">
      <c r="A582" s="124"/>
      <c r="B582" s="132"/>
      <c r="F582" s="132"/>
      <c r="G582" s="131"/>
      <c r="H582" s="132"/>
      <c r="I582" s="133"/>
      <c r="J582" s="132"/>
      <c r="K582" s="132"/>
    </row>
    <row r="583" spans="1:11" x14ac:dyDescent="0.2">
      <c r="A583" s="124"/>
      <c r="B583" s="132"/>
      <c r="F583" s="132"/>
      <c r="G583" s="131"/>
      <c r="H583" s="132"/>
      <c r="I583" s="133"/>
      <c r="J583" s="132"/>
      <c r="K583" s="132"/>
    </row>
    <row r="584" spans="1:11" x14ac:dyDescent="0.2">
      <c r="A584" s="124"/>
      <c r="B584" s="132"/>
      <c r="F584" s="132"/>
      <c r="G584" s="131"/>
      <c r="H584" s="132"/>
      <c r="I584" s="133"/>
      <c r="J584" s="132"/>
      <c r="K584" s="132"/>
    </row>
    <row r="585" spans="1:11" x14ac:dyDescent="0.2">
      <c r="A585" s="124"/>
      <c r="B585" s="132"/>
      <c r="F585" s="132"/>
      <c r="G585" s="131"/>
      <c r="H585" s="132"/>
      <c r="I585" s="133"/>
      <c r="J585" s="132"/>
      <c r="K585" s="132"/>
    </row>
    <row r="586" spans="1:11" x14ac:dyDescent="0.2">
      <c r="A586" s="124"/>
      <c r="B586" s="132"/>
      <c r="F586" s="132"/>
      <c r="G586" s="131"/>
      <c r="H586" s="132"/>
      <c r="I586" s="133"/>
      <c r="J586" s="132"/>
      <c r="K586" s="132"/>
    </row>
    <row r="587" spans="1:11" x14ac:dyDescent="0.2">
      <c r="A587" s="124"/>
      <c r="B587" s="132"/>
      <c r="F587" s="132"/>
      <c r="G587" s="131"/>
      <c r="H587" s="132"/>
      <c r="I587" s="133"/>
      <c r="J587" s="132"/>
      <c r="K587" s="132"/>
    </row>
    <row r="588" spans="1:11" x14ac:dyDescent="0.2">
      <c r="A588" s="124"/>
      <c r="B588" s="132"/>
      <c r="F588" s="132"/>
      <c r="G588" s="131"/>
      <c r="H588" s="132"/>
      <c r="I588" s="133"/>
      <c r="J588" s="132"/>
      <c r="K588" s="132"/>
    </row>
    <row r="589" spans="1:11" x14ac:dyDescent="0.2">
      <c r="A589" s="124"/>
      <c r="B589" s="132"/>
      <c r="F589" s="132"/>
      <c r="G589" s="131"/>
      <c r="H589" s="132"/>
      <c r="I589" s="133"/>
      <c r="J589" s="132"/>
      <c r="K589" s="132"/>
    </row>
    <row r="590" spans="1:11" x14ac:dyDescent="0.2">
      <c r="A590" s="124"/>
      <c r="B590" s="132"/>
      <c r="F590" s="132"/>
      <c r="G590" s="131"/>
      <c r="H590" s="132"/>
      <c r="I590" s="133"/>
      <c r="J590" s="132"/>
      <c r="K590" s="132"/>
    </row>
    <row r="591" spans="1:11" x14ac:dyDescent="0.2">
      <c r="A591" s="124"/>
      <c r="B591" s="132"/>
      <c r="F591" s="132"/>
      <c r="G591" s="131"/>
      <c r="H591" s="132"/>
      <c r="I591" s="133"/>
      <c r="J591" s="132"/>
      <c r="K591" s="132"/>
    </row>
    <row r="592" spans="1:11" x14ac:dyDescent="0.2">
      <c r="A592" s="124"/>
      <c r="B592" s="132"/>
      <c r="F592" s="132"/>
      <c r="G592" s="131"/>
      <c r="H592" s="132"/>
      <c r="I592" s="133"/>
      <c r="J592" s="132"/>
      <c r="K592" s="132"/>
    </row>
    <row r="593" spans="1:11" x14ac:dyDescent="0.2">
      <c r="A593" s="124"/>
      <c r="B593" s="132"/>
      <c r="F593" s="132"/>
      <c r="G593" s="131"/>
      <c r="H593" s="132"/>
      <c r="I593" s="133"/>
      <c r="J593" s="132"/>
      <c r="K593" s="132"/>
    </row>
    <row r="594" spans="1:11" x14ac:dyDescent="0.2">
      <c r="A594" s="124"/>
      <c r="B594" s="132"/>
      <c r="F594" s="132"/>
      <c r="G594" s="131"/>
      <c r="H594" s="132"/>
      <c r="I594" s="133"/>
      <c r="J594" s="132"/>
      <c r="K594" s="132"/>
    </row>
    <row r="595" spans="1:11" x14ac:dyDescent="0.2">
      <c r="A595" s="124"/>
      <c r="B595" s="132"/>
      <c r="F595" s="132"/>
      <c r="G595" s="131"/>
      <c r="H595" s="132"/>
      <c r="I595" s="133"/>
      <c r="J595" s="132"/>
      <c r="K595" s="132"/>
    </row>
    <row r="596" spans="1:11" x14ac:dyDescent="0.2">
      <c r="A596" s="124"/>
      <c r="B596" s="132"/>
      <c r="F596" s="132"/>
      <c r="G596" s="131"/>
      <c r="H596" s="132"/>
      <c r="I596" s="133"/>
      <c r="J596" s="132"/>
      <c r="K596" s="132"/>
    </row>
    <row r="597" spans="1:11" x14ac:dyDescent="0.2">
      <c r="A597" s="124"/>
      <c r="B597" s="132"/>
      <c r="F597" s="132"/>
      <c r="G597" s="131"/>
      <c r="H597" s="132"/>
      <c r="I597" s="133"/>
      <c r="J597" s="132"/>
      <c r="K597" s="132"/>
    </row>
    <row r="598" spans="1:11" x14ac:dyDescent="0.2">
      <c r="A598" s="124"/>
      <c r="B598" s="132"/>
      <c r="F598" s="132"/>
      <c r="G598" s="131"/>
      <c r="H598" s="132"/>
      <c r="I598" s="133"/>
      <c r="J598" s="132"/>
      <c r="K598" s="132"/>
    </row>
    <row r="599" spans="1:11" x14ac:dyDescent="0.2">
      <c r="A599" s="124"/>
      <c r="B599" s="132"/>
      <c r="F599" s="132"/>
      <c r="G599" s="131"/>
      <c r="H599" s="132"/>
      <c r="I599" s="133"/>
      <c r="J599" s="132"/>
      <c r="K599" s="132"/>
    </row>
    <row r="600" spans="1:11" x14ac:dyDescent="0.2">
      <c r="A600" s="124"/>
      <c r="B600" s="132"/>
      <c r="F600" s="132"/>
      <c r="G600" s="131"/>
      <c r="H600" s="132"/>
      <c r="I600" s="133"/>
      <c r="J600" s="132"/>
      <c r="K600" s="132"/>
    </row>
    <row r="601" spans="1:11" x14ac:dyDescent="0.2">
      <c r="A601" s="124"/>
      <c r="B601" s="132"/>
      <c r="F601" s="132"/>
      <c r="G601" s="131"/>
      <c r="H601" s="132"/>
      <c r="I601" s="133"/>
      <c r="J601" s="132"/>
      <c r="K601" s="132"/>
    </row>
    <row r="602" spans="1:11" x14ac:dyDescent="0.2">
      <c r="A602" s="124"/>
      <c r="B602" s="132"/>
      <c r="F602" s="132"/>
      <c r="G602" s="131"/>
      <c r="H602" s="132"/>
      <c r="I602" s="133"/>
      <c r="J602" s="132"/>
      <c r="K602" s="132"/>
    </row>
    <row r="603" spans="1:11" x14ac:dyDescent="0.2">
      <c r="A603" s="124"/>
      <c r="B603" s="132"/>
      <c r="F603" s="132"/>
      <c r="G603" s="131"/>
      <c r="H603" s="132"/>
      <c r="I603" s="133"/>
      <c r="J603" s="132"/>
      <c r="K603" s="132"/>
    </row>
    <row r="604" spans="1:11" x14ac:dyDescent="0.2">
      <c r="A604" s="124"/>
      <c r="B604" s="132"/>
      <c r="F604" s="132"/>
      <c r="G604" s="131"/>
      <c r="H604" s="132"/>
      <c r="I604" s="133"/>
      <c r="J604" s="132"/>
      <c r="K604" s="132"/>
    </row>
    <row r="605" spans="1:11" x14ac:dyDescent="0.2">
      <c r="A605" s="124"/>
      <c r="B605" s="132"/>
      <c r="F605" s="132"/>
      <c r="G605" s="131"/>
      <c r="H605" s="132"/>
      <c r="I605" s="133"/>
      <c r="J605" s="132"/>
      <c r="K605" s="132"/>
    </row>
    <row r="606" spans="1:11" x14ac:dyDescent="0.2">
      <c r="A606" s="124"/>
      <c r="B606" s="132"/>
      <c r="F606" s="132"/>
      <c r="G606" s="131"/>
      <c r="H606" s="132"/>
      <c r="I606" s="133"/>
      <c r="J606" s="132"/>
      <c r="K606" s="132"/>
    </row>
    <row r="607" spans="1:11" x14ac:dyDescent="0.2">
      <c r="A607" s="124"/>
      <c r="B607" s="132"/>
      <c r="F607" s="132"/>
      <c r="G607" s="131"/>
      <c r="H607" s="132"/>
      <c r="I607" s="133"/>
      <c r="J607" s="132"/>
      <c r="K607" s="132"/>
    </row>
    <row r="608" spans="1:11" x14ac:dyDescent="0.2">
      <c r="A608" s="124"/>
      <c r="B608" s="132"/>
      <c r="F608" s="132"/>
      <c r="G608" s="131"/>
      <c r="H608" s="132"/>
      <c r="I608" s="133"/>
      <c r="J608" s="132"/>
      <c r="K608" s="132"/>
    </row>
    <row r="609" spans="1:11" x14ac:dyDescent="0.2">
      <c r="A609" s="124"/>
      <c r="B609" s="132"/>
      <c r="F609" s="132"/>
      <c r="G609" s="131"/>
      <c r="H609" s="132"/>
      <c r="I609" s="133"/>
      <c r="J609" s="132"/>
      <c r="K609" s="132"/>
    </row>
    <row r="610" spans="1:11" x14ac:dyDescent="0.2">
      <c r="A610" s="124"/>
      <c r="B610" s="132"/>
      <c r="F610" s="132"/>
      <c r="G610" s="131"/>
      <c r="H610" s="132"/>
      <c r="I610" s="133"/>
      <c r="J610" s="132"/>
      <c r="K610" s="132"/>
    </row>
    <row r="611" spans="1:11" x14ac:dyDescent="0.2">
      <c r="A611" s="124"/>
      <c r="B611" s="132"/>
      <c r="F611" s="132"/>
      <c r="G611" s="131"/>
      <c r="H611" s="132"/>
      <c r="I611" s="133"/>
      <c r="J611" s="132"/>
      <c r="K611" s="132"/>
    </row>
    <row r="612" spans="1:11" x14ac:dyDescent="0.2">
      <c r="A612" s="124"/>
      <c r="B612" s="132"/>
      <c r="F612" s="132"/>
      <c r="G612" s="131"/>
      <c r="H612" s="132"/>
      <c r="I612" s="133"/>
      <c r="J612" s="132"/>
      <c r="K612" s="132"/>
    </row>
    <row r="613" spans="1:11" x14ac:dyDescent="0.2">
      <c r="A613" s="124"/>
      <c r="B613" s="132"/>
      <c r="F613" s="132"/>
      <c r="G613" s="131"/>
      <c r="H613" s="132"/>
      <c r="I613" s="133"/>
      <c r="J613" s="132"/>
      <c r="K613" s="132"/>
    </row>
    <row r="614" spans="1:11" x14ac:dyDescent="0.2">
      <c r="A614" s="124"/>
      <c r="B614" s="132"/>
      <c r="F614" s="132"/>
      <c r="G614" s="131"/>
      <c r="H614" s="132"/>
      <c r="I614" s="133"/>
      <c r="J614" s="132"/>
      <c r="K614" s="132"/>
    </row>
    <row r="615" spans="1:11" x14ac:dyDescent="0.2">
      <c r="A615" s="124"/>
      <c r="B615" s="132"/>
      <c r="F615" s="132"/>
      <c r="G615" s="131"/>
      <c r="H615" s="132"/>
      <c r="I615" s="133"/>
      <c r="J615" s="132"/>
      <c r="K615" s="132"/>
    </row>
    <row r="616" spans="1:11" x14ac:dyDescent="0.2">
      <c r="A616" s="124"/>
      <c r="B616" s="132"/>
      <c r="F616" s="132"/>
      <c r="G616" s="131"/>
      <c r="H616" s="132"/>
      <c r="I616" s="133"/>
      <c r="J616" s="132"/>
      <c r="K616" s="132"/>
    </row>
    <row r="617" spans="1:11" x14ac:dyDescent="0.2">
      <c r="A617" s="124"/>
      <c r="B617" s="132"/>
      <c r="F617" s="132"/>
      <c r="G617" s="131"/>
      <c r="H617" s="132"/>
      <c r="I617" s="133"/>
      <c r="J617" s="132"/>
      <c r="K617" s="132"/>
    </row>
    <row r="618" spans="1:11" x14ac:dyDescent="0.2">
      <c r="A618" s="124"/>
      <c r="B618" s="132"/>
      <c r="F618" s="132"/>
      <c r="G618" s="131"/>
      <c r="H618" s="132"/>
      <c r="I618" s="133"/>
      <c r="J618" s="132"/>
      <c r="K618" s="132"/>
    </row>
    <row r="619" spans="1:11" x14ac:dyDescent="0.2">
      <c r="A619" s="124"/>
      <c r="B619" s="132"/>
      <c r="F619" s="132"/>
      <c r="G619" s="131"/>
      <c r="H619" s="132"/>
      <c r="I619" s="133"/>
      <c r="J619" s="132"/>
      <c r="K619" s="132"/>
    </row>
    <row r="620" spans="1:11" x14ac:dyDescent="0.2">
      <c r="A620" s="124"/>
      <c r="B620" s="132"/>
      <c r="F620" s="132"/>
      <c r="G620" s="131"/>
      <c r="H620" s="132"/>
      <c r="I620" s="133"/>
      <c r="J620" s="132"/>
      <c r="K620" s="132"/>
    </row>
    <row r="621" spans="1:11" x14ac:dyDescent="0.2">
      <c r="A621" s="124"/>
      <c r="B621" s="132"/>
      <c r="F621" s="132"/>
      <c r="G621" s="131"/>
      <c r="H621" s="132"/>
      <c r="I621" s="133"/>
      <c r="J621" s="132"/>
      <c r="K621" s="132"/>
    </row>
    <row r="622" spans="1:11" x14ac:dyDescent="0.2">
      <c r="A622" s="124"/>
      <c r="B622" s="132"/>
      <c r="F622" s="132"/>
      <c r="G622" s="131"/>
      <c r="H622" s="132"/>
      <c r="I622" s="133"/>
      <c r="J622" s="132"/>
      <c r="K622" s="132"/>
    </row>
    <row r="623" spans="1:11" x14ac:dyDescent="0.2">
      <c r="A623" s="124"/>
      <c r="B623" s="132"/>
      <c r="F623" s="132"/>
      <c r="G623" s="131"/>
      <c r="H623" s="132"/>
      <c r="I623" s="133"/>
      <c r="J623" s="132"/>
      <c r="K623" s="132"/>
    </row>
    <row r="624" spans="1:11" x14ac:dyDescent="0.2">
      <c r="A624" s="124"/>
      <c r="B624" s="132"/>
      <c r="F624" s="132"/>
      <c r="G624" s="131"/>
      <c r="H624" s="132"/>
      <c r="I624" s="133"/>
      <c r="J624" s="132"/>
      <c r="K624" s="132"/>
    </row>
    <row r="625" spans="1:11" x14ac:dyDescent="0.2">
      <c r="A625" s="124"/>
      <c r="B625" s="132"/>
      <c r="F625" s="132"/>
      <c r="G625" s="131"/>
      <c r="H625" s="132"/>
      <c r="I625" s="133"/>
      <c r="J625" s="132"/>
      <c r="K625" s="132"/>
    </row>
    <row r="626" spans="1:11" x14ac:dyDescent="0.2">
      <c r="A626" s="124"/>
      <c r="B626" s="132"/>
      <c r="F626" s="132"/>
      <c r="G626" s="131"/>
      <c r="H626" s="132"/>
      <c r="I626" s="133"/>
      <c r="J626" s="132"/>
      <c r="K626" s="132"/>
    </row>
    <row r="627" spans="1:11" x14ac:dyDescent="0.2">
      <c r="A627" s="124"/>
      <c r="B627" s="132"/>
      <c r="F627" s="132"/>
      <c r="G627" s="131"/>
      <c r="H627" s="132"/>
      <c r="I627" s="133"/>
      <c r="J627" s="132"/>
      <c r="K627" s="132"/>
    </row>
    <row r="628" spans="1:11" x14ac:dyDescent="0.2">
      <c r="A628" s="124"/>
      <c r="B628" s="132"/>
      <c r="F628" s="132"/>
      <c r="G628" s="131"/>
      <c r="H628" s="132"/>
      <c r="I628" s="133"/>
      <c r="J628" s="132"/>
      <c r="K628" s="132"/>
    </row>
    <row r="629" spans="1:11" x14ac:dyDescent="0.2">
      <c r="A629" s="124"/>
      <c r="B629" s="132"/>
      <c r="F629" s="132"/>
      <c r="G629" s="131"/>
      <c r="H629" s="132"/>
      <c r="I629" s="133"/>
      <c r="J629" s="132"/>
      <c r="K629" s="132"/>
    </row>
    <row r="630" spans="1:11" x14ac:dyDescent="0.2">
      <c r="A630" s="124"/>
      <c r="B630" s="132"/>
      <c r="F630" s="132"/>
      <c r="G630" s="131"/>
      <c r="H630" s="132"/>
      <c r="I630" s="133"/>
      <c r="J630" s="132"/>
      <c r="K630" s="132"/>
    </row>
    <row r="631" spans="1:11" x14ac:dyDescent="0.2">
      <c r="A631" s="124"/>
      <c r="B631" s="132"/>
      <c r="F631" s="132"/>
      <c r="G631" s="131"/>
      <c r="H631" s="132"/>
      <c r="I631" s="133"/>
      <c r="J631" s="132"/>
      <c r="K631" s="132"/>
    </row>
    <row r="632" spans="1:11" x14ac:dyDescent="0.2">
      <c r="A632" s="124"/>
      <c r="B632" s="132"/>
      <c r="F632" s="132"/>
      <c r="G632" s="131"/>
      <c r="H632" s="132"/>
      <c r="I632" s="133"/>
      <c r="J632" s="132"/>
      <c r="K632" s="132"/>
    </row>
    <row r="633" spans="1:11" x14ac:dyDescent="0.2">
      <c r="A633" s="124"/>
      <c r="B633" s="132"/>
      <c r="F633" s="132"/>
      <c r="G633" s="131"/>
      <c r="H633" s="132"/>
      <c r="I633" s="133"/>
      <c r="J633" s="132"/>
      <c r="K633" s="132"/>
    </row>
    <row r="634" spans="1:11" x14ac:dyDescent="0.2">
      <c r="A634" s="124"/>
      <c r="B634" s="132"/>
      <c r="F634" s="132"/>
      <c r="G634" s="131"/>
      <c r="H634" s="132"/>
      <c r="I634" s="133"/>
      <c r="J634" s="132"/>
      <c r="K634" s="132"/>
    </row>
    <row r="635" spans="1:11" x14ac:dyDescent="0.2">
      <c r="A635" s="124"/>
      <c r="B635" s="132"/>
      <c r="F635" s="132"/>
      <c r="G635" s="131"/>
      <c r="H635" s="132"/>
      <c r="I635" s="133"/>
      <c r="J635" s="132"/>
      <c r="K635" s="132"/>
    </row>
    <row r="636" spans="1:11" x14ac:dyDescent="0.2">
      <c r="A636" s="124"/>
      <c r="B636" s="132"/>
      <c r="F636" s="132"/>
      <c r="G636" s="131"/>
      <c r="H636" s="132"/>
      <c r="I636" s="133"/>
      <c r="J636" s="132"/>
      <c r="K636" s="132"/>
    </row>
    <row r="637" spans="1:11" x14ac:dyDescent="0.2">
      <c r="A637" s="124"/>
      <c r="B637" s="132"/>
      <c r="F637" s="132"/>
      <c r="G637" s="131"/>
      <c r="H637" s="132"/>
      <c r="I637" s="133"/>
      <c r="J637" s="132"/>
      <c r="K637" s="132"/>
    </row>
    <row r="638" spans="1:11" x14ac:dyDescent="0.2">
      <c r="A638" s="124"/>
      <c r="B638" s="132"/>
      <c r="F638" s="132"/>
      <c r="G638" s="131"/>
      <c r="H638" s="132"/>
      <c r="I638" s="133"/>
      <c r="J638" s="132"/>
      <c r="K638" s="132"/>
    </row>
    <row r="639" spans="1:11" x14ac:dyDescent="0.2">
      <c r="A639" s="124"/>
      <c r="B639" s="132"/>
      <c r="F639" s="132"/>
      <c r="G639" s="131"/>
      <c r="H639" s="132"/>
      <c r="I639" s="133"/>
      <c r="J639" s="132"/>
      <c r="K639" s="132"/>
    </row>
    <row r="640" spans="1:11" x14ac:dyDescent="0.2">
      <c r="A640" s="124"/>
      <c r="B640" s="132"/>
      <c r="F640" s="132"/>
      <c r="G640" s="131"/>
      <c r="H640" s="132"/>
      <c r="I640" s="133"/>
      <c r="J640" s="132"/>
      <c r="K640" s="132"/>
    </row>
    <row r="641" spans="1:11" x14ac:dyDescent="0.2">
      <c r="A641" s="124"/>
      <c r="B641" s="132"/>
      <c r="F641" s="132"/>
      <c r="G641" s="131"/>
      <c r="H641" s="132"/>
      <c r="I641" s="133"/>
      <c r="J641" s="132"/>
      <c r="K641" s="132"/>
    </row>
    <row r="642" spans="1:11" x14ac:dyDescent="0.2">
      <c r="A642" s="124"/>
      <c r="B642" s="132"/>
      <c r="F642" s="132"/>
      <c r="G642" s="131"/>
      <c r="H642" s="132"/>
      <c r="I642" s="133"/>
      <c r="J642" s="132"/>
      <c r="K642" s="132"/>
    </row>
    <row r="643" spans="1:11" x14ac:dyDescent="0.2">
      <c r="A643" s="124"/>
      <c r="B643" s="132"/>
      <c r="F643" s="132"/>
      <c r="G643" s="131"/>
      <c r="H643" s="132"/>
      <c r="I643" s="133"/>
      <c r="J643" s="132"/>
      <c r="K643" s="132"/>
    </row>
    <row r="644" spans="1:11" x14ac:dyDescent="0.2">
      <c r="A644" s="124"/>
      <c r="B644" s="132"/>
      <c r="F644" s="132"/>
      <c r="G644" s="131"/>
      <c r="H644" s="132"/>
      <c r="I644" s="133"/>
      <c r="J644" s="132"/>
      <c r="K644" s="132"/>
    </row>
    <row r="645" spans="1:11" x14ac:dyDescent="0.2">
      <c r="A645" s="124"/>
      <c r="B645" s="132"/>
      <c r="F645" s="132"/>
      <c r="G645" s="131"/>
      <c r="H645" s="132"/>
      <c r="I645" s="133"/>
      <c r="J645" s="132"/>
      <c r="K645" s="132"/>
    </row>
    <row r="646" spans="1:11" x14ac:dyDescent="0.2">
      <c r="A646" s="124"/>
      <c r="B646" s="132"/>
      <c r="F646" s="132"/>
      <c r="G646" s="131"/>
      <c r="H646" s="132"/>
      <c r="I646" s="133"/>
      <c r="J646" s="132"/>
      <c r="K646" s="132"/>
    </row>
    <row r="647" spans="1:11" x14ac:dyDescent="0.2">
      <c r="A647" s="124"/>
      <c r="B647" s="132"/>
      <c r="F647" s="132"/>
      <c r="G647" s="131"/>
      <c r="H647" s="132"/>
      <c r="I647" s="133"/>
      <c r="J647" s="132"/>
      <c r="K647" s="132"/>
    </row>
    <row r="648" spans="1:11" x14ac:dyDescent="0.2">
      <c r="A648" s="124"/>
      <c r="B648" s="132"/>
      <c r="F648" s="132"/>
      <c r="G648" s="131"/>
      <c r="H648" s="132"/>
      <c r="I648" s="133"/>
      <c r="J648" s="132"/>
      <c r="K648" s="132"/>
    </row>
    <row r="649" spans="1:11" x14ac:dyDescent="0.2">
      <c r="A649" s="124"/>
      <c r="B649" s="132"/>
      <c r="F649" s="132"/>
      <c r="G649" s="131"/>
      <c r="H649" s="132"/>
      <c r="I649" s="133"/>
      <c r="J649" s="132"/>
      <c r="K649" s="132"/>
    </row>
    <row r="650" spans="1:11" x14ac:dyDescent="0.2">
      <c r="A650" s="124"/>
      <c r="B650" s="132"/>
      <c r="F650" s="132"/>
      <c r="G650" s="131"/>
      <c r="H650" s="132"/>
      <c r="I650" s="133"/>
      <c r="J650" s="132"/>
      <c r="K650" s="132"/>
    </row>
    <row r="651" spans="1:11" x14ac:dyDescent="0.2">
      <c r="A651" s="124"/>
      <c r="B651" s="132"/>
      <c r="F651" s="132"/>
      <c r="G651" s="131"/>
      <c r="H651" s="132"/>
      <c r="I651" s="133"/>
      <c r="J651" s="132"/>
      <c r="K651" s="132"/>
    </row>
    <row r="652" spans="1:11" x14ac:dyDescent="0.2">
      <c r="A652" s="124"/>
      <c r="B652" s="132"/>
      <c r="F652" s="132"/>
      <c r="G652" s="131"/>
      <c r="H652" s="132"/>
      <c r="I652" s="133"/>
      <c r="J652" s="132"/>
      <c r="K652" s="132"/>
    </row>
    <row r="653" spans="1:11" x14ac:dyDescent="0.2">
      <c r="A653" s="124"/>
      <c r="B653" s="132"/>
      <c r="F653" s="132"/>
      <c r="G653" s="131"/>
      <c r="H653" s="132"/>
      <c r="I653" s="133"/>
      <c r="J653" s="132"/>
      <c r="K653" s="132"/>
    </row>
    <row r="654" spans="1:11" x14ac:dyDescent="0.2">
      <c r="A654" s="124"/>
      <c r="B654" s="132"/>
      <c r="F654" s="132"/>
      <c r="G654" s="131"/>
      <c r="H654" s="132"/>
      <c r="I654" s="133"/>
      <c r="J654" s="132"/>
      <c r="K654" s="132"/>
    </row>
    <row r="655" spans="1:11" x14ac:dyDescent="0.2">
      <c r="A655" s="124"/>
      <c r="B655" s="132"/>
      <c r="F655" s="132"/>
      <c r="G655" s="131"/>
      <c r="H655" s="132"/>
      <c r="I655" s="133"/>
      <c r="J655" s="132"/>
      <c r="K655" s="132"/>
    </row>
    <row r="656" spans="1:11" x14ac:dyDescent="0.2">
      <c r="A656" s="124"/>
      <c r="B656" s="132"/>
      <c r="F656" s="132"/>
      <c r="G656" s="131"/>
      <c r="H656" s="132"/>
      <c r="I656" s="133"/>
      <c r="J656" s="132"/>
      <c r="K656" s="132"/>
    </row>
    <row r="657" spans="1:11" x14ac:dyDescent="0.2">
      <c r="A657" s="124"/>
      <c r="B657" s="132"/>
      <c r="F657" s="132"/>
      <c r="G657" s="131"/>
      <c r="H657" s="132"/>
      <c r="I657" s="133"/>
      <c r="J657" s="132"/>
      <c r="K657" s="132"/>
    </row>
    <row r="658" spans="1:11" x14ac:dyDescent="0.2">
      <c r="A658" s="124"/>
      <c r="B658" s="132"/>
      <c r="F658" s="132"/>
      <c r="G658" s="131"/>
      <c r="H658" s="132"/>
      <c r="I658" s="133"/>
      <c r="J658" s="132"/>
      <c r="K658" s="132"/>
    </row>
    <row r="659" spans="1:11" x14ac:dyDescent="0.2">
      <c r="A659" s="124"/>
      <c r="B659" s="132"/>
      <c r="F659" s="132"/>
      <c r="G659" s="131"/>
      <c r="H659" s="132"/>
      <c r="I659" s="133"/>
      <c r="J659" s="132"/>
      <c r="K659" s="132"/>
    </row>
    <row r="660" spans="1:11" x14ac:dyDescent="0.2">
      <c r="A660" s="124"/>
      <c r="B660" s="132"/>
      <c r="F660" s="132"/>
      <c r="G660" s="131"/>
      <c r="H660" s="132"/>
      <c r="I660" s="133"/>
      <c r="J660" s="132"/>
      <c r="K660" s="132"/>
    </row>
    <row r="661" spans="1:11" x14ac:dyDescent="0.2">
      <c r="A661" s="124"/>
      <c r="B661" s="132"/>
      <c r="F661" s="132"/>
      <c r="G661" s="131"/>
      <c r="H661" s="132"/>
      <c r="I661" s="133"/>
      <c r="J661" s="132"/>
      <c r="K661" s="132"/>
    </row>
    <row r="662" spans="1:11" x14ac:dyDescent="0.2">
      <c r="A662" s="124"/>
      <c r="B662" s="132"/>
      <c r="F662" s="132"/>
      <c r="G662" s="131"/>
      <c r="H662" s="132"/>
      <c r="I662" s="133"/>
      <c r="J662" s="132"/>
      <c r="K662" s="132"/>
    </row>
    <row r="663" spans="1:11" x14ac:dyDescent="0.2">
      <c r="A663" s="124"/>
      <c r="B663" s="132"/>
      <c r="F663" s="132"/>
      <c r="G663" s="131"/>
      <c r="H663" s="132"/>
      <c r="I663" s="133"/>
      <c r="J663" s="132"/>
      <c r="K663" s="132"/>
    </row>
    <row r="664" spans="1:11" x14ac:dyDescent="0.2">
      <c r="A664" s="124"/>
      <c r="B664" s="132"/>
      <c r="F664" s="132"/>
      <c r="G664" s="131"/>
      <c r="H664" s="132"/>
      <c r="I664" s="133"/>
      <c r="J664" s="132"/>
      <c r="K664" s="132"/>
    </row>
    <row r="665" spans="1:11" x14ac:dyDescent="0.2">
      <c r="A665" s="124"/>
      <c r="B665" s="132"/>
      <c r="F665" s="132"/>
      <c r="G665" s="131"/>
      <c r="H665" s="132"/>
      <c r="I665" s="133"/>
      <c r="J665" s="132"/>
      <c r="K665" s="132"/>
    </row>
    <row r="666" spans="1:11" x14ac:dyDescent="0.2">
      <c r="A666" s="124"/>
      <c r="B666" s="132"/>
      <c r="F666" s="132"/>
      <c r="G666" s="131"/>
      <c r="H666" s="132"/>
      <c r="I666" s="133"/>
      <c r="J666" s="132"/>
      <c r="K666" s="132"/>
    </row>
    <row r="667" spans="1:11" x14ac:dyDescent="0.2">
      <c r="A667" s="124"/>
      <c r="B667" s="132"/>
      <c r="F667" s="132"/>
      <c r="G667" s="131"/>
      <c r="H667" s="132"/>
      <c r="I667" s="133"/>
      <c r="J667" s="132"/>
      <c r="K667" s="132"/>
    </row>
    <row r="668" spans="1:11" x14ac:dyDescent="0.2">
      <c r="A668" s="124"/>
      <c r="B668" s="132"/>
      <c r="F668" s="132"/>
      <c r="G668" s="131"/>
      <c r="H668" s="132"/>
      <c r="I668" s="133"/>
      <c r="J668" s="132"/>
      <c r="K668" s="132"/>
    </row>
    <row r="669" spans="1:11" x14ac:dyDescent="0.2">
      <c r="A669" s="124"/>
      <c r="B669" s="132"/>
      <c r="F669" s="132"/>
      <c r="G669" s="131"/>
      <c r="H669" s="132"/>
      <c r="I669" s="133"/>
      <c r="J669" s="132"/>
      <c r="K669" s="132"/>
    </row>
    <row r="670" spans="1:11" x14ac:dyDescent="0.2">
      <c r="A670" s="124"/>
      <c r="B670" s="132"/>
      <c r="F670" s="132"/>
      <c r="G670" s="131"/>
      <c r="H670" s="132"/>
      <c r="I670" s="133"/>
      <c r="J670" s="132"/>
      <c r="K670" s="132"/>
    </row>
    <row r="671" spans="1:11" x14ac:dyDescent="0.2">
      <c r="A671" s="124"/>
      <c r="B671" s="132"/>
      <c r="F671" s="132"/>
      <c r="G671" s="131"/>
      <c r="H671" s="132"/>
      <c r="I671" s="133"/>
      <c r="J671" s="132"/>
      <c r="K671" s="132"/>
    </row>
    <row r="672" spans="1:11" x14ac:dyDescent="0.2">
      <c r="A672" s="124"/>
      <c r="B672" s="132"/>
      <c r="F672" s="132"/>
      <c r="G672" s="131"/>
      <c r="H672" s="132"/>
      <c r="I672" s="133"/>
      <c r="J672" s="132"/>
      <c r="K672" s="132"/>
    </row>
    <row r="673" spans="1:11" x14ac:dyDescent="0.2">
      <c r="A673" s="124"/>
      <c r="B673" s="132"/>
      <c r="F673" s="132"/>
      <c r="G673" s="131"/>
      <c r="H673" s="132"/>
      <c r="I673" s="133"/>
      <c r="J673" s="132"/>
      <c r="K673" s="132"/>
    </row>
    <row r="674" spans="1:11" x14ac:dyDescent="0.2">
      <c r="A674" s="124"/>
      <c r="B674" s="132"/>
      <c r="F674" s="132"/>
      <c r="G674" s="131"/>
      <c r="H674" s="132"/>
      <c r="I674" s="133"/>
      <c r="J674" s="132"/>
      <c r="K674" s="132"/>
    </row>
    <row r="675" spans="1:11" x14ac:dyDescent="0.2">
      <c r="A675" s="124"/>
      <c r="B675" s="132"/>
      <c r="F675" s="132"/>
      <c r="G675" s="131"/>
      <c r="H675" s="132"/>
      <c r="I675" s="133"/>
      <c r="J675" s="132"/>
      <c r="K675" s="132"/>
    </row>
    <row r="676" spans="1:11" x14ac:dyDescent="0.2">
      <c r="A676" s="124"/>
      <c r="B676" s="132"/>
      <c r="F676" s="132"/>
      <c r="G676" s="131"/>
      <c r="H676" s="132"/>
      <c r="I676" s="133"/>
      <c r="J676" s="132"/>
      <c r="K676" s="132"/>
    </row>
    <row r="677" spans="1:11" x14ac:dyDescent="0.2">
      <c r="A677" s="124"/>
      <c r="B677" s="132"/>
      <c r="F677" s="132"/>
      <c r="G677" s="131"/>
      <c r="H677" s="132"/>
      <c r="I677" s="133"/>
      <c r="J677" s="132"/>
      <c r="K677" s="132"/>
    </row>
    <row r="678" spans="1:11" x14ac:dyDescent="0.2">
      <c r="A678" s="124"/>
      <c r="B678" s="132"/>
      <c r="F678" s="132"/>
      <c r="G678" s="131"/>
      <c r="H678" s="132"/>
      <c r="I678" s="133"/>
      <c r="J678" s="132"/>
      <c r="K678" s="132"/>
    </row>
    <row r="679" spans="1:11" x14ac:dyDescent="0.2">
      <c r="A679" s="124"/>
      <c r="B679" s="132"/>
      <c r="F679" s="132"/>
      <c r="G679" s="131"/>
      <c r="H679" s="132"/>
      <c r="I679" s="133"/>
      <c r="J679" s="132"/>
      <c r="K679" s="132"/>
    </row>
    <row r="680" spans="1:11" x14ac:dyDescent="0.2">
      <c r="A680" s="124"/>
      <c r="B680" s="132"/>
      <c r="F680" s="132"/>
      <c r="G680" s="131"/>
      <c r="H680" s="132"/>
      <c r="I680" s="133"/>
      <c r="J680" s="132"/>
      <c r="K680" s="132"/>
    </row>
    <row r="681" spans="1:11" x14ac:dyDescent="0.2">
      <c r="A681" s="124"/>
      <c r="B681" s="132"/>
      <c r="F681" s="132"/>
      <c r="G681" s="131"/>
      <c r="H681" s="132"/>
      <c r="I681" s="133"/>
      <c r="J681" s="132"/>
      <c r="K681" s="132"/>
    </row>
    <row r="682" spans="1:11" x14ac:dyDescent="0.2">
      <c r="A682" s="124"/>
      <c r="B682" s="132"/>
      <c r="F682" s="132"/>
      <c r="G682" s="131"/>
      <c r="H682" s="132"/>
      <c r="I682" s="133"/>
      <c r="J682" s="132"/>
      <c r="K682" s="132"/>
    </row>
    <row r="683" spans="1:11" x14ac:dyDescent="0.2">
      <c r="A683" s="124"/>
      <c r="B683" s="132"/>
      <c r="F683" s="132"/>
      <c r="G683" s="131"/>
      <c r="H683" s="132"/>
      <c r="I683" s="133"/>
      <c r="J683" s="132"/>
      <c r="K683" s="132"/>
    </row>
    <row r="684" spans="1:11" x14ac:dyDescent="0.2">
      <c r="A684" s="124"/>
      <c r="B684" s="132"/>
      <c r="F684" s="132"/>
      <c r="G684" s="131"/>
      <c r="H684" s="132"/>
      <c r="I684" s="133"/>
      <c r="J684" s="132"/>
      <c r="K684" s="132"/>
    </row>
    <row r="685" spans="1:11" x14ac:dyDescent="0.2">
      <c r="A685" s="124"/>
      <c r="B685" s="132"/>
      <c r="F685" s="132"/>
      <c r="G685" s="131"/>
      <c r="H685" s="132"/>
      <c r="I685" s="133"/>
      <c r="J685" s="132"/>
      <c r="K685" s="132"/>
    </row>
    <row r="686" spans="1:11" x14ac:dyDescent="0.2">
      <c r="A686" s="124"/>
      <c r="B686" s="132"/>
      <c r="F686" s="132"/>
      <c r="G686" s="131"/>
      <c r="H686" s="132"/>
      <c r="I686" s="133"/>
      <c r="J686" s="132"/>
      <c r="K686" s="132"/>
    </row>
    <row r="687" spans="1:11" x14ac:dyDescent="0.2">
      <c r="A687" s="124"/>
      <c r="B687" s="132"/>
      <c r="F687" s="132"/>
      <c r="G687" s="131"/>
      <c r="H687" s="132"/>
      <c r="I687" s="133"/>
      <c r="J687" s="132"/>
      <c r="K687" s="132"/>
    </row>
    <row r="688" spans="1:11" x14ac:dyDescent="0.2">
      <c r="A688" s="124"/>
      <c r="B688" s="132"/>
      <c r="F688" s="132"/>
      <c r="G688" s="131"/>
      <c r="H688" s="132"/>
      <c r="I688" s="133"/>
      <c r="J688" s="132"/>
      <c r="K688" s="132"/>
    </row>
    <row r="689" spans="1:11" x14ac:dyDescent="0.2">
      <c r="A689" s="124"/>
      <c r="B689" s="132"/>
      <c r="F689" s="132"/>
      <c r="G689" s="131"/>
      <c r="H689" s="132"/>
      <c r="I689" s="133"/>
      <c r="J689" s="132"/>
      <c r="K689" s="132"/>
    </row>
    <row r="690" spans="1:11" x14ac:dyDescent="0.2">
      <c r="A690" s="124"/>
      <c r="B690" s="132"/>
      <c r="F690" s="132"/>
      <c r="G690" s="131"/>
      <c r="H690" s="132"/>
      <c r="I690" s="133"/>
      <c r="J690" s="132"/>
      <c r="K690" s="132"/>
    </row>
    <row r="691" spans="1:11" x14ac:dyDescent="0.2">
      <c r="A691" s="124"/>
      <c r="B691" s="132"/>
      <c r="F691" s="132"/>
      <c r="G691" s="131"/>
      <c r="H691" s="132"/>
      <c r="I691" s="133"/>
      <c r="J691" s="132"/>
      <c r="K691" s="132"/>
    </row>
    <row r="692" spans="1:11" x14ac:dyDescent="0.2">
      <c r="A692" s="124"/>
      <c r="B692" s="132"/>
      <c r="F692" s="132"/>
      <c r="G692" s="131"/>
      <c r="H692" s="132"/>
      <c r="I692" s="133"/>
      <c r="J692" s="132"/>
      <c r="K692" s="132"/>
    </row>
    <row r="693" spans="1:11" x14ac:dyDescent="0.2">
      <c r="A693" s="124"/>
      <c r="B693" s="132"/>
      <c r="F693" s="132"/>
      <c r="G693" s="131"/>
      <c r="H693" s="132"/>
      <c r="I693" s="133"/>
      <c r="J693" s="132"/>
      <c r="K693" s="132"/>
    </row>
    <row r="694" spans="1:11" x14ac:dyDescent="0.2">
      <c r="A694" s="124"/>
      <c r="B694" s="132"/>
      <c r="F694" s="132"/>
      <c r="G694" s="131"/>
      <c r="H694" s="132"/>
      <c r="I694" s="133"/>
      <c r="J694" s="132"/>
      <c r="K694" s="132"/>
    </row>
    <row r="695" spans="1:11" x14ac:dyDescent="0.2">
      <c r="A695" s="124"/>
      <c r="B695" s="132"/>
      <c r="F695" s="132"/>
      <c r="G695" s="131"/>
      <c r="H695" s="132"/>
      <c r="I695" s="133"/>
      <c r="J695" s="132"/>
      <c r="K695" s="132"/>
    </row>
    <row r="696" spans="1:11" x14ac:dyDescent="0.2">
      <c r="A696" s="124"/>
      <c r="B696" s="132"/>
      <c r="F696" s="132"/>
      <c r="G696" s="131"/>
      <c r="H696" s="132"/>
      <c r="I696" s="133"/>
      <c r="J696" s="132"/>
      <c r="K696" s="132"/>
    </row>
    <row r="697" spans="1:11" x14ac:dyDescent="0.2">
      <c r="A697" s="124"/>
      <c r="B697" s="132"/>
      <c r="F697" s="132"/>
      <c r="G697" s="131"/>
      <c r="H697" s="132"/>
      <c r="I697" s="133"/>
      <c r="J697" s="132"/>
      <c r="K697" s="132"/>
    </row>
    <row r="698" spans="1:11" x14ac:dyDescent="0.2">
      <c r="A698" s="124"/>
      <c r="B698" s="132"/>
      <c r="F698" s="132"/>
      <c r="G698" s="131"/>
      <c r="H698" s="132"/>
      <c r="I698" s="133"/>
      <c r="J698" s="132"/>
      <c r="K698" s="132"/>
    </row>
    <row r="699" spans="1:11" x14ac:dyDescent="0.2">
      <c r="A699" s="124"/>
      <c r="B699" s="132"/>
      <c r="F699" s="132"/>
      <c r="G699" s="131"/>
      <c r="H699" s="132"/>
      <c r="I699" s="133"/>
      <c r="J699" s="132"/>
      <c r="K699" s="132"/>
    </row>
    <row r="700" spans="1:11" x14ac:dyDescent="0.2">
      <c r="A700" s="124"/>
      <c r="B700" s="132"/>
      <c r="F700" s="132"/>
      <c r="G700" s="131"/>
      <c r="H700" s="132"/>
      <c r="I700" s="133"/>
      <c r="J700" s="132"/>
      <c r="K700" s="132"/>
    </row>
    <row r="701" spans="1:11" x14ac:dyDescent="0.2">
      <c r="A701" s="124"/>
      <c r="B701" s="132"/>
      <c r="F701" s="132"/>
      <c r="G701" s="131"/>
      <c r="H701" s="132"/>
      <c r="I701" s="133"/>
      <c r="J701" s="132"/>
      <c r="K701" s="132"/>
    </row>
    <row r="702" spans="1:11" x14ac:dyDescent="0.2">
      <c r="A702" s="124"/>
      <c r="B702" s="132"/>
      <c r="F702" s="132"/>
      <c r="G702" s="131"/>
      <c r="H702" s="132"/>
      <c r="I702" s="133"/>
      <c r="J702" s="132"/>
      <c r="K702" s="132"/>
    </row>
    <row r="703" spans="1:11" x14ac:dyDescent="0.2">
      <c r="A703" s="124"/>
      <c r="B703" s="132"/>
      <c r="F703" s="132"/>
      <c r="G703" s="131"/>
      <c r="H703" s="132"/>
      <c r="I703" s="133"/>
      <c r="J703" s="132"/>
      <c r="K703" s="132"/>
    </row>
    <row r="704" spans="1:11" x14ac:dyDescent="0.2">
      <c r="A704" s="124"/>
      <c r="B704" s="132"/>
      <c r="F704" s="132"/>
      <c r="G704" s="131"/>
      <c r="H704" s="132"/>
      <c r="I704" s="133"/>
      <c r="J704" s="132"/>
      <c r="K704" s="132"/>
    </row>
    <row r="705" spans="1:11" x14ac:dyDescent="0.2">
      <c r="A705" s="124"/>
      <c r="B705" s="132"/>
      <c r="F705" s="132"/>
      <c r="G705" s="131"/>
      <c r="H705" s="132"/>
      <c r="I705" s="133"/>
      <c r="J705" s="132"/>
      <c r="K705" s="132"/>
    </row>
    <row r="706" spans="1:11" x14ac:dyDescent="0.2">
      <c r="A706" s="124"/>
      <c r="B706" s="132"/>
      <c r="F706" s="132"/>
      <c r="G706" s="131"/>
      <c r="H706" s="132"/>
      <c r="I706" s="133"/>
      <c r="J706" s="132"/>
      <c r="K706" s="132"/>
    </row>
    <row r="707" spans="1:11" x14ac:dyDescent="0.2">
      <c r="A707" s="124"/>
      <c r="B707" s="132"/>
      <c r="F707" s="132"/>
      <c r="G707" s="131"/>
      <c r="H707" s="132"/>
      <c r="I707" s="133"/>
      <c r="J707" s="132"/>
      <c r="K707" s="132"/>
    </row>
    <row r="708" spans="1:11" x14ac:dyDescent="0.2">
      <c r="A708" s="124"/>
      <c r="B708" s="132"/>
      <c r="F708" s="132"/>
      <c r="G708" s="131"/>
      <c r="H708" s="132"/>
      <c r="I708" s="133"/>
      <c r="J708" s="132"/>
      <c r="K708" s="132"/>
    </row>
    <row r="709" spans="1:11" x14ac:dyDescent="0.2">
      <c r="A709" s="124"/>
      <c r="B709" s="132"/>
      <c r="F709" s="132"/>
      <c r="G709" s="131"/>
      <c r="H709" s="132"/>
      <c r="I709" s="133"/>
      <c r="J709" s="132"/>
      <c r="K709" s="132"/>
    </row>
    <row r="710" spans="1:11" x14ac:dyDescent="0.2">
      <c r="A710" s="124"/>
      <c r="B710" s="132"/>
      <c r="F710" s="132"/>
      <c r="G710" s="131"/>
      <c r="H710" s="132"/>
      <c r="I710" s="133"/>
      <c r="J710" s="132"/>
      <c r="K710" s="132"/>
    </row>
    <row r="711" spans="1:11" x14ac:dyDescent="0.2">
      <c r="A711" s="124"/>
      <c r="B711" s="132"/>
      <c r="F711" s="132"/>
      <c r="G711" s="131"/>
      <c r="H711" s="132"/>
      <c r="I711" s="133"/>
      <c r="J711" s="132"/>
      <c r="K711" s="132"/>
    </row>
    <row r="712" spans="1:11" x14ac:dyDescent="0.2">
      <c r="A712" s="124"/>
      <c r="B712" s="132"/>
      <c r="F712" s="132"/>
      <c r="G712" s="131"/>
      <c r="H712" s="132"/>
      <c r="I712" s="133"/>
      <c r="J712" s="132"/>
      <c r="K712" s="132"/>
    </row>
    <row r="713" spans="1:11" x14ac:dyDescent="0.2">
      <c r="A713" s="124"/>
      <c r="B713" s="132"/>
      <c r="F713" s="132"/>
      <c r="G713" s="131"/>
      <c r="H713" s="132"/>
      <c r="I713" s="133"/>
      <c r="J713" s="132"/>
      <c r="K713" s="132"/>
    </row>
    <row r="714" spans="1:11" x14ac:dyDescent="0.2">
      <c r="A714" s="124"/>
      <c r="B714" s="132"/>
      <c r="F714" s="132"/>
      <c r="G714" s="131"/>
      <c r="H714" s="132"/>
      <c r="I714" s="133"/>
      <c r="J714" s="132"/>
      <c r="K714" s="132"/>
    </row>
    <row r="715" spans="1:11" x14ac:dyDescent="0.2">
      <c r="A715" s="124"/>
      <c r="B715" s="132"/>
      <c r="F715" s="132"/>
      <c r="G715" s="131"/>
      <c r="H715" s="132"/>
      <c r="I715" s="133"/>
      <c r="J715" s="132"/>
      <c r="K715" s="132"/>
    </row>
    <row r="716" spans="1:11" x14ac:dyDescent="0.2">
      <c r="A716" s="124"/>
      <c r="B716" s="132"/>
      <c r="F716" s="132"/>
      <c r="G716" s="131"/>
      <c r="H716" s="132"/>
      <c r="I716" s="133"/>
      <c r="J716" s="132"/>
      <c r="K716" s="132"/>
    </row>
    <row r="717" spans="1:11" x14ac:dyDescent="0.2">
      <c r="A717" s="124"/>
      <c r="B717" s="132"/>
      <c r="F717" s="132"/>
      <c r="G717" s="131"/>
      <c r="H717" s="132"/>
      <c r="I717" s="133"/>
      <c r="J717" s="132"/>
      <c r="K717" s="132"/>
    </row>
    <row r="718" spans="1:11" x14ac:dyDescent="0.2">
      <c r="A718" s="124"/>
      <c r="B718" s="132"/>
      <c r="F718" s="132"/>
      <c r="G718" s="131"/>
      <c r="H718" s="132"/>
      <c r="I718" s="133"/>
      <c r="J718" s="132"/>
      <c r="K718" s="132"/>
    </row>
    <row r="719" spans="1:11" x14ac:dyDescent="0.2">
      <c r="A719" s="124"/>
      <c r="B719" s="132"/>
      <c r="F719" s="132"/>
      <c r="G719" s="131"/>
      <c r="H719" s="132"/>
      <c r="I719" s="133"/>
      <c r="J719" s="132"/>
      <c r="K719" s="132"/>
    </row>
    <row r="720" spans="1:11" x14ac:dyDescent="0.2">
      <c r="A720" s="124"/>
      <c r="B720" s="132"/>
      <c r="F720" s="132"/>
      <c r="G720" s="131"/>
      <c r="H720" s="132"/>
      <c r="I720" s="133"/>
      <c r="J720" s="132"/>
      <c r="K720" s="132"/>
    </row>
    <row r="721" spans="1:11" x14ac:dyDescent="0.2">
      <c r="A721" s="124"/>
      <c r="B721" s="132"/>
      <c r="F721" s="132"/>
      <c r="G721" s="131"/>
      <c r="H721" s="132"/>
      <c r="I721" s="133"/>
      <c r="J721" s="132"/>
      <c r="K721" s="132"/>
    </row>
    <row r="722" spans="1:11" x14ac:dyDescent="0.2">
      <c r="A722" s="124"/>
      <c r="B722" s="132"/>
      <c r="F722" s="132"/>
      <c r="G722" s="131"/>
      <c r="H722" s="132"/>
      <c r="I722" s="133"/>
      <c r="J722" s="132"/>
      <c r="K722" s="132"/>
    </row>
    <row r="723" spans="1:11" x14ac:dyDescent="0.2">
      <c r="A723" s="124"/>
      <c r="B723" s="132"/>
      <c r="F723" s="132"/>
      <c r="G723" s="131"/>
      <c r="H723" s="132"/>
      <c r="I723" s="133"/>
      <c r="J723" s="132"/>
      <c r="K723" s="132"/>
    </row>
    <row r="724" spans="1:11" x14ac:dyDescent="0.2">
      <c r="A724" s="124"/>
      <c r="B724" s="132"/>
      <c r="F724" s="132"/>
      <c r="G724" s="131"/>
      <c r="H724" s="132"/>
      <c r="I724" s="133"/>
      <c r="J724" s="132"/>
      <c r="K724" s="132"/>
    </row>
    <row r="725" spans="1:11" x14ac:dyDescent="0.2">
      <c r="A725" s="124"/>
      <c r="B725" s="132"/>
      <c r="F725" s="132"/>
      <c r="G725" s="131"/>
      <c r="H725" s="132"/>
      <c r="I725" s="133"/>
      <c r="J725" s="132"/>
      <c r="K725" s="132"/>
    </row>
    <row r="726" spans="1:11" x14ac:dyDescent="0.2">
      <c r="A726" s="124"/>
      <c r="B726" s="132"/>
      <c r="F726" s="132"/>
      <c r="G726" s="131"/>
      <c r="H726" s="132"/>
      <c r="I726" s="133"/>
      <c r="J726" s="132"/>
      <c r="K726" s="132"/>
    </row>
    <row r="727" spans="1:11" x14ac:dyDescent="0.2">
      <c r="A727" s="124"/>
      <c r="B727" s="132"/>
      <c r="F727" s="132"/>
      <c r="G727" s="131"/>
      <c r="H727" s="132"/>
      <c r="I727" s="133"/>
      <c r="J727" s="132"/>
      <c r="K727" s="132"/>
    </row>
    <row r="728" spans="1:11" x14ac:dyDescent="0.2">
      <c r="A728" s="124"/>
      <c r="B728" s="132"/>
      <c r="F728" s="132"/>
      <c r="G728" s="131"/>
      <c r="H728" s="132"/>
      <c r="I728" s="133"/>
      <c r="J728" s="132"/>
      <c r="K728" s="132"/>
    </row>
    <row r="729" spans="1:11" x14ac:dyDescent="0.2">
      <c r="A729" s="124"/>
      <c r="B729" s="132"/>
      <c r="F729" s="132"/>
      <c r="G729" s="131"/>
      <c r="H729" s="132"/>
      <c r="I729" s="133"/>
      <c r="J729" s="132"/>
      <c r="K729" s="132"/>
    </row>
    <row r="730" spans="1:11" x14ac:dyDescent="0.2">
      <c r="A730" s="124"/>
      <c r="B730" s="132"/>
      <c r="F730" s="132"/>
      <c r="G730" s="131"/>
      <c r="H730" s="132"/>
      <c r="I730" s="133"/>
      <c r="J730" s="132"/>
      <c r="K730" s="132"/>
    </row>
    <row r="731" spans="1:11" x14ac:dyDescent="0.2">
      <c r="A731" s="124"/>
      <c r="B731" s="132"/>
      <c r="F731" s="132"/>
      <c r="G731" s="131"/>
      <c r="H731" s="132"/>
      <c r="I731" s="133"/>
      <c r="J731" s="132"/>
      <c r="K731" s="132"/>
    </row>
    <row r="732" spans="1:11" x14ac:dyDescent="0.2">
      <c r="A732" s="124"/>
      <c r="B732" s="132"/>
      <c r="F732" s="132"/>
      <c r="G732" s="131"/>
      <c r="H732" s="132"/>
      <c r="I732" s="133"/>
      <c r="J732" s="132"/>
      <c r="K732" s="132"/>
    </row>
  </sheetData>
  <mergeCells count="47">
    <mergeCell ref="B9:B11"/>
    <mergeCell ref="T9:Z9"/>
    <mergeCell ref="A81:K81"/>
    <mergeCell ref="A82:K82"/>
    <mergeCell ref="J85:M85"/>
    <mergeCell ref="A6:Z6"/>
    <mergeCell ref="A7:Z7"/>
    <mergeCell ref="C9:E10"/>
    <mergeCell ref="J9:J11"/>
    <mergeCell ref="K9:L10"/>
    <mergeCell ref="M9:M11"/>
    <mergeCell ref="N9:S9"/>
    <mergeCell ref="T10:W10"/>
    <mergeCell ref="X10:Z10"/>
    <mergeCell ref="N10:P10"/>
    <mergeCell ref="Q10:S10"/>
    <mergeCell ref="A9:A11"/>
    <mergeCell ref="F9:F11"/>
    <mergeCell ref="G9:G11"/>
    <mergeCell ref="H9:H11"/>
    <mergeCell ref="I9:I11"/>
    <mergeCell ref="J86:L86"/>
    <mergeCell ref="P86:R86"/>
    <mergeCell ref="S86:T86"/>
    <mergeCell ref="O85:T85"/>
    <mergeCell ref="Y86:Z86"/>
    <mergeCell ref="U85:Z85"/>
    <mergeCell ref="J87:L87"/>
    <mergeCell ref="P87:R87"/>
    <mergeCell ref="S87:T87"/>
    <mergeCell ref="Y87:Z87"/>
    <mergeCell ref="Y90:Z90"/>
    <mergeCell ref="Y88:Z88"/>
    <mergeCell ref="Y89:Z89"/>
    <mergeCell ref="J91:L91"/>
    <mergeCell ref="J88:L88"/>
    <mergeCell ref="P88:R88"/>
    <mergeCell ref="S88:T88"/>
    <mergeCell ref="V88:X88"/>
    <mergeCell ref="J90:L90"/>
    <mergeCell ref="O90:R90"/>
    <mergeCell ref="S90:T90"/>
    <mergeCell ref="U90:X90"/>
    <mergeCell ref="J89:L89"/>
    <mergeCell ref="P89:R89"/>
    <mergeCell ref="S89:T89"/>
    <mergeCell ref="V89:X89"/>
  </mergeCells>
  <phoneticPr fontId="2" type="noConversion"/>
  <printOptions horizontalCentered="1"/>
  <pageMargins left="0.27559055118110237" right="0.11811023622047245" top="1.41" bottom="1.05" header="0.11811023622047245" footer="0.15748031496062992"/>
  <pageSetup paperSize="9" scale="65" orientation="landscape" horizontalDpi="4294967294" verticalDpi="300" r:id="rId1"/>
  <headerFooter alignWithMargins="0">
    <oddFooter>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3"/>
  <sheetViews>
    <sheetView workbookViewId="0"/>
  </sheetViews>
  <sheetFormatPr defaultRowHeight="12.75" x14ac:dyDescent="0.2"/>
  <sheetData>
    <row r="1" spans="1:17" s="8" customFormat="1" x14ac:dyDescent="0.2">
      <c r="A1" s="6" t="s">
        <v>42</v>
      </c>
      <c r="C1"/>
      <c r="D1"/>
      <c r="E1" s="18"/>
      <c r="F1" s="18"/>
      <c r="H1" s="6"/>
      <c r="I1" s="6"/>
      <c r="J1" s="6"/>
      <c r="K1" s="6"/>
      <c r="L1" s="6"/>
      <c r="M1" s="7"/>
      <c r="N1" s="221"/>
      <c r="O1" s="222"/>
      <c r="P1" s="221"/>
      <c r="Q1" s="221"/>
    </row>
    <row r="2" spans="1:17" s="8" customFormat="1" x14ac:dyDescent="0.2">
      <c r="A2" s="6" t="s">
        <v>43</v>
      </c>
      <c r="C2"/>
      <c r="D2"/>
      <c r="E2" s="18"/>
      <c r="F2" s="18"/>
      <c r="H2" s="6"/>
      <c r="I2" s="6"/>
      <c r="J2" s="6"/>
      <c r="K2" s="6"/>
      <c r="L2" s="6"/>
      <c r="M2" s="7"/>
      <c r="N2" s="221"/>
      <c r="O2" s="222"/>
      <c r="P2" s="221"/>
      <c r="Q2" s="221"/>
    </row>
    <row r="3" spans="1:17" s="8" customFormat="1" x14ac:dyDescent="0.2">
      <c r="A3" s="6" t="s">
        <v>44</v>
      </c>
      <c r="C3"/>
      <c r="D3"/>
      <c r="E3" s="18"/>
      <c r="F3" s="18"/>
      <c r="H3" s="6"/>
      <c r="I3" s="6"/>
      <c r="J3" s="6"/>
      <c r="K3" s="6"/>
      <c r="L3" s="6"/>
      <c r="M3" s="7"/>
      <c r="N3" s="221"/>
      <c r="O3" s="222"/>
      <c r="P3" s="221"/>
      <c r="Q3" s="221"/>
    </row>
    <row r="4" spans="1:17" s="8" customFormat="1" x14ac:dyDescent="0.2">
      <c r="A4" s="6" t="s">
        <v>45</v>
      </c>
      <c r="C4"/>
      <c r="D4"/>
      <c r="E4" s="18"/>
      <c r="F4" s="18"/>
      <c r="H4" s="6"/>
      <c r="I4" s="6"/>
      <c r="J4" s="6"/>
      <c r="K4" s="6"/>
      <c r="L4" s="6"/>
      <c r="M4" s="7"/>
      <c r="N4" s="221"/>
      <c r="O4" s="222"/>
      <c r="P4" s="221"/>
      <c r="Q4" s="221"/>
    </row>
    <row r="5" spans="1:17" s="120" customFormat="1" ht="13.5" thickBot="1" x14ac:dyDescent="0.25">
      <c r="C5" s="121"/>
      <c r="D5" s="121"/>
      <c r="E5" s="121"/>
      <c r="F5" s="121"/>
      <c r="G5" s="123"/>
      <c r="H5" s="122"/>
      <c r="I5" s="122"/>
      <c r="J5" s="122"/>
      <c r="K5" s="125"/>
      <c r="L5" s="122"/>
      <c r="M5" s="122"/>
      <c r="N5" s="221"/>
      <c r="O5" s="222"/>
      <c r="P5" s="221"/>
      <c r="Q5" s="221"/>
    </row>
    <row r="6" spans="1:17" s="120" customFormat="1" ht="18.75" customHeight="1" thickTop="1" x14ac:dyDescent="0.2">
      <c r="A6" s="361" t="s">
        <v>209</v>
      </c>
      <c r="B6" s="362"/>
      <c r="C6" s="362"/>
      <c r="D6" s="362"/>
      <c r="E6" s="362"/>
      <c r="F6" s="362"/>
      <c r="G6" s="362"/>
      <c r="H6" s="362"/>
      <c r="I6" s="362"/>
      <c r="J6" s="362"/>
      <c r="K6" s="362"/>
      <c r="L6" s="362"/>
      <c r="M6" s="362"/>
      <c r="N6" s="362"/>
      <c r="O6" s="362"/>
      <c r="P6" s="362"/>
      <c r="Q6" s="363"/>
    </row>
    <row r="7" spans="1:17" s="120" customFormat="1" ht="21" customHeight="1" thickBot="1" x14ac:dyDescent="0.25">
      <c r="A7" s="406" t="s">
        <v>13</v>
      </c>
      <c r="B7" s="407"/>
      <c r="C7" s="407"/>
      <c r="D7" s="407"/>
      <c r="E7" s="407"/>
      <c r="F7" s="407"/>
      <c r="G7" s="407"/>
      <c r="H7" s="407"/>
      <c r="I7" s="407"/>
      <c r="J7" s="407"/>
      <c r="K7" s="407"/>
      <c r="L7" s="407"/>
      <c r="M7" s="407"/>
      <c r="N7" s="407"/>
      <c r="O7" s="407"/>
      <c r="P7" s="407"/>
      <c r="Q7" s="408"/>
    </row>
    <row r="8" spans="1:17" ht="13.5" thickTop="1" x14ac:dyDescent="0.2"/>
    <row r="9" spans="1:17" s="209" customFormat="1" x14ac:dyDescent="0.2">
      <c r="A9" s="428" t="s">
        <v>224</v>
      </c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8"/>
      <c r="N9" s="428"/>
      <c r="O9" s="428"/>
      <c r="P9" s="428"/>
      <c r="Q9" s="428"/>
    </row>
    <row r="10" spans="1:17" s="209" customFormat="1" x14ac:dyDescent="0.2"/>
    <row r="11" spans="1:17" s="209" customFormat="1" ht="18.75" x14ac:dyDescent="0.2">
      <c r="A11" s="276" t="s">
        <v>155</v>
      </c>
      <c r="B11" s="276" t="s">
        <v>156</v>
      </c>
      <c r="C11" s="276" t="s">
        <v>157</v>
      </c>
      <c r="D11" s="276" t="s">
        <v>155</v>
      </c>
      <c r="E11" s="276" t="s">
        <v>156</v>
      </c>
      <c r="F11" s="276" t="s">
        <v>157</v>
      </c>
      <c r="G11" s="276" t="s">
        <v>155</v>
      </c>
      <c r="H11" s="276" t="s">
        <v>156</v>
      </c>
      <c r="I11" s="276" t="s">
        <v>157</v>
      </c>
      <c r="J11" s="276" t="s">
        <v>155</v>
      </c>
      <c r="K11" s="276" t="s">
        <v>157</v>
      </c>
      <c r="L11" s="276" t="s">
        <v>155</v>
      </c>
      <c r="M11" s="276" t="s">
        <v>157</v>
      </c>
      <c r="N11" s="276" t="s">
        <v>155</v>
      </c>
      <c r="O11" s="276" t="s">
        <v>157</v>
      </c>
      <c r="P11" s="276" t="s">
        <v>155</v>
      </c>
      <c r="Q11" s="276" t="s">
        <v>157</v>
      </c>
    </row>
    <row r="12" spans="1:17" s="209" customFormat="1" x14ac:dyDescent="0.2">
      <c r="A12" s="229">
        <v>29221</v>
      </c>
      <c r="B12" s="230">
        <v>1.9463499999999999E-3</v>
      </c>
      <c r="C12" s="231">
        <v>784.48</v>
      </c>
      <c r="D12" s="229">
        <v>31048</v>
      </c>
      <c r="E12" s="230">
        <v>4.3220000000000003E-5</v>
      </c>
      <c r="F12" s="231">
        <v>724.48</v>
      </c>
      <c r="G12" s="229">
        <v>32874</v>
      </c>
      <c r="H12" s="230">
        <v>1.084363E-2</v>
      </c>
      <c r="I12" s="231">
        <v>664.48</v>
      </c>
      <c r="J12" s="229">
        <v>34700</v>
      </c>
      <c r="K12" s="231">
        <v>318.51</v>
      </c>
      <c r="L12" s="229">
        <v>36526</v>
      </c>
      <c r="M12" s="231">
        <v>185.1</v>
      </c>
      <c r="N12" s="229">
        <v>38353</v>
      </c>
      <c r="O12" s="231">
        <v>99.18</v>
      </c>
      <c r="P12" s="229">
        <v>40179</v>
      </c>
      <c r="Q12" s="231">
        <v>34.74</v>
      </c>
    </row>
    <row r="13" spans="1:17" s="209" customFormat="1" x14ac:dyDescent="0.2">
      <c r="A13" s="229">
        <v>29252</v>
      </c>
      <c r="B13" s="230">
        <v>1.9463499999999999E-3</v>
      </c>
      <c r="C13" s="231">
        <v>783.48</v>
      </c>
      <c r="D13" s="229">
        <v>31079</v>
      </c>
      <c r="E13" s="230">
        <v>3.8349999999999997E-5</v>
      </c>
      <c r="F13" s="231">
        <v>723.48</v>
      </c>
      <c r="G13" s="229">
        <v>32905</v>
      </c>
      <c r="H13" s="230">
        <v>6.3521300000000001E-3</v>
      </c>
      <c r="I13" s="231">
        <v>663.48</v>
      </c>
      <c r="J13" s="229">
        <v>34731</v>
      </c>
      <c r="K13" s="231">
        <v>315.91000000000003</v>
      </c>
      <c r="L13" s="229">
        <v>36557</v>
      </c>
      <c r="M13" s="231">
        <v>183.65</v>
      </c>
      <c r="N13" s="229">
        <v>38384</v>
      </c>
      <c r="O13" s="231">
        <v>97.65</v>
      </c>
      <c r="P13" s="229">
        <v>40210</v>
      </c>
      <c r="Q13" s="231">
        <v>33.979999999999997</v>
      </c>
    </row>
    <row r="14" spans="1:17" s="209" customFormat="1" x14ac:dyDescent="0.2">
      <c r="A14" s="229">
        <v>29281</v>
      </c>
      <c r="B14" s="230">
        <v>1.77425E-3</v>
      </c>
      <c r="C14" s="231">
        <v>782.48</v>
      </c>
      <c r="D14" s="229">
        <v>31107</v>
      </c>
      <c r="E14" s="230">
        <v>3.4289999999999999E-5</v>
      </c>
      <c r="F14" s="231">
        <v>722.48</v>
      </c>
      <c r="G14" s="229">
        <v>32933</v>
      </c>
      <c r="H14" s="230">
        <v>5.0911100000000003E-3</v>
      </c>
      <c r="I14" s="231">
        <v>662.48</v>
      </c>
      <c r="J14" s="229">
        <v>34759</v>
      </c>
      <c r="K14" s="231">
        <v>311.64999999999998</v>
      </c>
      <c r="L14" s="229">
        <v>36586</v>
      </c>
      <c r="M14" s="231">
        <v>182.35</v>
      </c>
      <c r="N14" s="229">
        <v>38412</v>
      </c>
      <c r="O14" s="231">
        <v>96.24</v>
      </c>
      <c r="P14" s="229">
        <v>40238</v>
      </c>
      <c r="Q14" s="231">
        <v>33.31</v>
      </c>
    </row>
    <row r="15" spans="1:17" s="209" customFormat="1" x14ac:dyDescent="0.2">
      <c r="A15" s="229">
        <v>29312</v>
      </c>
      <c r="B15" s="230">
        <v>1.77425E-3</v>
      </c>
      <c r="C15" s="231">
        <v>781.48</v>
      </c>
      <c r="D15" s="229">
        <v>31138</v>
      </c>
      <c r="E15" s="230">
        <v>3.1170000000000001E-5</v>
      </c>
      <c r="F15" s="231">
        <v>721.48</v>
      </c>
      <c r="G15" s="229">
        <v>32964</v>
      </c>
      <c r="H15" s="230">
        <v>5.0911100000000003E-3</v>
      </c>
      <c r="I15" s="231">
        <v>661.48</v>
      </c>
      <c r="J15" s="229">
        <v>34790</v>
      </c>
      <c r="K15" s="231">
        <v>307.39999999999998</v>
      </c>
      <c r="L15" s="229">
        <v>36617</v>
      </c>
      <c r="M15" s="231">
        <v>180.86</v>
      </c>
      <c r="N15" s="229">
        <v>38443</v>
      </c>
      <c r="O15" s="231">
        <v>94.74</v>
      </c>
      <c r="P15" s="229">
        <v>40269</v>
      </c>
      <c r="Q15" s="231">
        <v>32.56</v>
      </c>
    </row>
    <row r="16" spans="1:17" s="209" customFormat="1" x14ac:dyDescent="0.2">
      <c r="A16" s="229">
        <v>29342</v>
      </c>
      <c r="B16" s="230">
        <v>1.77425E-3</v>
      </c>
      <c r="C16" s="231">
        <v>780.48</v>
      </c>
      <c r="D16" s="229">
        <v>31168</v>
      </c>
      <c r="E16" s="230">
        <v>2.8549999999999999E-5</v>
      </c>
      <c r="F16" s="231">
        <v>720.48</v>
      </c>
      <c r="G16" s="229">
        <v>32994</v>
      </c>
      <c r="H16" s="230">
        <v>4.8311700000000001E-3</v>
      </c>
      <c r="I16" s="231">
        <v>660.48</v>
      </c>
      <c r="J16" s="229">
        <v>34820</v>
      </c>
      <c r="K16" s="231">
        <v>303.36</v>
      </c>
      <c r="L16" s="229">
        <v>36647</v>
      </c>
      <c r="M16" s="231">
        <v>179.47</v>
      </c>
      <c r="N16" s="229">
        <v>38473</v>
      </c>
      <c r="O16" s="231">
        <v>93.15</v>
      </c>
      <c r="P16" s="229">
        <v>40299</v>
      </c>
      <c r="Q16" s="231">
        <v>31.77</v>
      </c>
    </row>
    <row r="17" spans="1:17" s="209" customFormat="1" x14ac:dyDescent="0.2">
      <c r="A17" s="229">
        <v>29373</v>
      </c>
      <c r="B17" s="230">
        <v>1.77425E-3</v>
      </c>
      <c r="C17" s="231">
        <v>779.48</v>
      </c>
      <c r="D17" s="229">
        <v>31199</v>
      </c>
      <c r="E17" s="230">
        <v>2.6529999999999998E-5</v>
      </c>
      <c r="F17" s="231">
        <v>719.48</v>
      </c>
      <c r="G17" s="229">
        <v>33025</v>
      </c>
      <c r="H17" s="230">
        <v>4.4076000000000002E-3</v>
      </c>
      <c r="I17" s="231">
        <v>659.48</v>
      </c>
      <c r="J17" s="229">
        <v>34851</v>
      </c>
      <c r="K17" s="231">
        <v>299.33999999999997</v>
      </c>
      <c r="L17" s="229">
        <v>36678</v>
      </c>
      <c r="M17" s="231">
        <v>178.16</v>
      </c>
      <c r="N17" s="229">
        <v>38504</v>
      </c>
      <c r="O17" s="231">
        <v>91.64</v>
      </c>
      <c r="P17" s="229">
        <v>40330</v>
      </c>
      <c r="Q17" s="231">
        <v>30.91</v>
      </c>
    </row>
    <row r="18" spans="1:17" s="209" customFormat="1" x14ac:dyDescent="0.2">
      <c r="A18" s="229">
        <v>29403</v>
      </c>
      <c r="B18" s="230">
        <v>1.77425E-3</v>
      </c>
      <c r="C18" s="231">
        <v>778.48</v>
      </c>
      <c r="D18" s="229">
        <v>31229</v>
      </c>
      <c r="E18" s="230">
        <v>2.4519999999999999E-5</v>
      </c>
      <c r="F18" s="231">
        <v>718.48</v>
      </c>
      <c r="G18" s="229">
        <v>33055</v>
      </c>
      <c r="H18" s="230">
        <v>3.9783300000000004E-3</v>
      </c>
      <c r="I18" s="231">
        <v>658.48</v>
      </c>
      <c r="J18" s="229">
        <v>34881</v>
      </c>
      <c r="K18" s="231">
        <v>295.5</v>
      </c>
      <c r="L18" s="229">
        <v>36708</v>
      </c>
      <c r="M18" s="231">
        <v>176.75</v>
      </c>
      <c r="N18" s="229">
        <v>38534</v>
      </c>
      <c r="O18" s="231">
        <v>89.98</v>
      </c>
      <c r="P18" s="229">
        <v>40360</v>
      </c>
      <c r="Q18" s="231">
        <v>30.02</v>
      </c>
    </row>
    <row r="19" spans="1:17" s="209" customFormat="1" x14ac:dyDescent="0.2">
      <c r="A19" s="229">
        <v>29434</v>
      </c>
      <c r="B19" s="230">
        <v>1.77425E-3</v>
      </c>
      <c r="C19" s="231">
        <v>777.48</v>
      </c>
      <c r="D19" s="229">
        <v>31260</v>
      </c>
      <c r="E19" s="230">
        <v>2.247E-5</v>
      </c>
      <c r="F19" s="231">
        <v>717.48</v>
      </c>
      <c r="G19" s="229">
        <v>33086</v>
      </c>
      <c r="H19" s="230">
        <v>3.5978E-3</v>
      </c>
      <c r="I19" s="231">
        <v>657.48</v>
      </c>
      <c r="J19" s="229">
        <v>34912</v>
      </c>
      <c r="K19" s="231">
        <v>292.18</v>
      </c>
      <c r="L19" s="229">
        <v>36739</v>
      </c>
      <c r="M19" s="231">
        <v>175.53</v>
      </c>
      <c r="N19" s="229">
        <v>38565</v>
      </c>
      <c r="O19" s="231">
        <v>88.48</v>
      </c>
      <c r="P19" s="229">
        <v>40391</v>
      </c>
      <c r="Q19" s="231">
        <v>29.17</v>
      </c>
    </row>
    <row r="20" spans="1:17" s="209" customFormat="1" x14ac:dyDescent="0.2">
      <c r="A20" s="229">
        <v>29465</v>
      </c>
      <c r="B20" s="230">
        <v>1.77425E-3</v>
      </c>
      <c r="C20" s="231">
        <v>776.48</v>
      </c>
      <c r="D20" s="229">
        <v>31291</v>
      </c>
      <c r="E20" s="230">
        <v>2.0619999999999999E-5</v>
      </c>
      <c r="F20" s="231">
        <v>716.48</v>
      </c>
      <c r="G20" s="229">
        <v>33117</v>
      </c>
      <c r="H20" s="230">
        <v>3.18812E-3</v>
      </c>
      <c r="I20" s="231">
        <v>656.48</v>
      </c>
      <c r="J20" s="229">
        <v>34943</v>
      </c>
      <c r="K20" s="231">
        <v>289.08999999999997</v>
      </c>
      <c r="L20" s="229">
        <v>36770</v>
      </c>
      <c r="M20" s="231">
        <v>174.24</v>
      </c>
      <c r="N20" s="229">
        <v>38596</v>
      </c>
      <c r="O20" s="231">
        <v>87.07</v>
      </c>
      <c r="P20" s="229">
        <v>40422</v>
      </c>
      <c r="Q20" s="231">
        <v>28.36</v>
      </c>
    </row>
    <row r="21" spans="1:17" s="209" customFormat="1" x14ac:dyDescent="0.2">
      <c r="A21" s="229">
        <v>29495</v>
      </c>
      <c r="B21" s="230">
        <v>1.77425E-3</v>
      </c>
      <c r="C21" s="231">
        <v>775.48</v>
      </c>
      <c r="D21" s="229">
        <v>31321</v>
      </c>
      <c r="E21" s="230">
        <v>1.8559999999999998E-5</v>
      </c>
      <c r="F21" s="231">
        <v>715.48</v>
      </c>
      <c r="G21" s="229">
        <v>33147</v>
      </c>
      <c r="H21" s="230">
        <v>2.8037399999999999E-3</v>
      </c>
      <c r="I21" s="231">
        <v>655.48</v>
      </c>
      <c r="J21" s="229">
        <v>34973</v>
      </c>
      <c r="K21" s="231">
        <v>286.20999999999998</v>
      </c>
      <c r="L21" s="229">
        <v>36800</v>
      </c>
      <c r="M21" s="231">
        <v>173.02</v>
      </c>
      <c r="N21" s="229">
        <v>38626</v>
      </c>
      <c r="O21" s="231">
        <v>85.69</v>
      </c>
      <c r="P21" s="229">
        <v>40452</v>
      </c>
      <c r="Q21" s="231">
        <v>27.55</v>
      </c>
    </row>
    <row r="22" spans="1:17" s="209" customFormat="1" x14ac:dyDescent="0.2">
      <c r="A22" s="229">
        <v>29526</v>
      </c>
      <c r="B22" s="230">
        <v>1.77425E-3</v>
      </c>
      <c r="C22" s="231">
        <v>774.48</v>
      </c>
      <c r="D22" s="229">
        <v>31352</v>
      </c>
      <c r="E22" s="230">
        <v>1.6370000000000001E-5</v>
      </c>
      <c r="F22" s="231">
        <v>714.48</v>
      </c>
      <c r="G22" s="229">
        <v>33178</v>
      </c>
      <c r="H22" s="230">
        <v>2.40361E-3</v>
      </c>
      <c r="I22" s="231">
        <v>654.48</v>
      </c>
      <c r="J22" s="229">
        <v>35004</v>
      </c>
      <c r="K22" s="231">
        <v>283.43</v>
      </c>
      <c r="L22" s="229">
        <v>36831</v>
      </c>
      <c r="M22" s="231">
        <v>171.82</v>
      </c>
      <c r="N22" s="229">
        <v>38657</v>
      </c>
      <c r="O22" s="231">
        <v>84.22</v>
      </c>
      <c r="P22" s="229">
        <v>40483</v>
      </c>
      <c r="Q22" s="231">
        <v>26.62</v>
      </c>
    </row>
    <row r="23" spans="1:17" s="209" customFormat="1" x14ac:dyDescent="0.2">
      <c r="A23" s="229">
        <v>29556</v>
      </c>
      <c r="B23" s="230">
        <v>1.6897500000000001E-3</v>
      </c>
      <c r="C23" s="231">
        <v>773.48</v>
      </c>
      <c r="D23" s="229">
        <v>31382</v>
      </c>
      <c r="E23" s="230">
        <v>1.4080000000000001E-5</v>
      </c>
      <c r="F23" s="231">
        <v>713.48</v>
      </c>
      <c r="G23" s="229">
        <v>33208</v>
      </c>
      <c r="H23" s="230">
        <v>2.01337E-3</v>
      </c>
      <c r="I23" s="231">
        <v>653.48</v>
      </c>
      <c r="J23" s="229">
        <v>35034</v>
      </c>
      <c r="K23" s="231">
        <v>280.85000000000002</v>
      </c>
      <c r="L23" s="229">
        <v>36861</v>
      </c>
      <c r="M23" s="231">
        <v>170.55</v>
      </c>
      <c r="N23" s="229">
        <v>38687</v>
      </c>
      <c r="O23" s="231">
        <v>82.79</v>
      </c>
      <c r="P23" s="229">
        <v>40513</v>
      </c>
      <c r="Q23" s="231">
        <v>25.76</v>
      </c>
    </row>
    <row r="24" spans="1:17" s="209" customFormat="1" x14ac:dyDescent="0.2">
      <c r="A24" s="229">
        <v>29587</v>
      </c>
      <c r="B24" s="230">
        <v>1.5866299999999999E-3</v>
      </c>
      <c r="C24" s="231">
        <v>772.48</v>
      </c>
      <c r="D24" s="229">
        <v>31413</v>
      </c>
      <c r="E24" s="230">
        <v>1.2310000000000001E-5</v>
      </c>
      <c r="F24" s="231">
        <v>712.48</v>
      </c>
      <c r="G24" s="229">
        <v>33239</v>
      </c>
      <c r="H24" s="230">
        <v>1.67487E-3</v>
      </c>
      <c r="I24" s="231">
        <v>647.52</v>
      </c>
      <c r="J24" s="229">
        <v>35065</v>
      </c>
      <c r="K24" s="231">
        <v>278.5</v>
      </c>
      <c r="L24" s="229">
        <v>36892</v>
      </c>
      <c r="M24" s="231">
        <v>169.53</v>
      </c>
      <c r="N24" s="229">
        <v>38718</v>
      </c>
      <c r="O24" s="231">
        <v>81.64</v>
      </c>
      <c r="P24" s="229">
        <v>40544</v>
      </c>
      <c r="Q24" s="231">
        <v>24.92</v>
      </c>
    </row>
    <row r="25" spans="1:17" s="209" customFormat="1" x14ac:dyDescent="0.2">
      <c r="A25" s="229">
        <v>29618</v>
      </c>
      <c r="B25" s="230">
        <v>1.49259E-3</v>
      </c>
      <c r="C25" s="231">
        <v>771.48</v>
      </c>
      <c r="D25" s="229">
        <v>31444</v>
      </c>
      <c r="E25" s="230">
        <v>1.2330000000000001E-5</v>
      </c>
      <c r="F25" s="231">
        <v>711.48</v>
      </c>
      <c r="G25" s="229">
        <v>33270</v>
      </c>
      <c r="H25" s="230">
        <v>1.67487E-3</v>
      </c>
      <c r="I25" s="231">
        <v>615.35</v>
      </c>
      <c r="J25" s="229">
        <v>35096</v>
      </c>
      <c r="K25" s="231">
        <v>276.27999999999997</v>
      </c>
      <c r="L25" s="229">
        <v>36923</v>
      </c>
      <c r="M25" s="231">
        <v>168.27</v>
      </c>
      <c r="N25" s="229">
        <v>38749</v>
      </c>
      <c r="O25" s="231">
        <v>80.22</v>
      </c>
      <c r="P25" s="229">
        <v>40575</v>
      </c>
      <c r="Q25" s="231">
        <v>24</v>
      </c>
    </row>
    <row r="26" spans="1:17" s="209" customFormat="1" x14ac:dyDescent="0.2">
      <c r="A26" s="229">
        <v>29646</v>
      </c>
      <c r="B26" s="230">
        <v>1.40811E-3</v>
      </c>
      <c r="C26" s="231">
        <v>770.48</v>
      </c>
      <c r="D26" s="229">
        <v>31472</v>
      </c>
      <c r="E26" s="230">
        <v>1.223316E-2</v>
      </c>
      <c r="F26" s="231">
        <v>710.48</v>
      </c>
      <c r="G26" s="229">
        <v>33298</v>
      </c>
      <c r="H26" s="230">
        <v>1.67487E-3</v>
      </c>
      <c r="I26" s="231">
        <v>585.32000000000005</v>
      </c>
      <c r="J26" s="229">
        <v>35125</v>
      </c>
      <c r="K26" s="231">
        <v>274.20999999999998</v>
      </c>
      <c r="L26" s="229">
        <v>36951</v>
      </c>
      <c r="M26" s="231">
        <v>167.08</v>
      </c>
      <c r="N26" s="229">
        <v>38777</v>
      </c>
      <c r="O26" s="231">
        <v>79.14</v>
      </c>
      <c r="P26" s="229">
        <v>40603</v>
      </c>
      <c r="Q26" s="231">
        <v>23.16</v>
      </c>
    </row>
    <row r="27" spans="1:17" s="209" customFormat="1" x14ac:dyDescent="0.2">
      <c r="A27" s="229">
        <v>29677</v>
      </c>
      <c r="B27" s="230">
        <v>1.3284E-3</v>
      </c>
      <c r="C27" s="231">
        <v>769.48</v>
      </c>
      <c r="D27" s="229">
        <v>31503</v>
      </c>
      <c r="E27" s="230">
        <v>1.2064210000000001E-2</v>
      </c>
      <c r="F27" s="231">
        <v>709.48</v>
      </c>
      <c r="G27" s="229">
        <v>33329</v>
      </c>
      <c r="H27" s="230">
        <v>1.67487E-3</v>
      </c>
      <c r="I27" s="231">
        <v>555.79999999999995</v>
      </c>
      <c r="J27" s="229">
        <v>35156</v>
      </c>
      <c r="K27" s="231">
        <v>272.2</v>
      </c>
      <c r="L27" s="229">
        <v>36982</v>
      </c>
      <c r="M27" s="231">
        <v>165.74</v>
      </c>
      <c r="N27" s="229">
        <v>38808</v>
      </c>
      <c r="O27" s="231">
        <v>77.86</v>
      </c>
      <c r="P27" s="229">
        <v>40634</v>
      </c>
      <c r="Q27" s="231">
        <v>22.17</v>
      </c>
    </row>
    <row r="28" spans="1:17" s="209" customFormat="1" x14ac:dyDescent="0.2">
      <c r="A28" s="229">
        <v>29707</v>
      </c>
      <c r="B28" s="230">
        <v>1.25321E-3</v>
      </c>
      <c r="C28" s="231">
        <v>768.48</v>
      </c>
      <c r="D28" s="229">
        <v>31533</v>
      </c>
      <c r="E28" s="230">
        <v>1.1912839999999999E-2</v>
      </c>
      <c r="F28" s="231">
        <v>708.48</v>
      </c>
      <c r="G28" s="229">
        <v>33359</v>
      </c>
      <c r="H28" s="230">
        <v>1.67487E-3</v>
      </c>
      <c r="I28" s="231">
        <v>527.38</v>
      </c>
      <c r="J28" s="229">
        <v>35186</v>
      </c>
      <c r="K28" s="231">
        <v>270.22000000000003</v>
      </c>
      <c r="L28" s="229">
        <v>37012</v>
      </c>
      <c r="M28" s="231">
        <v>164.47</v>
      </c>
      <c r="N28" s="229">
        <v>38838</v>
      </c>
      <c r="O28" s="231">
        <v>76.680000000000007</v>
      </c>
      <c r="P28" s="229">
        <v>40664</v>
      </c>
      <c r="Q28" s="231">
        <v>21.21</v>
      </c>
    </row>
    <row r="29" spans="1:17" s="209" customFormat="1" x14ac:dyDescent="0.2">
      <c r="A29" s="229">
        <v>29738</v>
      </c>
      <c r="B29" s="230">
        <v>1.18228E-3</v>
      </c>
      <c r="C29" s="231">
        <v>767.48</v>
      </c>
      <c r="D29" s="229">
        <v>31564</v>
      </c>
      <c r="E29" s="230">
        <v>1.1772629999999999E-2</v>
      </c>
      <c r="F29" s="231">
        <v>707.48</v>
      </c>
      <c r="G29" s="229">
        <v>33390</v>
      </c>
      <c r="H29" s="230">
        <v>1.67487E-3</v>
      </c>
      <c r="I29" s="231">
        <v>499.96</v>
      </c>
      <c r="J29" s="229">
        <v>35217</v>
      </c>
      <c r="K29" s="231">
        <v>268.29000000000002</v>
      </c>
      <c r="L29" s="229">
        <v>37043</v>
      </c>
      <c r="M29" s="231">
        <v>162.97</v>
      </c>
      <c r="N29" s="229">
        <v>38869</v>
      </c>
      <c r="O29" s="231">
        <v>75.510000000000005</v>
      </c>
      <c r="P29" s="229">
        <v>40695</v>
      </c>
      <c r="Q29" s="231">
        <v>20.239999999999998</v>
      </c>
    </row>
    <row r="30" spans="1:17" s="209" customFormat="1" x14ac:dyDescent="0.2">
      <c r="A30" s="229">
        <v>29768</v>
      </c>
      <c r="B30" s="230">
        <v>1.11747E-3</v>
      </c>
      <c r="C30" s="231">
        <v>766.48</v>
      </c>
      <c r="D30" s="229">
        <v>31594</v>
      </c>
      <c r="E30" s="230">
        <v>1.1578110000000001E-2</v>
      </c>
      <c r="F30" s="231">
        <v>706.48</v>
      </c>
      <c r="G30" s="229">
        <v>33420</v>
      </c>
      <c r="H30" s="230">
        <v>1.67487E-3</v>
      </c>
      <c r="I30" s="231">
        <v>473.04</v>
      </c>
      <c r="J30" s="229">
        <v>35247</v>
      </c>
      <c r="K30" s="231">
        <v>266.32</v>
      </c>
      <c r="L30" s="229">
        <v>37073</v>
      </c>
      <c r="M30" s="231">
        <v>161.37</v>
      </c>
      <c r="N30" s="229">
        <v>38899</v>
      </c>
      <c r="O30" s="231">
        <v>74.25</v>
      </c>
      <c r="P30" s="229">
        <v>40725</v>
      </c>
      <c r="Q30" s="231">
        <v>19.170000000000002</v>
      </c>
    </row>
    <row r="31" spans="1:17" s="209" customFormat="1" x14ac:dyDescent="0.2">
      <c r="A31" s="229">
        <v>29799</v>
      </c>
      <c r="B31" s="230">
        <v>1.0571999999999999E-3</v>
      </c>
      <c r="C31" s="231">
        <v>765.48</v>
      </c>
      <c r="D31" s="229">
        <v>31625</v>
      </c>
      <c r="E31" s="230">
        <v>1.138196E-2</v>
      </c>
      <c r="F31" s="231">
        <v>705.48</v>
      </c>
      <c r="G31" s="229">
        <v>33451</v>
      </c>
      <c r="H31" s="230">
        <v>1.67487E-3</v>
      </c>
      <c r="I31" s="231">
        <v>444.68</v>
      </c>
      <c r="J31" s="229">
        <v>35278</v>
      </c>
      <c r="K31" s="231">
        <v>264.42</v>
      </c>
      <c r="L31" s="229">
        <v>37104</v>
      </c>
      <c r="M31" s="231">
        <v>160.05000000000001</v>
      </c>
      <c r="N31" s="229">
        <v>38930</v>
      </c>
      <c r="O31" s="231">
        <v>73.19</v>
      </c>
      <c r="P31" s="229">
        <v>40756</v>
      </c>
      <c r="Q31" s="231">
        <v>18.23</v>
      </c>
    </row>
    <row r="32" spans="1:17" s="209" customFormat="1" x14ac:dyDescent="0.2">
      <c r="A32" s="229">
        <v>29830</v>
      </c>
      <c r="B32" s="230">
        <v>1.00019E-3</v>
      </c>
      <c r="C32" s="231">
        <v>764.48</v>
      </c>
      <c r="D32" s="229">
        <v>31656</v>
      </c>
      <c r="E32" s="230">
        <v>1.117046E-2</v>
      </c>
      <c r="F32" s="231">
        <v>704.48</v>
      </c>
      <c r="G32" s="229">
        <v>33482</v>
      </c>
      <c r="H32" s="230">
        <v>1.67487E-3</v>
      </c>
      <c r="I32" s="231">
        <v>413.31</v>
      </c>
      <c r="J32" s="229">
        <v>35309</v>
      </c>
      <c r="K32" s="231">
        <v>262.56</v>
      </c>
      <c r="L32" s="229">
        <v>37135</v>
      </c>
      <c r="M32" s="231">
        <v>158.52000000000001</v>
      </c>
      <c r="N32" s="229">
        <v>38961</v>
      </c>
      <c r="O32" s="231">
        <v>72.099999999999994</v>
      </c>
      <c r="P32" s="229">
        <v>40787</v>
      </c>
      <c r="Q32" s="231">
        <v>17.350000000000001</v>
      </c>
    </row>
    <row r="33" spans="1:17" s="209" customFormat="1" x14ac:dyDescent="0.2">
      <c r="A33" s="229">
        <v>29860</v>
      </c>
      <c r="B33" s="230">
        <v>9.4804999999999998E-4</v>
      </c>
      <c r="C33" s="231">
        <v>763.48</v>
      </c>
      <c r="D33" s="229">
        <v>31686</v>
      </c>
      <c r="E33" s="230">
        <v>1.0814600000000001E-2</v>
      </c>
      <c r="F33" s="231">
        <v>703.48</v>
      </c>
      <c r="G33" s="229">
        <v>33512</v>
      </c>
      <c r="H33" s="230">
        <v>1.67487E-3</v>
      </c>
      <c r="I33" s="231">
        <v>378.1</v>
      </c>
      <c r="J33" s="229">
        <v>35339</v>
      </c>
      <c r="K33" s="231">
        <v>260.76</v>
      </c>
      <c r="L33" s="229">
        <v>37165</v>
      </c>
      <c r="M33" s="231">
        <v>157.13</v>
      </c>
      <c r="N33" s="229">
        <v>38991</v>
      </c>
      <c r="O33" s="231">
        <v>71.08</v>
      </c>
      <c r="P33" s="229">
        <v>40817</v>
      </c>
      <c r="Q33" s="231">
        <v>16.489999999999998</v>
      </c>
    </row>
    <row r="34" spans="1:17" s="209" customFormat="1" x14ac:dyDescent="0.2">
      <c r="A34" s="229">
        <v>29891</v>
      </c>
      <c r="B34" s="230">
        <v>9.0118000000000001E-4</v>
      </c>
      <c r="C34" s="231">
        <v>762.48</v>
      </c>
      <c r="D34" s="229">
        <v>31717</v>
      </c>
      <c r="E34" s="230">
        <v>1.008153E-2</v>
      </c>
      <c r="F34" s="231">
        <v>702.48</v>
      </c>
      <c r="G34" s="229">
        <v>33543</v>
      </c>
      <c r="H34" s="230">
        <v>1.67487E-3</v>
      </c>
      <c r="I34" s="231">
        <v>339.15</v>
      </c>
      <c r="J34" s="229">
        <v>35370</v>
      </c>
      <c r="K34" s="231">
        <v>258.95999999999998</v>
      </c>
      <c r="L34" s="229">
        <v>37196</v>
      </c>
      <c r="M34" s="231">
        <v>155.74</v>
      </c>
      <c r="N34" s="229">
        <v>39022</v>
      </c>
      <c r="O34" s="231">
        <v>70.08</v>
      </c>
      <c r="P34" s="229">
        <v>40848</v>
      </c>
      <c r="Q34" s="231">
        <v>15.58</v>
      </c>
    </row>
    <row r="35" spans="1:17" s="209" customFormat="1" x14ac:dyDescent="0.2">
      <c r="A35" s="229">
        <v>29921</v>
      </c>
      <c r="B35" s="230">
        <v>8.5826999999999995E-4</v>
      </c>
      <c r="C35" s="231">
        <v>761.48</v>
      </c>
      <c r="D35" s="229">
        <v>31747</v>
      </c>
      <c r="E35" s="230">
        <v>8.6305900000000005E-3</v>
      </c>
      <c r="F35" s="231">
        <v>701.48</v>
      </c>
      <c r="G35" s="229">
        <v>33573</v>
      </c>
      <c r="H35" s="230">
        <v>1.67487E-3</v>
      </c>
      <c r="I35" s="231">
        <v>317.95999999999998</v>
      </c>
      <c r="J35" s="229">
        <v>35400</v>
      </c>
      <c r="K35" s="231">
        <v>257.23</v>
      </c>
      <c r="L35" s="229">
        <v>37226</v>
      </c>
      <c r="M35" s="231">
        <v>154.21</v>
      </c>
      <c r="N35" s="229">
        <v>39052</v>
      </c>
      <c r="O35" s="231">
        <v>69</v>
      </c>
      <c r="P35" s="229">
        <v>40878</v>
      </c>
      <c r="Q35" s="231">
        <v>14.69</v>
      </c>
    </row>
    <row r="36" spans="1:17" s="209" customFormat="1" x14ac:dyDescent="0.2">
      <c r="A36" s="229">
        <v>29952</v>
      </c>
      <c r="B36" s="230">
        <v>8.1740000000000003E-4</v>
      </c>
      <c r="C36" s="231">
        <v>760.48</v>
      </c>
      <c r="D36" s="229">
        <v>31778</v>
      </c>
      <c r="E36" s="230">
        <v>7.2148999999999998E-3</v>
      </c>
      <c r="F36" s="231">
        <v>700.48</v>
      </c>
      <c r="G36" s="229">
        <v>33604</v>
      </c>
      <c r="H36" s="230">
        <v>1.3334899999999999E-3</v>
      </c>
      <c r="I36" s="231">
        <v>316.95999999999998</v>
      </c>
      <c r="J36" s="229">
        <v>35431</v>
      </c>
      <c r="K36" s="231">
        <v>255.56</v>
      </c>
      <c r="L36" s="229">
        <v>37257</v>
      </c>
      <c r="M36" s="231">
        <v>152.96</v>
      </c>
      <c r="N36" s="229">
        <v>39083</v>
      </c>
      <c r="O36" s="231">
        <v>68</v>
      </c>
      <c r="P36" s="229">
        <v>40909</v>
      </c>
      <c r="Q36" s="231">
        <v>13.94</v>
      </c>
    </row>
    <row r="37" spans="1:17" s="209" customFormat="1" x14ac:dyDescent="0.2">
      <c r="A37" s="229">
        <v>29983</v>
      </c>
      <c r="B37" s="230">
        <v>7.7848000000000001E-4</v>
      </c>
      <c r="C37" s="231">
        <v>759.48</v>
      </c>
      <c r="D37" s="229">
        <v>31809</v>
      </c>
      <c r="E37" s="230">
        <v>6.30045E-3</v>
      </c>
      <c r="F37" s="231">
        <v>699.48</v>
      </c>
      <c r="G37" s="229">
        <v>33635</v>
      </c>
      <c r="H37" s="230">
        <v>1.05748E-3</v>
      </c>
      <c r="I37" s="231">
        <v>315.95999999999998</v>
      </c>
      <c r="J37" s="229">
        <v>35462</v>
      </c>
      <c r="K37" s="231">
        <v>253.92</v>
      </c>
      <c r="L37" s="229">
        <v>37288</v>
      </c>
      <c r="M37" s="231">
        <v>151.59</v>
      </c>
      <c r="N37" s="229">
        <v>39114</v>
      </c>
      <c r="O37" s="231">
        <v>66.95</v>
      </c>
      <c r="P37" s="229">
        <v>40940</v>
      </c>
      <c r="Q37" s="231">
        <v>13.12</v>
      </c>
    </row>
    <row r="38" spans="1:17" s="209" customFormat="1" x14ac:dyDescent="0.2">
      <c r="A38" s="229">
        <v>30011</v>
      </c>
      <c r="B38" s="230">
        <v>7.3789000000000005E-4</v>
      </c>
      <c r="C38" s="231">
        <v>758.48</v>
      </c>
      <c r="D38" s="229">
        <v>31837</v>
      </c>
      <c r="E38" s="230">
        <v>5.20873E-3</v>
      </c>
      <c r="F38" s="231">
        <v>698.48</v>
      </c>
      <c r="G38" s="229">
        <v>33664</v>
      </c>
      <c r="H38" s="230">
        <v>8.6658000000000004E-4</v>
      </c>
      <c r="I38" s="231">
        <v>314.95999999999998</v>
      </c>
      <c r="J38" s="229">
        <v>35490</v>
      </c>
      <c r="K38" s="231">
        <v>252.26</v>
      </c>
      <c r="L38" s="229">
        <v>37316</v>
      </c>
      <c r="M38" s="231">
        <v>150.11000000000001</v>
      </c>
      <c r="N38" s="229">
        <v>39142</v>
      </c>
      <c r="O38" s="231">
        <v>65.95</v>
      </c>
      <c r="P38" s="229">
        <v>40969</v>
      </c>
      <c r="Q38" s="231">
        <v>12.41</v>
      </c>
    </row>
    <row r="39" spans="1:17" s="209" customFormat="1" x14ac:dyDescent="0.2">
      <c r="A39" s="229">
        <v>30042</v>
      </c>
      <c r="B39" s="230">
        <v>6.9943000000000002E-4</v>
      </c>
      <c r="C39" s="231">
        <v>757.48</v>
      </c>
      <c r="D39" s="229">
        <v>31868</v>
      </c>
      <c r="E39" s="230">
        <v>4.2195899999999996E-3</v>
      </c>
      <c r="F39" s="231">
        <v>697.48</v>
      </c>
      <c r="G39" s="229">
        <v>33695</v>
      </c>
      <c r="H39" s="230">
        <v>7.2318000000000003E-4</v>
      </c>
      <c r="I39" s="231">
        <v>313.95999999999998</v>
      </c>
      <c r="J39" s="229">
        <v>35521</v>
      </c>
      <c r="K39" s="231">
        <v>250.68</v>
      </c>
      <c r="L39" s="229">
        <v>37347</v>
      </c>
      <c r="M39" s="231">
        <v>148.69999999999999</v>
      </c>
      <c r="N39" s="229">
        <v>39173</v>
      </c>
      <c r="O39" s="231">
        <v>64.92</v>
      </c>
      <c r="P39" s="229">
        <v>41000</v>
      </c>
      <c r="Q39" s="231">
        <v>11.67</v>
      </c>
    </row>
    <row r="40" spans="1:17" s="209" customFormat="1" x14ac:dyDescent="0.2">
      <c r="A40" s="229">
        <v>30072</v>
      </c>
      <c r="B40" s="230">
        <v>6.6295999999999998E-4</v>
      </c>
      <c r="C40" s="231">
        <v>756.48</v>
      </c>
      <c r="D40" s="229">
        <v>31898</v>
      </c>
      <c r="E40" s="230">
        <v>3.5753E-3</v>
      </c>
      <c r="F40" s="231">
        <v>696.48</v>
      </c>
      <c r="G40" s="229">
        <v>33725</v>
      </c>
      <c r="H40" s="230">
        <v>5.8580999999999998E-4</v>
      </c>
      <c r="I40" s="231">
        <v>312.95999999999998</v>
      </c>
      <c r="J40" s="229">
        <v>35551</v>
      </c>
      <c r="K40" s="231">
        <v>249.07</v>
      </c>
      <c r="L40" s="229">
        <v>37377</v>
      </c>
      <c r="M40" s="231">
        <v>147.37</v>
      </c>
      <c r="N40" s="229">
        <v>39203</v>
      </c>
      <c r="O40" s="231">
        <v>63.92</v>
      </c>
      <c r="P40" s="229">
        <v>41030</v>
      </c>
      <c r="Q40" s="231">
        <v>11.03</v>
      </c>
    </row>
    <row r="41" spans="1:17" s="209" customFormat="1" x14ac:dyDescent="0.2">
      <c r="A41" s="229">
        <v>30103</v>
      </c>
      <c r="B41" s="230">
        <v>6.2544E-4</v>
      </c>
      <c r="C41" s="231">
        <v>755.48</v>
      </c>
      <c r="D41" s="229">
        <v>31929</v>
      </c>
      <c r="E41" s="230">
        <v>3.4694999999999999E-3</v>
      </c>
      <c r="F41" s="231">
        <v>695.48</v>
      </c>
      <c r="G41" s="229">
        <v>33756</v>
      </c>
      <c r="H41" s="230">
        <v>4.7521999999999999E-4</v>
      </c>
      <c r="I41" s="231">
        <v>311.95999999999998</v>
      </c>
      <c r="J41" s="229">
        <v>35582</v>
      </c>
      <c r="K41" s="231">
        <v>247.47</v>
      </c>
      <c r="L41" s="229">
        <v>37408</v>
      </c>
      <c r="M41" s="231">
        <v>145.83000000000001</v>
      </c>
      <c r="N41" s="229">
        <v>39234</v>
      </c>
      <c r="O41" s="231">
        <v>62.92</v>
      </c>
      <c r="P41" s="229">
        <v>41061</v>
      </c>
      <c r="Q41" s="231">
        <v>10.35</v>
      </c>
    </row>
    <row r="42" spans="1:17" s="209" customFormat="1" x14ac:dyDescent="0.2">
      <c r="A42" s="229">
        <v>30133</v>
      </c>
      <c r="B42" s="230">
        <v>5.8452000000000005E-4</v>
      </c>
      <c r="C42" s="231">
        <v>754.48</v>
      </c>
      <c r="D42" s="229">
        <v>31959</v>
      </c>
      <c r="E42" s="230">
        <v>3.26203E-3</v>
      </c>
      <c r="F42" s="231">
        <v>694.48</v>
      </c>
      <c r="G42" s="229">
        <v>33786</v>
      </c>
      <c r="H42" s="230">
        <v>3.9271E-4</v>
      </c>
      <c r="I42" s="231">
        <v>310.95999999999998</v>
      </c>
      <c r="J42" s="229">
        <v>35612</v>
      </c>
      <c r="K42" s="231">
        <v>245.88</v>
      </c>
      <c r="L42" s="229">
        <v>37438</v>
      </c>
      <c r="M42" s="231">
        <v>144.38999999999999</v>
      </c>
      <c r="N42" s="229">
        <v>39264</v>
      </c>
      <c r="O42" s="231">
        <v>61.92</v>
      </c>
      <c r="P42" s="229">
        <v>41091</v>
      </c>
      <c r="Q42" s="231">
        <v>9.66</v>
      </c>
    </row>
    <row r="43" spans="1:17" s="209" customFormat="1" x14ac:dyDescent="0.2">
      <c r="A43" s="229">
        <v>30164</v>
      </c>
      <c r="B43" s="230">
        <v>5.4628000000000001E-4</v>
      </c>
      <c r="C43" s="231">
        <v>753.48</v>
      </c>
      <c r="D43" s="229">
        <v>31990</v>
      </c>
      <c r="E43" s="230">
        <v>3.08669E-3</v>
      </c>
      <c r="F43" s="231">
        <v>693.48</v>
      </c>
      <c r="G43" s="229">
        <v>33817</v>
      </c>
      <c r="H43" s="230">
        <v>3.1891999999999999E-4</v>
      </c>
      <c r="I43" s="231">
        <v>309.95999999999998</v>
      </c>
      <c r="J43" s="229">
        <v>35643</v>
      </c>
      <c r="K43" s="231">
        <v>244.29</v>
      </c>
      <c r="L43" s="229">
        <v>37469</v>
      </c>
      <c r="M43" s="231">
        <v>143.01</v>
      </c>
      <c r="N43" s="229">
        <v>39295</v>
      </c>
      <c r="O43" s="231">
        <v>60.92</v>
      </c>
      <c r="P43" s="229">
        <v>41122</v>
      </c>
      <c r="Q43" s="231">
        <v>9.1199999999999992</v>
      </c>
    </row>
    <row r="44" spans="1:17" s="209" customFormat="1" x14ac:dyDescent="0.2">
      <c r="A44" s="229">
        <v>30195</v>
      </c>
      <c r="B44" s="230">
        <v>5.1053999999999997E-4</v>
      </c>
      <c r="C44" s="231">
        <v>752.48</v>
      </c>
      <c r="D44" s="229">
        <v>32021</v>
      </c>
      <c r="E44" s="230">
        <v>2.8271500000000001E-3</v>
      </c>
      <c r="F44" s="231">
        <v>692.48</v>
      </c>
      <c r="G44" s="229">
        <v>33848</v>
      </c>
      <c r="H44" s="230">
        <v>2.5859E-4</v>
      </c>
      <c r="I44" s="231">
        <v>308.95999999999998</v>
      </c>
      <c r="J44" s="229">
        <v>35674</v>
      </c>
      <c r="K44" s="231">
        <v>242.62</v>
      </c>
      <c r="L44" s="229">
        <v>37500</v>
      </c>
      <c r="M44" s="231">
        <v>141.36000000000001</v>
      </c>
      <c r="N44" s="229">
        <v>39326</v>
      </c>
      <c r="O44" s="231">
        <v>59.99</v>
      </c>
      <c r="P44" s="229">
        <v>41153</v>
      </c>
      <c r="Q44" s="231">
        <v>8.51</v>
      </c>
    </row>
    <row r="45" spans="1:17" s="209" customFormat="1" x14ac:dyDescent="0.2">
      <c r="A45" s="229">
        <v>30225</v>
      </c>
      <c r="B45" s="230">
        <v>4.7938000000000001E-4</v>
      </c>
      <c r="C45" s="231">
        <v>751.48</v>
      </c>
      <c r="D45" s="229">
        <v>32051</v>
      </c>
      <c r="E45" s="230">
        <v>2.5054600000000002E-3</v>
      </c>
      <c r="F45" s="231">
        <v>691.48</v>
      </c>
      <c r="G45" s="229">
        <v>33878</v>
      </c>
      <c r="H45" s="230">
        <v>2.0608000000000001E-4</v>
      </c>
      <c r="I45" s="231">
        <v>307.95999999999998</v>
      </c>
      <c r="J45" s="229">
        <v>35704</v>
      </c>
      <c r="K45" s="231">
        <v>239.58</v>
      </c>
      <c r="L45" s="229">
        <v>37530</v>
      </c>
      <c r="M45" s="231">
        <v>139.82</v>
      </c>
      <c r="N45" s="229">
        <v>39356</v>
      </c>
      <c r="O45" s="231">
        <v>59.15</v>
      </c>
      <c r="P45" s="229">
        <v>41183</v>
      </c>
      <c r="Q45" s="231">
        <v>7.96</v>
      </c>
    </row>
    <row r="46" spans="1:17" s="209" customFormat="1" x14ac:dyDescent="0.2">
      <c r="A46" s="229">
        <v>30256</v>
      </c>
      <c r="B46" s="230">
        <v>4.5012999999999997E-4</v>
      </c>
      <c r="C46" s="231">
        <v>750.48</v>
      </c>
      <c r="D46" s="229">
        <v>32082</v>
      </c>
      <c r="E46" s="230">
        <v>2.1950899999999998E-3</v>
      </c>
      <c r="F46" s="231">
        <v>690.48</v>
      </c>
      <c r="G46" s="229">
        <v>33909</v>
      </c>
      <c r="H46" s="230">
        <v>1.6660000000000001E-4</v>
      </c>
      <c r="I46" s="231">
        <v>306.95999999999998</v>
      </c>
      <c r="J46" s="229">
        <v>35735</v>
      </c>
      <c r="K46" s="231">
        <v>236.61</v>
      </c>
      <c r="L46" s="229">
        <v>37561</v>
      </c>
      <c r="M46" s="231">
        <v>138.08000000000001</v>
      </c>
      <c r="N46" s="229">
        <v>39387</v>
      </c>
      <c r="O46" s="231">
        <v>58.31</v>
      </c>
      <c r="P46" s="229">
        <v>41214</v>
      </c>
      <c r="Q46" s="231">
        <v>7.41</v>
      </c>
    </row>
    <row r="47" spans="1:17" s="209" customFormat="1" x14ac:dyDescent="0.2">
      <c r="A47" s="229">
        <v>30286</v>
      </c>
      <c r="B47" s="230">
        <v>4.2464999999999999E-4</v>
      </c>
      <c r="C47" s="231">
        <v>749.48</v>
      </c>
      <c r="D47" s="229">
        <v>32112</v>
      </c>
      <c r="E47" s="230">
        <v>1.8840300000000001E-3</v>
      </c>
      <c r="F47" s="231">
        <v>689.48</v>
      </c>
      <c r="G47" s="229">
        <v>33939</v>
      </c>
      <c r="H47" s="230">
        <v>1.3490999999999999E-4</v>
      </c>
      <c r="I47" s="231">
        <v>305.95999999999998</v>
      </c>
      <c r="J47" s="229">
        <v>35765</v>
      </c>
      <c r="K47" s="231">
        <v>233.94</v>
      </c>
      <c r="L47" s="229">
        <v>37591</v>
      </c>
      <c r="M47" s="231">
        <v>136.11000000000001</v>
      </c>
      <c r="N47" s="229">
        <v>39417</v>
      </c>
      <c r="O47" s="231">
        <v>57.38</v>
      </c>
      <c r="P47" s="229">
        <v>41244</v>
      </c>
      <c r="Q47" s="231">
        <v>6.81</v>
      </c>
    </row>
    <row r="48" spans="1:17" s="209" customFormat="1" x14ac:dyDescent="0.2">
      <c r="A48" s="229">
        <v>30317</v>
      </c>
      <c r="B48" s="230">
        <v>3.9797999999999998E-4</v>
      </c>
      <c r="C48" s="231">
        <v>748.48</v>
      </c>
      <c r="D48" s="229">
        <v>32143</v>
      </c>
      <c r="E48" s="230">
        <v>1.5971900000000001E-3</v>
      </c>
      <c r="F48" s="231">
        <v>688.48</v>
      </c>
      <c r="G48" s="229">
        <v>33970</v>
      </c>
      <c r="H48" s="230">
        <v>1.042E-4</v>
      </c>
      <c r="I48" s="231">
        <v>304.95999999999998</v>
      </c>
      <c r="J48" s="229">
        <v>35796</v>
      </c>
      <c r="K48" s="231">
        <v>231.81</v>
      </c>
      <c r="L48" s="229">
        <v>37622</v>
      </c>
      <c r="M48" s="231">
        <v>134.28</v>
      </c>
      <c r="N48" s="229">
        <v>39448</v>
      </c>
      <c r="O48" s="231">
        <v>56.58</v>
      </c>
      <c r="P48" s="229">
        <v>41275</v>
      </c>
      <c r="Q48" s="231">
        <v>6.32</v>
      </c>
    </row>
    <row r="49" spans="1:17" s="209" customFormat="1" x14ac:dyDescent="0.2">
      <c r="A49" s="229">
        <v>30348</v>
      </c>
      <c r="B49" s="230">
        <v>3.6511999999999997E-4</v>
      </c>
      <c r="C49" s="231">
        <v>747.48</v>
      </c>
      <c r="D49" s="229">
        <v>32174</v>
      </c>
      <c r="E49" s="230">
        <v>1.37677E-3</v>
      </c>
      <c r="F49" s="231">
        <v>687.48</v>
      </c>
      <c r="G49" s="229">
        <v>34001</v>
      </c>
      <c r="H49" s="230">
        <v>8.2230000000000004E-5</v>
      </c>
      <c r="I49" s="231">
        <v>303.95999999999998</v>
      </c>
      <c r="J49" s="229">
        <v>35827</v>
      </c>
      <c r="K49" s="231">
        <v>229.61</v>
      </c>
      <c r="L49" s="229">
        <v>37653</v>
      </c>
      <c r="M49" s="231">
        <v>132.5</v>
      </c>
      <c r="N49" s="229">
        <v>39479</v>
      </c>
      <c r="O49" s="231">
        <v>55.74</v>
      </c>
      <c r="P49" s="229">
        <v>41306</v>
      </c>
      <c r="Q49" s="231">
        <v>5.77</v>
      </c>
    </row>
    <row r="50" spans="1:17" s="209" customFormat="1" x14ac:dyDescent="0.2">
      <c r="A50" s="229">
        <v>30376</v>
      </c>
      <c r="B50" s="230">
        <v>3.3497000000000003E-4</v>
      </c>
      <c r="C50" s="231">
        <v>746.48</v>
      </c>
      <c r="D50" s="229">
        <v>32203</v>
      </c>
      <c r="E50" s="230">
        <v>1.15424E-3</v>
      </c>
      <c r="F50" s="231">
        <v>686.48</v>
      </c>
      <c r="G50" s="229">
        <v>34029</v>
      </c>
      <c r="H50" s="230">
        <v>6.5279999999999998E-5</v>
      </c>
      <c r="I50" s="231">
        <v>302.95999999999998</v>
      </c>
      <c r="J50" s="229">
        <v>35855</v>
      </c>
      <c r="K50" s="231">
        <v>227.9</v>
      </c>
      <c r="L50" s="229">
        <v>37681</v>
      </c>
      <c r="M50" s="231">
        <v>130.63</v>
      </c>
      <c r="N50" s="229">
        <v>39508</v>
      </c>
      <c r="O50" s="231">
        <v>54.84</v>
      </c>
      <c r="P50" s="229">
        <v>41334</v>
      </c>
      <c r="Q50" s="231">
        <v>5.16</v>
      </c>
    </row>
    <row r="51" spans="1:17" s="209" customFormat="1" x14ac:dyDescent="0.2">
      <c r="A51" s="229">
        <v>30407</v>
      </c>
      <c r="B51" s="230">
        <v>3.1016000000000003E-4</v>
      </c>
      <c r="C51" s="231">
        <v>745.48</v>
      </c>
      <c r="D51" s="229">
        <v>32234</v>
      </c>
      <c r="E51" s="230">
        <v>9.8002000000000007E-4</v>
      </c>
      <c r="F51" s="231">
        <v>685.48</v>
      </c>
      <c r="G51" s="229">
        <v>34060</v>
      </c>
      <c r="H51" s="230">
        <v>5.126E-5</v>
      </c>
      <c r="I51" s="231">
        <v>301.95999999999998</v>
      </c>
      <c r="J51" s="229">
        <v>35886</v>
      </c>
      <c r="K51" s="231">
        <v>226.27</v>
      </c>
      <c r="L51" s="229">
        <v>37712</v>
      </c>
      <c r="M51" s="231">
        <v>128.66</v>
      </c>
      <c r="N51" s="229">
        <v>39539</v>
      </c>
      <c r="O51" s="231">
        <v>53.96</v>
      </c>
      <c r="P51" s="229">
        <v>41365</v>
      </c>
      <c r="Q51" s="231">
        <v>4.5599999999999996</v>
      </c>
    </row>
    <row r="52" spans="1:17" s="209" customFormat="1" x14ac:dyDescent="0.2">
      <c r="A52" s="229">
        <v>30437</v>
      </c>
      <c r="B52" s="230">
        <v>2.8771999999999999E-4</v>
      </c>
      <c r="C52" s="231">
        <v>744.48</v>
      </c>
      <c r="D52" s="229">
        <v>32264</v>
      </c>
      <c r="E52" s="230">
        <v>8.1990000000000003E-4</v>
      </c>
      <c r="F52" s="231">
        <v>684.48</v>
      </c>
      <c r="G52" s="229">
        <v>34090</v>
      </c>
      <c r="H52" s="230">
        <v>3.9799999999999998E-5</v>
      </c>
      <c r="I52" s="231">
        <v>300.95999999999998</v>
      </c>
      <c r="J52" s="229">
        <v>35916</v>
      </c>
      <c r="K52" s="231">
        <v>224.67</v>
      </c>
      <c r="L52" s="229">
        <v>37742</v>
      </c>
      <c r="M52" s="231">
        <v>126.8</v>
      </c>
      <c r="N52" s="229">
        <v>39569</v>
      </c>
      <c r="O52" s="231">
        <v>53</v>
      </c>
      <c r="P52" s="229">
        <v>41395</v>
      </c>
      <c r="Q52" s="231">
        <v>3.95</v>
      </c>
    </row>
    <row r="53" spans="1:17" s="209" customFormat="1" x14ac:dyDescent="0.2">
      <c r="A53" s="229">
        <v>30468</v>
      </c>
      <c r="B53" s="230">
        <v>2.6395999999999999E-4</v>
      </c>
      <c r="C53" s="231">
        <v>743.48</v>
      </c>
      <c r="D53" s="229">
        <v>32295</v>
      </c>
      <c r="E53" s="230">
        <v>6.6102999999999995E-4</v>
      </c>
      <c r="F53" s="231">
        <v>683.48</v>
      </c>
      <c r="G53" s="229">
        <v>34121</v>
      </c>
      <c r="H53" s="230">
        <v>3.0530000000000001E-5</v>
      </c>
      <c r="I53" s="231">
        <v>299.95999999999998</v>
      </c>
      <c r="J53" s="229">
        <v>35947</v>
      </c>
      <c r="K53" s="231">
        <v>222.97</v>
      </c>
      <c r="L53" s="229">
        <v>37773</v>
      </c>
      <c r="M53" s="231">
        <v>124.72</v>
      </c>
      <c r="N53" s="229">
        <v>39600</v>
      </c>
      <c r="O53" s="231">
        <v>51.93</v>
      </c>
      <c r="P53" s="229">
        <v>41426</v>
      </c>
      <c r="Q53" s="231">
        <v>3.23</v>
      </c>
    </row>
    <row r="54" spans="1:17" s="209" customFormat="1" x14ac:dyDescent="0.2">
      <c r="A54" s="229">
        <v>30498</v>
      </c>
      <c r="B54" s="230">
        <v>2.4327999999999999E-4</v>
      </c>
      <c r="C54" s="231">
        <v>742.48</v>
      </c>
      <c r="D54" s="229">
        <v>32325</v>
      </c>
      <c r="E54" s="230">
        <v>5.4787E-4</v>
      </c>
      <c r="F54" s="231">
        <v>682.48</v>
      </c>
      <c r="G54" s="229">
        <v>34151</v>
      </c>
      <c r="H54" s="230">
        <v>2.336995E-2</v>
      </c>
      <c r="I54" s="231">
        <v>298.95999999999998</v>
      </c>
      <c r="J54" s="229">
        <v>35977</v>
      </c>
      <c r="K54" s="231">
        <v>221.49</v>
      </c>
      <c r="L54" s="229">
        <v>37803</v>
      </c>
      <c r="M54" s="231">
        <v>122.95</v>
      </c>
      <c r="N54" s="229">
        <v>39630</v>
      </c>
      <c r="O54" s="231">
        <v>50.91</v>
      </c>
      <c r="P54" s="229">
        <v>41456</v>
      </c>
      <c r="Q54" s="231">
        <v>2.52</v>
      </c>
    </row>
    <row r="55" spans="1:17" s="209" customFormat="1" x14ac:dyDescent="0.2">
      <c r="A55" s="229">
        <v>30529</v>
      </c>
      <c r="B55" s="230">
        <v>2.2217999999999999E-4</v>
      </c>
      <c r="C55" s="231">
        <v>741.48</v>
      </c>
      <c r="D55" s="229">
        <v>32356</v>
      </c>
      <c r="E55" s="230">
        <v>4.4181999999999999E-4</v>
      </c>
      <c r="F55" s="231">
        <v>681.48</v>
      </c>
      <c r="G55" s="229">
        <v>34182</v>
      </c>
      <c r="H55" s="230">
        <v>1.770538E-2</v>
      </c>
      <c r="I55" s="231">
        <v>297.95999999999998</v>
      </c>
      <c r="J55" s="229">
        <v>36008</v>
      </c>
      <c r="K55" s="231">
        <v>219</v>
      </c>
      <c r="L55" s="229">
        <v>37834</v>
      </c>
      <c r="M55" s="231">
        <v>121.27</v>
      </c>
      <c r="N55" s="229">
        <v>39661</v>
      </c>
      <c r="O55" s="231">
        <v>49.81</v>
      </c>
      <c r="P55" s="229">
        <v>41487</v>
      </c>
      <c r="Q55" s="231">
        <v>1.81</v>
      </c>
    </row>
    <row r="56" spans="1:17" s="209" customFormat="1" x14ac:dyDescent="0.2">
      <c r="A56" s="229">
        <v>30560</v>
      </c>
      <c r="B56" s="230">
        <v>2.0253E-4</v>
      </c>
      <c r="C56" s="231">
        <v>740.48</v>
      </c>
      <c r="D56" s="229">
        <v>32387</v>
      </c>
      <c r="E56" s="230">
        <v>3.4723000000000002E-4</v>
      </c>
      <c r="F56" s="231">
        <v>680.48</v>
      </c>
      <c r="G56" s="229">
        <v>34213</v>
      </c>
      <c r="H56" s="230">
        <v>1.317523E-2</v>
      </c>
      <c r="I56" s="231">
        <v>296.95999999999998</v>
      </c>
      <c r="J56" s="229">
        <v>36039</v>
      </c>
      <c r="K56" s="231">
        <v>216.06</v>
      </c>
      <c r="L56" s="229">
        <v>37865</v>
      </c>
      <c r="M56" s="231">
        <v>119.63</v>
      </c>
      <c r="N56" s="229">
        <v>39692</v>
      </c>
      <c r="O56" s="231">
        <v>48.63</v>
      </c>
      <c r="P56" s="229">
        <v>41518</v>
      </c>
      <c r="Q56" s="231">
        <v>1</v>
      </c>
    </row>
    <row r="57" spans="1:17" s="209" customFormat="1" x14ac:dyDescent="0.2">
      <c r="A57" s="229">
        <v>30590</v>
      </c>
      <c r="B57" s="230">
        <v>1.8683999999999999E-4</v>
      </c>
      <c r="C57" s="231">
        <v>739.48</v>
      </c>
      <c r="D57" s="229">
        <v>32417</v>
      </c>
      <c r="E57" s="230">
        <v>2.7358999999999999E-4</v>
      </c>
      <c r="F57" s="231">
        <v>679.48</v>
      </c>
      <c r="G57" s="229">
        <v>34243</v>
      </c>
      <c r="H57" s="230">
        <v>9.7475400000000007E-3</v>
      </c>
      <c r="I57" s="231">
        <v>295.95999999999998</v>
      </c>
      <c r="J57" s="229">
        <v>36069</v>
      </c>
      <c r="K57" s="231">
        <v>213.43</v>
      </c>
      <c r="L57" s="229">
        <v>37895</v>
      </c>
      <c r="M57" s="231">
        <v>118.29</v>
      </c>
      <c r="N57" s="229">
        <v>39722</v>
      </c>
      <c r="O57" s="231">
        <v>47.61</v>
      </c>
      <c r="P57" s="229">
        <v>41548</v>
      </c>
      <c r="Q57" s="231">
        <v>0</v>
      </c>
    </row>
    <row r="58" spans="1:17" s="209" customFormat="1" x14ac:dyDescent="0.2">
      <c r="A58" s="229">
        <v>30621</v>
      </c>
      <c r="B58" s="230">
        <v>1.7364E-4</v>
      </c>
      <c r="C58" s="231">
        <v>738.48</v>
      </c>
      <c r="D58" s="229">
        <v>32448</v>
      </c>
      <c r="E58" s="230">
        <v>2.1232999999999999E-4</v>
      </c>
      <c r="F58" s="231">
        <v>678.48</v>
      </c>
      <c r="G58" s="229">
        <v>34274</v>
      </c>
      <c r="H58" s="230">
        <v>7.2796099999999997E-3</v>
      </c>
      <c r="I58" s="231">
        <v>294.95999999999998</v>
      </c>
      <c r="J58" s="229">
        <v>36100</v>
      </c>
      <c r="K58" s="231">
        <v>211.03</v>
      </c>
      <c r="L58" s="229">
        <v>37926</v>
      </c>
      <c r="M58" s="231">
        <v>116.92</v>
      </c>
      <c r="N58" s="229">
        <v>39753</v>
      </c>
      <c r="O58" s="231">
        <v>46.49</v>
      </c>
      <c r="P58" s="229">
        <v>41579</v>
      </c>
      <c r="Q58" s="231">
        <v>0</v>
      </c>
    </row>
    <row r="59" spans="1:17" s="209" customFormat="1" x14ac:dyDescent="0.2">
      <c r="A59" s="229">
        <v>30651</v>
      </c>
      <c r="B59" s="230">
        <v>1.5814E-4</v>
      </c>
      <c r="C59" s="231">
        <v>737.48</v>
      </c>
      <c r="D59" s="229">
        <v>32478</v>
      </c>
      <c r="E59" s="230">
        <v>2.1232999999999999E-4</v>
      </c>
      <c r="F59" s="231">
        <v>677.48</v>
      </c>
      <c r="G59" s="229">
        <v>34304</v>
      </c>
      <c r="H59" s="230">
        <v>5.3256600000000003E-3</v>
      </c>
      <c r="I59" s="231">
        <v>293.95999999999998</v>
      </c>
      <c r="J59" s="229">
        <v>36130</v>
      </c>
      <c r="K59" s="231">
        <v>208.85</v>
      </c>
      <c r="L59" s="229">
        <v>37956</v>
      </c>
      <c r="M59" s="231">
        <v>115.65</v>
      </c>
      <c r="N59" s="229">
        <v>39783</v>
      </c>
      <c r="O59" s="231">
        <v>44.44</v>
      </c>
      <c r="Q59" s="320"/>
    </row>
    <row r="60" spans="1:17" s="209" customFormat="1" x14ac:dyDescent="0.2">
      <c r="A60" s="229">
        <v>30682</v>
      </c>
      <c r="B60" s="230">
        <v>1.4082E-4</v>
      </c>
      <c r="C60" s="231">
        <v>736.48</v>
      </c>
      <c r="D60" s="229">
        <v>32509</v>
      </c>
      <c r="E60" s="230">
        <v>0.21232724</v>
      </c>
      <c r="F60" s="231">
        <v>676.48</v>
      </c>
      <c r="G60" s="229">
        <v>34335</v>
      </c>
      <c r="H60" s="230">
        <v>3.82673E-3</v>
      </c>
      <c r="I60" s="231">
        <v>292.95999999999998</v>
      </c>
      <c r="J60" s="229">
        <v>36161</v>
      </c>
      <c r="K60" s="231">
        <v>206.47</v>
      </c>
      <c r="L60" s="229">
        <v>37987</v>
      </c>
      <c r="M60" s="231">
        <v>114.57</v>
      </c>
      <c r="N60" s="229">
        <v>39814</v>
      </c>
      <c r="O60" s="231">
        <v>43.58</v>
      </c>
      <c r="Q60" s="320"/>
    </row>
    <row r="61" spans="1:17" s="209" customFormat="1" x14ac:dyDescent="0.2">
      <c r="A61" s="229">
        <v>30713</v>
      </c>
      <c r="B61" s="230">
        <v>1.2802000000000001E-4</v>
      </c>
      <c r="C61" s="231">
        <v>735.48</v>
      </c>
      <c r="D61" s="229">
        <v>32540</v>
      </c>
      <c r="E61" s="230">
        <v>0.20498241</v>
      </c>
      <c r="F61" s="231">
        <v>675.48</v>
      </c>
      <c r="G61" s="229">
        <v>34366</v>
      </c>
      <c r="H61" s="230">
        <v>2.7392800000000002E-3</v>
      </c>
      <c r="I61" s="231">
        <v>291.95999999999998</v>
      </c>
      <c r="J61" s="229">
        <v>36192</v>
      </c>
      <c r="K61" s="231">
        <v>203.14</v>
      </c>
      <c r="L61" s="229">
        <v>38018</v>
      </c>
      <c r="M61" s="231">
        <v>113.19</v>
      </c>
      <c r="N61" s="229">
        <v>39845</v>
      </c>
      <c r="O61" s="231">
        <v>42.61</v>
      </c>
      <c r="Q61" s="320"/>
    </row>
    <row r="62" spans="1:17" s="209" customFormat="1" x14ac:dyDescent="0.2">
      <c r="A62" s="229">
        <v>30742</v>
      </c>
      <c r="B62" s="230">
        <v>1.1756000000000001E-4</v>
      </c>
      <c r="C62" s="231">
        <v>734.48</v>
      </c>
      <c r="D62" s="229">
        <v>32568</v>
      </c>
      <c r="E62" s="230">
        <v>0.19318895999999999</v>
      </c>
      <c r="F62" s="231">
        <v>674.48</v>
      </c>
      <c r="G62" s="229">
        <v>34394</v>
      </c>
      <c r="H62" s="230">
        <v>1.90716E-3</v>
      </c>
      <c r="I62" s="231">
        <v>290.95999999999998</v>
      </c>
      <c r="J62" s="229">
        <v>36220</v>
      </c>
      <c r="K62" s="231">
        <v>200.79</v>
      </c>
      <c r="L62" s="229">
        <v>38047</v>
      </c>
      <c r="M62" s="231">
        <v>112.01</v>
      </c>
      <c r="N62" s="229">
        <v>39873</v>
      </c>
      <c r="O62" s="231">
        <v>41.77</v>
      </c>
      <c r="Q62" s="320"/>
    </row>
    <row r="63" spans="1:17" s="209" customFormat="1" x14ac:dyDescent="0.2">
      <c r="A63" s="229">
        <v>30773</v>
      </c>
      <c r="B63" s="230">
        <v>1.0794999999999999E-4</v>
      </c>
      <c r="C63" s="231">
        <v>733.48</v>
      </c>
      <c r="D63" s="229">
        <v>32599</v>
      </c>
      <c r="E63" s="230">
        <v>0.18004270999999999</v>
      </c>
      <c r="F63" s="231">
        <v>673.48</v>
      </c>
      <c r="G63" s="229">
        <v>34425</v>
      </c>
      <c r="H63" s="230">
        <v>1.3502E-3</v>
      </c>
      <c r="I63" s="231">
        <v>289.95999999999998</v>
      </c>
      <c r="J63" s="229">
        <v>36251</v>
      </c>
      <c r="K63" s="231">
        <v>198.77</v>
      </c>
      <c r="L63" s="229">
        <v>38078</v>
      </c>
      <c r="M63" s="231">
        <v>110.78</v>
      </c>
      <c r="N63" s="229">
        <v>39904</v>
      </c>
      <c r="O63" s="231">
        <v>41</v>
      </c>
      <c r="Q63" s="320"/>
    </row>
    <row r="64" spans="1:17" s="209" customFormat="1" x14ac:dyDescent="0.2">
      <c r="A64" s="229">
        <v>30803</v>
      </c>
      <c r="B64" s="230">
        <v>9.8850000000000004E-5</v>
      </c>
      <c r="C64" s="231">
        <v>732.48</v>
      </c>
      <c r="D64" s="229">
        <v>32629</v>
      </c>
      <c r="E64" s="230">
        <v>0.16376125999999999</v>
      </c>
      <c r="F64" s="231">
        <v>672.48</v>
      </c>
      <c r="G64" s="229">
        <v>34455</v>
      </c>
      <c r="H64" s="230">
        <v>9.3627999999999995E-4</v>
      </c>
      <c r="I64" s="231">
        <v>288.95999999999998</v>
      </c>
      <c r="J64" s="229">
        <v>36281</v>
      </c>
      <c r="K64" s="231">
        <v>197.1</v>
      </c>
      <c r="L64" s="229">
        <v>38108</v>
      </c>
      <c r="M64" s="231">
        <v>109.55</v>
      </c>
      <c r="N64" s="229">
        <v>39934</v>
      </c>
      <c r="O64" s="231">
        <v>40.24</v>
      </c>
      <c r="Q64" s="320"/>
    </row>
    <row r="65" spans="1:17" s="209" customFormat="1" x14ac:dyDescent="0.2">
      <c r="A65" s="229">
        <v>30834</v>
      </c>
      <c r="B65" s="230">
        <v>8.9619999999999999E-5</v>
      </c>
      <c r="C65" s="231">
        <v>731.48</v>
      </c>
      <c r="D65" s="229">
        <v>32660</v>
      </c>
      <c r="E65" s="230">
        <v>0.13118799</v>
      </c>
      <c r="F65" s="231">
        <v>671.48</v>
      </c>
      <c r="G65" s="229">
        <v>34486</v>
      </c>
      <c r="H65" s="230">
        <v>6.4727000000000003E-4</v>
      </c>
      <c r="I65" s="231">
        <v>287.95999999999998</v>
      </c>
      <c r="J65" s="229">
        <v>36312</v>
      </c>
      <c r="K65" s="231">
        <v>195.44</v>
      </c>
      <c r="L65" s="229">
        <v>38139</v>
      </c>
      <c r="M65" s="231">
        <v>108.26</v>
      </c>
      <c r="N65" s="229">
        <v>39965</v>
      </c>
      <c r="O65" s="231">
        <v>39.450000000000003</v>
      </c>
      <c r="Q65" s="320"/>
    </row>
    <row r="66" spans="1:17" s="209" customFormat="1" x14ac:dyDescent="0.2">
      <c r="A66" s="229">
        <v>30864</v>
      </c>
      <c r="B66" s="230">
        <v>8.1030000000000002E-5</v>
      </c>
      <c r="C66" s="231">
        <v>730.48</v>
      </c>
      <c r="D66" s="229">
        <v>32690</v>
      </c>
      <c r="E66" s="230">
        <v>0.10187871</v>
      </c>
      <c r="F66" s="231">
        <v>670.48</v>
      </c>
      <c r="G66" s="229">
        <v>34516</v>
      </c>
      <c r="H66" s="230">
        <v>1.69176112</v>
      </c>
      <c r="I66" s="231">
        <v>286.95999999999998</v>
      </c>
      <c r="J66" s="229">
        <v>36342</v>
      </c>
      <c r="K66" s="231">
        <v>193.87</v>
      </c>
      <c r="L66" s="229">
        <v>38169</v>
      </c>
      <c r="M66" s="231">
        <v>106.97</v>
      </c>
      <c r="N66" s="229">
        <v>39995</v>
      </c>
      <c r="O66" s="231">
        <v>38.76</v>
      </c>
      <c r="Q66" s="320"/>
    </row>
    <row r="67" spans="1:17" s="209" customFormat="1" x14ac:dyDescent="0.2">
      <c r="A67" s="229">
        <v>30895</v>
      </c>
      <c r="B67" s="230">
        <v>7.3339999999999999E-5</v>
      </c>
      <c r="C67" s="231">
        <v>729.48</v>
      </c>
      <c r="D67" s="229">
        <v>32721</v>
      </c>
      <c r="E67" s="230">
        <v>7.8771649999999999E-2</v>
      </c>
      <c r="F67" s="231">
        <v>669.48</v>
      </c>
      <c r="G67" s="229">
        <v>34547</v>
      </c>
      <c r="H67" s="230">
        <v>1.6110842599999999</v>
      </c>
      <c r="I67" s="231">
        <v>285.95999999999998</v>
      </c>
      <c r="J67" s="229">
        <v>36373</v>
      </c>
      <c r="K67" s="231">
        <v>192.38</v>
      </c>
      <c r="L67" s="229">
        <v>38200</v>
      </c>
      <c r="M67" s="231">
        <v>105.72</v>
      </c>
      <c r="N67" s="229">
        <v>40026</v>
      </c>
      <c r="O67" s="231">
        <v>38.07</v>
      </c>
      <c r="Q67" s="320"/>
    </row>
    <row r="68" spans="1:17" s="209" customFormat="1" x14ac:dyDescent="0.2">
      <c r="A68" s="229">
        <v>30926</v>
      </c>
      <c r="B68" s="230">
        <v>6.5129999999999995E-5</v>
      </c>
      <c r="C68" s="231">
        <v>728.48</v>
      </c>
      <c r="D68" s="229">
        <v>32752</v>
      </c>
      <c r="E68" s="230">
        <v>5.4663690000000001E-2</v>
      </c>
      <c r="F68" s="231">
        <v>668.48</v>
      </c>
      <c r="G68" s="229">
        <v>34578</v>
      </c>
      <c r="H68" s="230">
        <v>1.58528852</v>
      </c>
      <c r="I68" s="231">
        <v>284.95999999999998</v>
      </c>
      <c r="J68" s="229">
        <v>36404</v>
      </c>
      <c r="K68" s="231">
        <v>191</v>
      </c>
      <c r="L68" s="229">
        <v>38231</v>
      </c>
      <c r="M68" s="231">
        <v>104.51</v>
      </c>
      <c r="N68" s="229">
        <v>40057</v>
      </c>
      <c r="O68" s="231">
        <v>37.380000000000003</v>
      </c>
      <c r="Q68" s="320"/>
    </row>
    <row r="69" spans="1:17" s="209" customFormat="1" x14ac:dyDescent="0.2">
      <c r="A69" s="229">
        <v>30956</v>
      </c>
      <c r="B69" s="230">
        <v>5.9259999999999998E-5</v>
      </c>
      <c r="C69" s="231">
        <v>727.48</v>
      </c>
      <c r="D69" s="229">
        <v>32782</v>
      </c>
      <c r="E69" s="230">
        <v>3.9510940000000001E-2</v>
      </c>
      <c r="F69" s="231">
        <v>667.48</v>
      </c>
      <c r="G69" s="229">
        <v>34608</v>
      </c>
      <c r="H69" s="230">
        <v>1.55569384</v>
      </c>
      <c r="I69" s="231">
        <v>283.95999999999998</v>
      </c>
      <c r="J69" s="229">
        <v>36434</v>
      </c>
      <c r="K69" s="231">
        <v>189.61</v>
      </c>
      <c r="L69" s="229">
        <v>38261</v>
      </c>
      <c r="M69" s="231">
        <v>103.26</v>
      </c>
      <c r="N69" s="229">
        <v>40087</v>
      </c>
      <c r="O69" s="231">
        <v>36.72</v>
      </c>
      <c r="Q69" s="320"/>
    </row>
    <row r="70" spans="1:17" s="209" customFormat="1" x14ac:dyDescent="0.2">
      <c r="A70" s="229">
        <v>30987</v>
      </c>
      <c r="B70" s="230">
        <v>5.363E-5</v>
      </c>
      <c r="C70" s="231">
        <v>726.48</v>
      </c>
      <c r="D70" s="229">
        <v>32813</v>
      </c>
      <c r="E70" s="230">
        <v>2.7266269999999999E-2</v>
      </c>
      <c r="F70" s="231">
        <v>666.48</v>
      </c>
      <c r="G70" s="229">
        <v>34639</v>
      </c>
      <c r="H70" s="230">
        <v>1.51103052</v>
      </c>
      <c r="I70" s="231">
        <v>282.95999999999998</v>
      </c>
      <c r="J70" s="229">
        <v>36465</v>
      </c>
      <c r="K70" s="231">
        <v>188.01</v>
      </c>
      <c r="L70" s="229">
        <v>38292</v>
      </c>
      <c r="M70" s="231">
        <v>101.78</v>
      </c>
      <c r="N70" s="229">
        <v>40118</v>
      </c>
      <c r="O70" s="231">
        <v>35.99</v>
      </c>
      <c r="Q70" s="320"/>
    </row>
    <row r="71" spans="1:17" s="209" customFormat="1" x14ac:dyDescent="0.2">
      <c r="A71" s="229">
        <v>31017</v>
      </c>
      <c r="B71" s="230">
        <v>4.7630000000000003E-5</v>
      </c>
      <c r="C71" s="231">
        <v>725.48</v>
      </c>
      <c r="D71" s="229">
        <v>32843</v>
      </c>
      <c r="E71" s="230">
        <v>1.7970050000000001E-2</v>
      </c>
      <c r="F71" s="231">
        <v>665.48</v>
      </c>
      <c r="G71" s="229">
        <v>34669</v>
      </c>
      <c r="H71" s="230">
        <v>1.4777597200000001</v>
      </c>
      <c r="I71" s="231">
        <v>281.95999999999998</v>
      </c>
      <c r="J71" s="229">
        <v>36495</v>
      </c>
      <c r="K71" s="231">
        <v>186.55</v>
      </c>
      <c r="L71" s="229">
        <v>38322</v>
      </c>
      <c r="M71" s="231">
        <v>100.4</v>
      </c>
      <c r="N71" s="229">
        <v>40148</v>
      </c>
      <c r="O71" s="231">
        <v>35.33</v>
      </c>
      <c r="P71" s="321"/>
      <c r="Q71" s="322"/>
    </row>
    <row r="72" spans="1:17" s="209" customFormat="1" x14ac:dyDescent="0.2"/>
    <row r="73" spans="1:17" s="209" customFormat="1" x14ac:dyDescent="0.2">
      <c r="A73" s="209" t="s">
        <v>158</v>
      </c>
    </row>
  </sheetData>
  <mergeCells count="3">
    <mergeCell ref="A9:Q9"/>
    <mergeCell ref="A6:Q6"/>
    <mergeCell ref="A7:Q7"/>
  </mergeCells>
  <printOptions horizontalCentered="1"/>
  <pageMargins left="0.27559055118110237" right="0.23622047244094491" top="1.1811023622047245" bottom="0.39370078740157483" header="0.31496062992125984" footer="0.15748031496062992"/>
  <pageSetup paperSize="9" scale="85" orientation="landscape" horizontalDpi="0" verticalDpi="0" r:id="rId1"/>
  <headerFooter>
    <oddFooter>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56"/>
  <sheetViews>
    <sheetView workbookViewId="0"/>
  </sheetViews>
  <sheetFormatPr defaultRowHeight="12.75" x14ac:dyDescent="0.2"/>
  <cols>
    <col min="1" max="1" width="12.140625" style="120" customWidth="1"/>
    <col min="2" max="3" width="8.140625" style="120" customWidth="1"/>
    <col min="4" max="4" width="8" style="120" customWidth="1"/>
    <col min="5" max="5" width="6.28515625" style="5" customWidth="1"/>
    <col min="6" max="6" width="6.85546875" style="5" customWidth="1"/>
    <col min="7" max="7" width="7.5703125" style="5" customWidth="1"/>
    <col min="8" max="8" width="8" style="5" customWidth="1"/>
    <col min="9" max="10" width="9.140625" style="5"/>
    <col min="11" max="11" width="6.5703125" style="5" customWidth="1"/>
    <col min="12" max="12" width="9.28515625" style="5" customWidth="1"/>
    <col min="13" max="13" width="8.7109375" style="5" bestFit="1" customWidth="1"/>
    <col min="14" max="14" width="9.140625" style="5" customWidth="1"/>
    <col min="15" max="15" width="6.28515625" style="5" bestFit="1" customWidth="1"/>
    <col min="16" max="16" width="9.140625" style="117"/>
    <col min="17" max="16384" width="9.140625" style="5"/>
  </cols>
  <sheetData>
    <row r="1" spans="1:16" s="8" customFormat="1" x14ac:dyDescent="0.2">
      <c r="A1" s="6" t="s">
        <v>42</v>
      </c>
      <c r="C1"/>
      <c r="E1" s="6"/>
      <c r="F1" s="6"/>
      <c r="G1" s="7"/>
      <c r="P1" s="116"/>
    </row>
    <row r="2" spans="1:16" s="8" customFormat="1" x14ac:dyDescent="0.2">
      <c r="A2" s="6" t="s">
        <v>43</v>
      </c>
      <c r="C2"/>
      <c r="E2" s="6"/>
      <c r="F2" s="6"/>
      <c r="G2" s="7"/>
      <c r="P2" s="116"/>
    </row>
    <row r="3" spans="1:16" s="8" customFormat="1" x14ac:dyDescent="0.2">
      <c r="A3" s="6" t="s">
        <v>44</v>
      </c>
      <c r="C3"/>
      <c r="E3" s="6"/>
      <c r="F3" s="6"/>
      <c r="G3" s="7"/>
      <c r="P3" s="116"/>
    </row>
    <row r="4" spans="1:16" s="8" customFormat="1" x14ac:dyDescent="0.2">
      <c r="A4" s="6" t="s">
        <v>45</v>
      </c>
      <c r="C4"/>
      <c r="E4" s="6"/>
      <c r="F4" s="6"/>
      <c r="G4" s="7"/>
      <c r="P4" s="116"/>
    </row>
    <row r="5" spans="1:16" ht="13.5" thickBot="1" x14ac:dyDescent="0.25"/>
    <row r="6" spans="1:16" s="15" customFormat="1" ht="17.25" customHeight="1" thickTop="1" x14ac:dyDescent="0.2">
      <c r="A6" s="430" t="s">
        <v>210</v>
      </c>
      <c r="B6" s="431"/>
      <c r="C6" s="431"/>
      <c r="D6" s="431"/>
      <c r="E6" s="431"/>
      <c r="F6" s="431"/>
      <c r="G6" s="431"/>
      <c r="H6" s="431"/>
      <c r="I6" s="432"/>
    </row>
    <row r="7" spans="1:16" s="15" customFormat="1" ht="29.25" customHeight="1" thickBot="1" x14ac:dyDescent="0.25">
      <c r="A7" s="364" t="s">
        <v>20</v>
      </c>
      <c r="B7" s="365"/>
      <c r="C7" s="365"/>
      <c r="D7" s="365"/>
      <c r="E7" s="365"/>
      <c r="F7" s="365"/>
      <c r="G7" s="365"/>
      <c r="H7" s="365"/>
      <c r="I7" s="366"/>
    </row>
    <row r="8" spans="1:16" s="15" customFormat="1" ht="13.5" customHeight="1" thickTop="1" x14ac:dyDescent="0.2">
      <c r="A8" s="20"/>
      <c r="B8" s="20"/>
      <c r="C8" s="20"/>
      <c r="D8" s="20"/>
    </row>
    <row r="9" spans="1:16" s="19" customFormat="1" ht="84" customHeight="1" x14ac:dyDescent="0.2">
      <c r="A9" s="434" t="s">
        <v>56</v>
      </c>
      <c r="B9" s="380" t="s">
        <v>118</v>
      </c>
      <c r="C9" s="380"/>
      <c r="D9" s="380"/>
      <c r="E9" s="433" t="s">
        <v>240</v>
      </c>
      <c r="F9" s="433"/>
      <c r="G9" s="380" t="s">
        <v>76</v>
      </c>
      <c r="H9" s="435" t="s">
        <v>77</v>
      </c>
      <c r="I9" s="380" t="s">
        <v>78</v>
      </c>
    </row>
    <row r="10" spans="1:16" s="19" customFormat="1" ht="33.75" customHeight="1" x14ac:dyDescent="0.2">
      <c r="A10" s="434"/>
      <c r="B10" s="380" t="s">
        <v>106</v>
      </c>
      <c r="C10" s="380" t="s">
        <v>107</v>
      </c>
      <c r="D10" s="380" t="s">
        <v>80</v>
      </c>
      <c r="E10" s="433" t="s">
        <v>79</v>
      </c>
      <c r="F10" s="433" t="s">
        <v>59</v>
      </c>
      <c r="G10" s="380"/>
      <c r="H10" s="435"/>
      <c r="I10" s="380"/>
      <c r="M10" s="130"/>
      <c r="N10" s="130"/>
      <c r="O10" s="130"/>
      <c r="P10" s="137"/>
    </row>
    <row r="11" spans="1:16" s="19" customFormat="1" ht="11.25" x14ac:dyDescent="0.2">
      <c r="A11" s="434"/>
      <c r="B11" s="380"/>
      <c r="C11" s="380"/>
      <c r="D11" s="380"/>
      <c r="E11" s="433"/>
      <c r="F11" s="433"/>
      <c r="G11" s="380"/>
      <c r="H11" s="435"/>
      <c r="I11" s="380"/>
      <c r="M11" s="130"/>
      <c r="N11" s="130"/>
      <c r="O11" s="130"/>
      <c r="P11" s="137"/>
    </row>
    <row r="12" spans="1:16" s="19" customFormat="1" ht="11.25" x14ac:dyDescent="0.2">
      <c r="A12" s="11" t="s">
        <v>25</v>
      </c>
      <c r="B12" s="12" t="s">
        <v>26</v>
      </c>
      <c r="C12" s="11" t="s">
        <v>27</v>
      </c>
      <c r="D12" s="11" t="s">
        <v>28</v>
      </c>
      <c r="E12" s="12" t="s">
        <v>29</v>
      </c>
      <c r="F12" s="11" t="s">
        <v>52</v>
      </c>
      <c r="G12" s="12" t="s">
        <v>53</v>
      </c>
      <c r="H12" s="11" t="s">
        <v>54</v>
      </c>
      <c r="I12" s="11" t="s">
        <v>55</v>
      </c>
      <c r="M12" s="130"/>
      <c r="N12" s="130"/>
      <c r="O12" s="130"/>
      <c r="P12" s="137"/>
    </row>
    <row r="13" spans="1:16" s="15" customFormat="1" ht="12.75" customHeight="1" x14ac:dyDescent="0.2">
      <c r="A13" s="247">
        <v>39234</v>
      </c>
      <c r="B13" s="13"/>
      <c r="C13" s="13">
        <f>'Anexo 4 HE'!U13</f>
        <v>149.12823627319662</v>
      </c>
      <c r="D13" s="308">
        <f>SUM(B13:C13)</f>
        <v>149.12823627319662</v>
      </c>
      <c r="E13" s="438" t="s">
        <v>119</v>
      </c>
      <c r="F13" s="439"/>
      <c r="G13" s="21">
        <f>D13</f>
        <v>149.12823627319662</v>
      </c>
      <c r="H13" s="21">
        <f>'Anexo 6 INSS'!L13</f>
        <v>12.902205110143091</v>
      </c>
      <c r="I13" s="21">
        <f>G13-H13</f>
        <v>136.22603116305353</v>
      </c>
      <c r="P13" s="136"/>
    </row>
    <row r="14" spans="1:16" s="15" customFormat="1" x14ac:dyDescent="0.2">
      <c r="A14" s="247">
        <v>39264</v>
      </c>
      <c r="B14" s="13"/>
      <c r="C14" s="13">
        <f>'Anexo 4 HE'!U14</f>
        <v>431.91743609574496</v>
      </c>
      <c r="D14" s="308">
        <f t="shared" ref="D14:D77" si="0">SUM(B14:C14)</f>
        <v>431.91743609574496</v>
      </c>
      <c r="E14" s="440"/>
      <c r="F14" s="441"/>
      <c r="G14" s="21">
        <f t="shared" ref="G14:G77" si="1">D14</f>
        <v>431.91743609574496</v>
      </c>
      <c r="H14" s="21">
        <f>'Anexo 6 INSS'!L14</f>
        <v>42.175381886484644</v>
      </c>
      <c r="I14" s="21">
        <f t="shared" ref="I14:I77" si="2">G14-H14</f>
        <v>389.74205420926035</v>
      </c>
      <c r="P14" s="136"/>
    </row>
    <row r="15" spans="1:16" s="15" customFormat="1" x14ac:dyDescent="0.2">
      <c r="A15" s="247">
        <v>39295</v>
      </c>
      <c r="B15" s="13"/>
      <c r="C15" s="13">
        <f>'Anexo 4 HE'!U15</f>
        <v>441.93634757227085</v>
      </c>
      <c r="D15" s="308">
        <f t="shared" si="0"/>
        <v>441.93634757227085</v>
      </c>
      <c r="E15" s="440"/>
      <c r="F15" s="441"/>
      <c r="G15" s="21">
        <f t="shared" si="1"/>
        <v>441.93634757227085</v>
      </c>
      <c r="H15" s="21">
        <f>'Anexo 6 INSS'!L15</f>
        <v>43.20764715975865</v>
      </c>
      <c r="I15" s="21">
        <f t="shared" si="2"/>
        <v>398.72870041251218</v>
      </c>
    </row>
    <row r="16" spans="1:16" s="15" customFormat="1" x14ac:dyDescent="0.2">
      <c r="A16" s="247">
        <v>39326</v>
      </c>
      <c r="B16" s="13"/>
      <c r="C16" s="13">
        <f>'Anexo 4 HE'!U16</f>
        <v>430.03996370851229</v>
      </c>
      <c r="D16" s="308">
        <f t="shared" si="0"/>
        <v>430.03996370851229</v>
      </c>
      <c r="E16" s="440"/>
      <c r="F16" s="441"/>
      <c r="G16" s="21">
        <f t="shared" si="1"/>
        <v>430.03996370851229</v>
      </c>
      <c r="H16" s="21">
        <f>'Anexo 6 INSS'!L16</f>
        <v>42.049346020435607</v>
      </c>
      <c r="I16" s="21">
        <f t="shared" si="2"/>
        <v>387.99061768807667</v>
      </c>
    </row>
    <row r="17" spans="1:17" s="15" customFormat="1" x14ac:dyDescent="0.2">
      <c r="A17" s="247">
        <v>39356</v>
      </c>
      <c r="B17" s="13"/>
      <c r="C17" s="13">
        <f>'Anexo 4 HE'!U17</f>
        <v>453.90601867649519</v>
      </c>
      <c r="D17" s="308">
        <f t="shared" si="0"/>
        <v>453.90601867649519</v>
      </c>
      <c r="E17" s="440"/>
      <c r="F17" s="441"/>
      <c r="G17" s="21">
        <f t="shared" si="1"/>
        <v>453.90601867649519</v>
      </c>
      <c r="H17" s="21">
        <f>'Anexo 6 INSS'!L17</f>
        <v>44.25850283091183</v>
      </c>
      <c r="I17" s="21">
        <f t="shared" si="2"/>
        <v>409.64751584558337</v>
      </c>
    </row>
    <row r="18" spans="1:17" s="15" customFormat="1" x14ac:dyDescent="0.2">
      <c r="A18" s="247">
        <v>39387</v>
      </c>
      <c r="B18" s="13"/>
      <c r="C18" s="13">
        <f>'Anexo 4 HE'!U18</f>
        <v>145.54880296351132</v>
      </c>
      <c r="D18" s="308">
        <f t="shared" si="0"/>
        <v>145.54880296351132</v>
      </c>
      <c r="E18" s="440"/>
      <c r="F18" s="441"/>
      <c r="G18" s="21">
        <f t="shared" si="1"/>
        <v>145.54880296351132</v>
      </c>
      <c r="H18" s="21">
        <f>'Anexo 6 INSS'!L18</f>
        <v>13.10327070258846</v>
      </c>
      <c r="I18" s="21">
        <f t="shared" si="2"/>
        <v>132.44553226092285</v>
      </c>
    </row>
    <row r="19" spans="1:17" s="15" customFormat="1" ht="18.75" customHeight="1" x14ac:dyDescent="0.2">
      <c r="A19" s="247">
        <v>39417</v>
      </c>
      <c r="B19" s="13"/>
      <c r="C19" s="13">
        <f>'Anexo 4 HE'!U19</f>
        <v>200.73609278883424</v>
      </c>
      <c r="D19" s="308">
        <f t="shared" si="0"/>
        <v>200.73609278883424</v>
      </c>
      <c r="E19" s="440"/>
      <c r="F19" s="441"/>
      <c r="G19" s="21">
        <f t="shared" si="1"/>
        <v>200.73609278883424</v>
      </c>
      <c r="H19" s="21">
        <f>'Anexo 6 INSS'!L19</f>
        <v>17.36001081984567</v>
      </c>
      <c r="I19" s="21">
        <f t="shared" si="2"/>
        <v>183.37608196898856</v>
      </c>
      <c r="L19" s="437" t="s">
        <v>81</v>
      </c>
      <c r="M19" s="437"/>
      <c r="N19" s="264">
        <v>41072</v>
      </c>
      <c r="O19" s="265">
        <v>6.0000000000000001E-3</v>
      </c>
      <c r="P19" s="266" t="s">
        <v>191</v>
      </c>
      <c r="Q19" s="267">
        <f>1/30*18</f>
        <v>0.6</v>
      </c>
    </row>
    <row r="20" spans="1:17" s="15" customFormat="1" ht="19.5" customHeight="1" x14ac:dyDescent="0.2">
      <c r="A20" s="306" t="s">
        <v>171</v>
      </c>
      <c r="B20" s="13"/>
      <c r="C20" s="13">
        <f>'Anexo 4 HE'!U20</f>
        <v>185.73469009781607</v>
      </c>
      <c r="D20" s="308">
        <f t="shared" si="0"/>
        <v>185.73469009781607</v>
      </c>
      <c r="E20" s="440"/>
      <c r="F20" s="441"/>
      <c r="G20" s="21">
        <f t="shared" si="1"/>
        <v>185.73469009781607</v>
      </c>
      <c r="H20" s="21">
        <f>'Anexo 6 INSS'!L20</f>
        <v>14.203813818605946</v>
      </c>
      <c r="I20" s="21">
        <f t="shared" si="2"/>
        <v>171.53087627921013</v>
      </c>
      <c r="L20" s="437">
        <v>2012</v>
      </c>
      <c r="M20" s="437"/>
      <c r="N20" s="268" t="s">
        <v>190</v>
      </c>
      <c r="O20" s="269">
        <v>0.06</v>
      </c>
      <c r="P20" s="246"/>
      <c r="Q20" s="270"/>
    </row>
    <row r="21" spans="1:17" s="15" customFormat="1" x14ac:dyDescent="0.2">
      <c r="A21" s="247">
        <v>39448</v>
      </c>
      <c r="B21" s="13"/>
      <c r="C21" s="13">
        <f>'Anexo 4 HE'!U21</f>
        <v>351.28358830473007</v>
      </c>
      <c r="D21" s="308">
        <f t="shared" si="0"/>
        <v>351.28358830473007</v>
      </c>
      <c r="E21" s="440"/>
      <c r="F21" s="441"/>
      <c r="G21" s="21">
        <f t="shared" si="1"/>
        <v>351.28358830473007</v>
      </c>
      <c r="H21" s="21">
        <f>'Anexo 6 INSS'!L21</f>
        <v>31.616988045343163</v>
      </c>
      <c r="I21" s="21">
        <f t="shared" si="2"/>
        <v>319.66660025938688</v>
      </c>
      <c r="L21" s="436">
        <v>41608</v>
      </c>
      <c r="M21" s="436"/>
      <c r="N21" s="271" t="s">
        <v>225</v>
      </c>
      <c r="O21" s="269">
        <v>0.11</v>
      </c>
      <c r="P21" s="246"/>
      <c r="Q21" s="270"/>
    </row>
    <row r="22" spans="1:17" s="15" customFormat="1" ht="12.75" customHeight="1" x14ac:dyDescent="0.2">
      <c r="A22" s="247">
        <v>39479</v>
      </c>
      <c r="B22" s="13"/>
      <c r="C22" s="13">
        <f>'Anexo 4 HE'!U22</f>
        <v>323.42164662633928</v>
      </c>
      <c r="D22" s="308">
        <f t="shared" si="0"/>
        <v>323.42164662633928</v>
      </c>
      <c r="E22" s="440"/>
      <c r="F22" s="441"/>
      <c r="G22" s="21">
        <f t="shared" si="1"/>
        <v>323.42164662633928</v>
      </c>
      <c r="H22" s="21">
        <f>'Anexo 6 INSS'!L22</f>
        <v>29.111400802478371</v>
      </c>
      <c r="I22" s="21">
        <f t="shared" si="2"/>
        <v>294.3102458238609</v>
      </c>
      <c r="L22" s="246"/>
      <c r="M22" s="246"/>
      <c r="N22" s="264" t="s">
        <v>116</v>
      </c>
      <c r="O22" s="269">
        <f>SUM(O19:O21)</f>
        <v>0.17599999999999999</v>
      </c>
      <c r="P22" s="246"/>
      <c r="Q22" s="270"/>
    </row>
    <row r="23" spans="1:17" s="15" customFormat="1" ht="12.75" customHeight="1" x14ac:dyDescent="0.2">
      <c r="A23" s="247">
        <v>39508</v>
      </c>
      <c r="B23" s="13"/>
      <c r="C23" s="13">
        <f>'Anexo 4 HE'!U23</f>
        <v>224.33719853972775</v>
      </c>
      <c r="D23" s="308">
        <f t="shared" si="0"/>
        <v>224.33719853972775</v>
      </c>
      <c r="E23" s="440"/>
      <c r="F23" s="441"/>
      <c r="G23" s="21">
        <f t="shared" si="1"/>
        <v>224.33719853972775</v>
      </c>
      <c r="H23" s="21">
        <f>'Anexo 6 INSS'!L23</f>
        <v>29.684374965316451</v>
      </c>
      <c r="I23" s="21">
        <f t="shared" si="2"/>
        <v>194.65282357441129</v>
      </c>
      <c r="P23" s="136"/>
    </row>
    <row r="24" spans="1:17" s="15" customFormat="1" ht="12.75" customHeight="1" x14ac:dyDescent="0.2">
      <c r="A24" s="247">
        <v>39539</v>
      </c>
      <c r="B24" s="13"/>
      <c r="C24" s="13">
        <f>'Anexo 4 HE'!U24</f>
        <v>374.66766685337774</v>
      </c>
      <c r="D24" s="308">
        <f t="shared" si="0"/>
        <v>374.66766685337774</v>
      </c>
      <c r="E24" s="440"/>
      <c r="F24" s="441"/>
      <c r="G24" s="21">
        <f t="shared" si="1"/>
        <v>374.66766685337774</v>
      </c>
      <c r="H24" s="21">
        <f>'Anexo 6 INSS'!L24</f>
        <v>43.165669301915131</v>
      </c>
      <c r="I24" s="21">
        <f t="shared" si="2"/>
        <v>331.50199755146264</v>
      </c>
      <c r="P24" s="136"/>
    </row>
    <row r="25" spans="1:17" s="15" customFormat="1" ht="12.75" customHeight="1" x14ac:dyDescent="0.2">
      <c r="A25" s="247">
        <v>39569</v>
      </c>
      <c r="B25" s="13"/>
      <c r="C25" s="13">
        <f>'Anexo 4 HE'!U25</f>
        <v>320.43912631062818</v>
      </c>
      <c r="D25" s="308">
        <f t="shared" si="0"/>
        <v>320.43912631062818</v>
      </c>
      <c r="E25" s="440"/>
      <c r="F25" s="441"/>
      <c r="G25" s="21">
        <f t="shared" si="1"/>
        <v>320.43912631062818</v>
      </c>
      <c r="H25" s="21">
        <f>'Anexo 6 INSS'!L25</f>
        <v>0</v>
      </c>
      <c r="I25" s="21">
        <f t="shared" si="2"/>
        <v>320.43912631062818</v>
      </c>
      <c r="P25" s="136"/>
    </row>
    <row r="26" spans="1:17" s="15" customFormat="1" ht="12.75" customHeight="1" x14ac:dyDescent="0.2">
      <c r="A26" s="247" t="s">
        <v>211</v>
      </c>
      <c r="B26" s="13"/>
      <c r="C26" s="13">
        <f>'Anexo 4 HE'!U26</f>
        <v>0</v>
      </c>
      <c r="D26" s="308">
        <f t="shared" si="0"/>
        <v>0</v>
      </c>
      <c r="E26" s="440"/>
      <c r="F26" s="441"/>
      <c r="G26" s="21">
        <f t="shared" si="1"/>
        <v>0</v>
      </c>
      <c r="H26" s="21">
        <f>'Anexo 6 INSS'!L26</f>
        <v>26.091548162566813</v>
      </c>
      <c r="I26" s="21">
        <v>0</v>
      </c>
      <c r="P26" s="136"/>
    </row>
    <row r="27" spans="1:17" s="15" customFormat="1" ht="12.75" customHeight="1" x14ac:dyDescent="0.2">
      <c r="A27" s="247">
        <v>39600</v>
      </c>
      <c r="B27" s="13"/>
      <c r="C27" s="13">
        <v>0</v>
      </c>
      <c r="D27" s="308">
        <f t="shared" si="0"/>
        <v>0</v>
      </c>
      <c r="E27" s="440"/>
      <c r="F27" s="441"/>
      <c r="G27" s="21">
        <f t="shared" si="1"/>
        <v>0</v>
      </c>
      <c r="H27" s="21">
        <f>'Anexo 6 INSS'!L27</f>
        <v>1.6685683218573804E-3</v>
      </c>
      <c r="I27" s="21">
        <f t="shared" si="2"/>
        <v>-1.6685683218573804E-3</v>
      </c>
      <c r="P27" s="136"/>
    </row>
    <row r="28" spans="1:17" s="15" customFormat="1" ht="12.75" customHeight="1" x14ac:dyDescent="0.2">
      <c r="A28" s="247">
        <v>39630</v>
      </c>
      <c r="B28" s="13"/>
      <c r="C28" s="13">
        <f>'Anexo 4 HE'!U28</f>
        <v>302.83309517918178</v>
      </c>
      <c r="D28" s="308">
        <f t="shared" si="0"/>
        <v>302.83309517918178</v>
      </c>
      <c r="E28" s="440"/>
      <c r="F28" s="441"/>
      <c r="G28" s="21">
        <f t="shared" si="1"/>
        <v>302.83309517918178</v>
      </c>
      <c r="H28" s="21">
        <f>'Anexo 6 INSS'!L28</f>
        <v>36.553319909306197</v>
      </c>
      <c r="I28" s="21">
        <f t="shared" si="2"/>
        <v>266.27977526987559</v>
      </c>
      <c r="P28" s="136"/>
    </row>
    <row r="29" spans="1:17" s="15" customFormat="1" ht="24.75" customHeight="1" x14ac:dyDescent="0.2">
      <c r="A29" s="247">
        <v>39661</v>
      </c>
      <c r="B29" s="13"/>
      <c r="C29" s="13">
        <f>'Anexo 4 HE'!U29</f>
        <v>391.34687654915837</v>
      </c>
      <c r="D29" s="308">
        <f t="shared" si="0"/>
        <v>391.34687654915837</v>
      </c>
      <c r="E29" s="440"/>
      <c r="F29" s="441"/>
      <c r="G29" s="21">
        <f t="shared" si="1"/>
        <v>391.34687654915837</v>
      </c>
      <c r="H29" s="21">
        <f>'Anexo 6 INSS'!L29</f>
        <v>35.223816957538524</v>
      </c>
      <c r="I29" s="21">
        <f t="shared" si="2"/>
        <v>356.12305959161984</v>
      </c>
      <c r="P29" s="136"/>
    </row>
    <row r="30" spans="1:17" s="15" customFormat="1" ht="12.75" customHeight="1" x14ac:dyDescent="0.2">
      <c r="A30" s="247">
        <v>39692</v>
      </c>
      <c r="B30" s="13"/>
      <c r="C30" s="13">
        <f>'Anexo 4 HE'!U30</f>
        <v>263.5046530564228</v>
      </c>
      <c r="D30" s="308">
        <f t="shared" si="0"/>
        <v>263.5046530564228</v>
      </c>
      <c r="E30" s="440"/>
      <c r="F30" s="441"/>
      <c r="G30" s="21">
        <f t="shared" si="1"/>
        <v>263.5046530564228</v>
      </c>
      <c r="H30" s="21">
        <f>'Anexo 6 INSS'!L30</f>
        <v>23.712929533494268</v>
      </c>
      <c r="I30" s="21">
        <f t="shared" si="2"/>
        <v>239.79172352292852</v>
      </c>
      <c r="P30" s="136"/>
    </row>
    <row r="31" spans="1:17" s="15" customFormat="1" ht="12.75" customHeight="1" x14ac:dyDescent="0.2">
      <c r="A31" s="247">
        <v>39722</v>
      </c>
      <c r="B31" s="13"/>
      <c r="C31" s="13">
        <f>'Anexo 4 HE'!U31</f>
        <v>322.47949109373116</v>
      </c>
      <c r="D31" s="308">
        <f t="shared" si="0"/>
        <v>322.47949109373116</v>
      </c>
      <c r="E31" s="440"/>
      <c r="F31" s="441"/>
      <c r="G31" s="21">
        <f t="shared" si="1"/>
        <v>322.47949109373116</v>
      </c>
      <c r="H31" s="21">
        <f>'Anexo 6 INSS'!L31</f>
        <v>29.025119921919895</v>
      </c>
      <c r="I31" s="21">
        <f t="shared" si="2"/>
        <v>293.45437117181126</v>
      </c>
      <c r="P31" s="136"/>
    </row>
    <row r="32" spans="1:17" s="15" customFormat="1" ht="12.75" customHeight="1" x14ac:dyDescent="0.2">
      <c r="A32" s="247">
        <v>39753</v>
      </c>
      <c r="B32" s="13"/>
      <c r="C32" s="13">
        <f>'Anexo 4 HE'!U32</f>
        <v>354.09045262777022</v>
      </c>
      <c r="D32" s="308">
        <f t="shared" si="0"/>
        <v>354.09045262777022</v>
      </c>
      <c r="E32" s="440"/>
      <c r="F32" s="441"/>
      <c r="G32" s="21">
        <f t="shared" si="1"/>
        <v>354.09045262777022</v>
      </c>
      <c r="H32" s="21">
        <f>'Anexo 6 INSS'!L32</f>
        <v>31.867211108460808</v>
      </c>
      <c r="I32" s="21">
        <f t="shared" si="2"/>
        <v>322.2232415193094</v>
      </c>
      <c r="P32" s="136"/>
    </row>
    <row r="33" spans="1:16" s="15" customFormat="1" ht="12.75" customHeight="1" x14ac:dyDescent="0.2">
      <c r="A33" s="247">
        <v>39783</v>
      </c>
      <c r="B33" s="13"/>
      <c r="C33" s="13">
        <f>'Anexo 4 HE'!U33</f>
        <v>312.49254588208942</v>
      </c>
      <c r="D33" s="308">
        <f t="shared" si="0"/>
        <v>312.49254588208942</v>
      </c>
      <c r="E33" s="440"/>
      <c r="F33" s="441"/>
      <c r="G33" s="21">
        <f t="shared" si="1"/>
        <v>312.49254588208942</v>
      </c>
      <c r="H33" s="21">
        <f>'Anexo 6 INSS'!L33</f>
        <v>28.128245808607044</v>
      </c>
      <c r="I33" s="21">
        <f t="shared" si="2"/>
        <v>284.36430007348235</v>
      </c>
      <c r="P33" s="136"/>
    </row>
    <row r="34" spans="1:16" s="15" customFormat="1" ht="18" x14ac:dyDescent="0.2">
      <c r="A34" s="306" t="s">
        <v>139</v>
      </c>
      <c r="B34" s="13"/>
      <c r="C34" s="13">
        <f>'Anexo 4 HE'!U34</f>
        <v>261.57479231625746</v>
      </c>
      <c r="D34" s="308">
        <f t="shared" si="0"/>
        <v>261.57479231625746</v>
      </c>
      <c r="E34" s="440"/>
      <c r="F34" s="441"/>
      <c r="G34" s="21">
        <f t="shared" si="1"/>
        <v>261.57479231625746</v>
      </c>
      <c r="H34" s="21">
        <f>'Anexo 6 INSS'!L34</f>
        <v>23.543900440553074</v>
      </c>
      <c r="I34" s="21">
        <f t="shared" si="2"/>
        <v>238.03089187570438</v>
      </c>
      <c r="P34" s="136"/>
    </row>
    <row r="35" spans="1:16" s="15" customFormat="1" ht="12.75" customHeight="1" x14ac:dyDescent="0.2">
      <c r="A35" s="247">
        <v>39814</v>
      </c>
      <c r="B35" s="13"/>
      <c r="C35" s="13">
        <f>'Anexo 4 HE'!U35</f>
        <v>344.13359824781242</v>
      </c>
      <c r="D35" s="308">
        <f t="shared" si="0"/>
        <v>344.13359824781242</v>
      </c>
      <c r="E35" s="440"/>
      <c r="F35" s="441"/>
      <c r="G35" s="21">
        <f t="shared" si="1"/>
        <v>344.13359824781242</v>
      </c>
      <c r="H35" s="21">
        <f>'Anexo 6 INSS'!L35</f>
        <v>30.973978585185716</v>
      </c>
      <c r="I35" s="21">
        <f t="shared" si="2"/>
        <v>313.15961966262671</v>
      </c>
      <c r="P35" s="136"/>
    </row>
    <row r="36" spans="1:16" s="15" customFormat="1" ht="12.75" customHeight="1" x14ac:dyDescent="0.2">
      <c r="A36" s="247">
        <v>39845</v>
      </c>
      <c r="B36" s="13"/>
      <c r="C36" s="13">
        <f>'Anexo 4 HE'!U36</f>
        <v>436.19021943670481</v>
      </c>
      <c r="D36" s="308">
        <f t="shared" si="0"/>
        <v>436.19021943670481</v>
      </c>
      <c r="E36" s="440"/>
      <c r="F36" s="441"/>
      <c r="G36" s="21">
        <f t="shared" si="1"/>
        <v>436.19021943670481</v>
      </c>
      <c r="H36" s="21">
        <f>'Anexo 6 INSS'!L36</f>
        <v>49.090082961360231</v>
      </c>
      <c r="I36" s="21">
        <f t="shared" si="2"/>
        <v>387.10013647534458</v>
      </c>
      <c r="P36" s="136"/>
    </row>
    <row r="37" spans="1:16" s="15" customFormat="1" ht="12.75" customHeight="1" x14ac:dyDescent="0.2">
      <c r="A37" s="247">
        <v>39873</v>
      </c>
      <c r="B37" s="13"/>
      <c r="C37" s="13">
        <f>'Anexo 4 HE'!U37</f>
        <v>321.31852047583942</v>
      </c>
      <c r="D37" s="308">
        <f t="shared" si="0"/>
        <v>321.31852047583942</v>
      </c>
      <c r="E37" s="440"/>
      <c r="F37" s="441"/>
      <c r="G37" s="21">
        <f t="shared" si="1"/>
        <v>321.31852047583942</v>
      </c>
      <c r="H37" s="21">
        <f>'Anexo 6 INSS'!N37+'Anexo 6 INSS'!P37</f>
        <v>53.481046517624492</v>
      </c>
      <c r="I37" s="21">
        <f t="shared" si="2"/>
        <v>267.8374739582149</v>
      </c>
      <c r="K37" s="5"/>
      <c r="P37" s="136"/>
    </row>
    <row r="38" spans="1:16" s="15" customFormat="1" ht="12.75" customHeight="1" x14ac:dyDescent="0.2">
      <c r="A38" s="247">
        <v>39904</v>
      </c>
      <c r="B38" s="13"/>
      <c r="C38" s="13">
        <f>'Anexo 4 HE'!U38</f>
        <v>392.00639779630143</v>
      </c>
      <c r="D38" s="308">
        <f t="shared" si="0"/>
        <v>392.00639779630143</v>
      </c>
      <c r="E38" s="440"/>
      <c r="F38" s="441"/>
      <c r="G38" s="21">
        <f t="shared" si="1"/>
        <v>392.00639779630143</v>
      </c>
      <c r="H38" s="21">
        <f>'Anexo 6 INSS'!N38+'Anexo 6 INSS'!P38</f>
        <v>61.948119873579572</v>
      </c>
      <c r="I38" s="21">
        <f t="shared" si="2"/>
        <v>330.05827792272186</v>
      </c>
      <c r="K38" s="5"/>
      <c r="O38" s="5"/>
      <c r="P38" s="117"/>
    </row>
    <row r="39" spans="1:16" x14ac:dyDescent="0.2">
      <c r="A39" s="247">
        <v>39934</v>
      </c>
      <c r="B39" s="309"/>
      <c r="C39" s="13">
        <f>'Anexo 4 HE'!U39</f>
        <v>336.13850292398121</v>
      </c>
      <c r="D39" s="308">
        <f t="shared" si="0"/>
        <v>336.13850292398121</v>
      </c>
      <c r="E39" s="440"/>
      <c r="F39" s="441"/>
      <c r="G39" s="21">
        <f t="shared" si="1"/>
        <v>336.13850292398121</v>
      </c>
      <c r="H39" s="21">
        <f>'Anexo 6 INSS'!N39+'Anexo 6 INSS'!P39</f>
        <v>54.762759196636395</v>
      </c>
      <c r="I39" s="21">
        <f t="shared" si="2"/>
        <v>281.3757437273448</v>
      </c>
    </row>
    <row r="40" spans="1:16" x14ac:dyDescent="0.2">
      <c r="A40" s="247">
        <v>39965</v>
      </c>
      <c r="B40" s="309"/>
      <c r="C40" s="13">
        <f>'Anexo 4 HE'!U40</f>
        <v>347.13672948821852</v>
      </c>
      <c r="D40" s="308">
        <f t="shared" si="0"/>
        <v>347.13672948821852</v>
      </c>
      <c r="E40" s="440"/>
      <c r="F40" s="441"/>
      <c r="G40" s="21">
        <f t="shared" si="1"/>
        <v>347.13672948821852</v>
      </c>
      <c r="H40" s="21">
        <f>'Anexo 6 INSS'!N40+'Anexo 6 INSS'!P40</f>
        <v>55.751273299999994</v>
      </c>
      <c r="I40" s="21">
        <f t="shared" si="2"/>
        <v>291.38545618821854</v>
      </c>
    </row>
    <row r="41" spans="1:16" x14ac:dyDescent="0.2">
      <c r="A41" s="247">
        <v>39995</v>
      </c>
      <c r="B41" s="309"/>
      <c r="C41" s="13">
        <f>'Anexo 4 HE'!U41</f>
        <v>369.06756329340101</v>
      </c>
      <c r="D41" s="308">
        <f t="shared" si="0"/>
        <v>369.06756329340101</v>
      </c>
      <c r="E41" s="440"/>
      <c r="F41" s="441"/>
      <c r="G41" s="21">
        <f t="shared" si="1"/>
        <v>369.06756329340101</v>
      </c>
      <c r="H41" s="21">
        <f>'Anexo 6 INSS'!N41+'Anexo 6 INSS'!P41</f>
        <v>58.269864447954561</v>
      </c>
      <c r="I41" s="21">
        <f t="shared" si="2"/>
        <v>310.79769884544646</v>
      </c>
    </row>
    <row r="42" spans="1:16" x14ac:dyDescent="0.2">
      <c r="A42" s="247">
        <v>40026</v>
      </c>
      <c r="B42" s="309"/>
      <c r="C42" s="13">
        <f>'Anexo 4 HE'!U42</f>
        <v>303.89406487715308</v>
      </c>
      <c r="D42" s="308">
        <f t="shared" si="0"/>
        <v>303.89406487715308</v>
      </c>
      <c r="E42" s="440"/>
      <c r="F42" s="441"/>
      <c r="G42" s="21">
        <f t="shared" si="1"/>
        <v>303.89406487715308</v>
      </c>
      <c r="H42" s="21">
        <f>'Anexo 6 INSS'!N42+'Anexo 6 INSS'!P42</f>
        <v>0</v>
      </c>
      <c r="I42" s="21">
        <f t="shared" si="2"/>
        <v>303.89406487715308</v>
      </c>
    </row>
    <row r="43" spans="1:16" x14ac:dyDescent="0.2">
      <c r="A43" s="247" t="s">
        <v>211</v>
      </c>
      <c r="B43" s="309"/>
      <c r="C43" s="13">
        <f>'Anexo 4 HE'!U43</f>
        <v>0</v>
      </c>
      <c r="D43" s="308">
        <f t="shared" si="0"/>
        <v>0</v>
      </c>
      <c r="E43" s="440"/>
      <c r="F43" s="441"/>
      <c r="G43" s="21">
        <f t="shared" si="1"/>
        <v>0</v>
      </c>
      <c r="H43" s="21">
        <f>'Anexo 6 INSS'!N43+'Anexo 6 INSS'!P43</f>
        <v>105.42528148000001</v>
      </c>
      <c r="I43" s="21">
        <v>0</v>
      </c>
    </row>
    <row r="44" spans="1:16" x14ac:dyDescent="0.2">
      <c r="A44" s="247">
        <v>40057</v>
      </c>
      <c r="B44" s="309"/>
      <c r="C44" s="13">
        <f>'Anexo 4 HE'!U44</f>
        <v>67.124498323988519</v>
      </c>
      <c r="D44" s="308">
        <f t="shared" si="0"/>
        <v>67.124498323988519</v>
      </c>
      <c r="E44" s="440"/>
      <c r="F44" s="441"/>
      <c r="G44" s="21">
        <f t="shared" si="1"/>
        <v>67.124498323988519</v>
      </c>
      <c r="H44" s="21">
        <f>'Anexo 6 INSS'!N44+'Anexo 6 INSS'!P44</f>
        <v>7.2016394429090926</v>
      </c>
      <c r="I44" s="21">
        <f t="shared" si="2"/>
        <v>59.922858881079428</v>
      </c>
    </row>
    <row r="45" spans="1:16" x14ac:dyDescent="0.2">
      <c r="A45" s="247">
        <v>40087</v>
      </c>
      <c r="B45" s="309"/>
      <c r="C45" s="13">
        <f>'Anexo 4 HE'!U45</f>
        <v>363.49242391178944</v>
      </c>
      <c r="D45" s="308">
        <f t="shared" si="0"/>
        <v>363.49242391178944</v>
      </c>
      <c r="E45" s="440"/>
      <c r="F45" s="441"/>
      <c r="G45" s="21">
        <f t="shared" si="1"/>
        <v>363.49242391178944</v>
      </c>
      <c r="H45" s="21">
        <f>'Anexo 6 INSS'!N45+'Anexo 6 INSS'!P45</f>
        <v>56.752001546958049</v>
      </c>
      <c r="I45" s="21">
        <f t="shared" si="2"/>
        <v>306.74042236483137</v>
      </c>
    </row>
    <row r="46" spans="1:16" x14ac:dyDescent="0.2">
      <c r="A46" s="247">
        <v>40118</v>
      </c>
      <c r="B46" s="309"/>
      <c r="C46" s="13">
        <f>'Anexo 4 HE'!U46</f>
        <v>314.15059776978512</v>
      </c>
      <c r="D46" s="308">
        <f t="shared" si="0"/>
        <v>314.15059776978512</v>
      </c>
      <c r="E46" s="440"/>
      <c r="F46" s="441"/>
      <c r="G46" s="21">
        <f t="shared" si="1"/>
        <v>314.15059776978512</v>
      </c>
      <c r="H46" s="21">
        <f>'Anexo 6 INSS'!N46+'Anexo 6 INSS'!P46</f>
        <v>50.928455701150547</v>
      </c>
      <c r="I46" s="21">
        <f t="shared" si="2"/>
        <v>263.22214206863458</v>
      </c>
    </row>
    <row r="47" spans="1:16" x14ac:dyDescent="0.2">
      <c r="A47" s="247">
        <v>40148</v>
      </c>
      <c r="B47" s="309"/>
      <c r="C47" s="13">
        <f>'Anexo 4 HE'!U47</f>
        <v>361.74339048127933</v>
      </c>
      <c r="D47" s="308">
        <f t="shared" si="0"/>
        <v>361.74339048127933</v>
      </c>
      <c r="E47" s="440"/>
      <c r="F47" s="441"/>
      <c r="G47" s="21">
        <f t="shared" si="1"/>
        <v>361.74339048127933</v>
      </c>
      <c r="H47" s="21">
        <f>'Anexo 6 INSS'!N47+'Anexo 6 INSS'!P47</f>
        <v>43.0446534645341</v>
      </c>
      <c r="I47" s="21">
        <f t="shared" si="2"/>
        <v>318.69873701674521</v>
      </c>
    </row>
    <row r="48" spans="1:16" ht="18" x14ac:dyDescent="0.2">
      <c r="A48" s="306" t="s">
        <v>138</v>
      </c>
      <c r="B48" s="309"/>
      <c r="C48" s="13">
        <f>'Anexo 4 HE'!U48</f>
        <v>278.50163451920218</v>
      </c>
      <c r="D48" s="308">
        <f t="shared" si="0"/>
        <v>278.50163451920218</v>
      </c>
      <c r="E48" s="440"/>
      <c r="F48" s="441"/>
      <c r="G48" s="21">
        <f t="shared" si="1"/>
        <v>278.50163451920218</v>
      </c>
      <c r="H48" s="21">
        <f>'Anexo 6 INSS'!N48+'Anexo 6 INSS'!P48</f>
        <v>33.129758798906266</v>
      </c>
      <c r="I48" s="21">
        <f t="shared" si="2"/>
        <v>245.37187572029592</v>
      </c>
    </row>
    <row r="49" spans="1:9" x14ac:dyDescent="0.2">
      <c r="A49" s="247">
        <v>40179</v>
      </c>
      <c r="B49" s="309"/>
      <c r="C49" s="13">
        <f>'Anexo 4 HE'!U49</f>
        <v>348.88065175298988</v>
      </c>
      <c r="D49" s="308">
        <f t="shared" si="0"/>
        <v>348.88065175298988</v>
      </c>
      <c r="E49" s="440"/>
      <c r="F49" s="441"/>
      <c r="G49" s="21">
        <f t="shared" si="1"/>
        <v>348.88065175298988</v>
      </c>
      <c r="H49" s="21">
        <f>'Anexo 6 INSS'!N49+'Anexo 6 INSS'!P49</f>
        <v>41.333454854545458</v>
      </c>
      <c r="I49" s="21">
        <f t="shared" si="2"/>
        <v>307.54719689844444</v>
      </c>
    </row>
    <row r="50" spans="1:9" x14ac:dyDescent="0.2">
      <c r="A50" s="247">
        <v>40210</v>
      </c>
      <c r="B50" s="309"/>
      <c r="C50" s="13">
        <f>'Anexo 4 HE'!U50</f>
        <v>356.20506585667505</v>
      </c>
      <c r="D50" s="308">
        <f t="shared" si="0"/>
        <v>356.20506585667505</v>
      </c>
      <c r="E50" s="440"/>
      <c r="F50" s="441"/>
      <c r="G50" s="21">
        <f t="shared" si="1"/>
        <v>356.20506585667505</v>
      </c>
      <c r="H50" s="21">
        <f>'Anexo 6 INSS'!N50+'Anexo 6 INSS'!P50</f>
        <v>55.533301356521733</v>
      </c>
      <c r="I50" s="21">
        <f t="shared" si="2"/>
        <v>300.6717645001533</v>
      </c>
    </row>
    <row r="51" spans="1:9" x14ac:dyDescent="0.2">
      <c r="A51" s="247">
        <v>40238</v>
      </c>
      <c r="B51" s="309"/>
      <c r="C51" s="13">
        <f>'Anexo 4 HE'!U51</f>
        <v>288.19821175916849</v>
      </c>
      <c r="D51" s="308">
        <f t="shared" si="0"/>
        <v>288.19821175916849</v>
      </c>
      <c r="E51" s="440"/>
      <c r="F51" s="441"/>
      <c r="G51" s="21">
        <f t="shared" si="1"/>
        <v>288.19821175916849</v>
      </c>
      <c r="H51" s="21">
        <f>'Anexo 6 INSS'!N51+'Anexo 6 INSS'!P51</f>
        <v>47.509866136363655</v>
      </c>
      <c r="I51" s="21">
        <f t="shared" si="2"/>
        <v>240.68834562280483</v>
      </c>
    </row>
    <row r="52" spans="1:9" x14ac:dyDescent="0.2">
      <c r="A52" s="247">
        <v>40269</v>
      </c>
      <c r="B52" s="309"/>
      <c r="C52" s="13">
        <f>'Anexo 4 HE'!U52</f>
        <v>586.31254586916634</v>
      </c>
      <c r="D52" s="308">
        <f t="shared" si="0"/>
        <v>586.31254586916634</v>
      </c>
      <c r="E52" s="440"/>
      <c r="F52" s="441"/>
      <c r="G52" s="21">
        <f t="shared" si="1"/>
        <v>586.31254586916634</v>
      </c>
      <c r="H52" s="21">
        <f>'Anexo 6 INSS'!N52+'Anexo 6 INSS'!P52</f>
        <v>81.822616221306788</v>
      </c>
      <c r="I52" s="21">
        <f t="shared" si="2"/>
        <v>504.48992964785953</v>
      </c>
    </row>
    <row r="53" spans="1:9" x14ac:dyDescent="0.2">
      <c r="A53" s="247">
        <v>40299</v>
      </c>
      <c r="B53" s="309"/>
      <c r="C53" s="13">
        <f>'Anexo 4 HE'!U53</f>
        <v>465.45943504873861</v>
      </c>
      <c r="D53" s="308">
        <f t="shared" si="0"/>
        <v>465.45943504873861</v>
      </c>
      <c r="E53" s="440"/>
      <c r="F53" s="441"/>
      <c r="G53" s="21">
        <f t="shared" si="1"/>
        <v>465.45943504873861</v>
      </c>
      <c r="H53" s="21">
        <f>'Anexo 6 INSS'!N53+'Anexo 6 INSS'!P53</f>
        <v>67.3474690180214</v>
      </c>
      <c r="I53" s="21">
        <f t="shared" si="2"/>
        <v>398.11196603071721</v>
      </c>
    </row>
    <row r="54" spans="1:9" x14ac:dyDescent="0.2">
      <c r="A54" s="247">
        <v>40330</v>
      </c>
      <c r="B54" s="313">
        <f>'Anexo 3 Dif Sal'!H13</f>
        <v>0</v>
      </c>
      <c r="C54" s="13">
        <f>'Anexo 4 HE'!U54</f>
        <v>278.02790109082991</v>
      </c>
      <c r="D54" s="308">
        <f t="shared" si="0"/>
        <v>278.02790109082991</v>
      </c>
      <c r="E54" s="440"/>
      <c r="F54" s="441"/>
      <c r="G54" s="21">
        <f t="shared" si="1"/>
        <v>278.02790109082991</v>
      </c>
      <c r="H54" s="21">
        <f>'Anexo 6 INSS'!N54+'Anexo 6 INSS'!P54</f>
        <v>0</v>
      </c>
      <c r="I54" s="21">
        <f t="shared" si="2"/>
        <v>278.02790109082991</v>
      </c>
    </row>
    <row r="55" spans="1:9" x14ac:dyDescent="0.2">
      <c r="A55" s="247" t="s">
        <v>211</v>
      </c>
      <c r="B55" s="313">
        <v>0</v>
      </c>
      <c r="C55" s="13">
        <f>'Anexo 4 HE'!U55</f>
        <v>0</v>
      </c>
      <c r="D55" s="308">
        <f t="shared" si="0"/>
        <v>0</v>
      </c>
      <c r="E55" s="440"/>
      <c r="F55" s="441"/>
      <c r="G55" s="21">
        <f t="shared" si="1"/>
        <v>0</v>
      </c>
      <c r="H55" s="21">
        <f>'Anexo 6 INSS'!N55+'Anexo 6 INSS'!P55</f>
        <v>35.454486209999985</v>
      </c>
      <c r="I55" s="21">
        <v>0</v>
      </c>
    </row>
    <row r="56" spans="1:9" x14ac:dyDescent="0.2">
      <c r="A56" s="247">
        <v>40360</v>
      </c>
      <c r="B56" s="313">
        <f>'Anexo 3 Dif Sal'!H14</f>
        <v>79.496638993755852</v>
      </c>
      <c r="C56" s="13">
        <f>'Anexo 4 HE'!U56</f>
        <v>332.24951103812344</v>
      </c>
      <c r="D56" s="308">
        <f t="shared" si="0"/>
        <v>411.74615003187932</v>
      </c>
      <c r="E56" s="440"/>
      <c r="F56" s="441"/>
      <c r="G56" s="21">
        <f t="shared" si="1"/>
        <v>411.74615003187932</v>
      </c>
      <c r="H56" s="21">
        <f>'Anexo 6 INSS'!N56+'Anexo 6 INSS'!P56</f>
        <v>60.722180791495802</v>
      </c>
      <c r="I56" s="21">
        <f t="shared" si="2"/>
        <v>351.02396924038351</v>
      </c>
    </row>
    <row r="57" spans="1:9" x14ac:dyDescent="0.2">
      <c r="A57" s="247">
        <v>40391</v>
      </c>
      <c r="B57" s="313">
        <f>'Anexo 3 Dif Sal'!H15</f>
        <v>79.424442175818072</v>
      </c>
      <c r="C57" s="13">
        <f>'Anexo 4 HE'!U57</f>
        <v>535.75587295036576</v>
      </c>
      <c r="D57" s="308">
        <f t="shared" si="0"/>
        <v>615.18031512618381</v>
      </c>
      <c r="E57" s="440"/>
      <c r="F57" s="441"/>
      <c r="G57" s="21">
        <f t="shared" si="1"/>
        <v>615.18031512618381</v>
      </c>
      <c r="H57" s="21">
        <f>'Anexo 6 INSS'!N57+'Anexo 6 INSS'!P57</f>
        <v>119.8943791974265</v>
      </c>
      <c r="I57" s="21">
        <f t="shared" si="2"/>
        <v>495.28593592875734</v>
      </c>
    </row>
    <row r="58" spans="1:9" x14ac:dyDescent="0.2">
      <c r="A58" s="247">
        <v>40422</v>
      </c>
      <c r="B58" s="313">
        <f>'Anexo 3 Dif Sal'!H16</f>
        <v>79.368725330635968</v>
      </c>
      <c r="C58" s="13">
        <f>'Anexo 4 HE'!U58</f>
        <v>500.42558548059259</v>
      </c>
      <c r="D58" s="308">
        <f t="shared" si="0"/>
        <v>579.79431081122857</v>
      </c>
      <c r="E58" s="440"/>
      <c r="F58" s="441"/>
      <c r="G58" s="21">
        <f t="shared" si="1"/>
        <v>579.79431081122857</v>
      </c>
      <c r="H58" s="21">
        <f>'Anexo 6 INSS'!N58+'Anexo 6 INSS'!P58</f>
        <v>119.53056509669591</v>
      </c>
      <c r="I58" s="21">
        <f t="shared" si="2"/>
        <v>460.26374571453266</v>
      </c>
    </row>
    <row r="59" spans="1:9" x14ac:dyDescent="0.2">
      <c r="A59" s="247">
        <v>40452</v>
      </c>
      <c r="B59" s="313">
        <f>'Anexo 3 Dif Sal'!H17</f>
        <v>79.331280966020032</v>
      </c>
      <c r="C59" s="13">
        <f>'Anexo 4 HE'!U59</f>
        <v>464.69962981420417</v>
      </c>
      <c r="D59" s="308">
        <f t="shared" si="0"/>
        <v>544.03091078022419</v>
      </c>
      <c r="E59" s="440"/>
      <c r="F59" s="441"/>
      <c r="G59" s="21">
        <f t="shared" si="1"/>
        <v>544.03091078022419</v>
      </c>
      <c r="H59" s="21">
        <f>'Anexo 6 INSS'!N59+'Anexo 6 INSS'!P59</f>
        <v>108.08704018437999</v>
      </c>
      <c r="I59" s="21">
        <f t="shared" si="2"/>
        <v>435.9438705958442</v>
      </c>
    </row>
    <row r="60" spans="1:9" x14ac:dyDescent="0.2">
      <c r="A60" s="247">
        <v>40483</v>
      </c>
      <c r="B60" s="313">
        <f>'Anexo 3 Dif Sal'!H18</f>
        <v>9.2543347340995989</v>
      </c>
      <c r="C60" s="13">
        <f>'Anexo 4 HE'!U60</f>
        <v>502.32101281231968</v>
      </c>
      <c r="D60" s="308">
        <f t="shared" si="0"/>
        <v>511.57534754641927</v>
      </c>
      <c r="E60" s="440"/>
      <c r="F60" s="441"/>
      <c r="G60" s="21">
        <f t="shared" si="1"/>
        <v>511.57534754641927</v>
      </c>
      <c r="H60" s="21">
        <f>'Anexo 6 INSS'!N60+'Anexo 6 INSS'!P60</f>
        <v>109.119413316855</v>
      </c>
      <c r="I60" s="21">
        <f t="shared" si="2"/>
        <v>402.45593422956426</v>
      </c>
    </row>
    <row r="61" spans="1:9" x14ac:dyDescent="0.2">
      <c r="A61" s="247">
        <v>40513</v>
      </c>
      <c r="B61" s="313">
        <f>'Anexo 3 Dif Sal'!H19</f>
        <v>9.2413414080798386</v>
      </c>
      <c r="C61" s="13">
        <f>'Anexo 4 HE'!U61</f>
        <v>533.35289592697688</v>
      </c>
      <c r="D61" s="308">
        <f t="shared" si="0"/>
        <v>542.59423733505673</v>
      </c>
      <c r="E61" s="440"/>
      <c r="F61" s="441"/>
      <c r="G61" s="21">
        <f t="shared" si="1"/>
        <v>542.59423733505673</v>
      </c>
      <c r="H61" s="21">
        <f>'Anexo 6 INSS'!N61+'Anexo 6 INSS'!P61</f>
        <v>116.96025876627179</v>
      </c>
      <c r="I61" s="21">
        <f t="shared" si="2"/>
        <v>425.63397856878493</v>
      </c>
    </row>
    <row r="62" spans="1:9" ht="18" x14ac:dyDescent="0.2">
      <c r="A62" s="306" t="s">
        <v>172</v>
      </c>
      <c r="B62" s="314">
        <v>0</v>
      </c>
      <c r="C62" s="13">
        <f>'Anexo 4 HE'!U62</f>
        <v>387.15110753198837</v>
      </c>
      <c r="D62" s="308">
        <f t="shared" si="0"/>
        <v>387.15110753198837</v>
      </c>
      <c r="E62" s="440"/>
      <c r="F62" s="441"/>
      <c r="G62" s="21">
        <f t="shared" si="1"/>
        <v>387.15110753198837</v>
      </c>
      <c r="H62" s="21">
        <f>'Anexo 6 INSS'!N62+'Anexo 6 INSS'!P62</f>
        <v>88.067676933943204</v>
      </c>
      <c r="I62" s="21">
        <f t="shared" si="2"/>
        <v>299.0834305980452</v>
      </c>
    </row>
    <row r="63" spans="1:9" x14ac:dyDescent="0.2">
      <c r="A63" s="247">
        <v>40544</v>
      </c>
      <c r="B63" s="313">
        <f>'Anexo 3 Dif Sal'!H20</f>
        <v>9.2347385700022908</v>
      </c>
      <c r="C63" s="13">
        <f>'Anexo 4 HE'!U63</f>
        <v>488.51350865714431</v>
      </c>
      <c r="D63" s="308">
        <f t="shared" si="0"/>
        <v>497.74824722714658</v>
      </c>
      <c r="E63" s="440"/>
      <c r="F63" s="441"/>
      <c r="G63" s="21">
        <f t="shared" si="1"/>
        <v>497.74824722714658</v>
      </c>
      <c r="H63" s="21">
        <f>'Anexo 6 INSS'!N63+'Anexo 6 INSS'!P63</f>
        <v>101.50166170883396</v>
      </c>
      <c r="I63" s="21">
        <f t="shared" si="2"/>
        <v>396.2465855183126</v>
      </c>
    </row>
    <row r="64" spans="1:9" x14ac:dyDescent="0.2">
      <c r="A64" s="247">
        <v>40575</v>
      </c>
      <c r="B64" s="313">
        <f>'Anexo 3 Dif Sal'!H21</f>
        <v>9.229902101301203</v>
      </c>
      <c r="C64" s="13">
        <f>'Anexo 4 HE'!U64</f>
        <v>460.53667973694343</v>
      </c>
      <c r="D64" s="308">
        <f t="shared" si="0"/>
        <v>469.76658183824463</v>
      </c>
      <c r="E64" s="440"/>
      <c r="F64" s="441"/>
      <c r="G64" s="21">
        <f t="shared" si="1"/>
        <v>469.76658183824463</v>
      </c>
      <c r="H64" s="21">
        <f>'Anexo 6 INSS'!N64+'Anexo 6 INSS'!P64</f>
        <v>97.963780336746652</v>
      </c>
      <c r="I64" s="21">
        <f t="shared" si="2"/>
        <v>371.80280150149798</v>
      </c>
    </row>
    <row r="65" spans="1:9" x14ac:dyDescent="0.2">
      <c r="A65" s="247">
        <v>40603</v>
      </c>
      <c r="B65" s="313">
        <f>'Anexo 3 Dif Sal'!H22</f>
        <v>9.2187290017510826</v>
      </c>
      <c r="C65" s="13">
        <f>'Anexo 4 HE'!U65</f>
        <v>525.43760631763064</v>
      </c>
      <c r="D65" s="308">
        <f t="shared" si="0"/>
        <v>534.6563353193817</v>
      </c>
      <c r="E65" s="440"/>
      <c r="F65" s="441"/>
      <c r="G65" s="21">
        <f t="shared" si="1"/>
        <v>534.6563353193817</v>
      </c>
      <c r="H65" s="21">
        <f>'Anexo 6 INSS'!N65+'Anexo 6 INSS'!P65</f>
        <v>105.11821180432025</v>
      </c>
      <c r="I65" s="21">
        <f t="shared" si="2"/>
        <v>429.53812351506144</v>
      </c>
    </row>
    <row r="66" spans="1:9" x14ac:dyDescent="0.2">
      <c r="A66" s="247">
        <v>40634</v>
      </c>
      <c r="B66" s="313">
        <f>'Anexo 3 Dif Sal'!H23</f>
        <v>9.2153285455177851</v>
      </c>
      <c r="C66" s="13">
        <f>'Anexo 4 HE'!U66</f>
        <v>573.92872421695586</v>
      </c>
      <c r="D66" s="308">
        <f t="shared" si="0"/>
        <v>583.14405276247362</v>
      </c>
      <c r="E66" s="440"/>
      <c r="F66" s="441"/>
      <c r="G66" s="21">
        <f t="shared" si="1"/>
        <v>583.14405276247362</v>
      </c>
      <c r="H66" s="21">
        <f>'Anexo 6 INSS'!N66+'Anexo 6 INSS'!P66</f>
        <v>112.99025757169922</v>
      </c>
      <c r="I66" s="21">
        <f t="shared" si="2"/>
        <v>470.15379519077442</v>
      </c>
    </row>
    <row r="67" spans="1:9" x14ac:dyDescent="0.2">
      <c r="A67" s="247">
        <v>40664</v>
      </c>
      <c r="B67" s="313">
        <f>'Anexo 3 Dif Sal'!H24</f>
        <v>9.2008831589582272</v>
      </c>
      <c r="C67" s="13">
        <f>'Anexo 4 HE'!U67</f>
        <v>301.53791428217266</v>
      </c>
      <c r="D67" s="308">
        <f t="shared" si="0"/>
        <v>310.73879744113088</v>
      </c>
      <c r="E67" s="440"/>
      <c r="F67" s="441"/>
      <c r="G67" s="21">
        <f t="shared" si="1"/>
        <v>310.73879744113088</v>
      </c>
      <c r="H67" s="21">
        <f>'Anexo 6 INSS'!N67+'Anexo 6 INSS'!P67</f>
        <v>33.498600040519086</v>
      </c>
      <c r="I67" s="21">
        <f t="shared" si="2"/>
        <v>277.24019740061181</v>
      </c>
    </row>
    <row r="68" spans="1:9" x14ac:dyDescent="0.2">
      <c r="A68" s="247">
        <v>40695</v>
      </c>
      <c r="B68" s="313">
        <f>'Anexo 3 Dif Sal'!H25</f>
        <v>9.1906447806725513</v>
      </c>
      <c r="C68" s="13">
        <f>'Anexo 4 HE'!U68</f>
        <v>530.87953319755354</v>
      </c>
      <c r="D68" s="308">
        <f t="shared" si="0"/>
        <v>540.07017797822607</v>
      </c>
      <c r="E68" s="440"/>
      <c r="F68" s="441"/>
      <c r="G68" s="21">
        <f t="shared" si="1"/>
        <v>540.07017797822607</v>
      </c>
      <c r="H68" s="21">
        <f>'Anexo 6 INSS'!N68+'Anexo 6 INSS'!P68</f>
        <v>116.2842163731778</v>
      </c>
      <c r="I68" s="21">
        <f t="shared" si="2"/>
        <v>423.78596160504827</v>
      </c>
    </row>
    <row r="69" spans="1:9" x14ac:dyDescent="0.2">
      <c r="A69" s="247">
        <v>40725</v>
      </c>
      <c r="B69" s="313">
        <f>'Anexo 3 Dif Sal'!H26</f>
        <v>106.45824741453163</v>
      </c>
      <c r="C69" s="13">
        <f>'Anexo 4 HE'!U69</f>
        <v>514.6568294407665</v>
      </c>
      <c r="D69" s="308">
        <f t="shared" si="0"/>
        <v>621.11507685529818</v>
      </c>
      <c r="E69" s="440"/>
      <c r="F69" s="441"/>
      <c r="G69" s="21">
        <f t="shared" si="1"/>
        <v>621.11507685529818</v>
      </c>
      <c r="H69" s="21">
        <f>'Anexo 6 INSS'!N69+'Anexo 6 INSS'!P69</f>
        <v>113.83907093649216</v>
      </c>
      <c r="I69" s="21">
        <f t="shared" si="2"/>
        <v>507.27600591880605</v>
      </c>
    </row>
    <row r="70" spans="1:9" x14ac:dyDescent="0.2">
      <c r="A70" s="247">
        <v>40756</v>
      </c>
      <c r="B70" s="313">
        <f>'Anexo 3 Dif Sal'!H27</f>
        <v>106.23769795358001</v>
      </c>
      <c r="C70" s="13">
        <f>'Anexo 4 HE'!U70</f>
        <v>513.47513512750788</v>
      </c>
      <c r="D70" s="308">
        <f t="shared" si="0"/>
        <v>619.71283308108787</v>
      </c>
      <c r="E70" s="440"/>
      <c r="F70" s="441"/>
      <c r="G70" s="21">
        <f t="shared" si="1"/>
        <v>619.71283308108787</v>
      </c>
      <c r="H70" s="21">
        <f>'Anexo 6 INSS'!N70+'Anexo 6 INSS'!P70</f>
        <v>115.5048108623932</v>
      </c>
      <c r="I70" s="21">
        <f t="shared" si="2"/>
        <v>504.20802221869468</v>
      </c>
    </row>
    <row r="71" spans="1:9" x14ac:dyDescent="0.2">
      <c r="A71" s="247">
        <v>40787</v>
      </c>
      <c r="B71" s="313">
        <f>'Anexo 3 Dif Sal'!H28</f>
        <v>106.13124831152351</v>
      </c>
      <c r="C71" s="13">
        <f>'Anexo 4 HE'!U71</f>
        <v>495.92715770964116</v>
      </c>
      <c r="D71" s="308">
        <f t="shared" si="0"/>
        <v>602.05840602116473</v>
      </c>
      <c r="E71" s="440"/>
      <c r="F71" s="441"/>
      <c r="G71" s="21">
        <f t="shared" si="1"/>
        <v>602.05840602116473</v>
      </c>
      <c r="H71" s="21">
        <f>'Anexo 6 INSS'!N71+'Anexo 6 INSS'!P71</f>
        <v>60.384535237022781</v>
      </c>
      <c r="I71" s="21">
        <f t="shared" si="2"/>
        <v>541.67387078414197</v>
      </c>
    </row>
    <row r="72" spans="1:9" x14ac:dyDescent="0.2">
      <c r="A72" s="247" t="s">
        <v>211</v>
      </c>
      <c r="B72" s="314">
        <v>0</v>
      </c>
      <c r="C72" s="13">
        <f>'Anexo 4 HE'!U72</f>
        <v>0</v>
      </c>
      <c r="D72" s="308">
        <f t="shared" si="0"/>
        <v>0</v>
      </c>
      <c r="E72" s="440"/>
      <c r="F72" s="441"/>
      <c r="G72" s="21">
        <f t="shared" si="1"/>
        <v>0</v>
      </c>
      <c r="H72" s="21">
        <f>'Anexo 6 INSS'!N72+'Anexo 6 INSS'!P72</f>
        <v>4.6940000002392067E-4</v>
      </c>
      <c r="I72" s="21">
        <f t="shared" si="2"/>
        <v>-4.6940000002392067E-4</v>
      </c>
    </row>
    <row r="73" spans="1:9" x14ac:dyDescent="0.2">
      <c r="A73" s="247">
        <v>40817</v>
      </c>
      <c r="B73" s="313">
        <f>'Anexo 3 Dif Sal'!H29</f>
        <v>37.291683486042089</v>
      </c>
      <c r="C73" s="13">
        <v>0</v>
      </c>
      <c r="D73" s="308">
        <f t="shared" si="0"/>
        <v>37.291683486042089</v>
      </c>
      <c r="E73" s="440"/>
      <c r="F73" s="441"/>
      <c r="G73" s="21">
        <f t="shared" si="1"/>
        <v>37.291683486042089</v>
      </c>
      <c r="H73" s="21">
        <f>'Anexo 6 INSS'!N73+'Anexo 6 INSS'!P73</f>
        <v>3.8860427265659943</v>
      </c>
      <c r="I73" s="21">
        <f t="shared" si="2"/>
        <v>33.405640759476093</v>
      </c>
    </row>
    <row r="74" spans="1:9" x14ac:dyDescent="0.2">
      <c r="A74" s="247">
        <v>40848</v>
      </c>
      <c r="B74" s="313">
        <f>'Anexo 3 Dif Sal'!H30</f>
        <v>37.267645854465961</v>
      </c>
      <c r="C74" s="13">
        <f>'Anexo 4 HE'!U74</f>
        <v>335.55399142814696</v>
      </c>
      <c r="D74" s="308">
        <f t="shared" si="0"/>
        <v>372.82163728261293</v>
      </c>
      <c r="E74" s="440"/>
      <c r="F74" s="441"/>
      <c r="G74" s="21">
        <f t="shared" si="1"/>
        <v>372.82163728261293</v>
      </c>
      <c r="H74" s="21">
        <f>'Anexo 6 INSS'!N74+'Anexo 6 INSS'!P74</f>
        <v>38.576039915996802</v>
      </c>
      <c r="I74" s="21">
        <f t="shared" si="2"/>
        <v>334.24559736661615</v>
      </c>
    </row>
    <row r="75" spans="1:9" x14ac:dyDescent="0.2">
      <c r="A75" s="247">
        <v>40878</v>
      </c>
      <c r="B75" s="313">
        <f>'Anexo 3 Dif Sal'!H31</f>
        <v>37.232758759508286</v>
      </c>
      <c r="C75" s="13">
        <f>'Anexo 4 HE'!U75</f>
        <v>387.83249029457374</v>
      </c>
      <c r="D75" s="308">
        <f t="shared" si="0"/>
        <v>425.06524905408202</v>
      </c>
      <c r="E75" s="440"/>
      <c r="F75" s="441"/>
      <c r="G75" s="21">
        <f t="shared" si="1"/>
        <v>425.06524905408202</v>
      </c>
      <c r="H75" s="21">
        <f>'Anexo 6 INSS'!N75+'Anexo 6 INSS'!P75</f>
        <v>87.531760164363874</v>
      </c>
      <c r="I75" s="21">
        <f t="shared" si="2"/>
        <v>337.53348888971811</v>
      </c>
    </row>
    <row r="76" spans="1:9" ht="18" x14ac:dyDescent="0.2">
      <c r="A76" s="306" t="s">
        <v>173</v>
      </c>
      <c r="B76" s="314">
        <v>0</v>
      </c>
      <c r="C76" s="13">
        <f>'Anexo 4 HE'!U76</f>
        <v>400.36637289903672</v>
      </c>
      <c r="D76" s="308">
        <f t="shared" si="0"/>
        <v>400.36637289903672</v>
      </c>
      <c r="E76" s="440"/>
      <c r="F76" s="441"/>
      <c r="G76" s="21">
        <f t="shared" si="1"/>
        <v>400.36637289903672</v>
      </c>
      <c r="H76" s="21">
        <f>'Anexo 6 INSS'!N76+'Anexo 6 INSS'!P76</f>
        <v>41.113052037191103</v>
      </c>
      <c r="I76" s="21">
        <f t="shared" si="2"/>
        <v>359.25332086184562</v>
      </c>
    </row>
    <row r="77" spans="1:9" x14ac:dyDescent="0.2">
      <c r="A77" s="247">
        <v>40909</v>
      </c>
      <c r="B77" s="313">
        <f>'Anexo 3 Dif Sal'!H32</f>
        <v>37.20061742605219</v>
      </c>
      <c r="C77" s="13">
        <f>'Anexo 4 HE'!U77</f>
        <v>454.83443769224385</v>
      </c>
      <c r="D77" s="308">
        <f t="shared" si="0"/>
        <v>492.03505511829604</v>
      </c>
      <c r="E77" s="440"/>
      <c r="F77" s="441"/>
      <c r="G77" s="21">
        <f t="shared" si="1"/>
        <v>492.03505511829604</v>
      </c>
      <c r="H77" s="21">
        <f>'Anexo 6 INSS'!N77+'Anexo 6 INSS'!P77</f>
        <v>50.277408902229524</v>
      </c>
      <c r="I77" s="21">
        <f t="shared" si="2"/>
        <v>441.75764621606652</v>
      </c>
    </row>
    <row r="78" spans="1:9" x14ac:dyDescent="0.2">
      <c r="A78" s="247">
        <v>40940</v>
      </c>
      <c r="B78" s="313">
        <f>'Anexo 3 Dif Sal'!H33</f>
        <v>37.20061742605219</v>
      </c>
      <c r="C78" s="13">
        <f>'Anexo 4 HE'!U78</f>
        <v>528.32739867866871</v>
      </c>
      <c r="D78" s="308">
        <f t="shared" ref="D78:D80" si="3">SUM(B78:C78)</f>
        <v>565.5280161047209</v>
      </c>
      <c r="E78" s="440"/>
      <c r="F78" s="441"/>
      <c r="G78" s="21">
        <f t="shared" ref="G78:G80" si="4">D78</f>
        <v>565.5280161047209</v>
      </c>
      <c r="H78" s="21">
        <f>'Anexo 6 INSS'!N78+'Anexo 6 INSS'!P78</f>
        <v>104.46724483676897</v>
      </c>
      <c r="I78" s="21">
        <f t="shared" ref="I78:I80" si="5">G78-H78</f>
        <v>461.06077126795196</v>
      </c>
    </row>
    <row r="79" spans="1:9" x14ac:dyDescent="0.2">
      <c r="A79" s="247">
        <v>40969</v>
      </c>
      <c r="B79" s="313">
        <f>'Anexo 3 Dif Sal'!H34</f>
        <v>37.160929553289286</v>
      </c>
      <c r="C79" s="13">
        <f>'Anexo 4 HE'!U79</f>
        <v>338.43476963263885</v>
      </c>
      <c r="D79" s="308">
        <f t="shared" si="3"/>
        <v>375.59569918592814</v>
      </c>
      <c r="E79" s="440"/>
      <c r="F79" s="441"/>
      <c r="G79" s="21">
        <f t="shared" si="4"/>
        <v>375.59569918592814</v>
      </c>
      <c r="H79" s="21">
        <f>'Anexo 6 INSS'!N79+'Anexo 6 INSS'!P79</f>
        <v>37.912608551795969</v>
      </c>
      <c r="I79" s="21">
        <f t="shared" si="5"/>
        <v>337.68309063413216</v>
      </c>
    </row>
    <row r="80" spans="1:9" x14ac:dyDescent="0.2">
      <c r="A80" s="307">
        <v>41024</v>
      </c>
      <c r="B80" s="313">
        <f>'Anexo 3 Dif Sal'!H35</f>
        <v>30.960413280593006</v>
      </c>
      <c r="C80" s="13">
        <f>'Anexo 4 HE'!U80</f>
        <v>563.86598615003811</v>
      </c>
      <c r="D80" s="308">
        <f t="shared" si="3"/>
        <v>594.82639943063111</v>
      </c>
      <c r="E80" s="440"/>
      <c r="F80" s="441"/>
      <c r="G80" s="21">
        <f t="shared" si="4"/>
        <v>594.82639943063111</v>
      </c>
      <c r="H80" s="21">
        <f>'Anexo 6 INSS'!N80+'Anexo 6 INSS'!P80</f>
        <v>72.912377714230018</v>
      </c>
      <c r="I80" s="21">
        <f t="shared" si="5"/>
        <v>521.91402171640107</v>
      </c>
    </row>
    <row r="81" spans="1:16" s="311" customFormat="1" ht="12" x14ac:dyDescent="0.2">
      <c r="A81" s="429" t="s">
        <v>116</v>
      </c>
      <c r="B81" s="429"/>
      <c r="C81" s="429"/>
      <c r="D81" s="429"/>
      <c r="E81" s="429"/>
      <c r="F81" s="429"/>
      <c r="G81" s="429"/>
      <c r="H81" s="429"/>
      <c r="I81" s="310">
        <f>SUM(I13:I80)</f>
        <v>20998.094846144304</v>
      </c>
      <c r="P81" s="312"/>
    </row>
    <row r="82" spans="1:16" x14ac:dyDescent="0.2">
      <c r="A82" s="124"/>
      <c r="B82" s="124"/>
      <c r="C82" s="124"/>
      <c r="D82" s="124"/>
    </row>
    <row r="83" spans="1:16" x14ac:dyDescent="0.2">
      <c r="A83" s="124"/>
      <c r="B83" s="124"/>
      <c r="C83" s="124"/>
      <c r="D83" s="124"/>
    </row>
    <row r="84" spans="1:16" x14ac:dyDescent="0.2">
      <c r="A84" s="124"/>
      <c r="B84" s="124"/>
      <c r="C84" s="124"/>
      <c r="D84" s="124"/>
    </row>
    <row r="85" spans="1:16" x14ac:dyDescent="0.2">
      <c r="A85" s="124"/>
      <c r="B85" s="124"/>
      <c r="C85" s="124"/>
      <c r="D85" s="124"/>
    </row>
    <row r="86" spans="1:16" x14ac:dyDescent="0.2">
      <c r="A86" s="124"/>
      <c r="B86" s="124"/>
      <c r="C86" s="124"/>
      <c r="D86" s="124"/>
    </row>
    <row r="87" spans="1:16" x14ac:dyDescent="0.2">
      <c r="A87" s="124"/>
      <c r="B87" s="124"/>
      <c r="C87" s="124"/>
      <c r="D87" s="124"/>
    </row>
    <row r="88" spans="1:16" x14ac:dyDescent="0.2">
      <c r="A88" s="124"/>
      <c r="B88" s="124"/>
      <c r="C88" s="124"/>
      <c r="D88" s="124"/>
    </row>
    <row r="89" spans="1:16" x14ac:dyDescent="0.2">
      <c r="A89" s="124"/>
      <c r="B89" s="124"/>
      <c r="C89" s="124"/>
      <c r="D89" s="124"/>
    </row>
    <row r="90" spans="1:16" x14ac:dyDescent="0.2">
      <c r="A90" s="124"/>
      <c r="B90" s="124"/>
      <c r="C90" s="124"/>
      <c r="D90" s="124"/>
    </row>
    <row r="91" spans="1:16" x14ac:dyDescent="0.2">
      <c r="A91" s="124"/>
      <c r="B91" s="124"/>
      <c r="C91" s="124"/>
      <c r="D91" s="124"/>
    </row>
    <row r="92" spans="1:16" x14ac:dyDescent="0.2">
      <c r="A92" s="124"/>
      <c r="B92" s="124"/>
      <c r="C92" s="124"/>
      <c r="D92" s="124"/>
    </row>
    <row r="93" spans="1:16" x14ac:dyDescent="0.2">
      <c r="A93" s="124"/>
      <c r="B93" s="124"/>
      <c r="C93" s="124"/>
      <c r="D93" s="124"/>
    </row>
    <row r="94" spans="1:16" x14ac:dyDescent="0.2">
      <c r="A94" s="124"/>
      <c r="B94" s="124"/>
      <c r="C94" s="124"/>
      <c r="D94" s="124"/>
    </row>
    <row r="95" spans="1:16" x14ac:dyDescent="0.2">
      <c r="A95" s="124"/>
      <c r="B95" s="124"/>
      <c r="C95" s="124"/>
      <c r="D95" s="124"/>
    </row>
    <row r="96" spans="1:16" x14ac:dyDescent="0.2">
      <c r="A96" s="124"/>
      <c r="B96" s="124"/>
      <c r="C96" s="124"/>
      <c r="D96" s="124"/>
    </row>
    <row r="97" spans="1:4" x14ac:dyDescent="0.2">
      <c r="A97" s="124"/>
      <c r="B97" s="124"/>
      <c r="C97" s="124"/>
      <c r="D97" s="124"/>
    </row>
    <row r="98" spans="1:4" x14ac:dyDescent="0.2">
      <c r="A98" s="124"/>
      <c r="B98" s="124"/>
      <c r="C98" s="124"/>
      <c r="D98" s="124"/>
    </row>
    <row r="99" spans="1:4" x14ac:dyDescent="0.2">
      <c r="A99" s="124"/>
      <c r="B99" s="124"/>
      <c r="C99" s="124"/>
      <c r="D99" s="124"/>
    </row>
    <row r="100" spans="1:4" x14ac:dyDescent="0.2">
      <c r="A100" s="124"/>
      <c r="B100" s="124"/>
      <c r="C100" s="124"/>
      <c r="D100" s="124"/>
    </row>
    <row r="101" spans="1:4" x14ac:dyDescent="0.2">
      <c r="A101" s="124"/>
      <c r="B101" s="124"/>
      <c r="C101" s="124"/>
      <c r="D101" s="124"/>
    </row>
    <row r="102" spans="1:4" x14ac:dyDescent="0.2">
      <c r="A102" s="124"/>
      <c r="B102" s="124"/>
      <c r="C102" s="124"/>
      <c r="D102" s="124"/>
    </row>
    <row r="103" spans="1:4" x14ac:dyDescent="0.2">
      <c r="A103" s="124"/>
      <c r="B103" s="124"/>
      <c r="C103" s="124"/>
      <c r="D103" s="124"/>
    </row>
    <row r="104" spans="1:4" x14ac:dyDescent="0.2">
      <c r="A104" s="124"/>
      <c r="B104" s="124"/>
      <c r="C104" s="124"/>
      <c r="D104" s="124"/>
    </row>
    <row r="105" spans="1:4" x14ac:dyDescent="0.2">
      <c r="A105" s="124"/>
      <c r="B105" s="124"/>
      <c r="C105" s="124"/>
      <c r="D105" s="124"/>
    </row>
    <row r="106" spans="1:4" x14ac:dyDescent="0.2">
      <c r="A106" s="124"/>
      <c r="B106" s="124"/>
      <c r="C106" s="124"/>
      <c r="D106" s="124"/>
    </row>
    <row r="107" spans="1:4" x14ac:dyDescent="0.2">
      <c r="A107" s="124"/>
      <c r="B107" s="124"/>
      <c r="C107" s="124"/>
      <c r="D107" s="124"/>
    </row>
    <row r="108" spans="1:4" x14ac:dyDescent="0.2">
      <c r="A108" s="124"/>
      <c r="B108" s="124"/>
      <c r="C108" s="124"/>
      <c r="D108" s="124"/>
    </row>
    <row r="109" spans="1:4" x14ac:dyDescent="0.2">
      <c r="A109" s="124"/>
      <c r="B109" s="124"/>
      <c r="C109" s="124"/>
      <c r="D109" s="124"/>
    </row>
    <row r="110" spans="1:4" x14ac:dyDescent="0.2">
      <c r="A110" s="124"/>
      <c r="B110" s="124"/>
      <c r="C110" s="124"/>
      <c r="D110" s="124"/>
    </row>
    <row r="111" spans="1:4" x14ac:dyDescent="0.2">
      <c r="A111" s="124"/>
      <c r="B111" s="124"/>
      <c r="C111" s="124"/>
      <c r="D111" s="124"/>
    </row>
    <row r="112" spans="1:4" x14ac:dyDescent="0.2">
      <c r="A112" s="124"/>
      <c r="B112" s="124"/>
      <c r="C112" s="124"/>
      <c r="D112" s="124"/>
    </row>
    <row r="113" spans="1:4" x14ac:dyDescent="0.2">
      <c r="A113" s="124"/>
      <c r="B113" s="124"/>
      <c r="C113" s="124"/>
      <c r="D113" s="124"/>
    </row>
    <row r="114" spans="1:4" x14ac:dyDescent="0.2">
      <c r="A114" s="124"/>
      <c r="B114" s="124"/>
      <c r="C114" s="124"/>
      <c r="D114" s="124"/>
    </row>
    <row r="115" spans="1:4" x14ac:dyDescent="0.2">
      <c r="A115" s="124"/>
      <c r="B115" s="124"/>
      <c r="C115" s="124"/>
      <c r="D115" s="124"/>
    </row>
    <row r="116" spans="1:4" x14ac:dyDescent="0.2">
      <c r="A116" s="124"/>
      <c r="B116" s="124"/>
      <c r="C116" s="124"/>
      <c r="D116" s="124"/>
    </row>
    <row r="117" spans="1:4" x14ac:dyDescent="0.2">
      <c r="A117" s="124"/>
      <c r="B117" s="124"/>
      <c r="C117" s="124"/>
      <c r="D117" s="124"/>
    </row>
    <row r="118" spans="1:4" x14ac:dyDescent="0.2">
      <c r="A118" s="124"/>
      <c r="B118" s="124"/>
      <c r="C118" s="124"/>
      <c r="D118" s="124"/>
    </row>
    <row r="119" spans="1:4" x14ac:dyDescent="0.2">
      <c r="A119" s="124"/>
      <c r="B119" s="124"/>
      <c r="C119" s="124"/>
      <c r="D119" s="124"/>
    </row>
    <row r="120" spans="1:4" x14ac:dyDescent="0.2">
      <c r="A120" s="124"/>
      <c r="B120" s="124"/>
      <c r="C120" s="124"/>
      <c r="D120" s="124"/>
    </row>
    <row r="121" spans="1:4" x14ac:dyDescent="0.2">
      <c r="A121" s="124"/>
      <c r="B121" s="124"/>
      <c r="C121" s="124"/>
      <c r="D121" s="124"/>
    </row>
    <row r="122" spans="1:4" x14ac:dyDescent="0.2">
      <c r="A122" s="124"/>
      <c r="B122" s="124"/>
      <c r="C122" s="124"/>
      <c r="D122" s="124"/>
    </row>
    <row r="123" spans="1:4" x14ac:dyDescent="0.2">
      <c r="A123" s="124"/>
      <c r="B123" s="124"/>
      <c r="C123" s="124"/>
      <c r="D123" s="124"/>
    </row>
    <row r="124" spans="1:4" x14ac:dyDescent="0.2">
      <c r="A124" s="124"/>
      <c r="B124" s="124"/>
      <c r="C124" s="124"/>
      <c r="D124" s="124"/>
    </row>
    <row r="125" spans="1:4" x14ac:dyDescent="0.2">
      <c r="A125" s="124"/>
      <c r="B125" s="124"/>
      <c r="C125" s="124"/>
      <c r="D125" s="124"/>
    </row>
    <row r="126" spans="1:4" x14ac:dyDescent="0.2">
      <c r="A126" s="124"/>
      <c r="B126" s="124"/>
      <c r="C126" s="124"/>
      <c r="D126" s="124"/>
    </row>
    <row r="127" spans="1:4" x14ac:dyDescent="0.2">
      <c r="A127" s="124"/>
      <c r="B127" s="124"/>
      <c r="C127" s="124"/>
      <c r="D127" s="124"/>
    </row>
    <row r="128" spans="1:4" x14ac:dyDescent="0.2">
      <c r="A128" s="124"/>
      <c r="B128" s="124"/>
      <c r="C128" s="124"/>
      <c r="D128" s="124"/>
    </row>
    <row r="129" spans="1:4" x14ac:dyDescent="0.2">
      <c r="A129" s="124"/>
      <c r="B129" s="124"/>
      <c r="C129" s="124"/>
      <c r="D129" s="124"/>
    </row>
    <row r="130" spans="1:4" x14ac:dyDescent="0.2">
      <c r="A130" s="124"/>
      <c r="B130" s="124"/>
      <c r="C130" s="124"/>
      <c r="D130" s="124"/>
    </row>
    <row r="131" spans="1:4" x14ac:dyDescent="0.2">
      <c r="A131" s="124"/>
      <c r="B131" s="124"/>
      <c r="C131" s="124"/>
      <c r="D131" s="124"/>
    </row>
    <row r="132" spans="1:4" x14ac:dyDescent="0.2">
      <c r="A132" s="124"/>
      <c r="B132" s="124"/>
      <c r="C132" s="124"/>
      <c r="D132" s="124"/>
    </row>
    <row r="133" spans="1:4" x14ac:dyDescent="0.2">
      <c r="A133" s="124"/>
      <c r="B133" s="124"/>
      <c r="C133" s="124"/>
      <c r="D133" s="124"/>
    </row>
    <row r="134" spans="1:4" x14ac:dyDescent="0.2">
      <c r="A134" s="124"/>
      <c r="B134" s="124"/>
      <c r="C134" s="124"/>
      <c r="D134" s="124"/>
    </row>
    <row r="135" spans="1:4" x14ac:dyDescent="0.2">
      <c r="A135" s="124"/>
      <c r="B135" s="124"/>
      <c r="C135" s="124"/>
      <c r="D135" s="124"/>
    </row>
    <row r="136" spans="1:4" x14ac:dyDescent="0.2">
      <c r="A136" s="124"/>
      <c r="B136" s="124"/>
      <c r="C136" s="124"/>
      <c r="D136" s="124"/>
    </row>
    <row r="137" spans="1:4" x14ac:dyDescent="0.2">
      <c r="A137" s="124"/>
      <c r="B137" s="124"/>
      <c r="C137" s="124"/>
      <c r="D137" s="124"/>
    </row>
    <row r="138" spans="1:4" x14ac:dyDescent="0.2">
      <c r="A138" s="124"/>
      <c r="B138" s="124"/>
      <c r="C138" s="124"/>
      <c r="D138" s="124"/>
    </row>
    <row r="139" spans="1:4" x14ac:dyDescent="0.2">
      <c r="A139" s="124"/>
      <c r="B139" s="124"/>
      <c r="C139" s="124"/>
      <c r="D139" s="124"/>
    </row>
    <row r="140" spans="1:4" x14ac:dyDescent="0.2">
      <c r="A140" s="124"/>
      <c r="B140" s="124"/>
      <c r="C140" s="124"/>
      <c r="D140" s="124"/>
    </row>
    <row r="141" spans="1:4" x14ac:dyDescent="0.2">
      <c r="A141" s="124"/>
      <c r="B141" s="124"/>
      <c r="C141" s="124"/>
      <c r="D141" s="124"/>
    </row>
    <row r="142" spans="1:4" x14ac:dyDescent="0.2">
      <c r="A142" s="124"/>
      <c r="B142" s="124"/>
      <c r="C142" s="124"/>
      <c r="D142" s="124"/>
    </row>
    <row r="143" spans="1:4" x14ac:dyDescent="0.2">
      <c r="A143" s="124"/>
      <c r="B143" s="124"/>
      <c r="C143" s="124"/>
      <c r="D143" s="124"/>
    </row>
    <row r="144" spans="1:4" x14ac:dyDescent="0.2">
      <c r="A144" s="124"/>
      <c r="B144" s="124"/>
      <c r="C144" s="124"/>
      <c r="D144" s="124"/>
    </row>
    <row r="145" spans="1:4" x14ac:dyDescent="0.2">
      <c r="A145" s="124"/>
      <c r="B145" s="124"/>
      <c r="C145" s="124"/>
      <c r="D145" s="124"/>
    </row>
    <row r="146" spans="1:4" x14ac:dyDescent="0.2">
      <c r="A146" s="124"/>
      <c r="B146" s="124"/>
      <c r="C146" s="124"/>
      <c r="D146" s="124"/>
    </row>
    <row r="147" spans="1:4" x14ac:dyDescent="0.2">
      <c r="A147" s="124"/>
      <c r="B147" s="124"/>
      <c r="C147" s="124"/>
      <c r="D147" s="124"/>
    </row>
    <row r="148" spans="1:4" x14ac:dyDescent="0.2">
      <c r="A148" s="124"/>
      <c r="B148" s="124"/>
      <c r="C148" s="124"/>
      <c r="D148" s="124"/>
    </row>
    <row r="149" spans="1:4" x14ac:dyDescent="0.2">
      <c r="A149" s="124"/>
      <c r="B149" s="124"/>
      <c r="C149" s="124"/>
      <c r="D149" s="124"/>
    </row>
    <row r="150" spans="1:4" x14ac:dyDescent="0.2">
      <c r="A150" s="124"/>
      <c r="B150" s="124"/>
      <c r="C150" s="124"/>
      <c r="D150" s="124"/>
    </row>
    <row r="151" spans="1:4" x14ac:dyDescent="0.2">
      <c r="A151" s="124"/>
      <c r="B151" s="124"/>
      <c r="C151" s="124"/>
      <c r="D151" s="124"/>
    </row>
    <row r="152" spans="1:4" x14ac:dyDescent="0.2">
      <c r="A152" s="124"/>
      <c r="B152" s="124"/>
      <c r="C152" s="124"/>
      <c r="D152" s="124"/>
    </row>
    <row r="153" spans="1:4" x14ac:dyDescent="0.2">
      <c r="A153" s="124"/>
      <c r="B153" s="124"/>
      <c r="C153" s="124"/>
      <c r="D153" s="124"/>
    </row>
    <row r="154" spans="1:4" x14ac:dyDescent="0.2">
      <c r="A154" s="124"/>
      <c r="B154" s="124"/>
      <c r="C154" s="124"/>
      <c r="D154" s="124"/>
    </row>
    <row r="155" spans="1:4" x14ac:dyDescent="0.2">
      <c r="A155" s="124"/>
      <c r="B155" s="124"/>
      <c r="C155" s="124"/>
      <c r="D155" s="124"/>
    </row>
    <row r="156" spans="1:4" x14ac:dyDescent="0.2">
      <c r="A156" s="124"/>
      <c r="B156" s="124"/>
      <c r="C156" s="124"/>
      <c r="D156" s="124"/>
    </row>
    <row r="157" spans="1:4" x14ac:dyDescent="0.2">
      <c r="A157" s="124"/>
      <c r="B157" s="124"/>
      <c r="C157" s="124"/>
      <c r="D157" s="124"/>
    </row>
    <row r="158" spans="1:4" x14ac:dyDescent="0.2">
      <c r="A158" s="124"/>
      <c r="B158" s="124"/>
      <c r="C158" s="124"/>
      <c r="D158" s="124"/>
    </row>
    <row r="159" spans="1:4" x14ac:dyDescent="0.2">
      <c r="A159" s="124"/>
      <c r="B159" s="124"/>
      <c r="C159" s="124"/>
      <c r="D159" s="124"/>
    </row>
    <row r="160" spans="1:4" x14ac:dyDescent="0.2">
      <c r="A160" s="124"/>
      <c r="B160" s="124"/>
      <c r="C160" s="124"/>
      <c r="D160" s="124"/>
    </row>
    <row r="161" spans="1:4" x14ac:dyDescent="0.2">
      <c r="A161" s="124"/>
      <c r="B161" s="124"/>
      <c r="C161" s="124"/>
      <c r="D161" s="124"/>
    </row>
    <row r="162" spans="1:4" x14ac:dyDescent="0.2">
      <c r="A162" s="124"/>
      <c r="B162" s="124"/>
      <c r="C162" s="124"/>
      <c r="D162" s="124"/>
    </row>
    <row r="163" spans="1:4" x14ac:dyDescent="0.2">
      <c r="A163" s="124"/>
      <c r="B163" s="124"/>
      <c r="C163" s="124"/>
      <c r="D163" s="124"/>
    </row>
    <row r="164" spans="1:4" x14ac:dyDescent="0.2">
      <c r="A164" s="124"/>
      <c r="B164" s="124"/>
      <c r="C164" s="124"/>
      <c r="D164" s="124"/>
    </row>
    <row r="165" spans="1:4" x14ac:dyDescent="0.2">
      <c r="A165" s="124"/>
      <c r="B165" s="124"/>
      <c r="C165" s="124"/>
      <c r="D165" s="124"/>
    </row>
    <row r="166" spans="1:4" x14ac:dyDescent="0.2">
      <c r="A166" s="124"/>
      <c r="B166" s="124"/>
      <c r="C166" s="124"/>
      <c r="D166" s="124"/>
    </row>
    <row r="167" spans="1:4" x14ac:dyDescent="0.2">
      <c r="A167" s="124"/>
      <c r="B167" s="124"/>
      <c r="C167" s="124"/>
      <c r="D167" s="124"/>
    </row>
    <row r="168" spans="1:4" x14ac:dyDescent="0.2">
      <c r="A168" s="124"/>
      <c r="B168" s="124"/>
      <c r="C168" s="124"/>
      <c r="D168" s="124"/>
    </row>
    <row r="169" spans="1:4" x14ac:dyDescent="0.2">
      <c r="A169" s="124"/>
      <c r="B169" s="124"/>
      <c r="C169" s="124"/>
      <c r="D169" s="124"/>
    </row>
    <row r="170" spans="1:4" x14ac:dyDescent="0.2">
      <c r="A170" s="124"/>
      <c r="B170" s="124"/>
      <c r="C170" s="124"/>
      <c r="D170" s="124"/>
    </row>
    <row r="171" spans="1:4" x14ac:dyDescent="0.2">
      <c r="A171" s="124"/>
      <c r="B171" s="124"/>
      <c r="C171" s="124"/>
      <c r="D171" s="124"/>
    </row>
    <row r="172" spans="1:4" x14ac:dyDescent="0.2">
      <c r="A172" s="124"/>
      <c r="B172" s="124"/>
      <c r="C172" s="124"/>
      <c r="D172" s="124"/>
    </row>
    <row r="173" spans="1:4" x14ac:dyDescent="0.2">
      <c r="A173" s="124"/>
      <c r="B173" s="124"/>
      <c r="C173" s="124"/>
      <c r="D173" s="124"/>
    </row>
    <row r="174" spans="1:4" x14ac:dyDescent="0.2">
      <c r="A174" s="124"/>
      <c r="B174" s="124"/>
      <c r="C174" s="124"/>
      <c r="D174" s="124"/>
    </row>
    <row r="175" spans="1:4" x14ac:dyDescent="0.2">
      <c r="A175" s="124"/>
      <c r="B175" s="124"/>
      <c r="C175" s="124"/>
      <c r="D175" s="124"/>
    </row>
    <row r="176" spans="1:4" x14ac:dyDescent="0.2">
      <c r="A176" s="124"/>
      <c r="B176" s="124"/>
      <c r="C176" s="124"/>
      <c r="D176" s="124"/>
    </row>
    <row r="177" spans="1:4" x14ac:dyDescent="0.2">
      <c r="A177" s="124"/>
      <c r="B177" s="124"/>
      <c r="C177" s="124"/>
      <c r="D177" s="124"/>
    </row>
    <row r="178" spans="1:4" x14ac:dyDescent="0.2">
      <c r="A178" s="124"/>
      <c r="B178" s="124"/>
      <c r="C178" s="124"/>
      <c r="D178" s="124"/>
    </row>
    <row r="179" spans="1:4" x14ac:dyDescent="0.2">
      <c r="A179" s="124"/>
      <c r="B179" s="124"/>
      <c r="C179" s="124"/>
      <c r="D179" s="124"/>
    </row>
    <row r="180" spans="1:4" x14ac:dyDescent="0.2">
      <c r="A180" s="124"/>
      <c r="B180" s="124"/>
      <c r="C180" s="124"/>
      <c r="D180" s="124"/>
    </row>
    <row r="181" spans="1:4" x14ac:dyDescent="0.2">
      <c r="A181" s="124"/>
      <c r="B181" s="124"/>
      <c r="C181" s="124"/>
      <c r="D181" s="124"/>
    </row>
    <row r="182" spans="1:4" x14ac:dyDescent="0.2">
      <c r="A182" s="124"/>
      <c r="B182" s="124"/>
      <c r="C182" s="124"/>
      <c r="D182" s="124"/>
    </row>
    <row r="183" spans="1:4" x14ac:dyDescent="0.2">
      <c r="A183" s="124"/>
      <c r="B183" s="124"/>
      <c r="C183" s="124"/>
      <c r="D183" s="124"/>
    </row>
    <row r="184" spans="1:4" x14ac:dyDescent="0.2">
      <c r="A184" s="124"/>
      <c r="B184" s="124"/>
      <c r="C184" s="124"/>
      <c r="D184" s="124"/>
    </row>
    <row r="185" spans="1:4" x14ac:dyDescent="0.2">
      <c r="A185" s="124"/>
      <c r="B185" s="124"/>
      <c r="C185" s="124"/>
      <c r="D185" s="124"/>
    </row>
    <row r="186" spans="1:4" x14ac:dyDescent="0.2">
      <c r="A186" s="124"/>
      <c r="B186" s="124"/>
      <c r="C186" s="124"/>
      <c r="D186" s="124"/>
    </row>
    <row r="187" spans="1:4" x14ac:dyDescent="0.2">
      <c r="A187" s="124"/>
      <c r="B187" s="124"/>
      <c r="C187" s="124"/>
      <c r="D187" s="124"/>
    </row>
    <row r="188" spans="1:4" x14ac:dyDescent="0.2">
      <c r="A188" s="124"/>
      <c r="B188" s="124"/>
      <c r="C188" s="124"/>
      <c r="D188" s="124"/>
    </row>
    <row r="189" spans="1:4" x14ac:dyDescent="0.2">
      <c r="A189" s="124"/>
      <c r="B189" s="124"/>
      <c r="C189" s="124"/>
      <c r="D189" s="124"/>
    </row>
    <row r="190" spans="1:4" x14ac:dyDescent="0.2">
      <c r="A190" s="124"/>
      <c r="B190" s="124"/>
      <c r="C190" s="124"/>
      <c r="D190" s="124"/>
    </row>
    <row r="191" spans="1:4" x14ac:dyDescent="0.2">
      <c r="A191" s="124"/>
      <c r="B191" s="124"/>
      <c r="C191" s="124"/>
      <c r="D191" s="124"/>
    </row>
    <row r="192" spans="1:4" x14ac:dyDescent="0.2">
      <c r="A192" s="124"/>
      <c r="B192" s="124"/>
      <c r="C192" s="124"/>
      <c r="D192" s="124"/>
    </row>
    <row r="193" spans="1:4" x14ac:dyDescent="0.2">
      <c r="A193" s="124"/>
      <c r="B193" s="124"/>
      <c r="C193" s="124"/>
      <c r="D193" s="124"/>
    </row>
    <row r="194" spans="1:4" x14ac:dyDescent="0.2">
      <c r="A194" s="124"/>
      <c r="B194" s="124"/>
      <c r="C194" s="124"/>
      <c r="D194" s="124"/>
    </row>
    <row r="195" spans="1:4" x14ac:dyDescent="0.2">
      <c r="A195" s="124"/>
      <c r="B195" s="124"/>
      <c r="C195" s="124"/>
      <c r="D195" s="124"/>
    </row>
    <row r="196" spans="1:4" x14ac:dyDescent="0.2">
      <c r="A196" s="124"/>
      <c r="B196" s="124"/>
      <c r="C196" s="124"/>
      <c r="D196" s="124"/>
    </row>
    <row r="197" spans="1:4" x14ac:dyDescent="0.2">
      <c r="A197" s="124"/>
      <c r="B197" s="124"/>
      <c r="C197" s="124"/>
      <c r="D197" s="124"/>
    </row>
    <row r="198" spans="1:4" x14ac:dyDescent="0.2">
      <c r="A198" s="124"/>
      <c r="B198" s="124"/>
      <c r="C198" s="124"/>
      <c r="D198" s="124"/>
    </row>
    <row r="199" spans="1:4" x14ac:dyDescent="0.2">
      <c r="A199" s="124"/>
      <c r="B199" s="124"/>
      <c r="C199" s="124"/>
      <c r="D199" s="124"/>
    </row>
    <row r="200" spans="1:4" x14ac:dyDescent="0.2">
      <c r="A200" s="124"/>
      <c r="B200" s="124"/>
      <c r="C200" s="124"/>
      <c r="D200" s="124"/>
    </row>
    <row r="201" spans="1:4" x14ac:dyDescent="0.2">
      <c r="A201" s="124"/>
      <c r="B201" s="124"/>
      <c r="C201" s="124"/>
      <c r="D201" s="124"/>
    </row>
    <row r="202" spans="1:4" x14ac:dyDescent="0.2">
      <c r="A202" s="124"/>
      <c r="B202" s="124"/>
      <c r="C202" s="124"/>
      <c r="D202" s="124"/>
    </row>
    <row r="203" spans="1:4" x14ac:dyDescent="0.2">
      <c r="A203" s="124"/>
      <c r="B203" s="124"/>
      <c r="C203" s="124"/>
      <c r="D203" s="124"/>
    </row>
    <row r="204" spans="1:4" x14ac:dyDescent="0.2">
      <c r="A204" s="124"/>
      <c r="B204" s="124"/>
      <c r="C204" s="124"/>
      <c r="D204" s="124"/>
    </row>
    <row r="205" spans="1:4" x14ac:dyDescent="0.2">
      <c r="A205" s="124"/>
      <c r="B205" s="124"/>
      <c r="C205" s="124"/>
      <c r="D205" s="124"/>
    </row>
    <row r="206" spans="1:4" x14ac:dyDescent="0.2">
      <c r="A206" s="124"/>
      <c r="B206" s="124"/>
      <c r="C206" s="124"/>
      <c r="D206" s="124"/>
    </row>
    <row r="207" spans="1:4" x14ac:dyDescent="0.2">
      <c r="A207" s="124"/>
      <c r="B207" s="124"/>
      <c r="C207" s="124"/>
      <c r="D207" s="124"/>
    </row>
    <row r="208" spans="1:4" x14ac:dyDescent="0.2">
      <c r="A208" s="124"/>
      <c r="B208" s="124"/>
      <c r="C208" s="124"/>
      <c r="D208" s="124"/>
    </row>
    <row r="209" spans="1:4" x14ac:dyDescent="0.2">
      <c r="A209" s="124"/>
      <c r="B209" s="124"/>
      <c r="C209" s="124"/>
      <c r="D209" s="124"/>
    </row>
    <row r="210" spans="1:4" x14ac:dyDescent="0.2">
      <c r="A210" s="124"/>
      <c r="B210" s="124"/>
      <c r="C210" s="124"/>
      <c r="D210" s="124"/>
    </row>
    <row r="211" spans="1:4" x14ac:dyDescent="0.2">
      <c r="A211" s="124"/>
      <c r="B211" s="124"/>
      <c r="C211" s="124"/>
      <c r="D211" s="124"/>
    </row>
    <row r="212" spans="1:4" x14ac:dyDescent="0.2">
      <c r="A212" s="124"/>
      <c r="B212" s="124"/>
      <c r="C212" s="124"/>
      <c r="D212" s="124"/>
    </row>
    <row r="213" spans="1:4" x14ac:dyDescent="0.2">
      <c r="A213" s="124"/>
      <c r="B213" s="124"/>
      <c r="C213" s="124"/>
      <c r="D213" s="124"/>
    </row>
    <row r="214" spans="1:4" x14ac:dyDescent="0.2">
      <c r="A214" s="124"/>
      <c r="B214" s="124"/>
      <c r="C214" s="124"/>
      <c r="D214" s="124"/>
    </row>
    <row r="215" spans="1:4" x14ac:dyDescent="0.2">
      <c r="A215" s="124"/>
      <c r="B215" s="124"/>
      <c r="C215" s="124"/>
      <c r="D215" s="124"/>
    </row>
    <row r="216" spans="1:4" x14ac:dyDescent="0.2">
      <c r="A216" s="124"/>
      <c r="B216" s="124"/>
      <c r="C216" s="124"/>
      <c r="D216" s="124"/>
    </row>
    <row r="217" spans="1:4" x14ac:dyDescent="0.2">
      <c r="A217" s="124"/>
      <c r="B217" s="124"/>
      <c r="C217" s="124"/>
      <c r="D217" s="124"/>
    </row>
    <row r="218" spans="1:4" x14ac:dyDescent="0.2">
      <c r="A218" s="124"/>
      <c r="B218" s="124"/>
      <c r="C218" s="124"/>
      <c r="D218" s="124"/>
    </row>
    <row r="219" spans="1:4" x14ac:dyDescent="0.2">
      <c r="A219" s="124"/>
      <c r="B219" s="124"/>
      <c r="C219" s="124"/>
      <c r="D219" s="124"/>
    </row>
    <row r="220" spans="1:4" x14ac:dyDescent="0.2">
      <c r="A220" s="124"/>
      <c r="B220" s="124"/>
      <c r="C220" s="124"/>
      <c r="D220" s="124"/>
    </row>
    <row r="221" spans="1:4" x14ac:dyDescent="0.2">
      <c r="A221" s="124"/>
      <c r="B221" s="124"/>
      <c r="C221" s="124"/>
      <c r="D221" s="124"/>
    </row>
    <row r="222" spans="1:4" x14ac:dyDescent="0.2">
      <c r="A222" s="124"/>
      <c r="B222" s="124"/>
      <c r="C222" s="124"/>
      <c r="D222" s="124"/>
    </row>
    <row r="223" spans="1:4" x14ac:dyDescent="0.2">
      <c r="A223" s="124"/>
      <c r="B223" s="124"/>
      <c r="C223" s="124"/>
      <c r="D223" s="124"/>
    </row>
    <row r="224" spans="1:4" x14ac:dyDescent="0.2">
      <c r="A224" s="124"/>
      <c r="B224" s="124"/>
      <c r="C224" s="124"/>
      <c r="D224" s="124"/>
    </row>
    <row r="225" spans="1:4" x14ac:dyDescent="0.2">
      <c r="A225" s="124"/>
      <c r="B225" s="124"/>
      <c r="C225" s="124"/>
      <c r="D225" s="124"/>
    </row>
    <row r="226" spans="1:4" x14ac:dyDescent="0.2">
      <c r="A226" s="124"/>
      <c r="B226" s="124"/>
      <c r="C226" s="124"/>
      <c r="D226" s="124"/>
    </row>
    <row r="227" spans="1:4" x14ac:dyDescent="0.2">
      <c r="A227" s="124"/>
      <c r="B227" s="124"/>
      <c r="C227" s="124"/>
      <c r="D227" s="124"/>
    </row>
    <row r="228" spans="1:4" x14ac:dyDescent="0.2">
      <c r="A228" s="124"/>
      <c r="B228" s="124"/>
      <c r="C228" s="124"/>
      <c r="D228" s="124"/>
    </row>
    <row r="229" spans="1:4" x14ac:dyDescent="0.2">
      <c r="A229" s="124"/>
      <c r="B229" s="124"/>
      <c r="C229" s="124"/>
      <c r="D229" s="124"/>
    </row>
    <row r="230" spans="1:4" x14ac:dyDescent="0.2">
      <c r="A230" s="124"/>
      <c r="B230" s="124"/>
      <c r="C230" s="124"/>
      <c r="D230" s="124"/>
    </row>
    <row r="231" spans="1:4" x14ac:dyDescent="0.2">
      <c r="A231" s="124"/>
      <c r="B231" s="124"/>
      <c r="C231" s="124"/>
      <c r="D231" s="124"/>
    </row>
    <row r="232" spans="1:4" x14ac:dyDescent="0.2">
      <c r="A232" s="124"/>
      <c r="B232" s="124"/>
      <c r="C232" s="124"/>
      <c r="D232" s="124"/>
    </row>
    <row r="233" spans="1:4" x14ac:dyDescent="0.2">
      <c r="A233" s="124"/>
      <c r="B233" s="124"/>
      <c r="C233" s="124"/>
      <c r="D233" s="124"/>
    </row>
    <row r="234" spans="1:4" x14ac:dyDescent="0.2">
      <c r="A234" s="124"/>
      <c r="B234" s="124"/>
      <c r="C234" s="124"/>
      <c r="D234" s="124"/>
    </row>
    <row r="235" spans="1:4" x14ac:dyDescent="0.2">
      <c r="A235" s="124"/>
      <c r="B235" s="124"/>
      <c r="C235" s="124"/>
      <c r="D235" s="124"/>
    </row>
    <row r="236" spans="1:4" x14ac:dyDescent="0.2">
      <c r="A236" s="124"/>
      <c r="B236" s="124"/>
      <c r="C236" s="124"/>
      <c r="D236" s="124"/>
    </row>
    <row r="237" spans="1:4" x14ac:dyDescent="0.2">
      <c r="A237" s="124"/>
      <c r="B237" s="124"/>
      <c r="C237" s="124"/>
      <c r="D237" s="124"/>
    </row>
    <row r="238" spans="1:4" x14ac:dyDescent="0.2">
      <c r="A238" s="124"/>
      <c r="B238" s="124"/>
      <c r="C238" s="124"/>
      <c r="D238" s="124"/>
    </row>
    <row r="239" spans="1:4" x14ac:dyDescent="0.2">
      <c r="A239" s="124"/>
      <c r="B239" s="124"/>
      <c r="C239" s="124"/>
      <c r="D239" s="124"/>
    </row>
    <row r="240" spans="1:4" x14ac:dyDescent="0.2">
      <c r="A240" s="124"/>
      <c r="B240" s="124"/>
      <c r="C240" s="124"/>
      <c r="D240" s="124"/>
    </row>
    <row r="241" spans="1:4" x14ac:dyDescent="0.2">
      <c r="A241" s="124"/>
      <c r="B241" s="124"/>
      <c r="C241" s="124"/>
      <c r="D241" s="124"/>
    </row>
    <row r="242" spans="1:4" x14ac:dyDescent="0.2">
      <c r="A242" s="124"/>
      <c r="B242" s="124"/>
      <c r="C242" s="124"/>
      <c r="D242" s="124"/>
    </row>
    <row r="243" spans="1:4" x14ac:dyDescent="0.2">
      <c r="A243" s="124"/>
      <c r="B243" s="124"/>
      <c r="C243" s="124"/>
      <c r="D243" s="124"/>
    </row>
    <row r="244" spans="1:4" x14ac:dyDescent="0.2">
      <c r="A244" s="124"/>
      <c r="B244" s="124"/>
      <c r="C244" s="124"/>
      <c r="D244" s="124"/>
    </row>
    <row r="245" spans="1:4" x14ac:dyDescent="0.2">
      <c r="A245" s="124"/>
      <c r="B245" s="124"/>
      <c r="C245" s="124"/>
      <c r="D245" s="124"/>
    </row>
    <row r="246" spans="1:4" x14ac:dyDescent="0.2">
      <c r="A246" s="124"/>
      <c r="B246" s="124"/>
      <c r="C246" s="124"/>
      <c r="D246" s="124"/>
    </row>
    <row r="247" spans="1:4" x14ac:dyDescent="0.2">
      <c r="A247" s="124"/>
      <c r="B247" s="124"/>
      <c r="C247" s="124"/>
      <c r="D247" s="124"/>
    </row>
    <row r="248" spans="1:4" x14ac:dyDescent="0.2">
      <c r="A248" s="124"/>
      <c r="B248" s="124"/>
      <c r="C248" s="124"/>
      <c r="D248" s="124"/>
    </row>
    <row r="249" spans="1:4" x14ac:dyDescent="0.2">
      <c r="A249" s="124"/>
      <c r="B249" s="124"/>
      <c r="C249" s="124"/>
      <c r="D249" s="124"/>
    </row>
    <row r="250" spans="1:4" x14ac:dyDescent="0.2">
      <c r="A250" s="124"/>
      <c r="B250" s="124"/>
      <c r="C250" s="124"/>
      <c r="D250" s="124"/>
    </row>
    <row r="251" spans="1:4" x14ac:dyDescent="0.2">
      <c r="A251" s="124"/>
      <c r="B251" s="124"/>
      <c r="C251" s="124"/>
      <c r="D251" s="124"/>
    </row>
    <row r="252" spans="1:4" x14ac:dyDescent="0.2">
      <c r="A252" s="124"/>
      <c r="B252" s="124"/>
      <c r="C252" s="124"/>
      <c r="D252" s="124"/>
    </row>
    <row r="253" spans="1:4" x14ac:dyDescent="0.2">
      <c r="A253" s="124"/>
      <c r="B253" s="124"/>
      <c r="C253" s="124"/>
      <c r="D253" s="124"/>
    </row>
    <row r="254" spans="1:4" x14ac:dyDescent="0.2">
      <c r="A254" s="124"/>
      <c r="B254" s="124"/>
      <c r="C254" s="124"/>
      <c r="D254" s="124"/>
    </row>
    <row r="255" spans="1:4" x14ac:dyDescent="0.2">
      <c r="A255" s="124"/>
      <c r="B255" s="124"/>
      <c r="C255" s="124"/>
      <c r="D255" s="124"/>
    </row>
    <row r="256" spans="1:4" x14ac:dyDescent="0.2">
      <c r="A256" s="124"/>
      <c r="B256" s="124"/>
      <c r="C256" s="124"/>
      <c r="D256" s="124"/>
    </row>
    <row r="257" spans="1:4" x14ac:dyDescent="0.2">
      <c r="A257" s="124"/>
      <c r="B257" s="124"/>
      <c r="C257" s="124"/>
      <c r="D257" s="124"/>
    </row>
    <row r="258" spans="1:4" x14ac:dyDescent="0.2">
      <c r="A258" s="124"/>
      <c r="B258" s="124"/>
      <c r="C258" s="124"/>
      <c r="D258" s="124"/>
    </row>
    <row r="259" spans="1:4" x14ac:dyDescent="0.2">
      <c r="A259" s="124"/>
      <c r="B259" s="124"/>
      <c r="C259" s="124"/>
      <c r="D259" s="124"/>
    </row>
    <row r="260" spans="1:4" x14ac:dyDescent="0.2">
      <c r="A260" s="124"/>
      <c r="B260" s="124"/>
      <c r="C260" s="124"/>
      <c r="D260" s="124"/>
    </row>
    <row r="261" spans="1:4" x14ac:dyDescent="0.2">
      <c r="A261" s="124"/>
      <c r="B261" s="124"/>
      <c r="C261" s="124"/>
      <c r="D261" s="124"/>
    </row>
    <row r="262" spans="1:4" x14ac:dyDescent="0.2">
      <c r="A262" s="124"/>
      <c r="B262" s="124"/>
      <c r="C262" s="124"/>
      <c r="D262" s="124"/>
    </row>
    <row r="263" spans="1:4" x14ac:dyDescent="0.2">
      <c r="A263" s="124"/>
      <c r="B263" s="124"/>
      <c r="C263" s="124"/>
      <c r="D263" s="124"/>
    </row>
    <row r="264" spans="1:4" x14ac:dyDescent="0.2">
      <c r="A264" s="124"/>
      <c r="B264" s="124"/>
      <c r="C264" s="124"/>
      <c r="D264" s="124"/>
    </row>
    <row r="265" spans="1:4" x14ac:dyDescent="0.2">
      <c r="A265" s="124"/>
      <c r="B265" s="124"/>
      <c r="C265" s="124"/>
      <c r="D265" s="124"/>
    </row>
    <row r="266" spans="1:4" x14ac:dyDescent="0.2">
      <c r="A266" s="124"/>
      <c r="B266" s="124"/>
      <c r="C266" s="124"/>
      <c r="D266" s="124"/>
    </row>
    <row r="267" spans="1:4" x14ac:dyDescent="0.2">
      <c r="A267" s="124"/>
      <c r="B267" s="124"/>
      <c r="C267" s="124"/>
      <c r="D267" s="124"/>
    </row>
    <row r="268" spans="1:4" x14ac:dyDescent="0.2">
      <c r="A268" s="124"/>
      <c r="B268" s="124"/>
      <c r="C268" s="124"/>
      <c r="D268" s="124"/>
    </row>
    <row r="269" spans="1:4" x14ac:dyDescent="0.2">
      <c r="A269" s="124"/>
      <c r="B269" s="124"/>
      <c r="C269" s="124"/>
      <c r="D269" s="124"/>
    </row>
    <row r="270" spans="1:4" x14ac:dyDescent="0.2">
      <c r="A270" s="124"/>
      <c r="B270" s="124"/>
      <c r="C270" s="124"/>
      <c r="D270" s="124"/>
    </row>
    <row r="271" spans="1:4" x14ac:dyDescent="0.2">
      <c r="A271" s="124"/>
      <c r="B271" s="124"/>
      <c r="C271" s="124"/>
      <c r="D271" s="124"/>
    </row>
    <row r="272" spans="1:4" x14ac:dyDescent="0.2">
      <c r="A272" s="124"/>
      <c r="B272" s="124"/>
      <c r="C272" s="124"/>
      <c r="D272" s="124"/>
    </row>
    <row r="273" spans="1:4" x14ac:dyDescent="0.2">
      <c r="A273" s="124"/>
      <c r="B273" s="124"/>
      <c r="C273" s="124"/>
      <c r="D273" s="124"/>
    </row>
    <row r="274" spans="1:4" x14ac:dyDescent="0.2">
      <c r="A274" s="124"/>
      <c r="B274" s="124"/>
      <c r="C274" s="124"/>
      <c r="D274" s="124"/>
    </row>
    <row r="275" spans="1:4" x14ac:dyDescent="0.2">
      <c r="A275" s="124"/>
      <c r="B275" s="124"/>
      <c r="C275" s="124"/>
      <c r="D275" s="124"/>
    </row>
    <row r="276" spans="1:4" x14ac:dyDescent="0.2">
      <c r="A276" s="124"/>
      <c r="B276" s="124"/>
      <c r="C276" s="124"/>
      <c r="D276" s="124"/>
    </row>
    <row r="277" spans="1:4" x14ac:dyDescent="0.2">
      <c r="A277" s="124"/>
      <c r="B277" s="124"/>
      <c r="C277" s="124"/>
      <c r="D277" s="124"/>
    </row>
    <row r="278" spans="1:4" x14ac:dyDescent="0.2">
      <c r="A278" s="124"/>
      <c r="B278" s="124"/>
      <c r="C278" s="124"/>
      <c r="D278" s="124"/>
    </row>
    <row r="279" spans="1:4" x14ac:dyDescent="0.2">
      <c r="A279" s="124"/>
      <c r="B279" s="124"/>
      <c r="C279" s="124"/>
      <c r="D279" s="124"/>
    </row>
    <row r="280" spans="1:4" x14ac:dyDescent="0.2">
      <c r="A280" s="124"/>
      <c r="B280" s="124"/>
      <c r="C280" s="124"/>
      <c r="D280" s="124"/>
    </row>
    <row r="281" spans="1:4" x14ac:dyDescent="0.2">
      <c r="A281" s="124"/>
      <c r="B281" s="124"/>
      <c r="C281" s="124"/>
      <c r="D281" s="124"/>
    </row>
    <row r="282" spans="1:4" x14ac:dyDescent="0.2">
      <c r="A282" s="124"/>
      <c r="B282" s="124"/>
      <c r="C282" s="124"/>
      <c r="D282" s="124"/>
    </row>
    <row r="283" spans="1:4" x14ac:dyDescent="0.2">
      <c r="A283" s="124"/>
      <c r="B283" s="124"/>
      <c r="C283" s="124"/>
      <c r="D283" s="124"/>
    </row>
    <row r="284" spans="1:4" x14ac:dyDescent="0.2">
      <c r="A284" s="124"/>
      <c r="B284" s="124"/>
      <c r="C284" s="124"/>
      <c r="D284" s="124"/>
    </row>
    <row r="285" spans="1:4" x14ac:dyDescent="0.2">
      <c r="A285" s="124"/>
      <c r="B285" s="124"/>
      <c r="C285" s="124"/>
      <c r="D285" s="124"/>
    </row>
    <row r="286" spans="1:4" x14ac:dyDescent="0.2">
      <c r="A286" s="124"/>
      <c r="B286" s="124"/>
      <c r="C286" s="124"/>
      <c r="D286" s="124"/>
    </row>
    <row r="287" spans="1:4" x14ac:dyDescent="0.2">
      <c r="A287" s="124"/>
      <c r="B287" s="124"/>
      <c r="C287" s="124"/>
      <c r="D287" s="124"/>
    </row>
    <row r="288" spans="1:4" x14ac:dyDescent="0.2">
      <c r="A288" s="124"/>
      <c r="B288" s="124"/>
      <c r="C288" s="124"/>
      <c r="D288" s="124"/>
    </row>
    <row r="289" spans="1:4" x14ac:dyDescent="0.2">
      <c r="A289" s="124"/>
      <c r="B289" s="124"/>
      <c r="C289" s="124"/>
      <c r="D289" s="124"/>
    </row>
    <row r="290" spans="1:4" x14ac:dyDescent="0.2">
      <c r="A290" s="124"/>
      <c r="B290" s="124"/>
      <c r="C290" s="124"/>
      <c r="D290" s="124"/>
    </row>
    <row r="291" spans="1:4" x14ac:dyDescent="0.2">
      <c r="A291" s="124"/>
      <c r="B291" s="124"/>
      <c r="C291" s="124"/>
      <c r="D291" s="124"/>
    </row>
    <row r="292" spans="1:4" x14ac:dyDescent="0.2">
      <c r="A292" s="124"/>
      <c r="B292" s="124"/>
      <c r="C292" s="124"/>
      <c r="D292" s="124"/>
    </row>
    <row r="293" spans="1:4" x14ac:dyDescent="0.2">
      <c r="A293" s="124"/>
      <c r="B293" s="124"/>
      <c r="C293" s="124"/>
      <c r="D293" s="124"/>
    </row>
    <row r="294" spans="1:4" x14ac:dyDescent="0.2">
      <c r="A294" s="124"/>
      <c r="B294" s="124"/>
      <c r="C294" s="124"/>
      <c r="D294" s="124"/>
    </row>
    <row r="295" spans="1:4" x14ac:dyDescent="0.2">
      <c r="A295" s="124"/>
      <c r="B295" s="124"/>
      <c r="C295" s="124"/>
      <c r="D295" s="124"/>
    </row>
    <row r="296" spans="1:4" x14ac:dyDescent="0.2">
      <c r="A296" s="124"/>
      <c r="B296" s="124"/>
      <c r="C296" s="124"/>
      <c r="D296" s="124"/>
    </row>
    <row r="297" spans="1:4" x14ac:dyDescent="0.2">
      <c r="A297" s="124"/>
      <c r="B297" s="124"/>
      <c r="C297" s="124"/>
      <c r="D297" s="124"/>
    </row>
    <row r="298" spans="1:4" x14ac:dyDescent="0.2">
      <c r="A298" s="124"/>
      <c r="B298" s="124"/>
      <c r="C298" s="124"/>
      <c r="D298" s="124"/>
    </row>
    <row r="299" spans="1:4" x14ac:dyDescent="0.2">
      <c r="A299" s="124"/>
      <c r="B299" s="124"/>
      <c r="C299" s="124"/>
      <c r="D299" s="124"/>
    </row>
    <row r="300" spans="1:4" x14ac:dyDescent="0.2">
      <c r="A300" s="124"/>
      <c r="B300" s="124"/>
      <c r="C300" s="124"/>
      <c r="D300" s="124"/>
    </row>
    <row r="301" spans="1:4" x14ac:dyDescent="0.2">
      <c r="A301" s="124"/>
      <c r="B301" s="124"/>
      <c r="C301" s="124"/>
      <c r="D301" s="124"/>
    </row>
    <row r="302" spans="1:4" x14ac:dyDescent="0.2">
      <c r="A302" s="124"/>
      <c r="B302" s="124"/>
      <c r="C302" s="124"/>
      <c r="D302" s="124"/>
    </row>
    <row r="303" spans="1:4" x14ac:dyDescent="0.2">
      <c r="A303" s="124"/>
      <c r="B303" s="124"/>
      <c r="C303" s="124"/>
      <c r="D303" s="124"/>
    </row>
    <row r="304" spans="1:4" x14ac:dyDescent="0.2">
      <c r="A304" s="124"/>
      <c r="B304" s="124"/>
      <c r="C304" s="124"/>
      <c r="D304" s="124"/>
    </row>
    <row r="305" spans="1:4" x14ac:dyDescent="0.2">
      <c r="A305" s="124"/>
      <c r="B305" s="124"/>
      <c r="C305" s="124"/>
      <c r="D305" s="124"/>
    </row>
    <row r="306" spans="1:4" x14ac:dyDescent="0.2">
      <c r="A306" s="124"/>
      <c r="B306" s="124"/>
      <c r="C306" s="124"/>
      <c r="D306" s="124"/>
    </row>
    <row r="307" spans="1:4" x14ac:dyDescent="0.2">
      <c r="A307" s="124"/>
      <c r="B307" s="124"/>
      <c r="C307" s="124"/>
      <c r="D307" s="124"/>
    </row>
    <row r="308" spans="1:4" x14ac:dyDescent="0.2">
      <c r="A308" s="124"/>
      <c r="B308" s="124"/>
      <c r="C308" s="124"/>
      <c r="D308" s="124"/>
    </row>
    <row r="309" spans="1:4" x14ac:dyDescent="0.2">
      <c r="A309" s="124"/>
      <c r="B309" s="124"/>
      <c r="C309" s="124"/>
      <c r="D309" s="124"/>
    </row>
    <row r="310" spans="1:4" x14ac:dyDescent="0.2">
      <c r="A310" s="124"/>
      <c r="B310" s="124"/>
      <c r="C310" s="124"/>
      <c r="D310" s="124"/>
    </row>
    <row r="311" spans="1:4" x14ac:dyDescent="0.2">
      <c r="A311" s="124"/>
      <c r="B311" s="124"/>
      <c r="C311" s="124"/>
      <c r="D311" s="124"/>
    </row>
    <row r="312" spans="1:4" x14ac:dyDescent="0.2">
      <c r="A312" s="124"/>
      <c r="B312" s="124"/>
      <c r="C312" s="124"/>
      <c r="D312" s="124"/>
    </row>
    <row r="313" spans="1:4" x14ac:dyDescent="0.2">
      <c r="A313" s="124"/>
      <c r="B313" s="124"/>
      <c r="C313" s="124"/>
      <c r="D313" s="124"/>
    </row>
    <row r="314" spans="1:4" x14ac:dyDescent="0.2">
      <c r="A314" s="124"/>
      <c r="B314" s="124"/>
      <c r="C314" s="124"/>
      <c r="D314" s="124"/>
    </row>
    <row r="315" spans="1:4" x14ac:dyDescent="0.2">
      <c r="A315" s="124"/>
      <c r="B315" s="124"/>
      <c r="C315" s="124"/>
      <c r="D315" s="124"/>
    </row>
    <row r="316" spans="1:4" x14ac:dyDescent="0.2">
      <c r="A316" s="124"/>
      <c r="B316" s="124"/>
      <c r="C316" s="124"/>
      <c r="D316" s="124"/>
    </row>
    <row r="317" spans="1:4" x14ac:dyDescent="0.2">
      <c r="A317" s="124"/>
      <c r="B317" s="124"/>
      <c r="C317" s="124"/>
      <c r="D317" s="124"/>
    </row>
    <row r="318" spans="1:4" x14ac:dyDescent="0.2">
      <c r="A318" s="124"/>
      <c r="B318" s="124"/>
      <c r="C318" s="124"/>
      <c r="D318" s="124"/>
    </row>
    <row r="319" spans="1:4" x14ac:dyDescent="0.2">
      <c r="A319" s="124"/>
      <c r="B319" s="124"/>
      <c r="C319" s="124"/>
      <c r="D319" s="124"/>
    </row>
    <row r="320" spans="1:4" x14ac:dyDescent="0.2">
      <c r="A320" s="124"/>
      <c r="B320" s="124"/>
      <c r="C320" s="124"/>
      <c r="D320" s="124"/>
    </row>
    <row r="321" spans="1:4" x14ac:dyDescent="0.2">
      <c r="A321" s="124"/>
      <c r="B321" s="124"/>
      <c r="C321" s="124"/>
      <c r="D321" s="124"/>
    </row>
    <row r="322" spans="1:4" x14ac:dyDescent="0.2">
      <c r="A322" s="124"/>
      <c r="B322" s="124"/>
      <c r="C322" s="124"/>
      <c r="D322" s="124"/>
    </row>
    <row r="323" spans="1:4" x14ac:dyDescent="0.2">
      <c r="A323" s="124"/>
      <c r="B323" s="124"/>
      <c r="C323" s="124"/>
      <c r="D323" s="124"/>
    </row>
    <row r="324" spans="1:4" x14ac:dyDescent="0.2">
      <c r="A324" s="124"/>
      <c r="B324" s="124"/>
      <c r="C324" s="124"/>
      <c r="D324" s="124"/>
    </row>
    <row r="325" spans="1:4" x14ac:dyDescent="0.2">
      <c r="A325" s="124"/>
      <c r="B325" s="124"/>
      <c r="C325" s="124"/>
      <c r="D325" s="124"/>
    </row>
    <row r="326" spans="1:4" x14ac:dyDescent="0.2">
      <c r="A326" s="124"/>
      <c r="B326" s="124"/>
      <c r="C326" s="124"/>
      <c r="D326" s="124"/>
    </row>
    <row r="327" spans="1:4" x14ac:dyDescent="0.2">
      <c r="A327" s="124"/>
      <c r="B327" s="124"/>
      <c r="C327" s="124"/>
      <c r="D327" s="124"/>
    </row>
    <row r="328" spans="1:4" x14ac:dyDescent="0.2">
      <c r="A328" s="124"/>
      <c r="B328" s="124"/>
      <c r="C328" s="124"/>
      <c r="D328" s="124"/>
    </row>
    <row r="329" spans="1:4" x14ac:dyDescent="0.2">
      <c r="A329" s="124"/>
      <c r="B329" s="124"/>
      <c r="C329" s="124"/>
      <c r="D329" s="124"/>
    </row>
    <row r="330" spans="1:4" x14ac:dyDescent="0.2">
      <c r="A330" s="124"/>
      <c r="B330" s="124"/>
      <c r="C330" s="124"/>
      <c r="D330" s="124"/>
    </row>
    <row r="331" spans="1:4" x14ac:dyDescent="0.2">
      <c r="A331" s="124"/>
      <c r="B331" s="124"/>
      <c r="C331" s="124"/>
      <c r="D331" s="124"/>
    </row>
    <row r="332" spans="1:4" x14ac:dyDescent="0.2">
      <c r="A332" s="124"/>
      <c r="B332" s="124"/>
      <c r="C332" s="124"/>
      <c r="D332" s="124"/>
    </row>
    <row r="333" spans="1:4" x14ac:dyDescent="0.2">
      <c r="A333" s="124"/>
      <c r="B333" s="124"/>
      <c r="C333" s="124"/>
      <c r="D333" s="124"/>
    </row>
    <row r="334" spans="1:4" x14ac:dyDescent="0.2">
      <c r="A334" s="124"/>
      <c r="B334" s="124"/>
      <c r="C334" s="124"/>
      <c r="D334" s="124"/>
    </row>
    <row r="335" spans="1:4" x14ac:dyDescent="0.2">
      <c r="A335" s="124"/>
      <c r="B335" s="124"/>
      <c r="C335" s="124"/>
      <c r="D335" s="124"/>
    </row>
    <row r="336" spans="1:4" x14ac:dyDescent="0.2">
      <c r="A336" s="124"/>
      <c r="B336" s="124"/>
      <c r="C336" s="124"/>
      <c r="D336" s="124"/>
    </row>
    <row r="337" spans="1:4" x14ac:dyDescent="0.2">
      <c r="A337" s="124"/>
      <c r="B337" s="124"/>
      <c r="C337" s="124"/>
      <c r="D337" s="124"/>
    </row>
    <row r="338" spans="1:4" x14ac:dyDescent="0.2">
      <c r="A338" s="124"/>
      <c r="B338" s="124"/>
      <c r="C338" s="124"/>
      <c r="D338" s="124"/>
    </row>
    <row r="339" spans="1:4" x14ac:dyDescent="0.2">
      <c r="A339" s="124"/>
      <c r="B339" s="124"/>
      <c r="C339" s="124"/>
      <c r="D339" s="124"/>
    </row>
    <row r="340" spans="1:4" x14ac:dyDescent="0.2">
      <c r="A340" s="124"/>
      <c r="B340" s="124"/>
      <c r="C340" s="124"/>
      <c r="D340" s="124"/>
    </row>
    <row r="341" spans="1:4" x14ac:dyDescent="0.2">
      <c r="A341" s="124"/>
      <c r="B341" s="124"/>
      <c r="C341" s="124"/>
      <c r="D341" s="124"/>
    </row>
    <row r="342" spans="1:4" x14ac:dyDescent="0.2">
      <c r="A342" s="124"/>
      <c r="B342" s="124"/>
      <c r="C342" s="124"/>
      <c r="D342" s="124"/>
    </row>
    <row r="343" spans="1:4" x14ac:dyDescent="0.2">
      <c r="A343" s="124"/>
      <c r="B343" s="124"/>
      <c r="C343" s="124"/>
      <c r="D343" s="124"/>
    </row>
    <row r="344" spans="1:4" x14ac:dyDescent="0.2">
      <c r="A344" s="124"/>
      <c r="B344" s="124"/>
      <c r="C344" s="124"/>
      <c r="D344" s="124"/>
    </row>
    <row r="345" spans="1:4" x14ac:dyDescent="0.2">
      <c r="A345" s="124"/>
      <c r="B345" s="124"/>
      <c r="C345" s="124"/>
      <c r="D345" s="124"/>
    </row>
    <row r="346" spans="1:4" x14ac:dyDescent="0.2">
      <c r="A346" s="124"/>
      <c r="B346" s="124"/>
      <c r="C346" s="124"/>
      <c r="D346" s="124"/>
    </row>
    <row r="347" spans="1:4" x14ac:dyDescent="0.2">
      <c r="A347" s="124"/>
      <c r="B347" s="124"/>
      <c r="C347" s="124"/>
      <c r="D347" s="124"/>
    </row>
    <row r="348" spans="1:4" x14ac:dyDescent="0.2">
      <c r="A348" s="124"/>
      <c r="B348" s="124"/>
      <c r="C348" s="124"/>
      <c r="D348" s="124"/>
    </row>
    <row r="349" spans="1:4" x14ac:dyDescent="0.2">
      <c r="A349" s="124"/>
      <c r="B349" s="124"/>
      <c r="C349" s="124"/>
      <c r="D349" s="124"/>
    </row>
    <row r="350" spans="1:4" x14ac:dyDescent="0.2">
      <c r="A350" s="124"/>
      <c r="B350" s="124"/>
      <c r="C350" s="124"/>
      <c r="D350" s="124"/>
    </row>
    <row r="351" spans="1:4" x14ac:dyDescent="0.2">
      <c r="A351" s="124"/>
      <c r="B351" s="124"/>
      <c r="C351" s="124"/>
      <c r="D351" s="124"/>
    </row>
    <row r="352" spans="1:4" x14ac:dyDescent="0.2">
      <c r="A352" s="124"/>
      <c r="B352" s="124"/>
      <c r="C352" s="124"/>
      <c r="D352" s="124"/>
    </row>
    <row r="353" spans="1:4" x14ac:dyDescent="0.2">
      <c r="A353" s="124"/>
      <c r="B353" s="124"/>
      <c r="C353" s="124"/>
      <c r="D353" s="124"/>
    </row>
    <row r="354" spans="1:4" x14ac:dyDescent="0.2">
      <c r="A354" s="124"/>
      <c r="B354" s="124"/>
      <c r="C354" s="124"/>
      <c r="D354" s="124"/>
    </row>
    <row r="355" spans="1:4" x14ac:dyDescent="0.2">
      <c r="A355" s="124"/>
      <c r="B355" s="124"/>
      <c r="C355" s="124"/>
      <c r="D355" s="124"/>
    </row>
    <row r="356" spans="1:4" x14ac:dyDescent="0.2">
      <c r="A356" s="124"/>
      <c r="B356" s="124"/>
      <c r="C356" s="124"/>
      <c r="D356" s="124"/>
    </row>
    <row r="357" spans="1:4" x14ac:dyDescent="0.2">
      <c r="A357" s="124"/>
      <c r="B357" s="124"/>
      <c r="C357" s="124"/>
      <c r="D357" s="124"/>
    </row>
    <row r="358" spans="1:4" x14ac:dyDescent="0.2">
      <c r="A358" s="124"/>
      <c r="B358" s="124"/>
      <c r="C358" s="124"/>
      <c r="D358" s="124"/>
    </row>
    <row r="359" spans="1:4" x14ac:dyDescent="0.2">
      <c r="A359" s="124"/>
      <c r="B359" s="124"/>
      <c r="C359" s="124"/>
      <c r="D359" s="124"/>
    </row>
    <row r="360" spans="1:4" x14ac:dyDescent="0.2">
      <c r="A360" s="124"/>
      <c r="B360" s="124"/>
      <c r="C360" s="124"/>
      <c r="D360" s="124"/>
    </row>
    <row r="361" spans="1:4" x14ac:dyDescent="0.2">
      <c r="A361" s="124"/>
      <c r="B361" s="124"/>
      <c r="C361" s="124"/>
      <c r="D361" s="124"/>
    </row>
    <row r="362" spans="1:4" x14ac:dyDescent="0.2">
      <c r="A362" s="124"/>
      <c r="B362" s="124"/>
      <c r="C362" s="124"/>
      <c r="D362" s="124"/>
    </row>
    <row r="363" spans="1:4" x14ac:dyDescent="0.2">
      <c r="A363" s="124"/>
      <c r="B363" s="124"/>
      <c r="C363" s="124"/>
      <c r="D363" s="124"/>
    </row>
    <row r="364" spans="1:4" x14ac:dyDescent="0.2">
      <c r="A364" s="124"/>
      <c r="B364" s="124"/>
      <c r="C364" s="124"/>
      <c r="D364" s="124"/>
    </row>
    <row r="365" spans="1:4" x14ac:dyDescent="0.2">
      <c r="A365" s="124"/>
      <c r="B365" s="124"/>
      <c r="C365" s="124"/>
      <c r="D365" s="124"/>
    </row>
    <row r="366" spans="1:4" x14ac:dyDescent="0.2">
      <c r="A366" s="124"/>
      <c r="B366" s="124"/>
      <c r="C366" s="124"/>
      <c r="D366" s="124"/>
    </row>
    <row r="367" spans="1:4" x14ac:dyDescent="0.2">
      <c r="A367" s="124"/>
      <c r="B367" s="124"/>
      <c r="C367" s="124"/>
      <c r="D367" s="124"/>
    </row>
    <row r="368" spans="1:4" x14ac:dyDescent="0.2">
      <c r="A368" s="124"/>
      <c r="B368" s="124"/>
      <c r="C368" s="124"/>
      <c r="D368" s="124"/>
    </row>
    <row r="369" spans="1:4" x14ac:dyDescent="0.2">
      <c r="A369" s="124"/>
      <c r="B369" s="124"/>
      <c r="C369" s="124"/>
      <c r="D369" s="124"/>
    </row>
    <row r="370" spans="1:4" x14ac:dyDescent="0.2">
      <c r="A370" s="124"/>
      <c r="B370" s="124"/>
      <c r="C370" s="124"/>
      <c r="D370" s="124"/>
    </row>
    <row r="371" spans="1:4" x14ac:dyDescent="0.2">
      <c r="A371" s="124"/>
      <c r="B371" s="124"/>
      <c r="C371" s="124"/>
      <c r="D371" s="124"/>
    </row>
    <row r="372" spans="1:4" x14ac:dyDescent="0.2">
      <c r="A372" s="124"/>
      <c r="B372" s="124"/>
      <c r="C372" s="124"/>
      <c r="D372" s="124"/>
    </row>
    <row r="373" spans="1:4" x14ac:dyDescent="0.2">
      <c r="A373" s="124"/>
      <c r="B373" s="124"/>
      <c r="C373" s="124"/>
      <c r="D373" s="124"/>
    </row>
    <row r="374" spans="1:4" x14ac:dyDescent="0.2">
      <c r="A374" s="124"/>
      <c r="B374" s="124"/>
      <c r="C374" s="124"/>
      <c r="D374" s="124"/>
    </row>
    <row r="375" spans="1:4" x14ac:dyDescent="0.2">
      <c r="A375" s="124"/>
      <c r="B375" s="124"/>
      <c r="C375" s="124"/>
      <c r="D375" s="124"/>
    </row>
    <row r="376" spans="1:4" x14ac:dyDescent="0.2">
      <c r="A376" s="124"/>
      <c r="B376" s="124"/>
      <c r="C376" s="124"/>
      <c r="D376" s="124"/>
    </row>
    <row r="377" spans="1:4" x14ac:dyDescent="0.2">
      <c r="A377" s="124"/>
      <c r="B377" s="124"/>
      <c r="C377" s="124"/>
      <c r="D377" s="124"/>
    </row>
    <row r="378" spans="1:4" x14ac:dyDescent="0.2">
      <c r="A378" s="124"/>
      <c r="B378" s="124"/>
      <c r="C378" s="124"/>
      <c r="D378" s="124"/>
    </row>
    <row r="379" spans="1:4" x14ac:dyDescent="0.2">
      <c r="A379" s="124"/>
      <c r="B379" s="124"/>
      <c r="C379" s="124"/>
      <c r="D379" s="124"/>
    </row>
    <row r="380" spans="1:4" x14ac:dyDescent="0.2">
      <c r="A380" s="124"/>
      <c r="B380" s="124"/>
      <c r="C380" s="124"/>
      <c r="D380" s="124"/>
    </row>
    <row r="381" spans="1:4" x14ac:dyDescent="0.2">
      <c r="A381" s="124"/>
      <c r="B381" s="124"/>
      <c r="C381" s="124"/>
      <c r="D381" s="124"/>
    </row>
    <row r="382" spans="1:4" x14ac:dyDescent="0.2">
      <c r="A382" s="124"/>
      <c r="B382" s="124"/>
      <c r="C382" s="124"/>
      <c r="D382" s="124"/>
    </row>
    <row r="383" spans="1:4" x14ac:dyDescent="0.2">
      <c r="A383" s="124"/>
      <c r="B383" s="124"/>
      <c r="C383" s="124"/>
      <c r="D383" s="124"/>
    </row>
    <row r="384" spans="1:4" x14ac:dyDescent="0.2">
      <c r="A384" s="124"/>
      <c r="B384" s="124"/>
      <c r="C384" s="124"/>
      <c r="D384" s="124"/>
    </row>
    <row r="385" spans="1:4" x14ac:dyDescent="0.2">
      <c r="A385" s="124"/>
      <c r="B385" s="124"/>
      <c r="C385" s="124"/>
      <c r="D385" s="124"/>
    </row>
    <row r="386" spans="1:4" x14ac:dyDescent="0.2">
      <c r="A386" s="124"/>
      <c r="B386" s="124"/>
      <c r="C386" s="124"/>
      <c r="D386" s="124"/>
    </row>
    <row r="387" spans="1:4" x14ac:dyDescent="0.2">
      <c r="A387" s="124"/>
      <c r="B387" s="124"/>
      <c r="C387" s="124"/>
      <c r="D387" s="124"/>
    </row>
    <row r="388" spans="1:4" x14ac:dyDescent="0.2">
      <c r="A388" s="124"/>
      <c r="B388" s="124"/>
      <c r="C388" s="124"/>
      <c r="D388" s="124"/>
    </row>
    <row r="389" spans="1:4" x14ac:dyDescent="0.2">
      <c r="A389" s="124"/>
      <c r="B389" s="124"/>
      <c r="C389" s="124"/>
      <c r="D389" s="124"/>
    </row>
    <row r="390" spans="1:4" x14ac:dyDescent="0.2">
      <c r="A390" s="124"/>
      <c r="B390" s="124"/>
      <c r="C390" s="124"/>
      <c r="D390" s="124"/>
    </row>
    <row r="391" spans="1:4" x14ac:dyDescent="0.2">
      <c r="A391" s="124"/>
      <c r="B391" s="124"/>
      <c r="C391" s="124"/>
      <c r="D391" s="124"/>
    </row>
    <row r="392" spans="1:4" x14ac:dyDescent="0.2">
      <c r="A392" s="124"/>
      <c r="B392" s="124"/>
      <c r="C392" s="124"/>
      <c r="D392" s="124"/>
    </row>
    <row r="393" spans="1:4" x14ac:dyDescent="0.2">
      <c r="A393" s="124"/>
      <c r="B393" s="124"/>
      <c r="C393" s="124"/>
      <c r="D393" s="124"/>
    </row>
    <row r="394" spans="1:4" x14ac:dyDescent="0.2">
      <c r="A394" s="124"/>
      <c r="B394" s="124"/>
      <c r="C394" s="124"/>
      <c r="D394" s="124"/>
    </row>
    <row r="395" spans="1:4" x14ac:dyDescent="0.2">
      <c r="A395" s="124"/>
      <c r="B395" s="124"/>
      <c r="C395" s="124"/>
      <c r="D395" s="124"/>
    </row>
    <row r="396" spans="1:4" x14ac:dyDescent="0.2">
      <c r="A396" s="124"/>
      <c r="B396" s="124"/>
      <c r="C396" s="124"/>
      <c r="D396" s="124"/>
    </row>
    <row r="397" spans="1:4" x14ac:dyDescent="0.2">
      <c r="A397" s="124"/>
      <c r="B397" s="124"/>
      <c r="C397" s="124"/>
      <c r="D397" s="124"/>
    </row>
    <row r="398" spans="1:4" x14ac:dyDescent="0.2">
      <c r="A398" s="124"/>
      <c r="B398" s="124"/>
      <c r="C398" s="124"/>
      <c r="D398" s="124"/>
    </row>
    <row r="399" spans="1:4" x14ac:dyDescent="0.2">
      <c r="A399" s="124"/>
      <c r="B399" s="124"/>
      <c r="C399" s="124"/>
      <c r="D399" s="124"/>
    </row>
    <row r="400" spans="1:4" x14ac:dyDescent="0.2">
      <c r="A400" s="124"/>
      <c r="B400" s="124"/>
      <c r="C400" s="124"/>
      <c r="D400" s="124"/>
    </row>
    <row r="401" spans="1:4" x14ac:dyDescent="0.2">
      <c r="A401" s="124"/>
      <c r="B401" s="124"/>
      <c r="C401" s="124"/>
      <c r="D401" s="124"/>
    </row>
    <row r="402" spans="1:4" x14ac:dyDescent="0.2">
      <c r="A402" s="124"/>
      <c r="B402" s="124"/>
      <c r="C402" s="124"/>
      <c r="D402" s="124"/>
    </row>
    <row r="403" spans="1:4" x14ac:dyDescent="0.2">
      <c r="A403" s="124"/>
      <c r="B403" s="124"/>
      <c r="C403" s="124"/>
      <c r="D403" s="124"/>
    </row>
    <row r="404" spans="1:4" x14ac:dyDescent="0.2">
      <c r="A404" s="124"/>
      <c r="B404" s="124"/>
      <c r="C404" s="124"/>
      <c r="D404" s="124"/>
    </row>
    <row r="405" spans="1:4" x14ac:dyDescent="0.2">
      <c r="A405" s="124"/>
      <c r="B405" s="124"/>
      <c r="C405" s="124"/>
      <c r="D405" s="124"/>
    </row>
    <row r="406" spans="1:4" x14ac:dyDescent="0.2">
      <c r="A406" s="124"/>
      <c r="B406" s="124"/>
      <c r="C406" s="124"/>
      <c r="D406" s="124"/>
    </row>
    <row r="407" spans="1:4" x14ac:dyDescent="0.2">
      <c r="A407" s="124"/>
      <c r="B407" s="124"/>
      <c r="C407" s="124"/>
      <c r="D407" s="124"/>
    </row>
    <row r="408" spans="1:4" x14ac:dyDescent="0.2">
      <c r="A408" s="124"/>
      <c r="B408" s="124"/>
      <c r="C408" s="124"/>
      <c r="D408" s="124"/>
    </row>
    <row r="409" spans="1:4" x14ac:dyDescent="0.2">
      <c r="A409" s="124"/>
      <c r="B409" s="124"/>
      <c r="C409" s="124"/>
      <c r="D409" s="124"/>
    </row>
    <row r="410" spans="1:4" x14ac:dyDescent="0.2">
      <c r="A410" s="124"/>
      <c r="B410" s="124"/>
      <c r="C410" s="124"/>
      <c r="D410" s="124"/>
    </row>
    <row r="411" spans="1:4" x14ac:dyDescent="0.2">
      <c r="A411" s="124"/>
      <c r="B411" s="124"/>
      <c r="C411" s="124"/>
      <c r="D411" s="124"/>
    </row>
    <row r="412" spans="1:4" x14ac:dyDescent="0.2">
      <c r="A412" s="124"/>
      <c r="B412" s="124"/>
      <c r="C412" s="124"/>
      <c r="D412" s="124"/>
    </row>
    <row r="413" spans="1:4" x14ac:dyDescent="0.2">
      <c r="A413" s="124"/>
      <c r="B413" s="124"/>
      <c r="C413" s="124"/>
      <c r="D413" s="124"/>
    </row>
    <row r="414" spans="1:4" x14ac:dyDescent="0.2">
      <c r="A414" s="124"/>
      <c r="B414" s="124"/>
      <c r="C414" s="124"/>
      <c r="D414" s="124"/>
    </row>
    <row r="415" spans="1:4" x14ac:dyDescent="0.2">
      <c r="A415" s="124"/>
      <c r="B415" s="124"/>
      <c r="C415" s="124"/>
      <c r="D415" s="124"/>
    </row>
    <row r="416" spans="1:4" x14ac:dyDescent="0.2">
      <c r="A416" s="124"/>
      <c r="B416" s="124"/>
      <c r="C416" s="124"/>
      <c r="D416" s="124"/>
    </row>
    <row r="417" spans="1:4" x14ac:dyDescent="0.2">
      <c r="A417" s="124"/>
      <c r="B417" s="124"/>
      <c r="C417" s="124"/>
      <c r="D417" s="124"/>
    </row>
    <row r="418" spans="1:4" x14ac:dyDescent="0.2">
      <c r="A418" s="124"/>
      <c r="B418" s="124"/>
      <c r="C418" s="124"/>
      <c r="D418" s="124"/>
    </row>
    <row r="419" spans="1:4" x14ac:dyDescent="0.2">
      <c r="A419" s="124"/>
      <c r="B419" s="124"/>
      <c r="C419" s="124"/>
      <c r="D419" s="124"/>
    </row>
    <row r="420" spans="1:4" x14ac:dyDescent="0.2">
      <c r="A420" s="124"/>
      <c r="B420" s="124"/>
      <c r="C420" s="124"/>
      <c r="D420" s="124"/>
    </row>
    <row r="421" spans="1:4" x14ac:dyDescent="0.2">
      <c r="A421" s="124"/>
      <c r="B421" s="124"/>
      <c r="C421" s="124"/>
      <c r="D421" s="124"/>
    </row>
    <row r="422" spans="1:4" x14ac:dyDescent="0.2">
      <c r="A422" s="124"/>
      <c r="B422" s="124"/>
      <c r="C422" s="124"/>
      <c r="D422" s="124"/>
    </row>
    <row r="423" spans="1:4" x14ac:dyDescent="0.2">
      <c r="A423" s="124"/>
      <c r="B423" s="124"/>
      <c r="C423" s="124"/>
      <c r="D423" s="124"/>
    </row>
    <row r="424" spans="1:4" x14ac:dyDescent="0.2">
      <c r="A424" s="124"/>
      <c r="B424" s="124"/>
      <c r="C424" s="124"/>
      <c r="D424" s="124"/>
    </row>
    <row r="425" spans="1:4" x14ac:dyDescent="0.2">
      <c r="A425" s="124"/>
      <c r="B425" s="124"/>
      <c r="C425" s="124"/>
      <c r="D425" s="124"/>
    </row>
    <row r="426" spans="1:4" x14ac:dyDescent="0.2">
      <c r="A426" s="124"/>
      <c r="B426" s="124"/>
      <c r="C426" s="124"/>
      <c r="D426" s="124"/>
    </row>
    <row r="427" spans="1:4" x14ac:dyDescent="0.2">
      <c r="A427" s="124"/>
      <c r="B427" s="124"/>
      <c r="C427" s="124"/>
      <c r="D427" s="124"/>
    </row>
    <row r="428" spans="1:4" x14ac:dyDescent="0.2">
      <c r="A428" s="124"/>
      <c r="B428" s="124"/>
      <c r="C428" s="124"/>
      <c r="D428" s="124"/>
    </row>
    <row r="429" spans="1:4" x14ac:dyDescent="0.2">
      <c r="A429" s="124"/>
      <c r="B429" s="124"/>
      <c r="C429" s="124"/>
      <c r="D429" s="124"/>
    </row>
    <row r="430" spans="1:4" x14ac:dyDescent="0.2">
      <c r="A430" s="124"/>
      <c r="B430" s="124"/>
      <c r="C430" s="124"/>
      <c r="D430" s="124"/>
    </row>
    <row r="431" spans="1:4" x14ac:dyDescent="0.2">
      <c r="A431" s="124"/>
      <c r="B431" s="124"/>
      <c r="C431" s="124"/>
      <c r="D431" s="124"/>
    </row>
    <row r="432" spans="1:4" x14ac:dyDescent="0.2">
      <c r="A432" s="124"/>
      <c r="B432" s="124"/>
      <c r="C432" s="124"/>
      <c r="D432" s="124"/>
    </row>
    <row r="433" spans="1:4" x14ac:dyDescent="0.2">
      <c r="A433" s="124"/>
      <c r="B433" s="124"/>
      <c r="C433" s="124"/>
      <c r="D433" s="124"/>
    </row>
    <row r="434" spans="1:4" x14ac:dyDescent="0.2">
      <c r="A434" s="124"/>
      <c r="B434" s="124"/>
      <c r="C434" s="124"/>
      <c r="D434" s="124"/>
    </row>
    <row r="435" spans="1:4" x14ac:dyDescent="0.2">
      <c r="A435" s="124"/>
      <c r="B435" s="124"/>
      <c r="C435" s="124"/>
      <c r="D435" s="124"/>
    </row>
    <row r="436" spans="1:4" x14ac:dyDescent="0.2">
      <c r="A436" s="124"/>
      <c r="B436" s="124"/>
      <c r="C436" s="124"/>
      <c r="D436" s="124"/>
    </row>
    <row r="437" spans="1:4" x14ac:dyDescent="0.2">
      <c r="A437" s="124"/>
      <c r="B437" s="124"/>
      <c r="C437" s="124"/>
      <c r="D437" s="124"/>
    </row>
    <row r="438" spans="1:4" x14ac:dyDescent="0.2">
      <c r="A438" s="124"/>
      <c r="B438" s="124"/>
      <c r="C438" s="124"/>
      <c r="D438" s="124"/>
    </row>
    <row r="439" spans="1:4" x14ac:dyDescent="0.2">
      <c r="A439" s="124"/>
      <c r="B439" s="124"/>
      <c r="C439" s="124"/>
      <c r="D439" s="124"/>
    </row>
    <row r="440" spans="1:4" x14ac:dyDescent="0.2">
      <c r="A440" s="124"/>
      <c r="B440" s="124"/>
      <c r="C440" s="124"/>
      <c r="D440" s="124"/>
    </row>
    <row r="441" spans="1:4" x14ac:dyDescent="0.2">
      <c r="A441" s="124"/>
      <c r="B441" s="124"/>
      <c r="C441" s="124"/>
      <c r="D441" s="124"/>
    </row>
    <row r="442" spans="1:4" x14ac:dyDescent="0.2">
      <c r="A442" s="124"/>
      <c r="B442" s="124"/>
      <c r="C442" s="124"/>
      <c r="D442" s="124"/>
    </row>
    <row r="443" spans="1:4" x14ac:dyDescent="0.2">
      <c r="A443" s="124"/>
      <c r="B443" s="124"/>
      <c r="C443" s="124"/>
      <c r="D443" s="124"/>
    </row>
    <row r="444" spans="1:4" x14ac:dyDescent="0.2">
      <c r="A444" s="124"/>
      <c r="B444" s="124"/>
      <c r="C444" s="124"/>
      <c r="D444" s="124"/>
    </row>
    <row r="445" spans="1:4" x14ac:dyDescent="0.2">
      <c r="A445" s="124"/>
      <c r="B445" s="124"/>
      <c r="C445" s="124"/>
      <c r="D445" s="124"/>
    </row>
    <row r="446" spans="1:4" x14ac:dyDescent="0.2">
      <c r="A446" s="124"/>
      <c r="B446" s="124"/>
      <c r="C446" s="124"/>
      <c r="D446" s="124"/>
    </row>
    <row r="447" spans="1:4" x14ac:dyDescent="0.2">
      <c r="A447" s="124"/>
      <c r="B447" s="124"/>
      <c r="C447" s="124"/>
      <c r="D447" s="124"/>
    </row>
    <row r="448" spans="1:4" x14ac:dyDescent="0.2">
      <c r="A448" s="124"/>
      <c r="B448" s="124"/>
      <c r="C448" s="124"/>
      <c r="D448" s="124"/>
    </row>
    <row r="449" spans="1:4" x14ac:dyDescent="0.2">
      <c r="A449" s="124"/>
      <c r="B449" s="124"/>
      <c r="C449" s="124"/>
      <c r="D449" s="124"/>
    </row>
    <row r="450" spans="1:4" x14ac:dyDescent="0.2">
      <c r="A450" s="124"/>
      <c r="B450" s="124"/>
      <c r="C450" s="124"/>
      <c r="D450" s="124"/>
    </row>
    <row r="451" spans="1:4" x14ac:dyDescent="0.2">
      <c r="A451" s="124"/>
      <c r="B451" s="124"/>
      <c r="C451" s="124"/>
      <c r="D451" s="124"/>
    </row>
    <row r="452" spans="1:4" x14ac:dyDescent="0.2">
      <c r="A452" s="124"/>
      <c r="B452" s="124"/>
      <c r="C452" s="124"/>
      <c r="D452" s="124"/>
    </row>
    <row r="453" spans="1:4" x14ac:dyDescent="0.2">
      <c r="A453" s="124"/>
      <c r="B453" s="124"/>
      <c r="C453" s="124"/>
      <c r="D453" s="124"/>
    </row>
    <row r="454" spans="1:4" x14ac:dyDescent="0.2">
      <c r="A454" s="124"/>
      <c r="B454" s="124"/>
      <c r="C454" s="124"/>
      <c r="D454" s="124"/>
    </row>
    <row r="455" spans="1:4" x14ac:dyDescent="0.2">
      <c r="A455" s="124"/>
      <c r="B455" s="124"/>
      <c r="C455" s="124"/>
      <c r="D455" s="124"/>
    </row>
    <row r="456" spans="1:4" x14ac:dyDescent="0.2">
      <c r="A456" s="124"/>
      <c r="B456" s="124"/>
      <c r="C456" s="124"/>
      <c r="D456" s="124"/>
    </row>
    <row r="457" spans="1:4" x14ac:dyDescent="0.2">
      <c r="A457" s="124"/>
      <c r="B457" s="124"/>
      <c r="C457" s="124"/>
      <c r="D457" s="124"/>
    </row>
    <row r="458" spans="1:4" x14ac:dyDescent="0.2">
      <c r="A458" s="124"/>
      <c r="B458" s="124"/>
      <c r="C458" s="124"/>
      <c r="D458" s="124"/>
    </row>
    <row r="459" spans="1:4" x14ac:dyDescent="0.2">
      <c r="A459" s="124"/>
      <c r="B459" s="124"/>
      <c r="C459" s="124"/>
      <c r="D459" s="124"/>
    </row>
    <row r="460" spans="1:4" x14ac:dyDescent="0.2">
      <c r="A460" s="124"/>
      <c r="B460" s="124"/>
      <c r="C460" s="124"/>
      <c r="D460" s="124"/>
    </row>
    <row r="461" spans="1:4" x14ac:dyDescent="0.2">
      <c r="A461" s="124"/>
      <c r="B461" s="124"/>
      <c r="C461" s="124"/>
      <c r="D461" s="124"/>
    </row>
    <row r="462" spans="1:4" x14ac:dyDescent="0.2">
      <c r="A462" s="124"/>
      <c r="B462" s="124"/>
      <c r="C462" s="124"/>
      <c r="D462" s="124"/>
    </row>
    <row r="463" spans="1:4" x14ac:dyDescent="0.2">
      <c r="A463" s="124"/>
      <c r="B463" s="124"/>
      <c r="C463" s="124"/>
      <c r="D463" s="124"/>
    </row>
    <row r="464" spans="1:4" x14ac:dyDescent="0.2">
      <c r="A464" s="124"/>
      <c r="B464" s="124"/>
      <c r="C464" s="124"/>
      <c r="D464" s="124"/>
    </row>
    <row r="465" spans="1:4" x14ac:dyDescent="0.2">
      <c r="A465" s="124"/>
      <c r="B465" s="124"/>
      <c r="C465" s="124"/>
      <c r="D465" s="124"/>
    </row>
    <row r="466" spans="1:4" x14ac:dyDescent="0.2">
      <c r="A466" s="124"/>
      <c r="B466" s="124"/>
      <c r="C466" s="124"/>
      <c r="D466" s="124"/>
    </row>
    <row r="467" spans="1:4" x14ac:dyDescent="0.2">
      <c r="A467" s="124"/>
      <c r="B467" s="124"/>
      <c r="C467" s="124"/>
      <c r="D467" s="124"/>
    </row>
    <row r="468" spans="1:4" x14ac:dyDescent="0.2">
      <c r="A468" s="124"/>
      <c r="B468" s="124"/>
      <c r="C468" s="124"/>
      <c r="D468" s="124"/>
    </row>
    <row r="469" spans="1:4" x14ac:dyDescent="0.2">
      <c r="A469" s="124"/>
      <c r="B469" s="124"/>
      <c r="C469" s="124"/>
      <c r="D469" s="124"/>
    </row>
    <row r="470" spans="1:4" x14ac:dyDescent="0.2">
      <c r="A470" s="124"/>
      <c r="B470" s="124"/>
      <c r="C470" s="124"/>
      <c r="D470" s="124"/>
    </row>
    <row r="471" spans="1:4" x14ac:dyDescent="0.2">
      <c r="A471" s="124"/>
      <c r="B471" s="124"/>
      <c r="C471" s="124"/>
      <c r="D471" s="124"/>
    </row>
    <row r="472" spans="1:4" x14ac:dyDescent="0.2">
      <c r="A472" s="124"/>
      <c r="B472" s="124"/>
      <c r="C472" s="124"/>
      <c r="D472" s="124"/>
    </row>
    <row r="473" spans="1:4" x14ac:dyDescent="0.2">
      <c r="A473" s="124"/>
      <c r="B473" s="124"/>
      <c r="C473" s="124"/>
      <c r="D473" s="124"/>
    </row>
    <row r="474" spans="1:4" x14ac:dyDescent="0.2">
      <c r="A474" s="124"/>
      <c r="B474" s="124"/>
      <c r="C474" s="124"/>
      <c r="D474" s="124"/>
    </row>
    <row r="475" spans="1:4" x14ac:dyDescent="0.2">
      <c r="A475" s="124"/>
      <c r="B475" s="124"/>
      <c r="C475" s="124"/>
      <c r="D475" s="124"/>
    </row>
    <row r="476" spans="1:4" x14ac:dyDescent="0.2">
      <c r="A476" s="124"/>
      <c r="B476" s="124"/>
      <c r="C476" s="124"/>
      <c r="D476" s="124"/>
    </row>
    <row r="477" spans="1:4" x14ac:dyDescent="0.2">
      <c r="A477" s="124"/>
      <c r="B477" s="124"/>
      <c r="C477" s="124"/>
      <c r="D477" s="124"/>
    </row>
    <row r="478" spans="1:4" x14ac:dyDescent="0.2">
      <c r="A478" s="124"/>
      <c r="B478" s="124"/>
      <c r="C478" s="124"/>
      <c r="D478" s="124"/>
    </row>
    <row r="479" spans="1:4" x14ac:dyDescent="0.2">
      <c r="A479" s="124"/>
      <c r="B479" s="124"/>
      <c r="C479" s="124"/>
      <c r="D479" s="124"/>
    </row>
    <row r="480" spans="1:4" x14ac:dyDescent="0.2">
      <c r="A480" s="124"/>
      <c r="B480" s="124"/>
      <c r="C480" s="124"/>
      <c r="D480" s="124"/>
    </row>
    <row r="481" spans="1:4" x14ac:dyDescent="0.2">
      <c r="A481" s="124"/>
      <c r="B481" s="124"/>
      <c r="C481" s="124"/>
      <c r="D481" s="124"/>
    </row>
    <row r="482" spans="1:4" x14ac:dyDescent="0.2">
      <c r="A482" s="124"/>
      <c r="B482" s="124"/>
      <c r="C482" s="124"/>
      <c r="D482" s="124"/>
    </row>
    <row r="483" spans="1:4" x14ac:dyDescent="0.2">
      <c r="A483" s="124"/>
      <c r="B483" s="124"/>
      <c r="C483" s="124"/>
      <c r="D483" s="124"/>
    </row>
    <row r="484" spans="1:4" x14ac:dyDescent="0.2">
      <c r="A484" s="124"/>
      <c r="B484" s="124"/>
      <c r="C484" s="124"/>
      <c r="D484" s="124"/>
    </row>
    <row r="485" spans="1:4" x14ac:dyDescent="0.2">
      <c r="A485" s="124"/>
      <c r="B485" s="124"/>
      <c r="C485" s="124"/>
      <c r="D485" s="124"/>
    </row>
    <row r="486" spans="1:4" x14ac:dyDescent="0.2">
      <c r="A486" s="124"/>
      <c r="B486" s="124"/>
      <c r="C486" s="124"/>
      <c r="D486" s="124"/>
    </row>
    <row r="487" spans="1:4" x14ac:dyDescent="0.2">
      <c r="A487" s="124"/>
      <c r="B487" s="124"/>
      <c r="C487" s="124"/>
      <c r="D487" s="124"/>
    </row>
    <row r="488" spans="1:4" x14ac:dyDescent="0.2">
      <c r="A488" s="124"/>
      <c r="B488" s="124"/>
      <c r="C488" s="124"/>
      <c r="D488" s="124"/>
    </row>
    <row r="489" spans="1:4" x14ac:dyDescent="0.2">
      <c r="A489" s="124"/>
      <c r="B489" s="124"/>
      <c r="C489" s="124"/>
      <c r="D489" s="124"/>
    </row>
    <row r="490" spans="1:4" x14ac:dyDescent="0.2">
      <c r="A490" s="124"/>
      <c r="B490" s="124"/>
      <c r="C490" s="124"/>
      <c r="D490" s="124"/>
    </row>
    <row r="491" spans="1:4" x14ac:dyDescent="0.2">
      <c r="A491" s="124"/>
      <c r="B491" s="124"/>
      <c r="C491" s="124"/>
      <c r="D491" s="124"/>
    </row>
    <row r="492" spans="1:4" x14ac:dyDescent="0.2">
      <c r="A492" s="124"/>
      <c r="B492" s="124"/>
      <c r="C492" s="124"/>
      <c r="D492" s="124"/>
    </row>
    <row r="493" spans="1:4" x14ac:dyDescent="0.2">
      <c r="A493" s="124"/>
      <c r="B493" s="124"/>
      <c r="C493" s="124"/>
      <c r="D493" s="124"/>
    </row>
    <row r="494" spans="1:4" x14ac:dyDescent="0.2">
      <c r="A494" s="124"/>
      <c r="B494" s="124"/>
      <c r="C494" s="124"/>
      <c r="D494" s="124"/>
    </row>
    <row r="495" spans="1:4" x14ac:dyDescent="0.2">
      <c r="A495" s="124"/>
      <c r="B495" s="124"/>
      <c r="C495" s="124"/>
      <c r="D495" s="124"/>
    </row>
    <row r="496" spans="1:4" x14ac:dyDescent="0.2">
      <c r="A496" s="124"/>
      <c r="B496" s="124"/>
      <c r="C496" s="124"/>
      <c r="D496" s="124"/>
    </row>
    <row r="497" spans="1:4" x14ac:dyDescent="0.2">
      <c r="A497" s="124"/>
      <c r="B497" s="124"/>
      <c r="C497" s="124"/>
      <c r="D497" s="124"/>
    </row>
    <row r="498" spans="1:4" x14ac:dyDescent="0.2">
      <c r="A498" s="124"/>
      <c r="B498" s="124"/>
      <c r="C498" s="124"/>
      <c r="D498" s="124"/>
    </row>
    <row r="499" spans="1:4" x14ac:dyDescent="0.2">
      <c r="A499" s="124"/>
      <c r="B499" s="124"/>
      <c r="C499" s="124"/>
      <c r="D499" s="124"/>
    </row>
    <row r="500" spans="1:4" x14ac:dyDescent="0.2">
      <c r="A500" s="124"/>
      <c r="B500" s="124"/>
      <c r="C500" s="124"/>
      <c r="D500" s="124"/>
    </row>
    <row r="501" spans="1:4" x14ac:dyDescent="0.2">
      <c r="A501" s="124"/>
      <c r="B501" s="124"/>
      <c r="C501" s="124"/>
      <c r="D501" s="124"/>
    </row>
    <row r="502" spans="1:4" x14ac:dyDescent="0.2">
      <c r="A502" s="124"/>
      <c r="B502" s="124"/>
      <c r="C502" s="124"/>
      <c r="D502" s="124"/>
    </row>
    <row r="503" spans="1:4" x14ac:dyDescent="0.2">
      <c r="A503" s="124"/>
      <c r="B503" s="124"/>
      <c r="C503" s="124"/>
      <c r="D503" s="124"/>
    </row>
    <row r="504" spans="1:4" x14ac:dyDescent="0.2">
      <c r="A504" s="124"/>
      <c r="B504" s="124"/>
      <c r="C504" s="124"/>
      <c r="D504" s="124"/>
    </row>
    <row r="505" spans="1:4" x14ac:dyDescent="0.2">
      <c r="A505" s="124"/>
      <c r="B505" s="124"/>
      <c r="C505" s="124"/>
      <c r="D505" s="124"/>
    </row>
    <row r="506" spans="1:4" x14ac:dyDescent="0.2">
      <c r="A506" s="124"/>
      <c r="B506" s="124"/>
      <c r="C506" s="124"/>
      <c r="D506" s="124"/>
    </row>
    <row r="507" spans="1:4" x14ac:dyDescent="0.2">
      <c r="A507" s="124"/>
      <c r="B507" s="124"/>
      <c r="C507" s="124"/>
      <c r="D507" s="124"/>
    </row>
    <row r="508" spans="1:4" x14ac:dyDescent="0.2">
      <c r="A508" s="124"/>
      <c r="B508" s="124"/>
      <c r="C508" s="124"/>
      <c r="D508" s="124"/>
    </row>
    <row r="509" spans="1:4" x14ac:dyDescent="0.2">
      <c r="A509" s="124"/>
      <c r="B509" s="124"/>
      <c r="C509" s="124"/>
      <c r="D509" s="124"/>
    </row>
    <row r="510" spans="1:4" x14ac:dyDescent="0.2">
      <c r="A510" s="124"/>
      <c r="B510" s="124"/>
      <c r="C510" s="124"/>
      <c r="D510" s="124"/>
    </row>
    <row r="511" spans="1:4" x14ac:dyDescent="0.2">
      <c r="A511" s="124"/>
      <c r="B511" s="124"/>
      <c r="C511" s="124"/>
      <c r="D511" s="124"/>
    </row>
    <row r="512" spans="1:4" x14ac:dyDescent="0.2">
      <c r="A512" s="124"/>
      <c r="B512" s="124"/>
      <c r="C512" s="124"/>
      <c r="D512" s="124"/>
    </row>
    <row r="513" spans="1:4" x14ac:dyDescent="0.2">
      <c r="A513" s="124"/>
      <c r="B513" s="124"/>
      <c r="C513" s="124"/>
      <c r="D513" s="124"/>
    </row>
    <row r="514" spans="1:4" x14ac:dyDescent="0.2">
      <c r="A514" s="124"/>
      <c r="B514" s="124"/>
      <c r="C514" s="124"/>
      <c r="D514" s="124"/>
    </row>
    <row r="515" spans="1:4" x14ac:dyDescent="0.2">
      <c r="A515" s="124"/>
      <c r="B515" s="124"/>
      <c r="C515" s="124"/>
      <c r="D515" s="124"/>
    </row>
    <row r="516" spans="1:4" x14ac:dyDescent="0.2">
      <c r="A516" s="124"/>
      <c r="B516" s="124"/>
      <c r="C516" s="124"/>
      <c r="D516" s="124"/>
    </row>
    <row r="517" spans="1:4" x14ac:dyDescent="0.2">
      <c r="A517" s="124"/>
      <c r="B517" s="124"/>
      <c r="C517" s="124"/>
      <c r="D517" s="124"/>
    </row>
    <row r="518" spans="1:4" x14ac:dyDescent="0.2">
      <c r="A518" s="124"/>
      <c r="B518" s="124"/>
      <c r="C518" s="124"/>
      <c r="D518" s="124"/>
    </row>
    <row r="519" spans="1:4" x14ac:dyDescent="0.2">
      <c r="A519" s="124"/>
      <c r="B519" s="124"/>
      <c r="C519" s="124"/>
      <c r="D519" s="124"/>
    </row>
    <row r="520" spans="1:4" x14ac:dyDescent="0.2">
      <c r="A520" s="124"/>
      <c r="B520" s="124"/>
      <c r="C520" s="124"/>
      <c r="D520" s="124"/>
    </row>
    <row r="521" spans="1:4" x14ac:dyDescent="0.2">
      <c r="A521" s="124"/>
      <c r="B521" s="124"/>
      <c r="C521" s="124"/>
      <c r="D521" s="124"/>
    </row>
    <row r="522" spans="1:4" x14ac:dyDescent="0.2">
      <c r="A522" s="124"/>
      <c r="B522" s="124"/>
      <c r="C522" s="124"/>
      <c r="D522" s="124"/>
    </row>
    <row r="523" spans="1:4" x14ac:dyDescent="0.2">
      <c r="A523" s="124"/>
      <c r="B523" s="124"/>
      <c r="C523" s="124"/>
      <c r="D523" s="124"/>
    </row>
    <row r="524" spans="1:4" x14ac:dyDescent="0.2">
      <c r="A524" s="124"/>
      <c r="B524" s="124"/>
      <c r="C524" s="124"/>
      <c r="D524" s="124"/>
    </row>
    <row r="525" spans="1:4" x14ac:dyDescent="0.2">
      <c r="A525" s="124"/>
      <c r="B525" s="124"/>
      <c r="C525" s="124"/>
      <c r="D525" s="124"/>
    </row>
    <row r="526" spans="1:4" x14ac:dyDescent="0.2">
      <c r="A526" s="124"/>
      <c r="B526" s="124"/>
      <c r="C526" s="124"/>
      <c r="D526" s="124"/>
    </row>
    <row r="527" spans="1:4" x14ac:dyDescent="0.2">
      <c r="A527" s="124"/>
      <c r="B527" s="124"/>
      <c r="C527" s="124"/>
      <c r="D527" s="124"/>
    </row>
    <row r="528" spans="1:4" x14ac:dyDescent="0.2">
      <c r="A528" s="124"/>
      <c r="B528" s="124"/>
      <c r="C528" s="124"/>
      <c r="D528" s="124"/>
    </row>
    <row r="529" spans="1:4" x14ac:dyDescent="0.2">
      <c r="A529" s="124"/>
      <c r="B529" s="124"/>
      <c r="C529" s="124"/>
      <c r="D529" s="124"/>
    </row>
    <row r="530" spans="1:4" x14ac:dyDescent="0.2">
      <c r="A530" s="124"/>
      <c r="B530" s="124"/>
      <c r="C530" s="124"/>
      <c r="D530" s="124"/>
    </row>
    <row r="531" spans="1:4" x14ac:dyDescent="0.2">
      <c r="A531" s="124"/>
      <c r="B531" s="124"/>
      <c r="C531" s="124"/>
      <c r="D531" s="124"/>
    </row>
    <row r="532" spans="1:4" x14ac:dyDescent="0.2">
      <c r="A532" s="124"/>
      <c r="B532" s="124"/>
      <c r="C532" s="124"/>
      <c r="D532" s="124"/>
    </row>
    <row r="533" spans="1:4" x14ac:dyDescent="0.2">
      <c r="A533" s="124"/>
      <c r="B533" s="124"/>
      <c r="C533" s="124"/>
      <c r="D533" s="124"/>
    </row>
    <row r="534" spans="1:4" x14ac:dyDescent="0.2">
      <c r="A534" s="124"/>
      <c r="B534" s="124"/>
      <c r="C534" s="124"/>
      <c r="D534" s="124"/>
    </row>
    <row r="535" spans="1:4" x14ac:dyDescent="0.2">
      <c r="A535" s="124"/>
      <c r="B535" s="124"/>
      <c r="C535" s="124"/>
      <c r="D535" s="124"/>
    </row>
    <row r="536" spans="1:4" x14ac:dyDescent="0.2">
      <c r="A536" s="124"/>
      <c r="B536" s="124"/>
      <c r="C536" s="124"/>
      <c r="D536" s="124"/>
    </row>
    <row r="537" spans="1:4" x14ac:dyDescent="0.2">
      <c r="A537" s="124"/>
      <c r="B537" s="124"/>
      <c r="C537" s="124"/>
      <c r="D537" s="124"/>
    </row>
    <row r="538" spans="1:4" x14ac:dyDescent="0.2">
      <c r="A538" s="124"/>
      <c r="B538" s="124"/>
      <c r="C538" s="124"/>
      <c r="D538" s="124"/>
    </row>
    <row r="539" spans="1:4" x14ac:dyDescent="0.2">
      <c r="A539" s="124"/>
      <c r="B539" s="124"/>
      <c r="C539" s="124"/>
      <c r="D539" s="124"/>
    </row>
    <row r="540" spans="1:4" x14ac:dyDescent="0.2">
      <c r="A540" s="124"/>
      <c r="B540" s="124"/>
      <c r="C540" s="124"/>
      <c r="D540" s="124"/>
    </row>
    <row r="541" spans="1:4" x14ac:dyDescent="0.2">
      <c r="A541" s="124"/>
      <c r="B541" s="124"/>
      <c r="C541" s="124"/>
      <c r="D541" s="124"/>
    </row>
    <row r="542" spans="1:4" x14ac:dyDescent="0.2">
      <c r="A542" s="124"/>
      <c r="B542" s="124"/>
      <c r="C542" s="124"/>
      <c r="D542" s="124"/>
    </row>
    <row r="543" spans="1:4" x14ac:dyDescent="0.2">
      <c r="A543" s="124"/>
      <c r="B543" s="124"/>
      <c r="C543" s="124"/>
      <c r="D543" s="124"/>
    </row>
    <row r="544" spans="1:4" x14ac:dyDescent="0.2">
      <c r="A544" s="124"/>
      <c r="B544" s="124"/>
      <c r="C544" s="124"/>
      <c r="D544" s="124"/>
    </row>
    <row r="545" spans="1:4" x14ac:dyDescent="0.2">
      <c r="A545" s="124"/>
      <c r="B545" s="124"/>
      <c r="C545" s="124"/>
      <c r="D545" s="124"/>
    </row>
    <row r="546" spans="1:4" x14ac:dyDescent="0.2">
      <c r="A546" s="124"/>
      <c r="B546" s="124"/>
      <c r="C546" s="124"/>
      <c r="D546" s="124"/>
    </row>
    <row r="547" spans="1:4" x14ac:dyDescent="0.2">
      <c r="A547" s="124"/>
      <c r="B547" s="124"/>
      <c r="C547" s="124"/>
      <c r="D547" s="124"/>
    </row>
    <row r="548" spans="1:4" x14ac:dyDescent="0.2">
      <c r="A548" s="124"/>
      <c r="B548" s="124"/>
      <c r="C548" s="124"/>
      <c r="D548" s="124"/>
    </row>
    <row r="549" spans="1:4" x14ac:dyDescent="0.2">
      <c r="A549" s="124"/>
      <c r="B549" s="124"/>
      <c r="C549" s="124"/>
      <c r="D549" s="124"/>
    </row>
    <row r="550" spans="1:4" x14ac:dyDescent="0.2">
      <c r="A550" s="124"/>
      <c r="B550" s="124"/>
      <c r="C550" s="124"/>
      <c r="D550" s="124"/>
    </row>
    <row r="551" spans="1:4" x14ac:dyDescent="0.2">
      <c r="A551" s="124"/>
      <c r="B551" s="124"/>
      <c r="C551" s="124"/>
      <c r="D551" s="124"/>
    </row>
    <row r="552" spans="1:4" x14ac:dyDescent="0.2">
      <c r="A552" s="124"/>
      <c r="B552" s="124"/>
      <c r="C552" s="124"/>
      <c r="D552" s="124"/>
    </row>
    <row r="553" spans="1:4" x14ac:dyDescent="0.2">
      <c r="A553" s="124"/>
      <c r="B553" s="124"/>
      <c r="C553" s="124"/>
      <c r="D553" s="124"/>
    </row>
    <row r="554" spans="1:4" x14ac:dyDescent="0.2">
      <c r="A554" s="124"/>
      <c r="B554" s="124"/>
      <c r="C554" s="124"/>
      <c r="D554" s="124"/>
    </row>
    <row r="555" spans="1:4" x14ac:dyDescent="0.2">
      <c r="A555" s="124"/>
      <c r="B555" s="124"/>
      <c r="C555" s="124"/>
      <c r="D555" s="124"/>
    </row>
    <row r="556" spans="1:4" x14ac:dyDescent="0.2">
      <c r="A556" s="124"/>
      <c r="B556" s="124"/>
      <c r="C556" s="124"/>
      <c r="D556" s="124"/>
    </row>
    <row r="557" spans="1:4" x14ac:dyDescent="0.2">
      <c r="A557" s="124"/>
      <c r="B557" s="124"/>
      <c r="C557" s="124"/>
      <c r="D557" s="124"/>
    </row>
    <row r="558" spans="1:4" x14ac:dyDescent="0.2">
      <c r="A558" s="124"/>
      <c r="B558" s="124"/>
      <c r="C558" s="124"/>
      <c r="D558" s="124"/>
    </row>
    <row r="559" spans="1:4" x14ac:dyDescent="0.2">
      <c r="A559" s="124"/>
      <c r="B559" s="124"/>
      <c r="C559" s="124"/>
      <c r="D559" s="124"/>
    </row>
    <row r="560" spans="1:4" x14ac:dyDescent="0.2">
      <c r="A560" s="124"/>
      <c r="B560" s="124"/>
      <c r="C560" s="124"/>
      <c r="D560" s="124"/>
    </row>
    <row r="561" spans="1:4" x14ac:dyDescent="0.2">
      <c r="A561" s="124"/>
      <c r="B561" s="124"/>
      <c r="C561" s="124"/>
      <c r="D561" s="124"/>
    </row>
    <row r="562" spans="1:4" x14ac:dyDescent="0.2">
      <c r="A562" s="124"/>
      <c r="B562" s="124"/>
      <c r="C562" s="124"/>
      <c r="D562" s="124"/>
    </row>
    <row r="563" spans="1:4" x14ac:dyDescent="0.2">
      <c r="A563" s="124"/>
      <c r="B563" s="124"/>
      <c r="C563" s="124"/>
      <c r="D563" s="124"/>
    </row>
    <row r="564" spans="1:4" x14ac:dyDescent="0.2">
      <c r="A564" s="124"/>
      <c r="B564" s="124"/>
      <c r="C564" s="124"/>
      <c r="D564" s="124"/>
    </row>
    <row r="565" spans="1:4" x14ac:dyDescent="0.2">
      <c r="A565" s="124"/>
      <c r="B565" s="124"/>
      <c r="C565" s="124"/>
      <c r="D565" s="124"/>
    </row>
    <row r="566" spans="1:4" x14ac:dyDescent="0.2">
      <c r="A566" s="124"/>
      <c r="B566" s="124"/>
      <c r="C566" s="124"/>
      <c r="D566" s="124"/>
    </row>
    <row r="567" spans="1:4" x14ac:dyDescent="0.2">
      <c r="A567" s="124"/>
      <c r="B567" s="124"/>
      <c r="C567" s="124"/>
      <c r="D567" s="124"/>
    </row>
    <row r="568" spans="1:4" x14ac:dyDescent="0.2">
      <c r="A568" s="124"/>
      <c r="B568" s="124"/>
      <c r="C568" s="124"/>
      <c r="D568" s="124"/>
    </row>
    <row r="569" spans="1:4" x14ac:dyDescent="0.2">
      <c r="A569" s="124"/>
      <c r="B569" s="124"/>
      <c r="C569" s="124"/>
      <c r="D569" s="124"/>
    </row>
    <row r="570" spans="1:4" x14ac:dyDescent="0.2">
      <c r="A570" s="124"/>
      <c r="B570" s="124"/>
      <c r="C570" s="124"/>
      <c r="D570" s="124"/>
    </row>
    <row r="571" spans="1:4" x14ac:dyDescent="0.2">
      <c r="A571" s="124"/>
      <c r="B571" s="124"/>
      <c r="C571" s="124"/>
      <c r="D571" s="124"/>
    </row>
    <row r="572" spans="1:4" x14ac:dyDescent="0.2">
      <c r="A572" s="124"/>
      <c r="B572" s="124"/>
      <c r="C572" s="124"/>
      <c r="D572" s="124"/>
    </row>
    <row r="573" spans="1:4" x14ac:dyDescent="0.2">
      <c r="A573" s="124"/>
      <c r="B573" s="124"/>
      <c r="C573" s="124"/>
      <c r="D573" s="124"/>
    </row>
    <row r="574" spans="1:4" x14ac:dyDescent="0.2">
      <c r="A574" s="124"/>
      <c r="B574" s="124"/>
      <c r="C574" s="124"/>
      <c r="D574" s="124"/>
    </row>
    <row r="575" spans="1:4" x14ac:dyDescent="0.2">
      <c r="A575" s="124"/>
      <c r="B575" s="124"/>
      <c r="C575" s="124"/>
      <c r="D575" s="124"/>
    </row>
    <row r="576" spans="1:4" x14ac:dyDescent="0.2">
      <c r="A576" s="124"/>
      <c r="B576" s="124"/>
      <c r="C576" s="124"/>
      <c r="D576" s="124"/>
    </row>
    <row r="577" spans="1:4" x14ac:dyDescent="0.2">
      <c r="A577" s="124"/>
      <c r="B577" s="124"/>
      <c r="C577" s="124"/>
      <c r="D577" s="124"/>
    </row>
    <row r="578" spans="1:4" x14ac:dyDescent="0.2">
      <c r="A578" s="124"/>
      <c r="B578" s="124"/>
      <c r="C578" s="124"/>
      <c r="D578" s="124"/>
    </row>
    <row r="579" spans="1:4" x14ac:dyDescent="0.2">
      <c r="A579" s="124"/>
      <c r="B579" s="124"/>
      <c r="C579" s="124"/>
      <c r="D579" s="124"/>
    </row>
    <row r="580" spans="1:4" x14ac:dyDescent="0.2">
      <c r="A580" s="124"/>
      <c r="B580" s="124"/>
      <c r="C580" s="124"/>
      <c r="D580" s="124"/>
    </row>
    <row r="581" spans="1:4" x14ac:dyDescent="0.2">
      <c r="A581" s="124"/>
      <c r="B581" s="124"/>
      <c r="C581" s="124"/>
      <c r="D581" s="124"/>
    </row>
    <row r="582" spans="1:4" x14ac:dyDescent="0.2">
      <c r="A582" s="124"/>
      <c r="B582" s="124"/>
      <c r="C582" s="124"/>
      <c r="D582" s="124"/>
    </row>
    <row r="583" spans="1:4" x14ac:dyDescent="0.2">
      <c r="A583" s="124"/>
      <c r="B583" s="124"/>
      <c r="C583" s="124"/>
      <c r="D583" s="124"/>
    </row>
    <row r="584" spans="1:4" x14ac:dyDescent="0.2">
      <c r="A584" s="124"/>
      <c r="B584" s="124"/>
      <c r="C584" s="124"/>
      <c r="D584" s="124"/>
    </row>
    <row r="585" spans="1:4" x14ac:dyDescent="0.2">
      <c r="A585" s="124"/>
      <c r="B585" s="124"/>
      <c r="C585" s="124"/>
      <c r="D585" s="124"/>
    </row>
    <row r="586" spans="1:4" x14ac:dyDescent="0.2">
      <c r="A586" s="124"/>
      <c r="B586" s="124"/>
      <c r="C586" s="124"/>
      <c r="D586" s="124"/>
    </row>
    <row r="587" spans="1:4" x14ac:dyDescent="0.2">
      <c r="A587" s="124"/>
      <c r="B587" s="124"/>
      <c r="C587" s="124"/>
      <c r="D587" s="124"/>
    </row>
    <row r="588" spans="1:4" x14ac:dyDescent="0.2">
      <c r="A588" s="124"/>
      <c r="B588" s="124"/>
      <c r="C588" s="124"/>
      <c r="D588" s="124"/>
    </row>
    <row r="589" spans="1:4" x14ac:dyDescent="0.2">
      <c r="A589" s="124"/>
      <c r="B589" s="124"/>
      <c r="C589" s="124"/>
      <c r="D589" s="124"/>
    </row>
    <row r="590" spans="1:4" x14ac:dyDescent="0.2">
      <c r="A590" s="124"/>
      <c r="B590" s="124"/>
      <c r="C590" s="124"/>
      <c r="D590" s="124"/>
    </row>
    <row r="591" spans="1:4" x14ac:dyDescent="0.2">
      <c r="A591" s="124"/>
      <c r="B591" s="124"/>
      <c r="C591" s="124"/>
      <c r="D591" s="124"/>
    </row>
    <row r="592" spans="1:4" x14ac:dyDescent="0.2">
      <c r="A592" s="124"/>
      <c r="B592" s="124"/>
      <c r="C592" s="124"/>
      <c r="D592" s="124"/>
    </row>
    <row r="593" spans="1:4" x14ac:dyDescent="0.2">
      <c r="A593" s="124"/>
      <c r="B593" s="124"/>
      <c r="C593" s="124"/>
      <c r="D593" s="124"/>
    </row>
    <row r="594" spans="1:4" x14ac:dyDescent="0.2">
      <c r="A594" s="124"/>
      <c r="B594" s="124"/>
      <c r="C594" s="124"/>
      <c r="D594" s="124"/>
    </row>
    <row r="595" spans="1:4" x14ac:dyDescent="0.2">
      <c r="A595" s="124"/>
      <c r="B595" s="124"/>
      <c r="C595" s="124"/>
      <c r="D595" s="124"/>
    </row>
    <row r="596" spans="1:4" x14ac:dyDescent="0.2">
      <c r="A596" s="124"/>
      <c r="B596" s="124"/>
      <c r="C596" s="124"/>
      <c r="D596" s="124"/>
    </row>
    <row r="597" spans="1:4" x14ac:dyDescent="0.2">
      <c r="A597" s="124"/>
      <c r="B597" s="124"/>
      <c r="C597" s="124"/>
      <c r="D597" s="124"/>
    </row>
    <row r="598" spans="1:4" x14ac:dyDescent="0.2">
      <c r="A598" s="124"/>
      <c r="B598" s="124"/>
      <c r="C598" s="124"/>
      <c r="D598" s="124"/>
    </row>
    <row r="599" spans="1:4" x14ac:dyDescent="0.2">
      <c r="A599" s="124"/>
      <c r="B599" s="124"/>
      <c r="C599" s="124"/>
      <c r="D599" s="124"/>
    </row>
    <row r="600" spans="1:4" x14ac:dyDescent="0.2">
      <c r="A600" s="124"/>
      <c r="B600" s="124"/>
      <c r="C600" s="124"/>
      <c r="D600" s="124"/>
    </row>
    <row r="601" spans="1:4" x14ac:dyDescent="0.2">
      <c r="A601" s="124"/>
      <c r="B601" s="124"/>
      <c r="C601" s="124"/>
      <c r="D601" s="124"/>
    </row>
    <row r="602" spans="1:4" x14ac:dyDescent="0.2">
      <c r="A602" s="124"/>
      <c r="B602" s="124"/>
      <c r="C602" s="124"/>
      <c r="D602" s="124"/>
    </row>
    <row r="603" spans="1:4" x14ac:dyDescent="0.2">
      <c r="A603" s="124"/>
      <c r="B603" s="124"/>
      <c r="C603" s="124"/>
      <c r="D603" s="124"/>
    </row>
    <row r="604" spans="1:4" x14ac:dyDescent="0.2">
      <c r="A604" s="124"/>
      <c r="B604" s="124"/>
      <c r="C604" s="124"/>
      <c r="D604" s="124"/>
    </row>
    <row r="605" spans="1:4" x14ac:dyDescent="0.2">
      <c r="A605" s="124"/>
      <c r="B605" s="124"/>
      <c r="C605" s="124"/>
      <c r="D605" s="124"/>
    </row>
    <row r="606" spans="1:4" x14ac:dyDescent="0.2">
      <c r="A606" s="124"/>
      <c r="B606" s="124"/>
      <c r="C606" s="124"/>
      <c r="D606" s="124"/>
    </row>
    <row r="607" spans="1:4" x14ac:dyDescent="0.2">
      <c r="A607" s="124"/>
      <c r="B607" s="124"/>
      <c r="C607" s="124"/>
      <c r="D607" s="124"/>
    </row>
    <row r="608" spans="1:4" x14ac:dyDescent="0.2">
      <c r="A608" s="124"/>
      <c r="B608" s="124"/>
      <c r="C608" s="124"/>
      <c r="D608" s="124"/>
    </row>
    <row r="609" spans="1:4" x14ac:dyDescent="0.2">
      <c r="A609" s="124"/>
      <c r="B609" s="124"/>
      <c r="C609" s="124"/>
      <c r="D609" s="124"/>
    </row>
    <row r="610" spans="1:4" x14ac:dyDescent="0.2">
      <c r="A610" s="124"/>
      <c r="B610" s="124"/>
      <c r="C610" s="124"/>
      <c r="D610" s="124"/>
    </row>
    <row r="611" spans="1:4" x14ac:dyDescent="0.2">
      <c r="A611" s="124"/>
      <c r="B611" s="124"/>
      <c r="C611" s="124"/>
      <c r="D611" s="124"/>
    </row>
    <row r="612" spans="1:4" x14ac:dyDescent="0.2">
      <c r="A612" s="124"/>
      <c r="B612" s="124"/>
      <c r="C612" s="124"/>
      <c r="D612" s="124"/>
    </row>
    <row r="613" spans="1:4" x14ac:dyDescent="0.2">
      <c r="A613" s="124"/>
      <c r="B613" s="124"/>
      <c r="C613" s="124"/>
      <c r="D613" s="124"/>
    </row>
    <row r="614" spans="1:4" x14ac:dyDescent="0.2">
      <c r="A614" s="124"/>
      <c r="B614" s="124"/>
      <c r="C614" s="124"/>
      <c r="D614" s="124"/>
    </row>
    <row r="615" spans="1:4" x14ac:dyDescent="0.2">
      <c r="A615" s="124"/>
      <c r="B615" s="124"/>
      <c r="C615" s="124"/>
      <c r="D615" s="124"/>
    </row>
    <row r="616" spans="1:4" x14ac:dyDescent="0.2">
      <c r="A616" s="124"/>
      <c r="B616" s="124"/>
      <c r="C616" s="124"/>
      <c r="D616" s="124"/>
    </row>
    <row r="617" spans="1:4" x14ac:dyDescent="0.2">
      <c r="A617" s="124"/>
      <c r="B617" s="124"/>
      <c r="C617" s="124"/>
      <c r="D617" s="124"/>
    </row>
    <row r="618" spans="1:4" x14ac:dyDescent="0.2">
      <c r="A618" s="124"/>
      <c r="B618" s="124"/>
      <c r="C618" s="124"/>
      <c r="D618" s="124"/>
    </row>
    <row r="619" spans="1:4" x14ac:dyDescent="0.2">
      <c r="A619" s="124"/>
      <c r="B619" s="124"/>
      <c r="C619" s="124"/>
      <c r="D619" s="124"/>
    </row>
    <row r="620" spans="1:4" x14ac:dyDescent="0.2">
      <c r="A620" s="124"/>
      <c r="B620" s="124"/>
      <c r="C620" s="124"/>
      <c r="D620" s="124"/>
    </row>
    <row r="621" spans="1:4" x14ac:dyDescent="0.2">
      <c r="A621" s="124"/>
      <c r="B621" s="124"/>
      <c r="C621" s="124"/>
      <c r="D621" s="124"/>
    </row>
    <row r="622" spans="1:4" x14ac:dyDescent="0.2">
      <c r="A622" s="124"/>
      <c r="B622" s="124"/>
      <c r="C622" s="124"/>
      <c r="D622" s="124"/>
    </row>
    <row r="623" spans="1:4" x14ac:dyDescent="0.2">
      <c r="A623" s="124"/>
      <c r="B623" s="124"/>
      <c r="C623" s="124"/>
      <c r="D623" s="124"/>
    </row>
    <row r="624" spans="1:4" x14ac:dyDescent="0.2">
      <c r="A624" s="124"/>
      <c r="B624" s="124"/>
      <c r="C624" s="124"/>
      <c r="D624" s="124"/>
    </row>
    <row r="625" spans="1:4" x14ac:dyDescent="0.2">
      <c r="A625" s="124"/>
      <c r="B625" s="124"/>
      <c r="C625" s="124"/>
      <c r="D625" s="124"/>
    </row>
    <row r="626" spans="1:4" x14ac:dyDescent="0.2">
      <c r="A626" s="124"/>
      <c r="B626" s="124"/>
      <c r="C626" s="124"/>
      <c r="D626" s="124"/>
    </row>
    <row r="627" spans="1:4" x14ac:dyDescent="0.2">
      <c r="A627" s="124"/>
      <c r="B627" s="124"/>
      <c r="C627" s="124"/>
      <c r="D627" s="124"/>
    </row>
    <row r="628" spans="1:4" x14ac:dyDescent="0.2">
      <c r="A628" s="124"/>
      <c r="B628" s="124"/>
      <c r="C628" s="124"/>
      <c r="D628" s="124"/>
    </row>
    <row r="629" spans="1:4" x14ac:dyDescent="0.2">
      <c r="A629" s="124"/>
      <c r="B629" s="124"/>
      <c r="C629" s="124"/>
      <c r="D629" s="124"/>
    </row>
    <row r="630" spans="1:4" x14ac:dyDescent="0.2">
      <c r="A630" s="124"/>
      <c r="B630" s="124"/>
      <c r="C630" s="124"/>
      <c r="D630" s="124"/>
    </row>
    <row r="631" spans="1:4" x14ac:dyDescent="0.2">
      <c r="A631" s="124"/>
      <c r="B631" s="124"/>
      <c r="C631" s="124"/>
      <c r="D631" s="124"/>
    </row>
    <row r="632" spans="1:4" x14ac:dyDescent="0.2">
      <c r="A632" s="124"/>
      <c r="B632" s="124"/>
      <c r="C632" s="124"/>
      <c r="D632" s="124"/>
    </row>
    <row r="633" spans="1:4" x14ac:dyDescent="0.2">
      <c r="A633" s="124"/>
      <c r="B633" s="124"/>
      <c r="C633" s="124"/>
      <c r="D633" s="124"/>
    </row>
    <row r="634" spans="1:4" x14ac:dyDescent="0.2">
      <c r="A634" s="124"/>
      <c r="B634" s="124"/>
      <c r="C634" s="124"/>
      <c r="D634" s="124"/>
    </row>
    <row r="635" spans="1:4" x14ac:dyDescent="0.2">
      <c r="A635" s="124"/>
      <c r="B635" s="124"/>
      <c r="C635" s="124"/>
      <c r="D635" s="124"/>
    </row>
    <row r="636" spans="1:4" x14ac:dyDescent="0.2">
      <c r="A636" s="124"/>
      <c r="B636" s="124"/>
      <c r="C636" s="124"/>
      <c r="D636" s="124"/>
    </row>
    <row r="637" spans="1:4" x14ac:dyDescent="0.2">
      <c r="A637" s="124"/>
      <c r="B637" s="124"/>
      <c r="C637" s="124"/>
      <c r="D637" s="124"/>
    </row>
    <row r="638" spans="1:4" x14ac:dyDescent="0.2">
      <c r="A638" s="124"/>
      <c r="B638" s="124"/>
      <c r="C638" s="124"/>
      <c r="D638" s="124"/>
    </row>
    <row r="639" spans="1:4" x14ac:dyDescent="0.2">
      <c r="A639" s="124"/>
      <c r="B639" s="124"/>
      <c r="C639" s="124"/>
      <c r="D639" s="124"/>
    </row>
    <row r="640" spans="1:4" x14ac:dyDescent="0.2">
      <c r="A640" s="124"/>
      <c r="B640" s="124"/>
      <c r="C640" s="124"/>
      <c r="D640" s="124"/>
    </row>
    <row r="641" spans="1:4" x14ac:dyDescent="0.2">
      <c r="A641" s="124"/>
      <c r="B641" s="124"/>
      <c r="C641" s="124"/>
      <c r="D641" s="124"/>
    </row>
    <row r="642" spans="1:4" x14ac:dyDescent="0.2">
      <c r="A642" s="124"/>
      <c r="B642" s="124"/>
      <c r="C642" s="124"/>
      <c r="D642" s="124"/>
    </row>
    <row r="643" spans="1:4" x14ac:dyDescent="0.2">
      <c r="A643" s="124"/>
      <c r="B643" s="124"/>
      <c r="C643" s="124"/>
      <c r="D643" s="124"/>
    </row>
    <row r="644" spans="1:4" x14ac:dyDescent="0.2">
      <c r="A644" s="124"/>
      <c r="B644" s="124"/>
      <c r="C644" s="124"/>
      <c r="D644" s="124"/>
    </row>
    <row r="645" spans="1:4" x14ac:dyDescent="0.2">
      <c r="A645" s="124"/>
      <c r="B645" s="124"/>
      <c r="C645" s="124"/>
      <c r="D645" s="124"/>
    </row>
    <row r="646" spans="1:4" x14ac:dyDescent="0.2">
      <c r="A646" s="124"/>
      <c r="B646" s="124"/>
      <c r="C646" s="124"/>
      <c r="D646" s="124"/>
    </row>
    <row r="647" spans="1:4" x14ac:dyDescent="0.2">
      <c r="A647" s="124"/>
      <c r="B647" s="124"/>
      <c r="C647" s="124"/>
      <c r="D647" s="124"/>
    </row>
    <row r="648" spans="1:4" x14ac:dyDescent="0.2">
      <c r="A648" s="124"/>
      <c r="B648" s="124"/>
      <c r="C648" s="124"/>
      <c r="D648" s="124"/>
    </row>
    <row r="649" spans="1:4" x14ac:dyDescent="0.2">
      <c r="A649" s="124"/>
      <c r="B649" s="124"/>
      <c r="C649" s="124"/>
      <c r="D649" s="124"/>
    </row>
    <row r="650" spans="1:4" x14ac:dyDescent="0.2">
      <c r="A650" s="124"/>
      <c r="B650" s="124"/>
      <c r="C650" s="124"/>
      <c r="D650" s="124"/>
    </row>
    <row r="651" spans="1:4" x14ac:dyDescent="0.2">
      <c r="A651" s="124"/>
      <c r="B651" s="124"/>
      <c r="C651" s="124"/>
      <c r="D651" s="124"/>
    </row>
    <row r="652" spans="1:4" x14ac:dyDescent="0.2">
      <c r="A652" s="124"/>
      <c r="B652" s="124"/>
      <c r="C652" s="124"/>
      <c r="D652" s="124"/>
    </row>
    <row r="653" spans="1:4" x14ac:dyDescent="0.2">
      <c r="A653" s="124"/>
      <c r="B653" s="124"/>
      <c r="C653" s="124"/>
      <c r="D653" s="124"/>
    </row>
    <row r="654" spans="1:4" x14ac:dyDescent="0.2">
      <c r="A654" s="124"/>
      <c r="B654" s="124"/>
      <c r="C654" s="124"/>
      <c r="D654" s="124"/>
    </row>
    <row r="655" spans="1:4" x14ac:dyDescent="0.2">
      <c r="A655" s="124"/>
      <c r="B655" s="124"/>
      <c r="C655" s="124"/>
      <c r="D655" s="124"/>
    </row>
    <row r="656" spans="1:4" x14ac:dyDescent="0.2">
      <c r="A656" s="124"/>
      <c r="B656" s="124"/>
      <c r="C656" s="124"/>
      <c r="D656" s="124"/>
    </row>
    <row r="657" spans="1:4" x14ac:dyDescent="0.2">
      <c r="A657" s="124"/>
      <c r="B657" s="124"/>
      <c r="C657" s="124"/>
      <c r="D657" s="124"/>
    </row>
    <row r="658" spans="1:4" x14ac:dyDescent="0.2">
      <c r="A658" s="124"/>
      <c r="B658" s="124"/>
      <c r="C658" s="124"/>
      <c r="D658" s="124"/>
    </row>
    <row r="659" spans="1:4" x14ac:dyDescent="0.2">
      <c r="A659" s="124"/>
      <c r="B659" s="124"/>
      <c r="C659" s="124"/>
      <c r="D659" s="124"/>
    </row>
    <row r="660" spans="1:4" x14ac:dyDescent="0.2">
      <c r="A660" s="124"/>
      <c r="B660" s="124"/>
      <c r="C660" s="124"/>
      <c r="D660" s="124"/>
    </row>
    <row r="661" spans="1:4" x14ac:dyDescent="0.2">
      <c r="A661" s="124"/>
      <c r="B661" s="124"/>
      <c r="C661" s="124"/>
      <c r="D661" s="124"/>
    </row>
    <row r="662" spans="1:4" x14ac:dyDescent="0.2">
      <c r="A662" s="124"/>
      <c r="B662" s="124"/>
      <c r="C662" s="124"/>
      <c r="D662" s="124"/>
    </row>
    <row r="663" spans="1:4" x14ac:dyDescent="0.2">
      <c r="A663" s="124"/>
      <c r="B663" s="124"/>
      <c r="C663" s="124"/>
      <c r="D663" s="124"/>
    </row>
    <row r="664" spans="1:4" x14ac:dyDescent="0.2">
      <c r="A664" s="124"/>
      <c r="B664" s="124"/>
      <c r="C664" s="124"/>
      <c r="D664" s="124"/>
    </row>
    <row r="665" spans="1:4" x14ac:dyDescent="0.2">
      <c r="A665" s="124"/>
      <c r="B665" s="124"/>
      <c r="C665" s="124"/>
      <c r="D665" s="124"/>
    </row>
    <row r="666" spans="1:4" x14ac:dyDescent="0.2">
      <c r="A666" s="124"/>
      <c r="B666" s="124"/>
      <c r="C666" s="124"/>
      <c r="D666" s="124"/>
    </row>
    <row r="667" spans="1:4" x14ac:dyDescent="0.2">
      <c r="A667" s="124"/>
      <c r="B667" s="124"/>
      <c r="C667" s="124"/>
      <c r="D667" s="124"/>
    </row>
    <row r="668" spans="1:4" x14ac:dyDescent="0.2">
      <c r="A668" s="124"/>
      <c r="B668" s="124"/>
      <c r="C668" s="124"/>
      <c r="D668" s="124"/>
    </row>
    <row r="669" spans="1:4" x14ac:dyDescent="0.2">
      <c r="A669" s="124"/>
      <c r="B669" s="124"/>
      <c r="C669" s="124"/>
      <c r="D669" s="124"/>
    </row>
    <row r="670" spans="1:4" x14ac:dyDescent="0.2">
      <c r="A670" s="124"/>
      <c r="B670" s="124"/>
      <c r="C670" s="124"/>
      <c r="D670" s="124"/>
    </row>
    <row r="671" spans="1:4" x14ac:dyDescent="0.2">
      <c r="A671" s="124"/>
      <c r="B671" s="124"/>
      <c r="C671" s="124"/>
      <c r="D671" s="124"/>
    </row>
    <row r="672" spans="1:4" x14ac:dyDescent="0.2">
      <c r="A672" s="124"/>
      <c r="B672" s="124"/>
      <c r="C672" s="124"/>
      <c r="D672" s="124"/>
    </row>
    <row r="673" spans="1:4" x14ac:dyDescent="0.2">
      <c r="A673" s="124"/>
      <c r="B673" s="124"/>
      <c r="C673" s="124"/>
      <c r="D673" s="124"/>
    </row>
    <row r="674" spans="1:4" x14ac:dyDescent="0.2">
      <c r="A674" s="124"/>
      <c r="B674" s="124"/>
      <c r="C674" s="124"/>
      <c r="D674" s="124"/>
    </row>
    <row r="675" spans="1:4" x14ac:dyDescent="0.2">
      <c r="A675" s="124"/>
      <c r="B675" s="124"/>
      <c r="C675" s="124"/>
      <c r="D675" s="124"/>
    </row>
    <row r="676" spans="1:4" x14ac:dyDescent="0.2">
      <c r="A676" s="124"/>
      <c r="B676" s="124"/>
      <c r="C676" s="124"/>
      <c r="D676" s="124"/>
    </row>
    <row r="677" spans="1:4" x14ac:dyDescent="0.2">
      <c r="A677" s="124"/>
      <c r="B677" s="124"/>
      <c r="C677" s="124"/>
      <c r="D677" s="124"/>
    </row>
    <row r="678" spans="1:4" x14ac:dyDescent="0.2">
      <c r="A678" s="124"/>
      <c r="B678" s="124"/>
      <c r="C678" s="124"/>
      <c r="D678" s="124"/>
    </row>
    <row r="679" spans="1:4" x14ac:dyDescent="0.2">
      <c r="A679" s="124"/>
      <c r="B679" s="124"/>
      <c r="C679" s="124"/>
      <c r="D679" s="124"/>
    </row>
    <row r="680" spans="1:4" x14ac:dyDescent="0.2">
      <c r="A680" s="124"/>
      <c r="B680" s="124"/>
      <c r="C680" s="124"/>
      <c r="D680" s="124"/>
    </row>
    <row r="681" spans="1:4" x14ac:dyDescent="0.2">
      <c r="A681" s="124"/>
      <c r="B681" s="124"/>
      <c r="C681" s="124"/>
      <c r="D681" s="124"/>
    </row>
    <row r="682" spans="1:4" x14ac:dyDescent="0.2">
      <c r="A682" s="124"/>
      <c r="B682" s="124"/>
      <c r="C682" s="124"/>
      <c r="D682" s="124"/>
    </row>
    <row r="683" spans="1:4" x14ac:dyDescent="0.2">
      <c r="A683" s="124"/>
      <c r="B683" s="124"/>
      <c r="C683" s="124"/>
      <c r="D683" s="124"/>
    </row>
    <row r="684" spans="1:4" x14ac:dyDescent="0.2">
      <c r="A684" s="124"/>
      <c r="B684" s="124"/>
      <c r="C684" s="124"/>
      <c r="D684" s="124"/>
    </row>
    <row r="685" spans="1:4" x14ac:dyDescent="0.2">
      <c r="A685" s="124"/>
      <c r="B685" s="124"/>
      <c r="C685" s="124"/>
      <c r="D685" s="124"/>
    </row>
    <row r="686" spans="1:4" x14ac:dyDescent="0.2">
      <c r="A686" s="124"/>
      <c r="B686" s="124"/>
      <c r="C686" s="124"/>
      <c r="D686" s="124"/>
    </row>
    <row r="687" spans="1:4" x14ac:dyDescent="0.2">
      <c r="A687" s="124"/>
      <c r="B687" s="124"/>
      <c r="C687" s="124"/>
      <c r="D687" s="124"/>
    </row>
    <row r="688" spans="1:4" x14ac:dyDescent="0.2">
      <c r="A688" s="124"/>
      <c r="B688" s="124"/>
      <c r="C688" s="124"/>
      <c r="D688" s="124"/>
    </row>
    <row r="689" spans="1:4" x14ac:dyDescent="0.2">
      <c r="A689" s="124"/>
      <c r="B689" s="124"/>
      <c r="C689" s="124"/>
      <c r="D689" s="124"/>
    </row>
    <row r="690" spans="1:4" x14ac:dyDescent="0.2">
      <c r="A690" s="124"/>
      <c r="B690" s="124"/>
      <c r="C690" s="124"/>
      <c r="D690" s="124"/>
    </row>
    <row r="691" spans="1:4" x14ac:dyDescent="0.2">
      <c r="A691" s="124"/>
      <c r="B691" s="124"/>
      <c r="C691" s="124"/>
      <c r="D691" s="124"/>
    </row>
    <row r="692" spans="1:4" x14ac:dyDescent="0.2">
      <c r="A692" s="124"/>
      <c r="B692" s="124"/>
      <c r="C692" s="124"/>
      <c r="D692" s="124"/>
    </row>
    <row r="693" spans="1:4" x14ac:dyDescent="0.2">
      <c r="A693" s="124"/>
      <c r="B693" s="124"/>
      <c r="C693" s="124"/>
      <c r="D693" s="124"/>
    </row>
    <row r="694" spans="1:4" x14ac:dyDescent="0.2">
      <c r="A694" s="124"/>
      <c r="B694" s="124"/>
      <c r="C694" s="124"/>
      <c r="D694" s="124"/>
    </row>
    <row r="695" spans="1:4" x14ac:dyDescent="0.2">
      <c r="A695" s="124"/>
      <c r="B695" s="124"/>
      <c r="C695" s="124"/>
      <c r="D695" s="124"/>
    </row>
    <row r="696" spans="1:4" x14ac:dyDescent="0.2">
      <c r="A696" s="124"/>
      <c r="B696" s="124"/>
      <c r="C696" s="124"/>
      <c r="D696" s="124"/>
    </row>
    <row r="697" spans="1:4" x14ac:dyDescent="0.2">
      <c r="A697" s="124"/>
      <c r="B697" s="124"/>
      <c r="C697" s="124"/>
      <c r="D697" s="124"/>
    </row>
    <row r="698" spans="1:4" x14ac:dyDescent="0.2">
      <c r="A698" s="124"/>
      <c r="B698" s="124"/>
      <c r="C698" s="124"/>
      <c r="D698" s="124"/>
    </row>
    <row r="699" spans="1:4" x14ac:dyDescent="0.2">
      <c r="A699" s="124"/>
      <c r="B699" s="124"/>
      <c r="C699" s="124"/>
      <c r="D699" s="124"/>
    </row>
    <row r="700" spans="1:4" x14ac:dyDescent="0.2">
      <c r="A700" s="124"/>
      <c r="B700" s="124"/>
      <c r="C700" s="124"/>
      <c r="D700" s="124"/>
    </row>
    <row r="701" spans="1:4" x14ac:dyDescent="0.2">
      <c r="A701" s="124"/>
      <c r="B701" s="124"/>
      <c r="C701" s="124"/>
      <c r="D701" s="124"/>
    </row>
    <row r="702" spans="1:4" x14ac:dyDescent="0.2">
      <c r="A702" s="124"/>
      <c r="B702" s="124"/>
      <c r="C702" s="124"/>
      <c r="D702" s="124"/>
    </row>
    <row r="703" spans="1:4" x14ac:dyDescent="0.2">
      <c r="A703" s="124"/>
      <c r="B703" s="124"/>
      <c r="C703" s="124"/>
      <c r="D703" s="124"/>
    </row>
    <row r="704" spans="1:4" x14ac:dyDescent="0.2">
      <c r="A704" s="124"/>
      <c r="B704" s="124"/>
      <c r="C704" s="124"/>
      <c r="D704" s="124"/>
    </row>
    <row r="705" spans="1:4" x14ac:dyDescent="0.2">
      <c r="A705" s="124"/>
      <c r="B705" s="124"/>
      <c r="C705" s="124"/>
      <c r="D705" s="124"/>
    </row>
    <row r="706" spans="1:4" x14ac:dyDescent="0.2">
      <c r="A706" s="124"/>
      <c r="B706" s="124"/>
      <c r="C706" s="124"/>
      <c r="D706" s="124"/>
    </row>
    <row r="707" spans="1:4" x14ac:dyDescent="0.2">
      <c r="A707" s="124"/>
      <c r="B707" s="124"/>
      <c r="C707" s="124"/>
      <c r="D707" s="124"/>
    </row>
    <row r="708" spans="1:4" x14ac:dyDescent="0.2">
      <c r="A708" s="124"/>
      <c r="B708" s="124"/>
      <c r="C708" s="124"/>
      <c r="D708" s="124"/>
    </row>
    <row r="709" spans="1:4" x14ac:dyDescent="0.2">
      <c r="A709" s="124"/>
      <c r="B709" s="124"/>
      <c r="C709" s="124"/>
      <c r="D709" s="124"/>
    </row>
    <row r="710" spans="1:4" x14ac:dyDescent="0.2">
      <c r="A710" s="124"/>
      <c r="B710" s="124"/>
      <c r="C710" s="124"/>
      <c r="D710" s="124"/>
    </row>
    <row r="711" spans="1:4" x14ac:dyDescent="0.2">
      <c r="A711" s="124"/>
      <c r="B711" s="124"/>
      <c r="C711" s="124"/>
      <c r="D711" s="124"/>
    </row>
    <row r="712" spans="1:4" x14ac:dyDescent="0.2">
      <c r="A712" s="124"/>
      <c r="B712" s="124"/>
      <c r="C712" s="124"/>
      <c r="D712" s="124"/>
    </row>
    <row r="713" spans="1:4" x14ac:dyDescent="0.2">
      <c r="A713" s="124"/>
      <c r="B713" s="124"/>
      <c r="C713" s="124"/>
      <c r="D713" s="124"/>
    </row>
    <row r="714" spans="1:4" x14ac:dyDescent="0.2">
      <c r="A714" s="124"/>
      <c r="B714" s="124"/>
      <c r="C714" s="124"/>
      <c r="D714" s="124"/>
    </row>
    <row r="715" spans="1:4" x14ac:dyDescent="0.2">
      <c r="A715" s="124"/>
      <c r="B715" s="124"/>
      <c r="C715" s="124"/>
      <c r="D715" s="124"/>
    </row>
    <row r="716" spans="1:4" x14ac:dyDescent="0.2">
      <c r="A716" s="124"/>
      <c r="B716" s="124"/>
      <c r="C716" s="124"/>
      <c r="D716" s="124"/>
    </row>
    <row r="717" spans="1:4" x14ac:dyDescent="0.2">
      <c r="A717" s="124"/>
      <c r="B717" s="124"/>
      <c r="C717" s="124"/>
      <c r="D717" s="124"/>
    </row>
    <row r="718" spans="1:4" x14ac:dyDescent="0.2">
      <c r="A718" s="124"/>
      <c r="B718" s="124"/>
      <c r="C718" s="124"/>
      <c r="D718" s="124"/>
    </row>
    <row r="719" spans="1:4" x14ac:dyDescent="0.2">
      <c r="A719" s="124"/>
      <c r="B719" s="124"/>
      <c r="C719" s="124"/>
      <c r="D719" s="124"/>
    </row>
    <row r="720" spans="1:4" x14ac:dyDescent="0.2">
      <c r="A720" s="124"/>
      <c r="B720" s="124"/>
      <c r="C720" s="124"/>
      <c r="D720" s="124"/>
    </row>
    <row r="721" spans="1:4" x14ac:dyDescent="0.2">
      <c r="A721" s="124"/>
      <c r="B721" s="124"/>
      <c r="C721" s="124"/>
      <c r="D721" s="124"/>
    </row>
    <row r="722" spans="1:4" x14ac:dyDescent="0.2">
      <c r="A722" s="124"/>
      <c r="B722" s="124"/>
      <c r="C722" s="124"/>
      <c r="D722" s="124"/>
    </row>
    <row r="723" spans="1:4" x14ac:dyDescent="0.2">
      <c r="A723" s="124"/>
      <c r="B723" s="124"/>
      <c r="C723" s="124"/>
      <c r="D723" s="124"/>
    </row>
    <row r="724" spans="1:4" x14ac:dyDescent="0.2">
      <c r="A724" s="124"/>
      <c r="B724" s="124"/>
      <c r="C724" s="124"/>
      <c r="D724" s="124"/>
    </row>
    <row r="725" spans="1:4" x14ac:dyDescent="0.2">
      <c r="A725" s="124"/>
      <c r="B725" s="124"/>
      <c r="C725" s="124"/>
      <c r="D725" s="124"/>
    </row>
    <row r="726" spans="1:4" x14ac:dyDescent="0.2">
      <c r="A726" s="124"/>
      <c r="B726" s="124"/>
      <c r="C726" s="124"/>
      <c r="D726" s="124"/>
    </row>
    <row r="727" spans="1:4" x14ac:dyDescent="0.2">
      <c r="A727" s="124"/>
      <c r="B727" s="124"/>
      <c r="C727" s="124"/>
      <c r="D727" s="124"/>
    </row>
    <row r="728" spans="1:4" x14ac:dyDescent="0.2">
      <c r="A728" s="124"/>
      <c r="B728" s="124"/>
      <c r="C728" s="124"/>
      <c r="D728" s="124"/>
    </row>
    <row r="729" spans="1:4" x14ac:dyDescent="0.2">
      <c r="A729" s="124"/>
      <c r="B729" s="124"/>
      <c r="C729" s="124"/>
      <c r="D729" s="124"/>
    </row>
    <row r="730" spans="1:4" x14ac:dyDescent="0.2">
      <c r="A730" s="124"/>
      <c r="B730" s="124"/>
      <c r="C730" s="124"/>
      <c r="D730" s="124"/>
    </row>
    <row r="731" spans="1:4" x14ac:dyDescent="0.2">
      <c r="A731" s="124"/>
      <c r="B731" s="124"/>
      <c r="C731" s="124"/>
      <c r="D731" s="124"/>
    </row>
    <row r="732" spans="1:4" x14ac:dyDescent="0.2">
      <c r="A732" s="124"/>
      <c r="B732" s="124"/>
      <c r="C732" s="124"/>
      <c r="D732" s="124"/>
    </row>
    <row r="733" spans="1:4" x14ac:dyDescent="0.2">
      <c r="A733" s="124"/>
      <c r="B733" s="124"/>
      <c r="C733" s="124"/>
      <c r="D733" s="124"/>
    </row>
    <row r="734" spans="1:4" x14ac:dyDescent="0.2">
      <c r="A734" s="124"/>
      <c r="B734" s="124"/>
      <c r="C734" s="124"/>
      <c r="D734" s="124"/>
    </row>
    <row r="735" spans="1:4" x14ac:dyDescent="0.2">
      <c r="A735" s="124"/>
      <c r="B735" s="124"/>
      <c r="C735" s="124"/>
      <c r="D735" s="124"/>
    </row>
    <row r="736" spans="1:4" x14ac:dyDescent="0.2">
      <c r="A736" s="124"/>
      <c r="B736" s="124"/>
      <c r="C736" s="124"/>
      <c r="D736" s="124"/>
    </row>
    <row r="737" spans="1:4" x14ac:dyDescent="0.2">
      <c r="A737" s="124"/>
      <c r="B737" s="124"/>
      <c r="C737" s="124"/>
      <c r="D737" s="124"/>
    </row>
    <row r="738" spans="1:4" x14ac:dyDescent="0.2">
      <c r="A738" s="124"/>
      <c r="B738" s="124"/>
      <c r="C738" s="124"/>
      <c r="D738" s="124"/>
    </row>
    <row r="739" spans="1:4" x14ac:dyDescent="0.2">
      <c r="A739" s="124"/>
      <c r="B739" s="124"/>
      <c r="C739" s="124"/>
      <c r="D739" s="124"/>
    </row>
    <row r="740" spans="1:4" x14ac:dyDescent="0.2">
      <c r="A740" s="124"/>
      <c r="B740" s="124"/>
      <c r="C740" s="124"/>
      <c r="D740" s="124"/>
    </row>
    <row r="741" spans="1:4" x14ac:dyDescent="0.2">
      <c r="A741" s="124"/>
      <c r="B741" s="124"/>
      <c r="C741" s="124"/>
      <c r="D741" s="124"/>
    </row>
    <row r="742" spans="1:4" x14ac:dyDescent="0.2">
      <c r="A742" s="124"/>
      <c r="B742" s="124"/>
      <c r="C742" s="124"/>
      <c r="D742" s="124"/>
    </row>
    <row r="743" spans="1:4" x14ac:dyDescent="0.2">
      <c r="A743" s="124"/>
      <c r="B743" s="124"/>
      <c r="C743" s="124"/>
      <c r="D743" s="124"/>
    </row>
    <row r="744" spans="1:4" x14ac:dyDescent="0.2">
      <c r="A744" s="124"/>
      <c r="B744" s="124"/>
      <c r="C744" s="124"/>
      <c r="D744" s="124"/>
    </row>
    <row r="745" spans="1:4" x14ac:dyDescent="0.2">
      <c r="A745" s="124"/>
      <c r="B745" s="124"/>
      <c r="C745" s="124"/>
      <c r="D745" s="124"/>
    </row>
    <row r="746" spans="1:4" x14ac:dyDescent="0.2">
      <c r="A746" s="124"/>
      <c r="B746" s="124"/>
      <c r="C746" s="124"/>
      <c r="D746" s="124"/>
    </row>
    <row r="747" spans="1:4" x14ac:dyDescent="0.2">
      <c r="A747" s="124"/>
      <c r="B747" s="124"/>
      <c r="C747" s="124"/>
      <c r="D747" s="124"/>
    </row>
    <row r="748" spans="1:4" x14ac:dyDescent="0.2">
      <c r="A748" s="124"/>
      <c r="B748" s="124"/>
      <c r="C748" s="124"/>
      <c r="D748" s="124"/>
    </row>
    <row r="749" spans="1:4" x14ac:dyDescent="0.2">
      <c r="A749" s="124"/>
      <c r="B749" s="124"/>
      <c r="C749" s="124"/>
      <c r="D749" s="124"/>
    </row>
    <row r="750" spans="1:4" x14ac:dyDescent="0.2">
      <c r="A750" s="124"/>
      <c r="B750" s="124"/>
      <c r="C750" s="124"/>
      <c r="D750" s="124"/>
    </row>
    <row r="751" spans="1:4" x14ac:dyDescent="0.2">
      <c r="A751" s="124"/>
      <c r="B751" s="124"/>
      <c r="C751" s="124"/>
      <c r="D751" s="124"/>
    </row>
    <row r="752" spans="1:4" x14ac:dyDescent="0.2">
      <c r="A752" s="124"/>
      <c r="B752" s="124"/>
      <c r="C752" s="124"/>
      <c r="D752" s="124"/>
    </row>
    <row r="753" spans="1:4" x14ac:dyDescent="0.2">
      <c r="A753" s="124"/>
      <c r="B753" s="124"/>
      <c r="C753" s="124"/>
      <c r="D753" s="124"/>
    </row>
    <row r="754" spans="1:4" x14ac:dyDescent="0.2">
      <c r="A754" s="124"/>
      <c r="B754" s="124"/>
      <c r="C754" s="124"/>
      <c r="D754" s="124"/>
    </row>
    <row r="755" spans="1:4" x14ac:dyDescent="0.2">
      <c r="A755" s="124"/>
      <c r="B755" s="124"/>
      <c r="C755" s="124"/>
      <c r="D755" s="124"/>
    </row>
    <row r="756" spans="1:4" x14ac:dyDescent="0.2">
      <c r="A756" s="124"/>
      <c r="B756" s="124"/>
      <c r="C756" s="124"/>
      <c r="D756" s="124"/>
    </row>
  </sheetData>
  <mergeCells count="18">
    <mergeCell ref="L21:M21"/>
    <mergeCell ref="L19:M19"/>
    <mergeCell ref="E10:E11"/>
    <mergeCell ref="F10:F11"/>
    <mergeCell ref="G9:G11"/>
    <mergeCell ref="L20:M20"/>
    <mergeCell ref="E13:F80"/>
    <mergeCell ref="A81:H81"/>
    <mergeCell ref="A6:I6"/>
    <mergeCell ref="A7:I7"/>
    <mergeCell ref="B9:D9"/>
    <mergeCell ref="E9:F9"/>
    <mergeCell ref="A9:A11"/>
    <mergeCell ref="B10:B11"/>
    <mergeCell ref="C10:C11"/>
    <mergeCell ref="H9:H11"/>
    <mergeCell ref="I9:I11"/>
    <mergeCell ref="D10:D11"/>
  </mergeCells>
  <phoneticPr fontId="2" type="noConversion"/>
  <printOptions horizontalCentered="1"/>
  <pageMargins left="0.82" right="0.23622047244094491" top="0.85" bottom="0.47244094488188981" header="0.31496062992125984" footer="0.19685039370078741"/>
  <pageSetup paperSize="9" scale="95" orientation="portrait" horizontalDpi="300" verticalDpi="300" r:id="rId1"/>
  <headerFooter alignWithMargins="0">
    <oddFooter>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N24"/>
  <sheetViews>
    <sheetView workbookViewId="0"/>
  </sheetViews>
  <sheetFormatPr defaultRowHeight="12.75" x14ac:dyDescent="0.2"/>
  <cols>
    <col min="1" max="1" width="26.42578125" customWidth="1"/>
    <col min="2" max="3" width="16.85546875" style="138" hidden="1" customWidth="1"/>
    <col min="4" max="4" width="9.42578125" style="138" customWidth="1"/>
    <col min="5" max="5" width="14.140625" customWidth="1"/>
    <col min="6" max="6" width="14.5703125" customWidth="1"/>
    <col min="7" max="7" width="12.5703125" customWidth="1"/>
    <col min="8" max="8" width="19.28515625" customWidth="1"/>
    <col min="9" max="9" width="11.28515625" hidden="1" customWidth="1"/>
    <col min="10" max="10" width="8.140625" customWidth="1"/>
    <col min="11" max="11" width="13.85546875" customWidth="1"/>
  </cols>
  <sheetData>
    <row r="1" spans="1:14" s="8" customFormat="1" x14ac:dyDescent="0.2">
      <c r="A1" s="6" t="s">
        <v>42</v>
      </c>
      <c r="C1"/>
      <c r="D1"/>
      <c r="E1" s="6"/>
      <c r="F1" s="6"/>
      <c r="G1" s="116"/>
      <c r="H1" s="118"/>
      <c r="J1" s="119"/>
      <c r="K1" s="119"/>
    </row>
    <row r="2" spans="1:14" s="8" customFormat="1" x14ac:dyDescent="0.2">
      <c r="A2" s="6" t="s">
        <v>43</v>
      </c>
      <c r="C2"/>
      <c r="D2"/>
      <c r="E2" s="6"/>
      <c r="F2" s="6"/>
      <c r="G2" s="116"/>
      <c r="H2" s="118"/>
      <c r="J2" s="119"/>
      <c r="K2" s="119"/>
    </row>
    <row r="3" spans="1:14" s="8" customFormat="1" x14ac:dyDescent="0.2">
      <c r="A3" s="6" t="s">
        <v>44</v>
      </c>
      <c r="C3"/>
      <c r="D3"/>
      <c r="E3" s="6"/>
      <c r="F3" s="6"/>
      <c r="G3" s="116"/>
      <c r="H3" s="118"/>
      <c r="J3" s="119"/>
      <c r="K3" s="119"/>
    </row>
    <row r="4" spans="1:14" s="8" customFormat="1" x14ac:dyDescent="0.2">
      <c r="A4" s="6" t="s">
        <v>45</v>
      </c>
      <c r="C4"/>
      <c r="D4"/>
      <c r="E4" s="6"/>
      <c r="F4" s="6"/>
      <c r="G4" s="116"/>
      <c r="H4" s="118"/>
      <c r="J4" s="119"/>
      <c r="K4" s="119"/>
    </row>
    <row r="5" spans="1:14" s="5" customFormat="1" x14ac:dyDescent="0.2">
      <c r="A5" s="177"/>
      <c r="B5" s="178"/>
      <c r="C5" s="179"/>
      <c r="D5" s="180"/>
      <c r="E5" s="181"/>
      <c r="F5" s="181"/>
      <c r="G5" s="181"/>
      <c r="H5" s="181"/>
      <c r="I5" s="181"/>
      <c r="J5" s="181"/>
      <c r="K5" s="181"/>
      <c r="L5" s="181"/>
      <c r="M5" s="181"/>
      <c r="N5" s="180"/>
    </row>
    <row r="6" spans="1:14" s="5" customFormat="1" x14ac:dyDescent="0.2">
      <c r="A6" s="177"/>
      <c r="B6" s="178"/>
      <c r="C6" s="179"/>
      <c r="D6" s="180"/>
      <c r="E6" s="181"/>
      <c r="F6" s="181"/>
      <c r="G6" s="181"/>
      <c r="H6" s="181"/>
      <c r="I6" s="181"/>
      <c r="J6" s="181"/>
      <c r="K6" s="181"/>
      <c r="L6" s="181"/>
      <c r="M6" s="181"/>
      <c r="N6" s="180"/>
    </row>
    <row r="7" spans="1:14" ht="15" x14ac:dyDescent="0.2">
      <c r="A7" s="445" t="s">
        <v>97</v>
      </c>
      <c r="B7" s="445"/>
      <c r="C7" s="445"/>
      <c r="D7" s="445"/>
      <c r="E7" s="445"/>
      <c r="F7" s="445"/>
      <c r="G7" s="445"/>
      <c r="H7" s="445"/>
      <c r="I7" s="445"/>
      <c r="J7" s="445"/>
      <c r="K7" s="445"/>
    </row>
    <row r="8" spans="1:14" x14ac:dyDescent="0.2">
      <c r="F8" s="139"/>
    </row>
    <row r="9" spans="1:14" x14ac:dyDescent="0.2">
      <c r="F9" s="139"/>
    </row>
    <row r="10" spans="1:14" s="140" customFormat="1" ht="23.25" customHeight="1" x14ac:dyDescent="0.2">
      <c r="A10" s="448" t="s">
        <v>125</v>
      </c>
      <c r="B10" s="448" t="s">
        <v>83</v>
      </c>
      <c r="C10" s="448"/>
      <c r="D10" s="448" t="s">
        <v>84</v>
      </c>
      <c r="E10" s="448"/>
      <c r="F10" s="448"/>
      <c r="G10" s="447" t="s">
        <v>85</v>
      </c>
      <c r="H10" s="447" t="s">
        <v>126</v>
      </c>
      <c r="I10" s="448" t="s">
        <v>86</v>
      </c>
      <c r="J10" s="449" t="s">
        <v>87</v>
      </c>
      <c r="K10" s="449"/>
    </row>
    <row r="11" spans="1:14" s="140" customFormat="1" ht="45" x14ac:dyDescent="0.2">
      <c r="A11" s="448"/>
      <c r="B11" s="448"/>
      <c r="C11" s="448"/>
      <c r="D11" s="141" t="s">
        <v>88</v>
      </c>
      <c r="E11" s="143" t="s">
        <v>89</v>
      </c>
      <c r="F11" s="143" t="s">
        <v>90</v>
      </c>
      <c r="G11" s="447"/>
      <c r="H11" s="447"/>
      <c r="I11" s="448"/>
      <c r="J11" s="141" t="s">
        <v>88</v>
      </c>
      <c r="K11" s="143" t="s">
        <v>59</v>
      </c>
    </row>
    <row r="12" spans="1:14" s="147" customFormat="1" x14ac:dyDescent="0.15">
      <c r="A12" s="315" t="s">
        <v>127</v>
      </c>
      <c r="B12" s="148">
        <v>0</v>
      </c>
      <c r="C12" s="148">
        <v>1710.78</v>
      </c>
      <c r="D12" s="142">
        <v>64</v>
      </c>
      <c r="E12" s="144">
        <f>B12*D12</f>
        <v>0</v>
      </c>
      <c r="F12" s="145">
        <f>C12*D12</f>
        <v>109489.92</v>
      </c>
      <c r="G12" s="146" t="s">
        <v>91</v>
      </c>
      <c r="H12" s="142" t="s">
        <v>91</v>
      </c>
      <c r="I12" s="218">
        <v>0</v>
      </c>
      <c r="J12" s="142">
        <f>D12</f>
        <v>64</v>
      </c>
      <c r="K12" s="144">
        <f>I12*J12</f>
        <v>0</v>
      </c>
    </row>
    <row r="13" spans="1:14" s="147" customFormat="1" ht="21" x14ac:dyDescent="0.15">
      <c r="A13" s="315" t="s">
        <v>128</v>
      </c>
      <c r="B13" s="148">
        <f>C12+0.01</f>
        <v>1710.79</v>
      </c>
      <c r="C13" s="148">
        <v>2563.91</v>
      </c>
      <c r="D13" s="142">
        <f>D12</f>
        <v>64</v>
      </c>
      <c r="E13" s="144">
        <f>B13*D13</f>
        <v>109490.56</v>
      </c>
      <c r="F13" s="144">
        <f>C13*D13</f>
        <v>164090.23999999999</v>
      </c>
      <c r="G13" s="146">
        <v>7.4999999999999997E-2</v>
      </c>
      <c r="H13" s="142" t="s">
        <v>132</v>
      </c>
      <c r="I13" s="218">
        <v>128.30850000000001</v>
      </c>
      <c r="J13" s="142">
        <f>J12</f>
        <v>64</v>
      </c>
      <c r="K13" s="144">
        <f>I13*J13</f>
        <v>8211.7440000000006</v>
      </c>
    </row>
    <row r="14" spans="1:14" s="147" customFormat="1" ht="21" x14ac:dyDescent="0.15">
      <c r="A14" s="315" t="s">
        <v>129</v>
      </c>
      <c r="B14" s="148">
        <f>C13+0.01</f>
        <v>2563.92</v>
      </c>
      <c r="C14" s="148">
        <v>3418.59</v>
      </c>
      <c r="D14" s="142">
        <f>D13</f>
        <v>64</v>
      </c>
      <c r="E14" s="144">
        <f>B14*D14</f>
        <v>164090.88</v>
      </c>
      <c r="F14" s="144">
        <f>C14*D14</f>
        <v>218789.76000000001</v>
      </c>
      <c r="G14" s="146">
        <v>0.15</v>
      </c>
      <c r="H14" s="142" t="s">
        <v>133</v>
      </c>
      <c r="I14" s="218">
        <v>320.60174999999998</v>
      </c>
      <c r="J14" s="142">
        <f>J13</f>
        <v>64</v>
      </c>
      <c r="K14" s="144">
        <f>I14*J14</f>
        <v>20518.511999999999</v>
      </c>
    </row>
    <row r="15" spans="1:14" s="147" customFormat="1" ht="21" x14ac:dyDescent="0.15">
      <c r="A15" s="315" t="s">
        <v>130</v>
      </c>
      <c r="B15" s="148">
        <f>C14+0.01</f>
        <v>3418.6000000000004</v>
      </c>
      <c r="C15" s="148">
        <v>4271.59</v>
      </c>
      <c r="D15" s="142">
        <f>D14</f>
        <v>64</v>
      </c>
      <c r="E15" s="144">
        <f>B15*D15</f>
        <v>218790.40000000002</v>
      </c>
      <c r="F15" s="144">
        <f>C15*D15</f>
        <v>273381.76000000001</v>
      </c>
      <c r="G15" s="146">
        <v>0.22500000000000001</v>
      </c>
      <c r="H15" s="142" t="s">
        <v>134</v>
      </c>
      <c r="I15" s="218">
        <v>576.99599999999998</v>
      </c>
      <c r="J15" s="142">
        <f>J14</f>
        <v>64</v>
      </c>
      <c r="K15" s="144">
        <f>I15*J15</f>
        <v>36927.743999999999</v>
      </c>
    </row>
    <row r="16" spans="1:14" s="147" customFormat="1" x14ac:dyDescent="0.15">
      <c r="A16" s="315" t="s">
        <v>131</v>
      </c>
      <c r="B16" s="148">
        <f>C15+0.01</f>
        <v>4271.6000000000004</v>
      </c>
      <c r="C16" s="148" t="s">
        <v>92</v>
      </c>
      <c r="D16" s="142">
        <f>D15</f>
        <v>64</v>
      </c>
      <c r="E16" s="144">
        <f>B16*D16</f>
        <v>273382.40000000002</v>
      </c>
      <c r="F16" s="148" t="s">
        <v>92</v>
      </c>
      <c r="G16" s="146">
        <v>0.27500000000000002</v>
      </c>
      <c r="H16" s="142" t="s">
        <v>135</v>
      </c>
      <c r="I16" s="218">
        <v>790.57550000000003</v>
      </c>
      <c r="J16" s="142">
        <f>J15</f>
        <v>64</v>
      </c>
      <c r="K16" s="144">
        <f>I16*J16</f>
        <v>50596.832000000002</v>
      </c>
    </row>
    <row r="17" spans="1:9" s="147" customFormat="1" x14ac:dyDescent="0.2">
      <c r="B17" s="149"/>
      <c r="C17" s="149"/>
      <c r="D17" s="149"/>
      <c r="F17" s="150"/>
    </row>
    <row r="18" spans="1:9" s="147" customFormat="1" x14ac:dyDescent="0.2">
      <c r="B18" s="149"/>
      <c r="C18" s="149"/>
      <c r="D18" s="149"/>
    </row>
    <row r="19" spans="1:9" s="147" customFormat="1" ht="15" x14ac:dyDescent="0.2">
      <c r="A19" s="444" t="s">
        <v>93</v>
      </c>
      <c r="B19" s="444"/>
      <c r="C19" s="444"/>
      <c r="D19" s="444"/>
      <c r="E19" s="444"/>
      <c r="F19" s="444"/>
      <c r="G19" s="444"/>
      <c r="H19" s="151"/>
      <c r="I19"/>
    </row>
    <row r="20" spans="1:9" s="147" customFormat="1" x14ac:dyDescent="0.2">
      <c r="A20" s="446" t="s">
        <v>212</v>
      </c>
      <c r="B20" s="446"/>
      <c r="C20" s="446"/>
      <c r="D20" s="446"/>
      <c r="E20" s="446"/>
      <c r="F20" s="446"/>
      <c r="G20" s="155">
        <f>'Anexo 7 IRRF'!I81</f>
        <v>20998.094846144304</v>
      </c>
      <c r="H20" s="152"/>
      <c r="I20"/>
    </row>
    <row r="21" spans="1:9" s="147" customFormat="1" x14ac:dyDescent="0.2">
      <c r="A21" s="442" t="s">
        <v>94</v>
      </c>
      <c r="B21" s="442"/>
      <c r="C21" s="442"/>
      <c r="D21" s="442"/>
      <c r="E21" s="442"/>
      <c r="F21" s="442"/>
      <c r="G21" s="154">
        <v>0</v>
      </c>
      <c r="H21" s="152"/>
      <c r="I21"/>
    </row>
    <row r="22" spans="1:9" s="147" customFormat="1" x14ac:dyDescent="0.2">
      <c r="A22" s="442" t="s">
        <v>95</v>
      </c>
      <c r="B22" s="442"/>
      <c r="C22" s="442"/>
      <c r="D22" s="442"/>
      <c r="E22" s="442"/>
      <c r="F22" s="442"/>
      <c r="G22" s="155">
        <f>G20*G21</f>
        <v>0</v>
      </c>
      <c r="H22" s="152"/>
      <c r="I22"/>
    </row>
    <row r="23" spans="1:9" s="147" customFormat="1" x14ac:dyDescent="0.2">
      <c r="A23" s="442" t="s">
        <v>86</v>
      </c>
      <c r="B23" s="442"/>
      <c r="C23" s="442"/>
      <c r="D23" s="442"/>
      <c r="E23" s="442"/>
      <c r="F23" s="442"/>
      <c r="G23" s="155">
        <v>0</v>
      </c>
      <c r="H23" s="152"/>
      <c r="I23"/>
    </row>
    <row r="24" spans="1:9" s="147" customFormat="1" ht="15" x14ac:dyDescent="0.2">
      <c r="A24" s="443" t="s">
        <v>96</v>
      </c>
      <c r="B24" s="443"/>
      <c r="C24" s="443"/>
      <c r="D24" s="443"/>
      <c r="E24" s="443"/>
      <c r="F24" s="443"/>
      <c r="G24" s="156">
        <f>G22-G23</f>
        <v>0</v>
      </c>
      <c r="H24" s="153"/>
      <c r="I24"/>
    </row>
  </sheetData>
  <mergeCells count="14">
    <mergeCell ref="A23:F23"/>
    <mergeCell ref="A24:F24"/>
    <mergeCell ref="A19:G19"/>
    <mergeCell ref="A7:K7"/>
    <mergeCell ref="A20:F20"/>
    <mergeCell ref="A21:F21"/>
    <mergeCell ref="A22:F22"/>
    <mergeCell ref="H10:H11"/>
    <mergeCell ref="I10:I11"/>
    <mergeCell ref="J10:K10"/>
    <mergeCell ref="A10:A11"/>
    <mergeCell ref="B10:C11"/>
    <mergeCell ref="D10:F10"/>
    <mergeCell ref="G10:G11"/>
  </mergeCells>
  <phoneticPr fontId="2" type="noConversion"/>
  <printOptions horizontalCentered="1"/>
  <pageMargins left="0.78740157480314965" right="0.78740157480314965" top="1.17" bottom="0.98425196850393704" header="0.51181102362204722" footer="0.51181102362204722"/>
  <pageSetup paperSize="9" scale="90" orientation="landscape" horizontalDpi="0" verticalDpi="0" r:id="rId1"/>
  <headerFooter alignWithMargins="0">
    <oddFooter>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904"/>
  <sheetViews>
    <sheetView workbookViewId="0"/>
  </sheetViews>
  <sheetFormatPr defaultRowHeight="12.75" x14ac:dyDescent="0.2"/>
  <cols>
    <col min="1" max="1" width="6.85546875" style="25" customWidth="1"/>
    <col min="2" max="12" width="9.140625" style="25"/>
  </cols>
  <sheetData>
    <row r="1" spans="1:12" x14ac:dyDescent="0.2">
      <c r="A1" s="174" t="s">
        <v>42</v>
      </c>
      <c r="B1" s="120"/>
      <c r="C1"/>
      <c r="D1" s="174"/>
      <c r="E1" s="174"/>
      <c r="F1" s="174"/>
      <c r="G1" s="120"/>
      <c r="H1" s="174"/>
      <c r="I1" s="174"/>
      <c r="J1" s="122"/>
      <c r="K1" s="120"/>
      <c r="L1" s="120"/>
    </row>
    <row r="2" spans="1:12" x14ac:dyDescent="0.2">
      <c r="A2" s="174" t="s">
        <v>43</v>
      </c>
      <c r="B2" s="120"/>
      <c r="C2"/>
      <c r="D2" s="174"/>
      <c r="E2" s="174"/>
      <c r="F2" s="174"/>
      <c r="G2" s="120"/>
      <c r="H2" s="174"/>
      <c r="I2" s="174"/>
      <c r="J2" s="122"/>
      <c r="K2" s="120"/>
      <c r="L2" s="120"/>
    </row>
    <row r="3" spans="1:12" x14ac:dyDescent="0.2">
      <c r="A3" s="174" t="s">
        <v>44</v>
      </c>
      <c r="B3" s="120"/>
      <c r="C3"/>
      <c r="D3" s="174"/>
      <c r="E3" s="174"/>
      <c r="F3" s="174"/>
      <c r="G3" s="120"/>
      <c r="H3" s="174"/>
      <c r="I3" s="174"/>
      <c r="J3" s="122"/>
      <c r="K3" s="120"/>
      <c r="L3" s="120"/>
    </row>
    <row r="4" spans="1:12" x14ac:dyDescent="0.2">
      <c r="A4" s="174" t="s">
        <v>45</v>
      </c>
      <c r="B4" s="120"/>
      <c r="C4"/>
      <c r="D4" s="174"/>
      <c r="E4" s="174"/>
      <c r="F4" s="174"/>
      <c r="G4" s="120"/>
      <c r="H4" s="174"/>
      <c r="I4" s="174"/>
      <c r="J4" s="122"/>
      <c r="K4" s="120"/>
      <c r="L4" s="120"/>
    </row>
    <row r="5" spans="1:12" ht="13.5" thickBot="1" x14ac:dyDescent="0.25">
      <c r="A5" s="120"/>
      <c r="B5" s="120"/>
      <c r="C5" s="120"/>
      <c r="D5" s="120"/>
      <c r="E5" s="120"/>
      <c r="F5" s="120"/>
      <c r="G5" s="120"/>
      <c r="H5" s="175"/>
      <c r="I5" s="175"/>
      <c r="J5" s="175"/>
      <c r="K5" s="175"/>
      <c r="L5" s="175"/>
    </row>
    <row r="6" spans="1:12" ht="14.25" thickTop="1" thickBot="1" x14ac:dyDescent="0.25">
      <c r="A6" s="450" t="s">
        <v>183</v>
      </c>
      <c r="B6" s="451"/>
      <c r="C6" s="451"/>
      <c r="D6" s="451"/>
      <c r="E6" s="451"/>
      <c r="F6" s="451"/>
      <c r="G6" s="451"/>
      <c r="H6" s="451"/>
      <c r="I6" s="451"/>
      <c r="J6" s="451"/>
      <c r="K6" s="451"/>
      <c r="L6" s="452"/>
    </row>
    <row r="7" spans="1:12" ht="13.5" thickTop="1" x14ac:dyDescent="0.2"/>
    <row r="8" spans="1:12" s="209" customFormat="1" ht="21" x14ac:dyDescent="0.35">
      <c r="A8" s="197" t="s">
        <v>50</v>
      </c>
      <c r="B8" s="198"/>
      <c r="C8" s="198"/>
      <c r="D8" s="198"/>
      <c r="E8" s="198"/>
      <c r="F8" s="198"/>
      <c r="G8" s="198"/>
      <c r="H8" s="199"/>
      <c r="I8" s="199"/>
      <c r="J8" s="200"/>
      <c r="K8" s="200"/>
      <c r="L8" s="201"/>
    </row>
    <row r="9" spans="1:12" s="209" customFormat="1" ht="10.5" customHeight="1" x14ac:dyDescent="0.25">
      <c r="A9" s="202"/>
      <c r="B9" s="22"/>
      <c r="C9" s="22"/>
      <c r="D9" s="22"/>
      <c r="E9" s="22"/>
      <c r="F9" s="22"/>
      <c r="G9" s="22"/>
      <c r="H9" s="22"/>
      <c r="I9" s="22"/>
      <c r="J9" s="23"/>
      <c r="K9" s="23"/>
      <c r="L9" s="203"/>
    </row>
    <row r="10" spans="1:12" s="209" customFormat="1" ht="15.75" x14ac:dyDescent="0.25">
      <c r="A10" s="204" t="s">
        <v>51</v>
      </c>
      <c r="B10" s="24"/>
      <c r="C10" s="24"/>
      <c r="D10" s="24"/>
      <c r="E10" s="24"/>
      <c r="F10" s="24"/>
      <c r="G10" s="24"/>
      <c r="H10" s="24"/>
      <c r="I10" s="24"/>
      <c r="J10" s="23"/>
      <c r="K10" s="23"/>
      <c r="L10" s="203"/>
    </row>
    <row r="11" spans="1:12" s="209" customFormat="1" ht="15.75" x14ac:dyDescent="0.25">
      <c r="A11" s="204" t="s">
        <v>220</v>
      </c>
      <c r="B11" s="24"/>
      <c r="C11" s="24"/>
      <c r="D11" s="24"/>
      <c r="E11" s="24"/>
      <c r="F11" s="24"/>
      <c r="G11" s="24"/>
      <c r="H11" s="24"/>
      <c r="I11" s="24"/>
      <c r="J11" s="23"/>
      <c r="K11" s="23"/>
      <c r="L11" s="203"/>
    </row>
    <row r="12" spans="1:12" s="209" customFormat="1" ht="18.75" x14ac:dyDescent="0.3">
      <c r="A12" s="205" t="s">
        <v>221</v>
      </c>
      <c r="B12" s="206"/>
      <c r="C12" s="206"/>
      <c r="D12" s="206"/>
      <c r="E12" s="206"/>
      <c r="F12" s="206"/>
      <c r="G12" s="206"/>
      <c r="H12" s="206"/>
      <c r="I12" s="206"/>
      <c r="J12" s="207"/>
      <c r="K12" s="207"/>
      <c r="L12" s="208"/>
    </row>
    <row r="13" spans="1:12" s="209" customFormat="1" x14ac:dyDescent="0.2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</row>
    <row r="14" spans="1:12" s="209" customFormat="1" hidden="1" x14ac:dyDescent="0.2">
      <c r="A14" s="186"/>
      <c r="B14" s="186">
        <v>1970</v>
      </c>
      <c r="C14" s="186">
        <v>1971</v>
      </c>
      <c r="D14" s="186">
        <v>1972</v>
      </c>
      <c r="E14" s="186">
        <v>1973</v>
      </c>
      <c r="F14" s="186">
        <v>1974</v>
      </c>
      <c r="G14" s="186">
        <v>1975</v>
      </c>
      <c r="H14" s="186">
        <v>1976</v>
      </c>
      <c r="I14" s="186">
        <v>1977</v>
      </c>
      <c r="J14" s="186">
        <v>1978</v>
      </c>
      <c r="K14" s="186">
        <v>1979</v>
      </c>
      <c r="L14" s="186">
        <v>1980</v>
      </c>
    </row>
    <row r="15" spans="1:12" s="209" customFormat="1" ht="15.75" hidden="1" x14ac:dyDescent="0.2">
      <c r="A15" s="186" t="s">
        <v>30</v>
      </c>
      <c r="B15" s="173">
        <v>0.48796218955758219</v>
      </c>
      <c r="C15" s="173">
        <v>0.40915389123783164</v>
      </c>
      <c r="D15" s="173">
        <v>0.33593328104021414</v>
      </c>
      <c r="E15" s="173">
        <v>0.29163921860853398</v>
      </c>
      <c r="F15" s="173">
        <v>0.25635667011435137</v>
      </c>
      <c r="G15" s="173">
        <v>0.19354941980437029</v>
      </c>
      <c r="H15" s="173">
        <v>0.15494015155706739</v>
      </c>
      <c r="I15" s="173">
        <v>0.1124804868662352</v>
      </c>
      <c r="J15" s="173">
        <v>8.6684909719463049E-2</v>
      </c>
      <c r="K15" s="173">
        <v>6.3213721245803489E-2</v>
      </c>
      <c r="L15" s="173">
        <v>4.2345523074399906E-2</v>
      </c>
    </row>
    <row r="16" spans="1:12" s="209" customFormat="1" ht="15.75" hidden="1" x14ac:dyDescent="0.2">
      <c r="A16" s="186" t="s">
        <v>31</v>
      </c>
      <c r="B16" s="173">
        <v>0.48796218955758219</v>
      </c>
      <c r="C16" s="173">
        <v>0.40915389123783164</v>
      </c>
      <c r="D16" s="173">
        <v>0.33593328104021414</v>
      </c>
      <c r="E16" s="173">
        <v>0.29163921860853398</v>
      </c>
      <c r="F16" s="173">
        <v>0.25635667011435137</v>
      </c>
      <c r="G16" s="173">
        <v>0.19354941980437029</v>
      </c>
      <c r="H16" s="173">
        <v>0.15494015155706739</v>
      </c>
      <c r="I16" s="173">
        <v>0.1124804868662352</v>
      </c>
      <c r="J16" s="173">
        <v>8.6684909719463049E-2</v>
      </c>
      <c r="K16" s="173">
        <v>6.3213721245803489E-2</v>
      </c>
      <c r="L16" s="173">
        <v>4.2345523074399906E-2</v>
      </c>
    </row>
    <row r="17" spans="1:12" s="209" customFormat="1" ht="15.75" hidden="1" x14ac:dyDescent="0.2">
      <c r="A17" s="186" t="s">
        <v>32</v>
      </c>
      <c r="B17" s="173">
        <v>0.48796218955758219</v>
      </c>
      <c r="C17" s="173">
        <v>0.40915389123783164</v>
      </c>
      <c r="D17" s="173">
        <v>0.33593328104021414</v>
      </c>
      <c r="E17" s="173">
        <v>0.29163921860853398</v>
      </c>
      <c r="F17" s="173">
        <v>0.25635667011435137</v>
      </c>
      <c r="G17" s="173">
        <v>0.19354941980437029</v>
      </c>
      <c r="H17" s="173">
        <v>0.15494015155706739</v>
      </c>
      <c r="I17" s="173">
        <v>0.1124804868662352</v>
      </c>
      <c r="J17" s="173">
        <v>8.6684909719463049E-2</v>
      </c>
      <c r="K17" s="173">
        <v>6.3213721245803489E-2</v>
      </c>
      <c r="L17" s="173">
        <v>4.2345523074399906E-2</v>
      </c>
    </row>
    <row r="18" spans="1:12" s="209" customFormat="1" ht="15.75" hidden="1" x14ac:dyDescent="0.2">
      <c r="A18" s="186" t="s">
        <v>33</v>
      </c>
      <c r="B18" s="173">
        <v>0.46263935699901804</v>
      </c>
      <c r="C18" s="173">
        <v>0.39260130604538068</v>
      </c>
      <c r="D18" s="173">
        <v>0.32390043246652378</v>
      </c>
      <c r="E18" s="173">
        <v>0.28239091738437661</v>
      </c>
      <c r="F18" s="173">
        <v>0.24683363503558187</v>
      </c>
      <c r="G18" s="173">
        <v>0.1840777186459906</v>
      </c>
      <c r="H18" s="173">
        <v>0.14523409927202954</v>
      </c>
      <c r="I18" s="173">
        <v>0.10602480229130032</v>
      </c>
      <c r="J18" s="173">
        <v>8.088202160860182E-2</v>
      </c>
      <c r="K18" s="173">
        <v>5.8941498044036686E-2</v>
      </c>
      <c r="L18" s="173">
        <v>3.7790468173870155E-2</v>
      </c>
    </row>
    <row r="19" spans="1:12" s="209" customFormat="1" ht="15.75" hidden="1" x14ac:dyDescent="0.2">
      <c r="A19" s="186" t="s">
        <v>34</v>
      </c>
      <c r="B19" s="173">
        <v>0.46263935699901804</v>
      </c>
      <c r="C19" s="173">
        <v>0.39260130604538068</v>
      </c>
      <c r="D19" s="173">
        <v>0.32390043246652378</v>
      </c>
      <c r="E19" s="173">
        <v>0.28239091738437661</v>
      </c>
      <c r="F19" s="173">
        <v>0.24683363503558187</v>
      </c>
      <c r="G19" s="173">
        <v>0.1840777186459906</v>
      </c>
      <c r="H19" s="173">
        <v>0.14523409927202954</v>
      </c>
      <c r="I19" s="173">
        <v>0.10602480229130032</v>
      </c>
      <c r="J19" s="173">
        <v>8.088202160860182E-2</v>
      </c>
      <c r="K19" s="173">
        <v>5.8941498044036686E-2</v>
      </c>
      <c r="L19" s="173">
        <v>3.7790468173870155E-2</v>
      </c>
    </row>
    <row r="20" spans="1:12" s="209" customFormat="1" ht="15.75" hidden="1" x14ac:dyDescent="0.2">
      <c r="A20" s="186" t="s">
        <v>35</v>
      </c>
      <c r="B20" s="173">
        <v>0.46263935699901804</v>
      </c>
      <c r="C20" s="173">
        <v>0.39260130604538068</v>
      </c>
      <c r="D20" s="173">
        <v>0.32390043246652378</v>
      </c>
      <c r="E20" s="173">
        <v>0.28239091738437661</v>
      </c>
      <c r="F20" s="173">
        <v>0.24683363503558187</v>
      </c>
      <c r="G20" s="173">
        <v>0.1840777186459906</v>
      </c>
      <c r="H20" s="173">
        <v>0.14523409927202954</v>
      </c>
      <c r="I20" s="173">
        <v>0.10602480229130032</v>
      </c>
      <c r="J20" s="173">
        <v>8.088202160860182E-2</v>
      </c>
      <c r="K20" s="173">
        <v>5.8941498044036686E-2</v>
      </c>
      <c r="L20" s="173">
        <v>3.7790468173870155E-2</v>
      </c>
    </row>
    <row r="21" spans="1:12" s="209" customFormat="1" ht="15.75" hidden="1" x14ac:dyDescent="0.2">
      <c r="A21" s="186" t="s">
        <v>36</v>
      </c>
      <c r="B21" s="173">
        <v>0.4473092729051939</v>
      </c>
      <c r="C21" s="173">
        <v>0.37519883805666715</v>
      </c>
      <c r="D21" s="173">
        <v>0.30880912389088844</v>
      </c>
      <c r="E21" s="173">
        <v>0.27265277234171859</v>
      </c>
      <c r="F21" s="173">
        <v>0.23012294426669161</v>
      </c>
      <c r="G21" s="173">
        <v>0.1732236652089382</v>
      </c>
      <c r="H21" s="173">
        <v>0.13362285898166043</v>
      </c>
      <c r="I21" s="173">
        <v>9.6624271258314562E-2</v>
      </c>
      <c r="J21" s="173">
        <v>7.4032913112471066E-2</v>
      </c>
      <c r="K21" s="173">
        <v>5.2957272458678963E-2</v>
      </c>
      <c r="L21" s="173">
        <v>3.415098785411954E-2</v>
      </c>
    </row>
    <row r="22" spans="1:12" s="209" customFormat="1" ht="15.75" hidden="1" x14ac:dyDescent="0.2">
      <c r="A22" s="186" t="s">
        <v>37</v>
      </c>
      <c r="B22" s="173">
        <v>0.4473092729051939</v>
      </c>
      <c r="C22" s="173">
        <v>0.37519883805666715</v>
      </c>
      <c r="D22" s="173">
        <v>0.30880912389088844</v>
      </c>
      <c r="E22" s="173">
        <v>0.27265277234171859</v>
      </c>
      <c r="F22" s="173">
        <v>0.23012294426669161</v>
      </c>
      <c r="G22" s="173">
        <v>0.1732236652089382</v>
      </c>
      <c r="H22" s="173">
        <v>0.13362285898166043</v>
      </c>
      <c r="I22" s="173">
        <v>9.6624271258314562E-2</v>
      </c>
      <c r="J22" s="173">
        <v>7.4032913112471066E-2</v>
      </c>
      <c r="K22" s="173">
        <v>5.2957272458678963E-2</v>
      </c>
      <c r="L22" s="173">
        <v>3.415098785411954E-2</v>
      </c>
    </row>
    <row r="23" spans="1:12" s="209" customFormat="1" ht="15.75" hidden="1" x14ac:dyDescent="0.2">
      <c r="A23" s="186" t="s">
        <v>38</v>
      </c>
      <c r="B23" s="173">
        <v>0.4473092729051939</v>
      </c>
      <c r="C23" s="173">
        <v>0.37519883805666715</v>
      </c>
      <c r="D23" s="173">
        <v>0.30880912389088844</v>
      </c>
      <c r="E23" s="173">
        <v>0.27265277234171859</v>
      </c>
      <c r="F23" s="173">
        <v>0.23012294426669161</v>
      </c>
      <c r="G23" s="173">
        <v>0.1732236652089382</v>
      </c>
      <c r="H23" s="173">
        <v>0.13362285898166043</v>
      </c>
      <c r="I23" s="173">
        <v>9.6624271258314562E-2</v>
      </c>
      <c r="J23" s="173">
        <v>7.4032913112471066E-2</v>
      </c>
      <c r="K23" s="173">
        <v>5.2957272458678963E-2</v>
      </c>
      <c r="L23" s="173">
        <v>3.415098785411954E-2</v>
      </c>
    </row>
    <row r="24" spans="1:12" s="209" customFormat="1" ht="15.75" hidden="1" x14ac:dyDescent="0.2">
      <c r="A24" s="186" t="s">
        <v>39</v>
      </c>
      <c r="B24" s="173">
        <v>0.43406911108211432</v>
      </c>
      <c r="C24" s="173">
        <v>0.35258974172373819</v>
      </c>
      <c r="D24" s="173">
        <v>0.29976101046444681</v>
      </c>
      <c r="E24" s="173">
        <v>0.26539550219935432</v>
      </c>
      <c r="F24" s="173">
        <v>0.20278432159958776</v>
      </c>
      <c r="G24" s="173">
        <v>0.16435881051882406</v>
      </c>
      <c r="H24" s="173">
        <v>0.12272582197706684</v>
      </c>
      <c r="I24" s="173">
        <v>9.0947696780981191E-2</v>
      </c>
      <c r="J24" s="173">
        <v>6.8114002744311231E-2</v>
      </c>
      <c r="K24" s="173">
        <v>4.81751189204363E-2</v>
      </c>
      <c r="L24" s="173">
        <v>3.1131974102218626E-2</v>
      </c>
    </row>
    <row r="25" spans="1:12" s="209" customFormat="1" ht="15.75" hidden="1" x14ac:dyDescent="0.2">
      <c r="A25" s="186" t="s">
        <v>40</v>
      </c>
      <c r="B25" s="173">
        <v>0.43406911108211432</v>
      </c>
      <c r="C25" s="173">
        <v>0.35258974172373819</v>
      </c>
      <c r="D25" s="173">
        <v>0.29976101046444681</v>
      </c>
      <c r="E25" s="173">
        <v>0.26539550219935432</v>
      </c>
      <c r="F25" s="173">
        <v>0.20278432159958776</v>
      </c>
      <c r="G25" s="173">
        <v>0.16435881051882406</v>
      </c>
      <c r="H25" s="173">
        <v>0.12272582197706684</v>
      </c>
      <c r="I25" s="173">
        <v>9.0947696780981191E-2</v>
      </c>
      <c r="J25" s="173">
        <v>6.8114002744311231E-2</v>
      </c>
      <c r="K25" s="173">
        <v>4.81751189204363E-2</v>
      </c>
      <c r="L25" s="173">
        <v>3.1131974102218626E-2</v>
      </c>
    </row>
    <row r="26" spans="1:12" s="209" customFormat="1" ht="15.75" hidden="1" x14ac:dyDescent="0.2">
      <c r="A26" s="186" t="s">
        <v>41</v>
      </c>
      <c r="B26" s="173">
        <v>0.43406911108211432</v>
      </c>
      <c r="C26" s="173">
        <v>0.35258974172373819</v>
      </c>
      <c r="D26" s="173">
        <v>0.29976101046444681</v>
      </c>
      <c r="E26" s="173">
        <v>0.26539550219935432</v>
      </c>
      <c r="F26" s="173">
        <v>0.20278432159958776</v>
      </c>
      <c r="G26" s="173">
        <v>0.16435881051882406</v>
      </c>
      <c r="H26" s="173">
        <v>0.12272582197706684</v>
      </c>
      <c r="I26" s="173">
        <v>9.0947696780981191E-2</v>
      </c>
      <c r="J26" s="173">
        <v>6.8114002744311231E-2</v>
      </c>
      <c r="K26" s="173">
        <v>4.81751189204363E-2</v>
      </c>
      <c r="L26" s="173">
        <v>3.1131974102218626E-2</v>
      </c>
    </row>
    <row r="27" spans="1:12" s="209" customFormat="1" hidden="1" x14ac:dyDescent="0.2">
      <c r="A27" s="186"/>
      <c r="B27" s="186">
        <v>1981</v>
      </c>
      <c r="C27" s="186">
        <v>1982</v>
      </c>
      <c r="D27" s="186">
        <v>1983</v>
      </c>
      <c r="E27" s="186">
        <v>1984</v>
      </c>
      <c r="F27" s="186">
        <v>1985</v>
      </c>
      <c r="G27" s="186">
        <v>1986</v>
      </c>
      <c r="H27" s="186">
        <v>1987</v>
      </c>
      <c r="I27" s="186">
        <v>1988</v>
      </c>
      <c r="J27" s="186">
        <v>1989</v>
      </c>
      <c r="K27" s="186">
        <v>1990</v>
      </c>
      <c r="L27" s="186">
        <v>1991</v>
      </c>
    </row>
    <row r="28" spans="1:12" s="209" customFormat="1" ht="15.75" hidden="1" x14ac:dyDescent="0.2">
      <c r="A28" s="186" t="s">
        <v>30</v>
      </c>
      <c r="B28" s="173">
        <v>2.7972479880981834E-2</v>
      </c>
      <c r="C28" s="173">
        <v>1.4207953006826297E-2</v>
      </c>
      <c r="D28" s="173">
        <v>7.0965911729357865E-3</v>
      </c>
      <c r="E28" s="173">
        <v>2.7375719488395632E-3</v>
      </c>
      <c r="F28" s="173">
        <v>8.4551439579130957E-4</v>
      </c>
      <c r="G28" s="173">
        <v>2.5806059551320592E-4</v>
      </c>
      <c r="H28" s="173">
        <v>0.15895206354231925</v>
      </c>
      <c r="I28" s="173">
        <v>3.461166252657473E-2</v>
      </c>
      <c r="J28" s="173">
        <v>3.3485837127542441E-3</v>
      </c>
      <c r="K28" s="173">
        <v>0.18731993361874771</v>
      </c>
      <c r="L28" s="173">
        <v>1.4899995909714234E-2</v>
      </c>
    </row>
    <row r="29" spans="1:12" s="209" customFormat="1" ht="15.75" hidden="1" x14ac:dyDescent="0.2">
      <c r="A29" s="186" t="s">
        <v>31</v>
      </c>
      <c r="B29" s="173">
        <v>2.7972479880981834E-2</v>
      </c>
      <c r="C29" s="173">
        <v>1.4207953006826297E-2</v>
      </c>
      <c r="D29" s="173">
        <v>7.0965911729357865E-3</v>
      </c>
      <c r="E29" s="173">
        <v>2.7375719488395632E-3</v>
      </c>
      <c r="F29" s="173">
        <v>8.4551439579130957E-4</v>
      </c>
      <c r="G29" s="173">
        <v>2.2202540861585772E-4</v>
      </c>
      <c r="H29" s="173">
        <v>0.13607744443292674</v>
      </c>
      <c r="I29" s="173">
        <v>2.9707032389146092E-2</v>
      </c>
      <c r="J29" s="173">
        <v>2.7366655205629637</v>
      </c>
      <c r="K29" s="173">
        <v>0.11999227040584112</v>
      </c>
      <c r="L29" s="173">
        <v>1.2394579301812649E-2</v>
      </c>
    </row>
    <row r="30" spans="1:12" s="209" customFormat="1" ht="15.75" hidden="1" x14ac:dyDescent="0.2">
      <c r="A30" s="186" t="s">
        <v>32</v>
      </c>
      <c r="B30" s="173">
        <v>2.7972479880981834E-2</v>
      </c>
      <c r="C30" s="173">
        <v>1.4207953006826297E-2</v>
      </c>
      <c r="D30" s="173">
        <v>7.0965911729357865E-3</v>
      </c>
      <c r="E30" s="173">
        <v>2.7375719488395632E-3</v>
      </c>
      <c r="F30" s="173">
        <v>8.4551439579130957E-4</v>
      </c>
      <c r="G30" s="173">
        <v>0.19414620544782624</v>
      </c>
      <c r="H30" s="173">
        <v>0.11375810512426268</v>
      </c>
      <c r="I30" s="173">
        <v>2.5183987906444265E-2</v>
      </c>
      <c r="J30" s="173">
        <v>2.3123493932520214</v>
      </c>
      <c r="K30" s="173">
        <v>6.9448009488139048E-2</v>
      </c>
      <c r="L30" s="173">
        <v>1.1583718973656679E-2</v>
      </c>
    </row>
    <row r="31" spans="1:12" s="209" customFormat="1" ht="15.75" hidden="1" x14ac:dyDescent="0.2">
      <c r="A31" s="186" t="s">
        <v>33</v>
      </c>
      <c r="B31" s="173">
        <v>2.3531998057398369E-2</v>
      </c>
      <c r="C31" s="173">
        <v>1.2273363108301088E-2</v>
      </c>
      <c r="D31" s="173">
        <v>5.756427608338408E-3</v>
      </c>
      <c r="E31" s="173">
        <v>2.0183228805644472E-3</v>
      </c>
      <c r="F31" s="173">
        <v>6.0461231522246199E-4</v>
      </c>
      <c r="G31" s="173">
        <v>0.19436000126862318</v>
      </c>
      <c r="H31" s="173">
        <v>9.93433804298927E-2</v>
      </c>
      <c r="I31" s="173">
        <v>2.1708462582009404E-2</v>
      </c>
      <c r="J31" s="173">
        <v>1.9300136998637691</v>
      </c>
      <c r="K31" s="173">
        <v>3.767795688533427E-2</v>
      </c>
      <c r="L31" s="173">
        <v>1.0676238685397863E-2</v>
      </c>
    </row>
    <row r="32" spans="1:12" s="209" customFormat="1" ht="15.75" hidden="1" x14ac:dyDescent="0.2">
      <c r="A32" s="186" t="s">
        <v>34</v>
      </c>
      <c r="B32" s="173">
        <v>2.3531998057398369E-2</v>
      </c>
      <c r="C32" s="173">
        <v>1.2273363108301088E-2</v>
      </c>
      <c r="D32" s="173">
        <v>5.756427608338408E-3</v>
      </c>
      <c r="E32" s="173">
        <v>2.0183228805644472E-3</v>
      </c>
      <c r="F32" s="173">
        <v>6.0461231522246199E-4</v>
      </c>
      <c r="G32" s="173">
        <v>0.19285572681203575</v>
      </c>
      <c r="H32" s="173">
        <v>8.2129117054390313E-2</v>
      </c>
      <c r="I32" s="173">
        <v>1.8199583054329008E-2</v>
      </c>
      <c r="J32" s="173">
        <v>1.7393778681363938</v>
      </c>
      <c r="K32" s="173">
        <v>3.767795688533427E-2</v>
      </c>
      <c r="L32" s="173">
        <v>9.801008615989969E-3</v>
      </c>
    </row>
    <row r="33" spans="1:12" s="209" customFormat="1" ht="15.75" hidden="1" x14ac:dyDescent="0.2">
      <c r="A33" s="186" t="s">
        <v>35</v>
      </c>
      <c r="B33" s="173">
        <v>2.3531998057398369E-2</v>
      </c>
      <c r="C33" s="173">
        <v>1.2273363108301088E-2</v>
      </c>
      <c r="D33" s="173">
        <v>5.756427608338408E-3</v>
      </c>
      <c r="E33" s="173">
        <v>2.0183228805644472E-3</v>
      </c>
      <c r="F33" s="173">
        <v>6.0461231522246199E-4</v>
      </c>
      <c r="G33" s="173">
        <v>0.19019302478994438</v>
      </c>
      <c r="H33" s="173">
        <v>6.6533633144859661E-2</v>
      </c>
      <c r="I33" s="173">
        <v>1.5452185223555097E-2</v>
      </c>
      <c r="J33" s="173">
        <v>1.5821155851144006</v>
      </c>
      <c r="K33" s="173">
        <v>3.5754370876711655E-2</v>
      </c>
      <c r="L33" s="173">
        <v>8.9925760308193266E-3</v>
      </c>
    </row>
    <row r="34" spans="1:12" s="209" customFormat="1" ht="15.75" hidden="1" x14ac:dyDescent="0.2">
      <c r="A34" s="186" t="s">
        <v>36</v>
      </c>
      <c r="B34" s="173">
        <v>1.9757919623105642E-2</v>
      </c>
      <c r="C34" s="173">
        <v>1.045216388729831E-2</v>
      </c>
      <c r="D34" s="173">
        <v>4.5361145524703576E-3</v>
      </c>
      <c r="E34" s="173">
        <v>1.5585199120484758E-3</v>
      </c>
      <c r="F34" s="173">
        <v>4.5001221822652394E-4</v>
      </c>
      <c r="G34" s="173">
        <v>0.18780786495832971</v>
      </c>
      <c r="H34" s="173">
        <v>5.6374879972896273E-2</v>
      </c>
      <c r="I34" s="173">
        <v>1.292745285605265E-2</v>
      </c>
      <c r="J34" s="173">
        <v>1.2674161589929445</v>
      </c>
      <c r="K34" s="173">
        <v>3.2619624703582581E-2</v>
      </c>
      <c r="L34" s="173">
        <v>8.2199049641858458E-3</v>
      </c>
    </row>
    <row r="35" spans="1:12" s="209" customFormat="1" ht="15.75" hidden="1" x14ac:dyDescent="0.2">
      <c r="A35" s="186" t="s">
        <v>37</v>
      </c>
      <c r="B35" s="173">
        <v>1.9757919623105642E-2</v>
      </c>
      <c r="C35" s="173">
        <v>1.045216388729831E-2</v>
      </c>
      <c r="D35" s="173">
        <v>4.5361145524703576E-3</v>
      </c>
      <c r="E35" s="173">
        <v>1.5585199120484758E-3</v>
      </c>
      <c r="F35" s="173">
        <v>4.5001221822652394E-4</v>
      </c>
      <c r="G35" s="173">
        <v>0.18559923395731506</v>
      </c>
      <c r="H35" s="173">
        <v>5.4706336531916713E-2</v>
      </c>
      <c r="I35" s="173">
        <v>1.0422003370147407E-2</v>
      </c>
      <c r="J35" s="173">
        <v>0.98432444982823286</v>
      </c>
      <c r="K35" s="173">
        <v>2.9442752394620776E-2</v>
      </c>
      <c r="L35" s="173">
        <v>7.4692457648212907E-3</v>
      </c>
    </row>
    <row r="36" spans="1:12" s="209" customFormat="1" ht="15.75" hidden="1" x14ac:dyDescent="0.2">
      <c r="A36" s="186" t="s">
        <v>38</v>
      </c>
      <c r="B36" s="173">
        <v>1.9757919623105642E-2</v>
      </c>
      <c r="C36" s="173">
        <v>1.045216388729831E-2</v>
      </c>
      <c r="D36" s="173">
        <v>4.5361145524703576E-3</v>
      </c>
      <c r="E36" s="173">
        <v>1.5585199120484758E-3</v>
      </c>
      <c r="F36" s="173">
        <v>4.5001221822652394E-4</v>
      </c>
      <c r="G36" s="173">
        <v>0.18253268489412988</v>
      </c>
      <c r="H36" s="173">
        <v>5.1435066590959248E-2</v>
      </c>
      <c r="I36" s="173">
        <v>8.63749695652004E-3</v>
      </c>
      <c r="J36" s="173">
        <v>0.7610363758607106</v>
      </c>
      <c r="K36" s="173">
        <v>2.6625747796651146E-2</v>
      </c>
      <c r="L36" s="173">
        <v>6.6719479810820083E-3</v>
      </c>
    </row>
    <row r="37" spans="1:12" s="209" customFormat="1" ht="15.75" hidden="1" x14ac:dyDescent="0.2">
      <c r="A37" s="186" t="s">
        <v>39</v>
      </c>
      <c r="B37" s="173">
        <v>1.6667662188929181E-2</v>
      </c>
      <c r="C37" s="173">
        <v>8.6125710544599863E-3</v>
      </c>
      <c r="D37" s="173">
        <v>3.5027863830171925E-3</v>
      </c>
      <c r="E37" s="173">
        <v>1.1561637701355137E-3</v>
      </c>
      <c r="F37" s="173">
        <v>3.5432349828057221E-4</v>
      </c>
      <c r="G37" s="173">
        <v>0.17944620960110039</v>
      </c>
      <c r="H37" s="173">
        <v>4.8670578312802977E-2</v>
      </c>
      <c r="I37" s="173">
        <v>6.9651614936185628E-3</v>
      </c>
      <c r="J37" s="173">
        <v>0.55979137472923091</v>
      </c>
      <c r="K37" s="173">
        <v>2.3593928560182383E-2</v>
      </c>
      <c r="L37" s="173">
        <v>5.7132625287566454E-3</v>
      </c>
    </row>
    <row r="38" spans="1:12" s="209" customFormat="1" ht="15.75" hidden="1" x14ac:dyDescent="0.2">
      <c r="A38" s="186" t="s">
        <v>40</v>
      </c>
      <c r="B38" s="173">
        <v>1.6667662188929181E-2</v>
      </c>
      <c r="C38" s="173">
        <v>8.6125710544599863E-3</v>
      </c>
      <c r="D38" s="173">
        <v>3.5027863830171925E-3</v>
      </c>
      <c r="E38" s="173">
        <v>1.1561637701355137E-3</v>
      </c>
      <c r="F38" s="173">
        <v>3.5432349828057221E-4</v>
      </c>
      <c r="G38" s="173">
        <v>0.17611758724983545</v>
      </c>
      <c r="H38" s="173">
        <v>4.4578290613328089E-2</v>
      </c>
      <c r="I38" s="173">
        <v>5.4736046924867259E-3</v>
      </c>
      <c r="J38" s="173">
        <v>0.4067660032144178</v>
      </c>
      <c r="K38" s="173">
        <v>2.0749211681566144E-2</v>
      </c>
      <c r="L38" s="173">
        <v>4.7701949810107988E-3</v>
      </c>
    </row>
    <row r="39" spans="1:12" s="209" customFormat="1" ht="15.75" hidden="1" x14ac:dyDescent="0.2">
      <c r="A39" s="186" t="s">
        <v>41</v>
      </c>
      <c r="B39" s="173">
        <v>1.6667662188929181E-2</v>
      </c>
      <c r="C39" s="173">
        <v>8.6125710544599863E-3</v>
      </c>
      <c r="D39" s="173">
        <v>3.5027863830171925E-3</v>
      </c>
      <c r="E39" s="173">
        <v>1.1561637701355137E-3</v>
      </c>
      <c r="F39" s="173">
        <v>3.5432349828057221E-4</v>
      </c>
      <c r="G39" s="173">
        <v>0.17050787817353136</v>
      </c>
      <c r="H39" s="173">
        <v>3.9505752072667932E-2</v>
      </c>
      <c r="I39" s="173">
        <v>4.3126410613660736E-3</v>
      </c>
      <c r="J39" s="173">
        <v>0.28762975815337832</v>
      </c>
      <c r="K39" s="173">
        <v>1.7789104915259583E-2</v>
      </c>
      <c r="L39" s="173">
        <v>3.6547617077925232E-3</v>
      </c>
    </row>
    <row r="40" spans="1:12" s="209" customFormat="1" hidden="1" x14ac:dyDescent="0.2">
      <c r="A40" s="186"/>
      <c r="B40" s="186">
        <v>1992</v>
      </c>
      <c r="C40" s="186">
        <v>1993</v>
      </c>
      <c r="D40" s="186">
        <v>1994</v>
      </c>
      <c r="E40" s="186">
        <v>1995</v>
      </c>
      <c r="F40" s="186">
        <v>1996</v>
      </c>
      <c r="G40" s="186">
        <v>1997</v>
      </c>
      <c r="H40" s="186">
        <v>1998</v>
      </c>
      <c r="I40" s="186">
        <v>1999</v>
      </c>
      <c r="J40" s="186">
        <v>2000</v>
      </c>
      <c r="K40" s="186">
        <v>2001</v>
      </c>
      <c r="L40" s="186">
        <v>2002</v>
      </c>
    </row>
    <row r="41" spans="1:12" s="209" customFormat="1" ht="15.75" hidden="1" x14ac:dyDescent="0.2">
      <c r="A41" s="186" t="s">
        <v>30</v>
      </c>
      <c r="B41" s="173">
        <v>2.8459443293821275E-3</v>
      </c>
      <c r="C41" s="173">
        <v>2.2654762269366444E-4</v>
      </c>
      <c r="D41" s="173">
        <v>8.7988569377750667E-3</v>
      </c>
      <c r="E41" s="173">
        <v>2.3020081680516014</v>
      </c>
      <c r="F41" s="173">
        <v>1.7489454894274885</v>
      </c>
      <c r="G41" s="173">
        <v>1.5959702917196221</v>
      </c>
      <c r="H41" s="173">
        <v>1.453723602870221</v>
      </c>
      <c r="I41" s="173">
        <v>1.3486145023337084</v>
      </c>
      <c r="J41" s="173">
        <v>1.2755320542624482</v>
      </c>
      <c r="K41" s="173">
        <v>1.2493419777747083</v>
      </c>
      <c r="L41" s="173">
        <v>1.2214291972414528</v>
      </c>
    </row>
    <row r="42" spans="1:12" s="209" customFormat="1" ht="15.75" hidden="1" x14ac:dyDescent="0.2">
      <c r="A42" s="186" t="s">
        <v>31</v>
      </c>
      <c r="B42" s="173">
        <v>2.2680461662273848E-3</v>
      </c>
      <c r="C42" s="173">
        <v>1.7872169666587653E-4</v>
      </c>
      <c r="D42" s="173">
        <v>6.2209112965038778E-3</v>
      </c>
      <c r="E42" s="173">
        <v>2.2546315943593305</v>
      </c>
      <c r="F42" s="173">
        <v>1.7273092142102853</v>
      </c>
      <c r="G42" s="173">
        <v>1.5841839630346453</v>
      </c>
      <c r="H42" s="173">
        <v>1.4372541080461223</v>
      </c>
      <c r="I42" s="173">
        <v>1.3416873704401229</v>
      </c>
      <c r="J42" s="173">
        <v>1.2727968139093562</v>
      </c>
      <c r="K42" s="173">
        <v>1.2476339668740559</v>
      </c>
      <c r="L42" s="173">
        <v>1.2182726527980494</v>
      </c>
    </row>
    <row r="43" spans="1:12" s="209" customFormat="1" ht="15.75" hidden="1" x14ac:dyDescent="0.2">
      <c r="A43" s="186" t="s">
        <v>32</v>
      </c>
      <c r="B43" s="173">
        <v>1.8056254806364037E-3</v>
      </c>
      <c r="C43" s="173">
        <v>1.4139374736224411E-4</v>
      </c>
      <c r="D43" s="173">
        <v>4.4479560249562934E-3</v>
      </c>
      <c r="E43" s="173">
        <v>2.2136111658450632</v>
      </c>
      <c r="F43" s="173">
        <v>1.7108423565286996</v>
      </c>
      <c r="G43" s="173">
        <v>1.573771855678983</v>
      </c>
      <c r="H43" s="173">
        <v>1.4308709925483643</v>
      </c>
      <c r="I43" s="173">
        <v>1.3306456726484841</v>
      </c>
      <c r="J43" s="173">
        <v>1.269840624934506</v>
      </c>
      <c r="K43" s="173">
        <v>1.2471750064716767</v>
      </c>
      <c r="L43" s="173">
        <v>1.2168477241131137</v>
      </c>
    </row>
    <row r="44" spans="1:12" s="209" customFormat="1" ht="15.75" hidden="1" x14ac:dyDescent="0.2">
      <c r="A44" s="186" t="s">
        <v>33</v>
      </c>
      <c r="B44" s="173">
        <v>1.452985821707894E-3</v>
      </c>
      <c r="C44" s="173">
        <v>1.1238673186729517E-4</v>
      </c>
      <c r="D44" s="173">
        <v>3.1356757313756077E-3</v>
      </c>
      <c r="E44" s="173">
        <v>2.1638470122571718</v>
      </c>
      <c r="F44" s="173">
        <v>1.6970302275070159</v>
      </c>
      <c r="G44" s="173">
        <v>1.5638943316236271</v>
      </c>
      <c r="H44" s="173">
        <v>1.4181150476943563</v>
      </c>
      <c r="I44" s="173">
        <v>1.3153689773455881</v>
      </c>
      <c r="J44" s="173">
        <v>1.2670000109100426</v>
      </c>
      <c r="K44" s="173">
        <v>1.2450285772045748</v>
      </c>
      <c r="L44" s="173">
        <v>1.2147122599601008</v>
      </c>
    </row>
    <row r="45" spans="1:12" s="209" customFormat="1" ht="15.75" hidden="1" x14ac:dyDescent="0.2">
      <c r="A45" s="186" t="s">
        <v>34</v>
      </c>
      <c r="B45" s="173">
        <v>1.2000213261545236E-3</v>
      </c>
      <c r="C45" s="173">
        <v>8.7651483284429137E-5</v>
      </c>
      <c r="D45" s="173">
        <v>2.1481645073478206E-3</v>
      </c>
      <c r="E45" s="173">
        <v>2.0913463097375038</v>
      </c>
      <c r="F45" s="173">
        <v>1.6859082905144953</v>
      </c>
      <c r="G45" s="173">
        <v>1.5542409411382161</v>
      </c>
      <c r="H45" s="173">
        <v>1.4114529895835197</v>
      </c>
      <c r="I45" s="173">
        <v>1.307404270529525</v>
      </c>
      <c r="J45" s="173">
        <v>1.2653537856349359</v>
      </c>
      <c r="K45" s="173">
        <v>1.2431067341935083</v>
      </c>
      <c r="L45" s="173">
        <v>1.2118559155671091</v>
      </c>
    </row>
    <row r="46" spans="1:12" s="209" customFormat="1" ht="15.75" hidden="1" x14ac:dyDescent="0.2">
      <c r="A46" s="186" t="s">
        <v>35</v>
      </c>
      <c r="B46" s="173">
        <v>1.0016036442321362E-3</v>
      </c>
      <c r="C46" s="173">
        <v>6.81158558318535E-5</v>
      </c>
      <c r="D46" s="173">
        <v>1.46692468406707E-3</v>
      </c>
      <c r="E46" s="173">
        <v>2.0255738996422172</v>
      </c>
      <c r="F46" s="173">
        <v>1.6760397683584021</v>
      </c>
      <c r="G46" s="173">
        <v>1.5444276478636925</v>
      </c>
      <c r="H46" s="173">
        <v>1.4050697576744042</v>
      </c>
      <c r="I46" s="173">
        <v>1.299915457578416</v>
      </c>
      <c r="J46" s="173">
        <v>1.262208362395844</v>
      </c>
      <c r="K46" s="173">
        <v>1.2408397200250234</v>
      </c>
      <c r="L46" s="173">
        <v>1.2093139376701256</v>
      </c>
    </row>
    <row r="47" spans="1:12" s="209" customFormat="1" ht="15.75" hidden="1" x14ac:dyDescent="0.2">
      <c r="A47" s="186" t="s">
        <v>36</v>
      </c>
      <c r="B47" s="173">
        <v>8.2742969370684313E-4</v>
      </c>
      <c r="C47" s="173">
        <v>5.236458781661548E-5</v>
      </c>
      <c r="D47" s="173">
        <v>2.7465758047575219</v>
      </c>
      <c r="E47" s="173">
        <v>1.968749872084256</v>
      </c>
      <c r="F47" s="173">
        <v>1.6658795688678771</v>
      </c>
      <c r="G47" s="173">
        <v>1.5344003416311327</v>
      </c>
      <c r="H47" s="173">
        <v>1.3982003991135579</v>
      </c>
      <c r="I47" s="173">
        <v>1.2958878381773631</v>
      </c>
      <c r="J47" s="173">
        <v>1.2595130045660712</v>
      </c>
      <c r="K47" s="173">
        <v>1.2390332096054151</v>
      </c>
      <c r="L47" s="173">
        <v>1.2074038248192589</v>
      </c>
    </row>
    <row r="48" spans="1:12" s="209" customFormat="1" ht="15.75" hidden="1" x14ac:dyDescent="0.2">
      <c r="A48" s="186" t="s">
        <v>37</v>
      </c>
      <c r="B48" s="173">
        <v>6.689543970465221E-4</v>
      </c>
      <c r="C48" s="173">
        <v>4.0166133172213944E-2</v>
      </c>
      <c r="D48" s="173">
        <v>2.6151351377298089</v>
      </c>
      <c r="E48" s="173">
        <v>1.9115839539416322</v>
      </c>
      <c r="F48" s="173">
        <v>1.6561892058246015</v>
      </c>
      <c r="G48" s="173">
        <v>1.5243699871159107</v>
      </c>
      <c r="H48" s="173">
        <v>1.3905482123012649</v>
      </c>
      <c r="I48" s="173">
        <v>1.2920981144078061</v>
      </c>
      <c r="J48" s="173">
        <v>1.2575675475699795</v>
      </c>
      <c r="K48" s="173">
        <v>1.2360160943191845</v>
      </c>
      <c r="L48" s="173">
        <v>1.2042054551304362</v>
      </c>
    </row>
    <row r="49" spans="1:12" s="209" customFormat="1" ht="15.75" hidden="1" x14ac:dyDescent="0.2">
      <c r="A49" s="186" t="s">
        <v>38</v>
      </c>
      <c r="B49" s="173">
        <v>5.4289433293825903E-4</v>
      </c>
      <c r="C49" s="173">
        <v>3.0123093724474293E-2</v>
      </c>
      <c r="D49" s="173">
        <v>2.5605643894616099</v>
      </c>
      <c r="E49" s="173">
        <v>1.8630605421220678</v>
      </c>
      <c r="F49" s="173">
        <v>1.6458614253803425</v>
      </c>
      <c r="G49" s="173">
        <v>1.5148717412979731</v>
      </c>
      <c r="H49" s="173">
        <v>1.3853545182124849</v>
      </c>
      <c r="I49" s="173">
        <v>1.2883040589541872</v>
      </c>
      <c r="J49" s="173">
        <v>1.2550261196776324</v>
      </c>
      <c r="K49" s="173">
        <v>1.2317836855755473</v>
      </c>
      <c r="L49" s="173">
        <v>1.2012252153711007</v>
      </c>
    </row>
    <row r="50" spans="1:12" s="209" customFormat="1" ht="15.75" hidden="1" x14ac:dyDescent="0.2">
      <c r="A50" s="186" t="s">
        <v>39</v>
      </c>
      <c r="B50" s="173">
        <v>4.3299914893783732E-4</v>
      </c>
      <c r="C50" s="173">
        <v>2.2376388147730103E-2</v>
      </c>
      <c r="D50" s="173">
        <v>2.4995967257244605</v>
      </c>
      <c r="E50" s="173">
        <v>1.8276175548802756</v>
      </c>
      <c r="F50" s="173">
        <v>1.635037477280743</v>
      </c>
      <c r="G50" s="173">
        <v>1.5051275455679665</v>
      </c>
      <c r="H50" s="173">
        <v>1.3791318751916208</v>
      </c>
      <c r="I50" s="173">
        <v>1.2848157841003514</v>
      </c>
      <c r="J50" s="173">
        <v>1.2537247533836189</v>
      </c>
      <c r="K50" s="173">
        <v>1.2297828289129054</v>
      </c>
      <c r="L50" s="173">
        <v>1.1988814022297403</v>
      </c>
    </row>
    <row r="51" spans="1:12" s="209" customFormat="1" ht="15.75" hidden="1" x14ac:dyDescent="0.2">
      <c r="A51" s="186" t="s">
        <v>40</v>
      </c>
      <c r="B51" s="173">
        <v>3.4620544410157391E-4</v>
      </c>
      <c r="C51" s="173">
        <v>1.6389356293657203E-2</v>
      </c>
      <c r="D51" s="173">
        <v>2.4373207434096025</v>
      </c>
      <c r="E51" s="173">
        <v>1.7978806095975339</v>
      </c>
      <c r="F51" s="173">
        <v>1.6229964664958103</v>
      </c>
      <c r="G51" s="173">
        <v>1.4953286568794375</v>
      </c>
      <c r="H51" s="173">
        <v>1.3669767182132673</v>
      </c>
      <c r="I51" s="173">
        <v>1.2819122528476503</v>
      </c>
      <c r="J51" s="173">
        <v>1.2520770200252671</v>
      </c>
      <c r="K51" s="173">
        <v>1.2262108766292834</v>
      </c>
      <c r="L51" s="173">
        <v>1.1955720587710612</v>
      </c>
    </row>
    <row r="52" spans="1:12" s="209" customFormat="1" ht="15.75" hidden="1" x14ac:dyDescent="0.2">
      <c r="A52" s="186" t="s">
        <v>41</v>
      </c>
      <c r="B52" s="173">
        <v>2.8080577832879651E-4</v>
      </c>
      <c r="C52" s="173">
        <v>1.2036836290876304E-2</v>
      </c>
      <c r="D52" s="173">
        <v>2.3681471647278953</v>
      </c>
      <c r="E52" s="173">
        <v>1.7723813589858093</v>
      </c>
      <c r="F52" s="173">
        <v>1.6098823647525398</v>
      </c>
      <c r="G52" s="173">
        <v>1.4727455762137756</v>
      </c>
      <c r="H52" s="173">
        <v>1.3586401025440573</v>
      </c>
      <c r="I52" s="173">
        <v>1.2793560993611275</v>
      </c>
      <c r="J52" s="173">
        <v>1.2505800756746841</v>
      </c>
      <c r="K52" s="173">
        <v>1.2238512913395823</v>
      </c>
      <c r="L52" s="173">
        <v>1.1924193021362144</v>
      </c>
    </row>
    <row r="53" spans="1:12" s="209" customFormat="1" x14ac:dyDescent="0.2">
      <c r="A53" s="210"/>
      <c r="B53" s="210">
        <v>2003</v>
      </c>
      <c r="C53" s="210">
        <v>2004</v>
      </c>
      <c r="D53" s="210">
        <v>2005</v>
      </c>
      <c r="E53" s="210">
        <v>2006</v>
      </c>
      <c r="F53" s="210">
        <v>2007</v>
      </c>
      <c r="G53" s="210">
        <v>2008</v>
      </c>
      <c r="H53" s="210">
        <v>2009</v>
      </c>
      <c r="I53" s="210">
        <v>2010</v>
      </c>
      <c r="J53" s="210">
        <v>2011</v>
      </c>
      <c r="K53" s="210">
        <v>2012</v>
      </c>
      <c r="L53" s="210">
        <v>2013</v>
      </c>
    </row>
    <row r="54" spans="1:12" s="209" customFormat="1" ht="15.75" x14ac:dyDescent="0.2">
      <c r="A54" s="210" t="s">
        <v>30</v>
      </c>
      <c r="B54" s="173">
        <v>1.1881313361440715</v>
      </c>
      <c r="C54" s="173">
        <v>1.1353529248695235</v>
      </c>
      <c r="D54" s="173">
        <v>1.1150761764291832</v>
      </c>
      <c r="E54" s="173">
        <v>1.0843508137831144</v>
      </c>
      <c r="F54" s="173">
        <v>1.0626959098884536</v>
      </c>
      <c r="G54" s="173">
        <v>1.0475554759606471</v>
      </c>
      <c r="H54" s="173">
        <v>1.0307050576309955</v>
      </c>
      <c r="I54" s="173">
        <v>1.0234487458618384</v>
      </c>
      <c r="J54" s="173">
        <v>1.0164479429903526</v>
      </c>
      <c r="K54" s="173">
        <v>1.004316724901972</v>
      </c>
      <c r="L54" s="173">
        <v>1.0014155316004576</v>
      </c>
    </row>
    <row r="55" spans="1:12" s="209" customFormat="1" ht="15.75" x14ac:dyDescent="0.2">
      <c r="A55" s="210" t="s">
        <v>31</v>
      </c>
      <c r="B55" s="173">
        <v>1.1823637656950101</v>
      </c>
      <c r="C55" s="173">
        <v>1.1339015309099616</v>
      </c>
      <c r="D55" s="173">
        <v>1.1129837669473195</v>
      </c>
      <c r="E55" s="173">
        <v>1.0818344668133055</v>
      </c>
      <c r="F55" s="173">
        <v>1.0603747495616631</v>
      </c>
      <c r="G55" s="173">
        <v>1.0464985124630584</v>
      </c>
      <c r="H55" s="173">
        <v>1.0288120434710086</v>
      </c>
      <c r="I55" s="173">
        <v>1.0234487458618384</v>
      </c>
      <c r="J55" s="173">
        <v>1.0157217019734419</v>
      </c>
      <c r="K55" s="173">
        <v>1.0034497443228774</v>
      </c>
      <c r="L55" s="173">
        <v>1.0014155316004576</v>
      </c>
    </row>
    <row r="56" spans="1:12" s="209" customFormat="1" ht="15.75" x14ac:dyDescent="0.2">
      <c r="A56" s="210" t="s">
        <v>32</v>
      </c>
      <c r="B56" s="173">
        <v>1.1775171052896414</v>
      </c>
      <c r="C56" s="173">
        <v>1.1333824417516392</v>
      </c>
      <c r="D56" s="173">
        <v>1.1119141055777575</v>
      </c>
      <c r="E56" s="173">
        <v>1.0810507050521425</v>
      </c>
      <c r="F56" s="173">
        <v>1.0596107701963513</v>
      </c>
      <c r="G56" s="173">
        <v>1.0462442751042089</v>
      </c>
      <c r="H56" s="173">
        <v>1.0283482584064672</v>
      </c>
      <c r="I56" s="173">
        <v>1.0234487458618384</v>
      </c>
      <c r="J56" s="173">
        <v>1.015189742548346</v>
      </c>
      <c r="K56" s="173">
        <v>1.0034497443228774</v>
      </c>
      <c r="L56" s="173">
        <v>1.0014155316004576</v>
      </c>
    </row>
    <row r="57" spans="1:12" s="209" customFormat="1" ht="15.75" x14ac:dyDescent="0.2">
      <c r="A57" s="210" t="s">
        <v>33</v>
      </c>
      <c r="B57" s="173">
        <v>1.1730805147827323</v>
      </c>
      <c r="C57" s="173">
        <v>1.131370864354813</v>
      </c>
      <c r="D57" s="173">
        <v>1.1089919118899245</v>
      </c>
      <c r="E57" s="173">
        <v>1.0788143229606462</v>
      </c>
      <c r="F57" s="173">
        <v>1.0576266625773554</v>
      </c>
      <c r="G57" s="173">
        <v>1.0458165361409275</v>
      </c>
      <c r="H57" s="173">
        <v>1.0268716170211898</v>
      </c>
      <c r="I57" s="173">
        <v>1.02263881591963</v>
      </c>
      <c r="J57" s="173">
        <v>1.0139608220320433</v>
      </c>
      <c r="K57" s="173">
        <v>1.0023792033337171</v>
      </c>
      <c r="L57" s="173">
        <v>1.0014155316004576</v>
      </c>
    </row>
    <row r="58" spans="1:12" s="209" customFormat="1" ht="15.75" x14ac:dyDescent="0.2">
      <c r="A58" s="210" t="s">
        <v>34</v>
      </c>
      <c r="B58" s="173">
        <v>1.1681927961237482</v>
      </c>
      <c r="C58" s="173">
        <v>1.130382909691743</v>
      </c>
      <c r="D58" s="173">
        <v>1.1067750414818396</v>
      </c>
      <c r="E58" s="173">
        <v>1.0778927246810437</v>
      </c>
      <c r="F58" s="173">
        <v>1.056283070511665</v>
      </c>
      <c r="G58" s="173">
        <v>1.0448187342497182</v>
      </c>
      <c r="H58" s="173">
        <v>1.0264056288656844</v>
      </c>
      <c r="I58" s="173">
        <v>1.02263881591963</v>
      </c>
      <c r="J58" s="173">
        <v>1.0135868084997068</v>
      </c>
      <c r="K58" s="173">
        <v>1.0021517148944361</v>
      </c>
      <c r="L58" s="173">
        <v>1.0014155316004576</v>
      </c>
    </row>
    <row r="59" spans="1:12" s="209" customFormat="1" ht="15.75" x14ac:dyDescent="0.2">
      <c r="A59" s="210" t="s">
        <v>35</v>
      </c>
      <c r="B59" s="173">
        <v>1.1627858419586414</v>
      </c>
      <c r="C59" s="173">
        <v>1.1286380352891821</v>
      </c>
      <c r="D59" s="173">
        <v>1.1039852707027686</v>
      </c>
      <c r="E59" s="173">
        <v>1.0758614981724928</v>
      </c>
      <c r="F59" s="173">
        <v>1.0545020166056183</v>
      </c>
      <c r="G59" s="173">
        <v>1.0440503132191898</v>
      </c>
      <c r="H59" s="173">
        <v>1.0259449795698585</v>
      </c>
      <c r="I59" s="173">
        <v>1.0221175359762817</v>
      </c>
      <c r="J59" s="173">
        <v>1.0119979716841634</v>
      </c>
      <c r="K59" s="173">
        <v>1.001682927284467</v>
      </c>
      <c r="L59" s="173">
        <v>1.0014155316004576</v>
      </c>
    </row>
    <row r="60" spans="1:12" s="209" customFormat="1" ht="15.75" x14ac:dyDescent="0.2">
      <c r="A60" s="210" t="s">
        <v>36</v>
      </c>
      <c r="B60" s="173">
        <v>1.1579617732114418</v>
      </c>
      <c r="C60" s="173">
        <v>1.1266539975994136</v>
      </c>
      <c r="D60" s="173">
        <v>1.1006909028306022</v>
      </c>
      <c r="E60" s="173">
        <v>1.0737815832457469</v>
      </c>
      <c r="F60" s="173">
        <v>1.0534969804862349</v>
      </c>
      <c r="G60" s="173">
        <v>1.042855201158662</v>
      </c>
      <c r="H60" s="173">
        <v>1.0252724008748846</v>
      </c>
      <c r="I60" s="173">
        <v>1.0215158631328964</v>
      </c>
      <c r="J60" s="173">
        <v>1.0108718604316418</v>
      </c>
      <c r="K60" s="173">
        <v>1.001682927284467</v>
      </c>
      <c r="L60" s="173">
        <v>1.0014155316004576</v>
      </c>
    </row>
    <row r="61" spans="1:12" s="209" customFormat="1" ht="15.75" x14ac:dyDescent="0.2">
      <c r="A61" s="210" t="s">
        <v>37</v>
      </c>
      <c r="B61" s="173">
        <v>1.1516679080937133</v>
      </c>
      <c r="C61" s="173">
        <v>1.1244590535269263</v>
      </c>
      <c r="D61" s="173">
        <v>1.097863903279654</v>
      </c>
      <c r="E61" s="173">
        <v>1.0719046781542982</v>
      </c>
      <c r="F61" s="173">
        <v>1.0519516634925645</v>
      </c>
      <c r="G61" s="173">
        <v>1.0408629893969561</v>
      </c>
      <c r="H61" s="173">
        <v>1.0241959709094581</v>
      </c>
      <c r="I61" s="173">
        <v>1.0203414501238037</v>
      </c>
      <c r="J61" s="173">
        <v>1.0096310239032649</v>
      </c>
      <c r="K61" s="173">
        <v>1.0015387057108447</v>
      </c>
      <c r="L61" s="173">
        <v>1.0012062794880447</v>
      </c>
    </row>
    <row r="62" spans="1:12" s="209" customFormat="1" ht="15.75" x14ac:dyDescent="0.2">
      <c r="A62" s="210" t="s">
        <v>38</v>
      </c>
      <c r="B62" s="173">
        <v>1.1470361760149668</v>
      </c>
      <c r="C62" s="173">
        <v>1.1222090244329372</v>
      </c>
      <c r="D62" s="173">
        <v>1.0940718502467004</v>
      </c>
      <c r="E62" s="173">
        <v>1.069299863686358</v>
      </c>
      <c r="F62" s="173">
        <v>1.0504117598526204</v>
      </c>
      <c r="G62" s="173">
        <v>1.0392272457122045</v>
      </c>
      <c r="H62" s="173">
        <v>1.0239942440433825</v>
      </c>
      <c r="I62" s="173">
        <v>1.0194148020687237</v>
      </c>
      <c r="J62" s="173">
        <v>1.007539372166647</v>
      </c>
      <c r="K62" s="173">
        <v>1.0014155316004576</v>
      </c>
      <c r="L62" s="173">
        <v>1.0012062794880447</v>
      </c>
    </row>
    <row r="63" spans="1:12" s="209" customFormat="1" ht="15.75" x14ac:dyDescent="0.2">
      <c r="A63" s="210" t="s">
        <v>39</v>
      </c>
      <c r="B63" s="173">
        <v>1.1431904832293873</v>
      </c>
      <c r="C63" s="173">
        <v>1.1202731923565459</v>
      </c>
      <c r="D63" s="173">
        <v>1.0911943706911869</v>
      </c>
      <c r="E63" s="173">
        <v>1.0676759285989583</v>
      </c>
      <c r="F63" s="173">
        <v>1.0500421450175739</v>
      </c>
      <c r="G63" s="173">
        <v>1.0371839932455111</v>
      </c>
      <c r="H63" s="173">
        <v>1.0239942440433825</v>
      </c>
      <c r="I63" s="173">
        <v>1.0186996748969461</v>
      </c>
      <c r="J63" s="173">
        <v>1.0065298227544239</v>
      </c>
      <c r="K63" s="173">
        <v>1.0014155316004576</v>
      </c>
      <c r="L63" s="173">
        <v>1.0011271904400001</v>
      </c>
    </row>
    <row r="64" spans="1:12" s="209" customFormat="1" ht="15.75" x14ac:dyDescent="0.2">
      <c r="A64" s="210" t="s">
        <v>40</v>
      </c>
      <c r="B64" s="173">
        <v>1.1395291759869413</v>
      </c>
      <c r="C64" s="173">
        <v>1.1190333034563182</v>
      </c>
      <c r="D64" s="173">
        <v>1.0889076645955371</v>
      </c>
      <c r="E64" s="173">
        <v>1.0656777827562911</v>
      </c>
      <c r="F64" s="173">
        <v>1.048844364753027</v>
      </c>
      <c r="G64" s="173">
        <v>1.034591307429094</v>
      </c>
      <c r="H64" s="173">
        <v>1.0239942440433825</v>
      </c>
      <c r="I64" s="173">
        <v>1.0182190754933136</v>
      </c>
      <c r="J64" s="173">
        <v>1.0059061609346447</v>
      </c>
      <c r="K64" s="173">
        <v>1.0014155316004576</v>
      </c>
      <c r="L64" s="173">
        <v>1.0002070000000001</v>
      </c>
    </row>
    <row r="65" spans="1:12" s="209" customFormat="1" ht="15.75" x14ac:dyDescent="0.2">
      <c r="A65" s="210" t="s">
        <v>41</v>
      </c>
      <c r="B65" s="173">
        <v>1.1375089600738519</v>
      </c>
      <c r="C65" s="173">
        <v>1.1177523592526133</v>
      </c>
      <c r="D65" s="173">
        <v>1.0868112057795869</v>
      </c>
      <c r="E65" s="173">
        <v>1.0643133330633039</v>
      </c>
      <c r="F65" s="173">
        <v>1.0482259114652615</v>
      </c>
      <c r="G65" s="173">
        <v>1.0329200427998426</v>
      </c>
      <c r="H65" s="173">
        <v>1.0239942440433825</v>
      </c>
      <c r="I65" s="173">
        <v>1.0178770687981971</v>
      </c>
      <c r="J65" s="173">
        <v>1.0052577696732055</v>
      </c>
      <c r="K65" s="173">
        <v>1.0014155316004576</v>
      </c>
      <c r="L65" s="173">
        <v>1</v>
      </c>
    </row>
    <row r="66" spans="1:12" s="209" customFormat="1" ht="5.2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s="209" customFormat="1" ht="5.2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1:12" s="209" customFormat="1" ht="5.2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1:12" s="209" customFormat="1" ht="5.2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s="209" customFormat="1" ht="5.2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1:12" s="209" customFormat="1" ht="5.2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1:12" s="209" customFormat="1" ht="5.2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s="209" customFormat="1" ht="5.2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1:12" s="209" customFormat="1" ht="5.2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s="209" customFormat="1" ht="5.2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1:12" s="209" customFormat="1" ht="5.2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s="209" customFormat="1" ht="5.2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1:12" s="209" customFormat="1" ht="5.2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s="209" customFormat="1" ht="5.2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s="209" customFormat="1" ht="5.2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s="209" customFormat="1" ht="5.2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s="209" customFormat="1" ht="5.2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s="209" customFormat="1" ht="5.2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  <row r="84" spans="1:12" s="209" customFormat="1" ht="5.2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</row>
    <row r="85" spans="1:12" s="209" customFormat="1" ht="5.2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</row>
    <row r="86" spans="1:12" s="209" customFormat="1" ht="5.2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</row>
    <row r="87" spans="1:12" s="209" customFormat="1" ht="5.2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</row>
    <row r="88" spans="1:12" s="209" customFormat="1" ht="5.2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</row>
    <row r="89" spans="1:12" s="209" customFormat="1" ht="5.2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</row>
    <row r="90" spans="1:12" s="209" customFormat="1" ht="5.2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</row>
    <row r="91" spans="1:12" s="209" customFormat="1" ht="5.2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</row>
    <row r="92" spans="1:12" s="209" customFormat="1" ht="5.2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</row>
    <row r="93" spans="1:12" s="209" customFormat="1" ht="5.2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</row>
    <row r="94" spans="1:12" s="209" customFormat="1" ht="5.2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</row>
    <row r="95" spans="1:12" s="209" customFormat="1" ht="5.2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</row>
    <row r="96" spans="1:12" s="209" customFormat="1" ht="5.2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</row>
    <row r="97" spans="1:12" s="209" customFormat="1" ht="5.2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</row>
    <row r="98" spans="1:12" s="209" customFormat="1" ht="5.2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</row>
    <row r="99" spans="1:12" s="209" customFormat="1" ht="5.2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</row>
    <row r="100" spans="1:12" s="209" customFormat="1" ht="5.2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</row>
    <row r="101" spans="1:12" s="209" customFormat="1" ht="5.2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</row>
    <row r="102" spans="1:12" s="209" customFormat="1" ht="5.2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</row>
    <row r="103" spans="1:12" s="209" customFormat="1" ht="5.2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</row>
    <row r="104" spans="1:12" s="209" customFormat="1" ht="5.2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</row>
    <row r="105" spans="1:12" s="209" customFormat="1" ht="5.2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</row>
    <row r="106" spans="1:12" s="209" customFormat="1" ht="5.2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</row>
    <row r="107" spans="1:12" s="209" customFormat="1" ht="5.2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2" s="209" customFormat="1" ht="5.2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2" s="209" customFormat="1" ht="5.2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</row>
    <row r="110" spans="1:12" s="209" customFormat="1" ht="5.2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</row>
    <row r="111" spans="1:12" s="209" customFormat="1" ht="5.2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</row>
    <row r="112" spans="1:12" s="209" customFormat="1" ht="5.2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</row>
    <row r="113" spans="1:12" s="209" customFormat="1" ht="5.2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</row>
    <row r="114" spans="1:12" s="209" customFormat="1" ht="5.2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</row>
    <row r="115" spans="1:12" s="209" customFormat="1" ht="5.2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</row>
    <row r="116" spans="1:12" s="209" customFormat="1" ht="5.2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</row>
    <row r="117" spans="1:12" s="209" customFormat="1" ht="5.2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</row>
    <row r="118" spans="1:12" s="209" customFormat="1" ht="5.2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</row>
    <row r="119" spans="1:12" s="209" customFormat="1" ht="5.2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</row>
    <row r="120" spans="1:12" s="209" customFormat="1" ht="5.2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</row>
    <row r="121" spans="1:12" s="209" customFormat="1" ht="5.2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</row>
    <row r="122" spans="1:12" s="209" customFormat="1" ht="5.2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</row>
    <row r="123" spans="1:12" s="209" customFormat="1" ht="5.2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</row>
    <row r="124" spans="1:12" s="209" customFormat="1" ht="5.2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</row>
    <row r="125" spans="1:12" s="209" customFormat="1" ht="5.2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</row>
    <row r="126" spans="1:12" s="209" customFormat="1" ht="5.2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</row>
    <row r="127" spans="1:12" s="209" customFormat="1" ht="5.2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</row>
    <row r="128" spans="1:12" s="209" customFormat="1" ht="5.2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</row>
    <row r="129" spans="1:12" s="209" customFormat="1" ht="5.2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</row>
    <row r="130" spans="1:12" s="209" customFormat="1" ht="5.2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1" spans="1:12" s="209" customFormat="1" ht="5.2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</row>
    <row r="132" spans="1:12" s="209" customFormat="1" ht="5.2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</row>
    <row r="133" spans="1:12" s="209" customFormat="1" ht="5.2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</row>
    <row r="134" spans="1:12" s="209" customFormat="1" ht="5.2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</row>
    <row r="135" spans="1:12" s="209" customFormat="1" ht="5.2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</row>
    <row r="136" spans="1:12" s="209" customFormat="1" ht="5.2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</row>
    <row r="137" spans="1:12" s="209" customFormat="1" ht="5.2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</row>
    <row r="138" spans="1:12" s="209" customFormat="1" ht="5.2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</row>
    <row r="139" spans="1:12" s="209" customFormat="1" ht="5.2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</row>
    <row r="140" spans="1:12" s="209" customFormat="1" ht="5.2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</row>
    <row r="141" spans="1:12" s="209" customFormat="1" ht="5.2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</row>
    <row r="142" spans="1:12" s="209" customFormat="1" ht="5.2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</row>
    <row r="143" spans="1:12" s="209" customFormat="1" ht="5.2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</row>
    <row r="144" spans="1:12" s="209" customFormat="1" ht="5.2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</row>
    <row r="145" spans="1:12" s="189" customFormat="1" ht="5.2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</row>
    <row r="146" spans="1:12" s="189" customFormat="1" ht="5.2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</row>
    <row r="147" spans="1:12" s="189" customFormat="1" ht="5.2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</row>
    <row r="148" spans="1:12" s="189" customFormat="1" ht="5.2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</row>
    <row r="149" spans="1:12" s="189" customFormat="1" ht="5.2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</row>
    <row r="150" spans="1:12" s="189" customFormat="1" ht="5.2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</row>
    <row r="151" spans="1:12" s="189" customFormat="1" ht="5.2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</row>
    <row r="152" spans="1:12" s="189" customFormat="1" ht="5.2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</row>
    <row r="153" spans="1:12" s="189" customFormat="1" ht="5.2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</row>
    <row r="154" spans="1:12" s="189" customFormat="1" ht="5.2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</row>
    <row r="155" spans="1:12" s="189" customFormat="1" ht="5.2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</row>
    <row r="156" spans="1:12" s="189" customFormat="1" ht="5.2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</row>
    <row r="157" spans="1:12" s="189" customFormat="1" ht="5.2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</row>
    <row r="158" spans="1:12" s="189" customFormat="1" ht="5.2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</row>
    <row r="159" spans="1:12" s="189" customFormat="1" ht="5.2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</row>
    <row r="160" spans="1:12" s="189" customFormat="1" ht="5.2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</row>
    <row r="161" spans="1:12" s="189" customFormat="1" ht="5.2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</row>
    <row r="162" spans="1:12" s="189" customFormat="1" ht="5.2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</row>
    <row r="163" spans="1:12" s="189" customFormat="1" ht="5.2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</row>
    <row r="164" spans="1:12" s="189" customFormat="1" ht="5.2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</row>
    <row r="165" spans="1:12" s="189" customFormat="1" ht="5.2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</row>
    <row r="166" spans="1:12" s="189" customFormat="1" ht="5.2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</row>
    <row r="167" spans="1:12" s="189" customFormat="1" ht="5.2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</row>
    <row r="168" spans="1:12" s="189" customFormat="1" ht="5.2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</row>
    <row r="169" spans="1:12" s="189" customFormat="1" ht="5.2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</row>
    <row r="170" spans="1:12" s="189" customFormat="1" ht="5.2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</row>
    <row r="171" spans="1:12" s="189" customFormat="1" ht="5.2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</row>
    <row r="172" spans="1:12" s="189" customFormat="1" ht="5.2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</row>
    <row r="173" spans="1:12" s="189" customFormat="1" ht="5.2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</row>
    <row r="174" spans="1:12" s="189" customFormat="1" ht="5.2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</row>
    <row r="175" spans="1:12" s="189" customFormat="1" ht="5.2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</row>
    <row r="176" spans="1:12" s="189" customFormat="1" ht="5.2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</row>
    <row r="177" spans="1:12" s="189" customFormat="1" ht="5.2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</row>
    <row r="178" spans="1:12" s="189" customFormat="1" ht="5.2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</row>
    <row r="179" spans="1:12" s="189" customFormat="1" ht="5.2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</row>
    <row r="180" spans="1:12" s="189" customFormat="1" ht="5.2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</row>
    <row r="181" spans="1:12" s="189" customFormat="1" ht="5.2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</row>
    <row r="182" spans="1:12" s="189" customFormat="1" ht="5.2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</row>
    <row r="183" spans="1:12" s="189" customFormat="1" ht="5.2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</row>
    <row r="184" spans="1:12" s="189" customFormat="1" ht="5.2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</row>
    <row r="185" spans="1:12" s="189" customFormat="1" ht="5.2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</row>
    <row r="186" spans="1:12" s="189" customFormat="1" ht="5.2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</row>
    <row r="187" spans="1:12" s="189" customFormat="1" ht="5.2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</row>
    <row r="188" spans="1:12" s="189" customFormat="1" ht="5.2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</row>
    <row r="189" spans="1:12" s="189" customFormat="1" ht="5.2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</row>
    <row r="190" spans="1:12" s="189" customFormat="1" ht="5.2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</row>
    <row r="191" spans="1:12" s="189" customFormat="1" ht="5.2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</row>
    <row r="192" spans="1:12" s="189" customFormat="1" ht="5.2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</row>
    <row r="193" spans="1:12" s="189" customFormat="1" ht="5.2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</row>
    <row r="194" spans="1:12" s="189" customFormat="1" ht="5.2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</row>
    <row r="195" spans="1:12" s="189" customFormat="1" ht="5.2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</row>
    <row r="196" spans="1:12" s="189" customFormat="1" ht="5.2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</row>
    <row r="197" spans="1:12" s="189" customFormat="1" ht="5.2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</row>
    <row r="198" spans="1:12" s="189" customFormat="1" ht="5.2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</row>
    <row r="199" spans="1:12" s="189" customFormat="1" ht="5.2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</row>
    <row r="200" spans="1:12" s="189" customFormat="1" ht="5.2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</row>
    <row r="201" spans="1:12" s="189" customFormat="1" ht="5.2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</row>
    <row r="202" spans="1:12" s="189" customFormat="1" ht="5.2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</row>
    <row r="203" spans="1:12" s="189" customFormat="1" ht="5.2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</row>
    <row r="204" spans="1:12" s="189" customFormat="1" ht="5.2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</row>
    <row r="205" spans="1:12" s="189" customFormat="1" ht="5.2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</row>
    <row r="206" spans="1:12" s="189" customFormat="1" ht="5.25" customHeight="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</row>
    <row r="207" spans="1:12" s="189" customFormat="1" ht="5.25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</row>
    <row r="208" spans="1:12" s="189" customFormat="1" ht="5.2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</row>
    <row r="209" spans="1:12" s="189" customFormat="1" ht="5.25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</row>
    <row r="210" spans="1:12" s="189" customFormat="1" ht="5.25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</row>
    <row r="211" spans="1:12" s="189" customFormat="1" ht="5.25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</row>
    <row r="212" spans="1:12" s="189" customFormat="1" ht="5.25" customHeight="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</row>
    <row r="213" spans="1:12" s="189" customFormat="1" ht="5.25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</row>
    <row r="214" spans="1:12" s="189" customFormat="1" ht="5.25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</row>
    <row r="215" spans="1:12" s="189" customFormat="1" ht="5.25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</row>
    <row r="216" spans="1:12" s="189" customFormat="1" ht="5.25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</row>
    <row r="217" spans="1:12" s="189" customFormat="1" ht="5.25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</row>
    <row r="218" spans="1:12" s="189" customFormat="1" ht="5.25" customHeight="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</row>
    <row r="219" spans="1:12" s="189" customFormat="1" ht="5.25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</row>
    <row r="220" spans="1:12" s="189" customFormat="1" ht="5.25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</row>
    <row r="221" spans="1:12" s="189" customFormat="1" ht="5.25" customHeight="1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</row>
    <row r="222" spans="1:12" s="189" customFormat="1" ht="5.25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</row>
    <row r="223" spans="1:12" s="189" customFormat="1" ht="5.25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</row>
    <row r="224" spans="1:12" s="189" customFormat="1" ht="5.25" customHeight="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</row>
    <row r="225" spans="1:12" s="189" customFormat="1" ht="5.25" customHeight="1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</row>
    <row r="226" spans="1:12" s="189" customFormat="1" ht="5.25" customHeight="1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</row>
    <row r="227" spans="1:12" s="189" customFormat="1" ht="5.25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</row>
    <row r="228" spans="1:12" s="189" customFormat="1" ht="5.25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</row>
    <row r="229" spans="1:12" s="189" customFormat="1" ht="5.25" customHeight="1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</row>
    <row r="230" spans="1:12" s="189" customFormat="1" ht="5.25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</row>
    <row r="231" spans="1:12" s="189" customFormat="1" ht="5.25" customHeight="1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</row>
    <row r="232" spans="1:12" s="189" customFormat="1" ht="5.25" customHeight="1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</row>
    <row r="233" spans="1:12" s="189" customFormat="1" ht="5.25" customHeight="1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</row>
    <row r="234" spans="1:12" s="189" customFormat="1" ht="5.25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</row>
    <row r="235" spans="1:12" s="189" customFormat="1" ht="5.25" customHeight="1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</row>
    <row r="236" spans="1:12" s="189" customFormat="1" ht="5.25" customHeight="1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</row>
    <row r="237" spans="1:12" s="189" customFormat="1" ht="5.25" customHeight="1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</row>
    <row r="238" spans="1:12" s="189" customFormat="1" ht="5.25" customHeight="1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</row>
    <row r="239" spans="1:12" s="189" customFormat="1" ht="5.25" customHeight="1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</row>
    <row r="240" spans="1:12" s="189" customFormat="1" ht="5.25" customHeight="1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</row>
    <row r="241" spans="1:12" s="189" customFormat="1" ht="5.25" customHeight="1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</row>
    <row r="242" spans="1:12" s="189" customFormat="1" ht="5.25" customHeight="1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</row>
    <row r="243" spans="1:12" s="189" customFormat="1" ht="5.25" customHeight="1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</row>
    <row r="244" spans="1:12" s="189" customFormat="1" ht="5.25" customHeight="1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</row>
    <row r="245" spans="1:12" s="189" customFormat="1" ht="5.25" customHeight="1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</row>
    <row r="246" spans="1:12" s="189" customFormat="1" ht="5.25" customHeight="1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</row>
    <row r="247" spans="1:12" s="189" customFormat="1" ht="5.25" customHeight="1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</row>
    <row r="248" spans="1:12" s="189" customFormat="1" ht="5.25" customHeight="1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</row>
    <row r="249" spans="1:12" s="189" customFormat="1" ht="5.25" customHeight="1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</row>
    <row r="250" spans="1:12" s="189" customFormat="1" ht="5.25" customHeight="1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</row>
    <row r="251" spans="1:12" s="189" customFormat="1" ht="5.25" customHeight="1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</row>
    <row r="252" spans="1:12" s="189" customFormat="1" ht="5.25" customHeight="1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</row>
    <row r="253" spans="1:12" s="189" customFormat="1" ht="5.25" customHeight="1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</row>
    <row r="254" spans="1:12" s="189" customFormat="1" ht="5.25" customHeight="1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</row>
    <row r="255" spans="1:12" s="189" customFormat="1" ht="5.25" customHeight="1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</row>
    <row r="256" spans="1:12" s="189" customFormat="1" ht="5.25" customHeight="1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</row>
    <row r="257" spans="1:12" s="189" customFormat="1" ht="5.25" customHeight="1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</row>
    <row r="258" spans="1:12" s="189" customFormat="1" ht="5.25" customHeight="1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</row>
    <row r="259" spans="1:12" s="189" customFormat="1" ht="5.25" customHeight="1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</row>
    <row r="260" spans="1:12" s="189" customFormat="1" ht="5.25" customHeight="1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</row>
    <row r="261" spans="1:12" s="189" customFormat="1" ht="5.25" customHeight="1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</row>
    <row r="262" spans="1:12" s="189" customFormat="1" ht="5.25" customHeight="1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</row>
    <row r="263" spans="1:12" s="189" customFormat="1" ht="5.25" customHeight="1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</row>
    <row r="264" spans="1:12" s="189" customFormat="1" ht="5.25" customHeight="1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</row>
    <row r="265" spans="1:12" s="189" customFormat="1" ht="5.25" customHeight="1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</row>
    <row r="266" spans="1:12" s="189" customFormat="1" ht="5.25" customHeight="1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</row>
    <row r="267" spans="1:12" s="189" customFormat="1" ht="5.25" customHeight="1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</row>
    <row r="268" spans="1:12" s="189" customFormat="1" ht="5.25" customHeight="1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</row>
    <row r="269" spans="1:12" s="189" customFormat="1" ht="5.25" customHeight="1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</row>
    <row r="270" spans="1:12" s="189" customFormat="1" ht="5.25" customHeight="1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</row>
    <row r="271" spans="1:12" s="189" customFormat="1" ht="5.25" customHeight="1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</row>
    <row r="272" spans="1:12" s="189" customFormat="1" ht="5.25" customHeight="1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</row>
    <row r="273" spans="1:12" s="189" customFormat="1" ht="5.25" customHeight="1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</row>
    <row r="274" spans="1:12" s="189" customFormat="1" ht="5.25" customHeight="1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</row>
    <row r="275" spans="1:12" s="189" customFormat="1" ht="5.25" customHeight="1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</row>
    <row r="276" spans="1:12" s="189" customFormat="1" ht="5.25" customHeight="1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</row>
    <row r="277" spans="1:12" s="189" customFormat="1" ht="5.25" customHeight="1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</row>
    <row r="278" spans="1:12" s="189" customFormat="1" ht="5.25" customHeight="1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</row>
    <row r="279" spans="1:12" s="189" customFormat="1" ht="5.25" customHeight="1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</row>
    <row r="280" spans="1:12" s="189" customFormat="1" ht="5.25" customHeight="1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</row>
    <row r="281" spans="1:12" s="189" customFormat="1" ht="5.25" customHeight="1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</row>
    <row r="282" spans="1:12" s="189" customFormat="1" ht="5.25" customHeight="1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</row>
    <row r="283" spans="1:12" s="189" customFormat="1" ht="5.25" customHeight="1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</row>
    <row r="284" spans="1:12" s="189" customFormat="1" ht="5.25" customHeight="1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</row>
    <row r="285" spans="1:12" s="189" customFormat="1" ht="5.25" customHeight="1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</row>
    <row r="286" spans="1:12" s="189" customFormat="1" ht="5.25" customHeight="1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</row>
    <row r="287" spans="1:12" s="189" customFormat="1" ht="5.25" customHeight="1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</row>
    <row r="288" spans="1:12" s="189" customFormat="1" ht="5.25" customHeight="1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</row>
    <row r="289" spans="1:12" s="189" customFormat="1" ht="5.25" customHeight="1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</row>
    <row r="290" spans="1:12" s="189" customFormat="1" ht="5.25" customHeight="1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</row>
    <row r="291" spans="1:12" s="189" customFormat="1" ht="5.25" customHeight="1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</row>
    <row r="292" spans="1:12" s="189" customFormat="1" ht="5.25" customHeight="1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</row>
    <row r="293" spans="1:12" s="189" customFormat="1" ht="5.25" customHeight="1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</row>
    <row r="294" spans="1:12" s="189" customFormat="1" ht="5.25" customHeight="1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</row>
    <row r="295" spans="1:12" s="189" customFormat="1" ht="5.25" customHeight="1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</row>
    <row r="296" spans="1:12" s="189" customFormat="1" ht="5.25" customHeight="1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</row>
    <row r="297" spans="1:12" s="189" customFormat="1" ht="5.25" customHeight="1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</row>
    <row r="298" spans="1:12" s="189" customFormat="1" ht="5.25" customHeight="1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</row>
    <row r="299" spans="1:12" s="189" customFormat="1" ht="5.25" customHeight="1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</row>
    <row r="300" spans="1:12" s="189" customFormat="1" ht="5.25" customHeight="1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</row>
    <row r="301" spans="1:12" s="189" customFormat="1" ht="5.25" customHeight="1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</row>
    <row r="302" spans="1:12" s="189" customFormat="1" ht="5.25" customHeight="1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</row>
    <row r="303" spans="1:12" s="189" customFormat="1" ht="5.25" customHeight="1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</row>
    <row r="304" spans="1:12" s="189" customFormat="1" ht="5.25" customHeight="1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</row>
    <row r="305" spans="1:12" s="189" customFormat="1" ht="5.25" customHeight="1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</row>
    <row r="306" spans="1:12" s="189" customFormat="1" ht="5.25" customHeight="1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</row>
    <row r="307" spans="1:12" s="189" customFormat="1" ht="5.25" customHeight="1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</row>
    <row r="308" spans="1:12" s="189" customFormat="1" ht="5.25" customHeight="1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</row>
    <row r="309" spans="1:12" s="189" customFormat="1" ht="5.25" customHeight="1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</row>
    <row r="310" spans="1:12" s="189" customFormat="1" ht="5.25" customHeight="1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</row>
    <row r="311" spans="1:12" s="189" customFormat="1" ht="5.25" customHeight="1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</row>
    <row r="312" spans="1:12" s="189" customFormat="1" ht="5.25" customHeight="1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</row>
    <row r="313" spans="1:12" s="189" customFormat="1" ht="5.25" customHeight="1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</row>
    <row r="314" spans="1:12" s="189" customFormat="1" ht="5.25" customHeight="1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</row>
    <row r="315" spans="1:12" s="189" customFormat="1" ht="5.25" customHeight="1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</row>
    <row r="316" spans="1:12" s="189" customFormat="1" ht="5.25" customHeight="1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</row>
    <row r="317" spans="1:12" s="189" customFormat="1" ht="5.25" customHeight="1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</row>
    <row r="318" spans="1:12" s="189" customFormat="1" ht="5.25" customHeight="1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</row>
    <row r="319" spans="1:12" s="189" customFormat="1" ht="5.25" customHeight="1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</row>
    <row r="320" spans="1:12" s="189" customFormat="1" ht="5.25" customHeight="1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</row>
    <row r="321" spans="1:12" s="189" customFormat="1" ht="5.25" customHeight="1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</row>
    <row r="322" spans="1:12" s="189" customFormat="1" ht="5.25" customHeight="1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</row>
    <row r="323" spans="1:12" s="189" customFormat="1" ht="5.25" customHeight="1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</row>
    <row r="324" spans="1:12" s="189" customFormat="1" ht="5.25" customHeight="1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</row>
    <row r="325" spans="1:12" s="189" customFormat="1" ht="5.25" customHeight="1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</row>
    <row r="326" spans="1:12" s="189" customFormat="1" ht="5.25" customHeight="1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</row>
    <row r="327" spans="1:12" s="189" customFormat="1" ht="5.25" customHeight="1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</row>
    <row r="328" spans="1:12" s="189" customFormat="1" ht="5.25" customHeight="1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</row>
    <row r="329" spans="1:12" s="189" customFormat="1" ht="5.25" customHeight="1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</row>
    <row r="330" spans="1:12" s="189" customFormat="1" ht="5.25" customHeight="1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</row>
    <row r="331" spans="1:12" s="189" customFormat="1" ht="5.25" customHeight="1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</row>
    <row r="332" spans="1:12" s="189" customFormat="1" ht="5.25" customHeight="1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</row>
    <row r="333" spans="1:12" s="189" customFormat="1" ht="5.25" customHeight="1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</row>
    <row r="334" spans="1:12" s="189" customFormat="1" ht="5.25" customHeight="1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</row>
    <row r="335" spans="1:12" s="189" customFormat="1" ht="5.25" customHeight="1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</row>
    <row r="336" spans="1:12" s="189" customFormat="1" ht="5.25" customHeight="1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</row>
    <row r="337" spans="1:12" s="189" customFormat="1" ht="5.25" customHeight="1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</row>
    <row r="338" spans="1:12" s="189" customFormat="1" ht="5.25" customHeight="1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</row>
    <row r="339" spans="1:12" s="189" customFormat="1" ht="5.25" customHeight="1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</row>
    <row r="340" spans="1:12" s="189" customFormat="1" ht="5.25" customHeight="1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</row>
    <row r="341" spans="1:12" s="189" customFormat="1" ht="5.25" customHeight="1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</row>
    <row r="342" spans="1:12" s="189" customFormat="1" ht="5.25" customHeight="1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</row>
    <row r="343" spans="1:12" s="189" customFormat="1" ht="5.25" customHeight="1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</row>
    <row r="344" spans="1:12" s="189" customFormat="1" ht="5.25" customHeight="1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</row>
    <row r="345" spans="1:12" s="189" customFormat="1" ht="5.25" customHeight="1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</row>
    <row r="346" spans="1:12" s="189" customFormat="1" ht="5.25" customHeight="1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</row>
    <row r="347" spans="1:12" s="189" customFormat="1" ht="5.25" customHeight="1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</row>
    <row r="348" spans="1:12" s="189" customFormat="1" ht="5.25" customHeight="1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</row>
    <row r="349" spans="1:12" s="189" customFormat="1" ht="5.25" customHeight="1" x14ac:dyDescent="0.2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</row>
    <row r="350" spans="1:12" s="189" customFormat="1" ht="5.25" customHeight="1" x14ac:dyDescent="0.2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</row>
    <row r="351" spans="1:12" s="189" customFormat="1" ht="5.25" customHeight="1" x14ac:dyDescent="0.2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</row>
    <row r="352" spans="1:12" s="189" customFormat="1" ht="5.25" customHeight="1" x14ac:dyDescent="0.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</row>
    <row r="353" spans="1:12" s="189" customFormat="1" ht="5.25" customHeight="1" x14ac:dyDescent="0.2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</row>
    <row r="354" spans="1:12" s="189" customFormat="1" ht="5.25" customHeight="1" x14ac:dyDescent="0.2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</row>
    <row r="355" spans="1:12" s="189" customFormat="1" ht="5.25" customHeight="1" x14ac:dyDescent="0.2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</row>
    <row r="356" spans="1:12" s="189" customFormat="1" ht="5.25" customHeight="1" x14ac:dyDescent="0.2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</row>
    <row r="357" spans="1:12" s="189" customFormat="1" ht="5.25" customHeight="1" x14ac:dyDescent="0.2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</row>
    <row r="358" spans="1:12" s="189" customFormat="1" ht="5.25" customHeight="1" x14ac:dyDescent="0.2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</row>
    <row r="359" spans="1:12" s="189" customFormat="1" ht="5.25" customHeight="1" x14ac:dyDescent="0.2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</row>
    <row r="360" spans="1:12" s="189" customFormat="1" ht="5.25" customHeight="1" x14ac:dyDescent="0.2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</row>
    <row r="361" spans="1:12" s="189" customFormat="1" ht="5.25" customHeight="1" x14ac:dyDescent="0.2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</row>
    <row r="362" spans="1:12" s="189" customFormat="1" ht="5.25" customHeight="1" x14ac:dyDescent="0.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</row>
    <row r="363" spans="1:12" s="189" customFormat="1" ht="5.25" customHeight="1" x14ac:dyDescent="0.2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</row>
    <row r="364" spans="1:12" s="189" customFormat="1" ht="5.25" customHeight="1" x14ac:dyDescent="0.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</row>
    <row r="365" spans="1:12" s="189" customFormat="1" ht="5.25" customHeight="1" x14ac:dyDescent="0.2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</row>
    <row r="366" spans="1:12" s="189" customFormat="1" ht="5.25" customHeight="1" x14ac:dyDescent="0.2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</row>
    <row r="367" spans="1:12" s="189" customFormat="1" ht="5.25" customHeight="1" x14ac:dyDescent="0.2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</row>
    <row r="368" spans="1:12" s="189" customFormat="1" ht="5.25" customHeight="1" x14ac:dyDescent="0.2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</row>
    <row r="369" spans="1:12" s="189" customFormat="1" ht="5.25" customHeight="1" x14ac:dyDescent="0.2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</row>
    <row r="370" spans="1:12" s="189" customFormat="1" ht="5.25" customHeight="1" x14ac:dyDescent="0.2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</row>
    <row r="371" spans="1:12" s="189" customFormat="1" ht="5.25" customHeight="1" x14ac:dyDescent="0.2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</row>
    <row r="372" spans="1:12" s="189" customFormat="1" ht="5.25" customHeight="1" x14ac:dyDescent="0.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</row>
    <row r="373" spans="1:12" s="189" customFormat="1" ht="5.25" customHeight="1" x14ac:dyDescent="0.2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</row>
    <row r="374" spans="1:12" s="189" customFormat="1" ht="5.25" customHeight="1" x14ac:dyDescent="0.2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</row>
    <row r="375" spans="1:12" s="189" customFormat="1" ht="5.25" customHeight="1" x14ac:dyDescent="0.2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</row>
    <row r="376" spans="1:12" s="189" customFormat="1" ht="5.25" customHeight="1" x14ac:dyDescent="0.2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</row>
    <row r="377" spans="1:12" s="189" customFormat="1" ht="5.25" customHeight="1" x14ac:dyDescent="0.2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</row>
    <row r="378" spans="1:12" s="189" customFormat="1" ht="5.25" customHeight="1" x14ac:dyDescent="0.2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</row>
    <row r="379" spans="1:12" s="189" customFormat="1" ht="5.25" customHeight="1" x14ac:dyDescent="0.2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</row>
    <row r="380" spans="1:12" s="189" customFormat="1" ht="5.25" customHeight="1" x14ac:dyDescent="0.2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</row>
    <row r="381" spans="1:12" s="189" customFormat="1" ht="5.25" customHeight="1" x14ac:dyDescent="0.2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</row>
    <row r="382" spans="1:12" s="189" customFormat="1" ht="5.25" customHeight="1" x14ac:dyDescent="0.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</row>
    <row r="383" spans="1:12" s="189" customFormat="1" ht="5.25" customHeight="1" x14ac:dyDescent="0.2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</row>
    <row r="384" spans="1:12" s="189" customFormat="1" ht="5.25" customHeight="1" x14ac:dyDescent="0.2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</row>
    <row r="385" spans="1:12" s="189" customFormat="1" ht="5.25" customHeight="1" x14ac:dyDescent="0.2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</row>
    <row r="386" spans="1:12" s="189" customFormat="1" ht="5.25" customHeight="1" x14ac:dyDescent="0.2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</row>
    <row r="387" spans="1:12" s="189" customFormat="1" ht="5.25" customHeight="1" x14ac:dyDescent="0.2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</row>
    <row r="388" spans="1:12" s="189" customFormat="1" ht="5.25" customHeight="1" x14ac:dyDescent="0.2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</row>
    <row r="389" spans="1:12" s="189" customFormat="1" ht="5.25" customHeight="1" x14ac:dyDescent="0.2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</row>
    <row r="390" spans="1:12" s="189" customFormat="1" ht="5.25" customHeight="1" x14ac:dyDescent="0.2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</row>
    <row r="391" spans="1:12" s="189" customFormat="1" ht="5.25" customHeight="1" x14ac:dyDescent="0.2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</row>
    <row r="392" spans="1:12" s="189" customFormat="1" ht="5.25" customHeight="1" x14ac:dyDescent="0.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</row>
    <row r="393" spans="1:12" s="189" customFormat="1" ht="5.25" customHeight="1" x14ac:dyDescent="0.2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</row>
    <row r="394" spans="1:12" s="189" customFormat="1" ht="5.25" customHeight="1" x14ac:dyDescent="0.2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</row>
    <row r="395" spans="1:12" s="189" customFormat="1" ht="5.25" customHeight="1" x14ac:dyDescent="0.2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</row>
    <row r="396" spans="1:12" s="189" customFormat="1" ht="5.25" customHeight="1" x14ac:dyDescent="0.2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</row>
    <row r="397" spans="1:12" s="189" customFormat="1" ht="5.25" customHeight="1" x14ac:dyDescent="0.2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</row>
    <row r="398" spans="1:12" s="189" customFormat="1" ht="5.25" customHeight="1" x14ac:dyDescent="0.2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</row>
    <row r="399" spans="1:12" s="189" customFormat="1" ht="5.25" customHeight="1" x14ac:dyDescent="0.2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</row>
    <row r="400" spans="1:12" s="189" customFormat="1" ht="5.25" customHeight="1" x14ac:dyDescent="0.2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</row>
    <row r="401" spans="1:12" s="189" customFormat="1" ht="5.25" customHeight="1" x14ac:dyDescent="0.2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</row>
    <row r="402" spans="1:12" s="189" customFormat="1" ht="5.25" customHeight="1" x14ac:dyDescent="0.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</row>
    <row r="403" spans="1:12" s="189" customFormat="1" ht="5.25" customHeight="1" x14ac:dyDescent="0.2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</row>
    <row r="404" spans="1:12" s="189" customFormat="1" ht="5.25" customHeight="1" x14ac:dyDescent="0.2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</row>
    <row r="405" spans="1:12" s="189" customFormat="1" ht="5.25" customHeight="1" x14ac:dyDescent="0.2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</row>
    <row r="406" spans="1:12" s="189" customFormat="1" ht="5.25" customHeight="1" x14ac:dyDescent="0.2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</row>
    <row r="407" spans="1:12" s="189" customFormat="1" ht="5.25" customHeight="1" x14ac:dyDescent="0.2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</row>
    <row r="408" spans="1:12" s="189" customFormat="1" ht="5.25" customHeight="1" x14ac:dyDescent="0.2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</row>
    <row r="409" spans="1:12" s="189" customFormat="1" ht="5.25" customHeight="1" x14ac:dyDescent="0.2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</row>
    <row r="410" spans="1:12" s="189" customFormat="1" ht="5.25" customHeight="1" x14ac:dyDescent="0.2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</row>
    <row r="411" spans="1:12" s="189" customFormat="1" ht="5.25" customHeight="1" x14ac:dyDescent="0.2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</row>
    <row r="412" spans="1:12" s="189" customFormat="1" ht="5.25" customHeight="1" x14ac:dyDescent="0.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</row>
    <row r="413" spans="1:12" s="189" customFormat="1" ht="5.25" customHeight="1" x14ac:dyDescent="0.2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</row>
    <row r="414" spans="1:12" s="189" customFormat="1" ht="5.25" customHeight="1" x14ac:dyDescent="0.2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</row>
    <row r="415" spans="1:12" s="189" customFormat="1" ht="5.25" customHeight="1" x14ac:dyDescent="0.2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</row>
    <row r="416" spans="1:12" s="189" customFormat="1" ht="5.25" customHeight="1" x14ac:dyDescent="0.2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</row>
    <row r="417" spans="1:12" s="189" customFormat="1" ht="5.25" customHeight="1" x14ac:dyDescent="0.2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</row>
    <row r="418" spans="1:12" s="189" customFormat="1" ht="5.25" customHeight="1" x14ac:dyDescent="0.2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</row>
    <row r="419" spans="1:12" s="189" customFormat="1" ht="5.25" customHeight="1" x14ac:dyDescent="0.2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</row>
    <row r="420" spans="1:12" s="189" customFormat="1" ht="5.25" customHeight="1" x14ac:dyDescent="0.2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</row>
    <row r="421" spans="1:12" s="189" customFormat="1" ht="5.25" customHeight="1" x14ac:dyDescent="0.2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</row>
    <row r="422" spans="1:12" s="189" customFormat="1" ht="5.25" customHeight="1" x14ac:dyDescent="0.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</row>
    <row r="423" spans="1:12" s="189" customFormat="1" ht="5.25" customHeight="1" x14ac:dyDescent="0.2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</row>
    <row r="424" spans="1:12" s="189" customFormat="1" ht="5.25" customHeight="1" x14ac:dyDescent="0.2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</row>
    <row r="425" spans="1:12" s="189" customFormat="1" ht="5.25" customHeight="1" x14ac:dyDescent="0.2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</row>
    <row r="426" spans="1:12" s="189" customFormat="1" ht="5.25" customHeight="1" x14ac:dyDescent="0.2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</row>
    <row r="427" spans="1:12" s="189" customFormat="1" ht="5.25" customHeight="1" x14ac:dyDescent="0.2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</row>
    <row r="428" spans="1:12" s="189" customFormat="1" ht="5.25" customHeight="1" x14ac:dyDescent="0.2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</row>
    <row r="429" spans="1:12" s="189" customFormat="1" ht="5.25" customHeight="1" x14ac:dyDescent="0.2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</row>
    <row r="430" spans="1:12" s="189" customFormat="1" ht="5.25" customHeight="1" x14ac:dyDescent="0.2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</row>
    <row r="431" spans="1:12" s="189" customFormat="1" ht="5.25" customHeight="1" x14ac:dyDescent="0.2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</row>
    <row r="432" spans="1:12" s="189" customFormat="1" ht="5.25" customHeight="1" x14ac:dyDescent="0.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</row>
    <row r="433" spans="1:12" s="189" customFormat="1" ht="5.25" customHeight="1" x14ac:dyDescent="0.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</row>
    <row r="434" spans="1:12" s="189" customFormat="1" ht="5.25" customHeight="1" x14ac:dyDescent="0.2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</row>
    <row r="435" spans="1:12" s="189" customFormat="1" ht="5.25" customHeight="1" x14ac:dyDescent="0.2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</row>
    <row r="436" spans="1:12" s="189" customFormat="1" ht="5.25" customHeight="1" x14ac:dyDescent="0.2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</row>
    <row r="437" spans="1:12" s="189" customFormat="1" ht="5.25" customHeight="1" x14ac:dyDescent="0.2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</row>
    <row r="438" spans="1:12" s="189" customFormat="1" ht="5.25" customHeight="1" x14ac:dyDescent="0.2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</row>
    <row r="439" spans="1:12" s="189" customFormat="1" ht="5.25" customHeight="1" x14ac:dyDescent="0.2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</row>
    <row r="440" spans="1:12" s="189" customFormat="1" ht="5.25" customHeight="1" x14ac:dyDescent="0.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</row>
    <row r="441" spans="1:12" s="189" customFormat="1" ht="5.25" customHeight="1" x14ac:dyDescent="0.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</row>
    <row r="442" spans="1:12" s="189" customFormat="1" ht="5.25" customHeight="1" x14ac:dyDescent="0.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</row>
    <row r="443" spans="1:12" s="189" customFormat="1" ht="5.25" customHeight="1" x14ac:dyDescent="0.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</row>
    <row r="444" spans="1:12" s="189" customFormat="1" ht="5.25" customHeight="1" x14ac:dyDescent="0.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</row>
    <row r="445" spans="1:12" s="189" customFormat="1" ht="5.25" customHeight="1" x14ac:dyDescent="0.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</row>
    <row r="446" spans="1:12" s="189" customFormat="1" ht="5.25" customHeight="1" x14ac:dyDescent="0.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</row>
    <row r="447" spans="1:12" s="189" customFormat="1" ht="5.25" customHeight="1" x14ac:dyDescent="0.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</row>
    <row r="448" spans="1:12" s="189" customFormat="1" ht="5.25" customHeight="1" x14ac:dyDescent="0.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</row>
    <row r="449" spans="1:12" s="189" customFormat="1" ht="5.25" customHeight="1" x14ac:dyDescent="0.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</row>
    <row r="450" spans="1:12" s="189" customFormat="1" ht="5.25" customHeight="1" x14ac:dyDescent="0.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</row>
    <row r="451" spans="1:12" s="189" customFormat="1" ht="5.25" customHeight="1" x14ac:dyDescent="0.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</row>
    <row r="452" spans="1:12" s="189" customFormat="1" ht="5.25" customHeight="1" x14ac:dyDescent="0.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</row>
    <row r="453" spans="1:12" s="189" customFormat="1" ht="5.25" customHeight="1" x14ac:dyDescent="0.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</row>
    <row r="454" spans="1:12" s="189" customFormat="1" ht="5.25" customHeight="1" x14ac:dyDescent="0.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</row>
    <row r="455" spans="1:12" s="189" customFormat="1" ht="5.25" customHeight="1" x14ac:dyDescent="0.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</row>
    <row r="456" spans="1:12" s="189" customFormat="1" ht="5.25" customHeight="1" x14ac:dyDescent="0.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</row>
    <row r="457" spans="1:12" s="189" customFormat="1" ht="5.25" customHeight="1" x14ac:dyDescent="0.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</row>
    <row r="458" spans="1:12" s="189" customFormat="1" ht="5.25" customHeight="1" x14ac:dyDescent="0.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</row>
    <row r="459" spans="1:12" s="189" customFormat="1" ht="5.25" customHeight="1" x14ac:dyDescent="0.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</row>
    <row r="460" spans="1:12" s="189" customFormat="1" ht="5.25" customHeight="1" x14ac:dyDescent="0.2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</row>
    <row r="461" spans="1:12" s="189" customFormat="1" ht="5.25" customHeight="1" x14ac:dyDescent="0.2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</row>
    <row r="462" spans="1:12" s="189" customFormat="1" ht="5.25" customHeight="1" x14ac:dyDescent="0.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</row>
    <row r="463" spans="1:12" s="189" customFormat="1" ht="5.25" customHeight="1" x14ac:dyDescent="0.2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</row>
    <row r="464" spans="1:12" s="189" customFormat="1" ht="5.25" customHeight="1" x14ac:dyDescent="0.2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</row>
    <row r="465" spans="1:12" s="189" customFormat="1" ht="5.25" customHeight="1" x14ac:dyDescent="0.2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</row>
    <row r="466" spans="1:12" s="189" customFormat="1" ht="5.25" customHeight="1" x14ac:dyDescent="0.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</row>
    <row r="467" spans="1:12" s="189" customFormat="1" ht="5.25" customHeight="1" x14ac:dyDescent="0.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</row>
    <row r="468" spans="1:12" s="189" customFormat="1" ht="5.25" customHeight="1" x14ac:dyDescent="0.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</row>
    <row r="469" spans="1:12" s="189" customFormat="1" ht="5.25" customHeight="1" x14ac:dyDescent="0.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</row>
    <row r="470" spans="1:12" s="189" customFormat="1" ht="5.25" customHeight="1" x14ac:dyDescent="0.2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</row>
    <row r="471" spans="1:12" s="189" customFormat="1" ht="5.25" customHeight="1" x14ac:dyDescent="0.2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</row>
    <row r="472" spans="1:12" s="189" customFormat="1" ht="5.25" customHeight="1" x14ac:dyDescent="0.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</row>
    <row r="473" spans="1:12" s="189" customFormat="1" ht="5.25" customHeight="1" x14ac:dyDescent="0.2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</row>
    <row r="474" spans="1:12" s="189" customFormat="1" ht="5.25" customHeight="1" x14ac:dyDescent="0.2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</row>
    <row r="475" spans="1:12" s="189" customFormat="1" ht="5.25" customHeight="1" x14ac:dyDescent="0.2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</row>
    <row r="476" spans="1:12" s="189" customFormat="1" ht="5.25" customHeight="1" x14ac:dyDescent="0.2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</row>
    <row r="477" spans="1:12" s="189" customFormat="1" ht="5.25" customHeight="1" x14ac:dyDescent="0.2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</row>
    <row r="478" spans="1:12" s="189" customFormat="1" ht="5.25" customHeight="1" x14ac:dyDescent="0.2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</row>
    <row r="479" spans="1:12" s="189" customFormat="1" ht="5.25" customHeight="1" x14ac:dyDescent="0.2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</row>
    <row r="480" spans="1:12" s="189" customFormat="1" ht="5.25" customHeight="1" x14ac:dyDescent="0.2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</row>
    <row r="481" spans="1:12" s="189" customFormat="1" ht="5.25" customHeight="1" x14ac:dyDescent="0.2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</row>
    <row r="482" spans="1:12" s="189" customFormat="1" ht="5.25" customHeight="1" x14ac:dyDescent="0.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</row>
    <row r="483" spans="1:12" s="189" customFormat="1" ht="5.25" customHeight="1" x14ac:dyDescent="0.2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</row>
    <row r="484" spans="1:12" s="189" customFormat="1" ht="5.25" customHeight="1" x14ac:dyDescent="0.2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</row>
    <row r="485" spans="1:12" s="189" customFormat="1" ht="5.25" customHeight="1" x14ac:dyDescent="0.2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</row>
    <row r="486" spans="1:12" s="189" customFormat="1" ht="5.25" customHeight="1" x14ac:dyDescent="0.2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</row>
    <row r="487" spans="1:12" s="189" customFormat="1" ht="5.25" customHeight="1" x14ac:dyDescent="0.2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</row>
    <row r="488" spans="1:12" s="189" customFormat="1" ht="5.25" customHeight="1" x14ac:dyDescent="0.2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</row>
    <row r="489" spans="1:12" s="189" customFormat="1" ht="5.25" customHeight="1" x14ac:dyDescent="0.2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</row>
    <row r="490" spans="1:12" s="189" customFormat="1" ht="5.25" customHeight="1" x14ac:dyDescent="0.2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</row>
    <row r="491" spans="1:12" s="189" customFormat="1" ht="5.25" customHeight="1" x14ac:dyDescent="0.2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</row>
    <row r="492" spans="1:12" s="189" customFormat="1" ht="5.25" customHeight="1" x14ac:dyDescent="0.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</row>
    <row r="493" spans="1:12" s="189" customFormat="1" ht="5.25" customHeight="1" x14ac:dyDescent="0.2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</row>
    <row r="494" spans="1:12" s="189" customFormat="1" ht="5.25" customHeight="1" x14ac:dyDescent="0.2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</row>
    <row r="495" spans="1:12" s="189" customFormat="1" ht="5.25" customHeight="1" x14ac:dyDescent="0.2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</row>
    <row r="496" spans="1:12" s="189" customFormat="1" ht="5.25" customHeight="1" x14ac:dyDescent="0.2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</row>
    <row r="497" spans="1:12" s="189" customFormat="1" ht="5.25" customHeight="1" x14ac:dyDescent="0.2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</row>
    <row r="498" spans="1:12" s="189" customFormat="1" ht="5.25" customHeight="1" x14ac:dyDescent="0.2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</row>
    <row r="499" spans="1:12" s="189" customFormat="1" ht="5.25" customHeight="1" x14ac:dyDescent="0.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</row>
    <row r="500" spans="1:12" s="189" customFormat="1" ht="5.25" customHeight="1" x14ac:dyDescent="0.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</row>
    <row r="501" spans="1:12" s="189" customFormat="1" ht="5.25" customHeight="1" x14ac:dyDescent="0.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</row>
    <row r="502" spans="1:12" s="189" customFormat="1" ht="5.25" customHeight="1" x14ac:dyDescent="0.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</row>
    <row r="503" spans="1:12" s="189" customFormat="1" ht="5.25" customHeight="1" x14ac:dyDescent="0.2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</row>
    <row r="504" spans="1:12" s="189" customFormat="1" ht="5.25" customHeight="1" x14ac:dyDescent="0.2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</row>
    <row r="505" spans="1:12" s="189" customFormat="1" ht="5.25" customHeight="1" x14ac:dyDescent="0.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</row>
    <row r="506" spans="1:12" s="189" customFormat="1" ht="5.25" customHeight="1" x14ac:dyDescent="0.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</row>
    <row r="507" spans="1:12" s="189" customFormat="1" ht="5.25" customHeight="1" x14ac:dyDescent="0.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</row>
    <row r="508" spans="1:12" s="189" customFormat="1" ht="5.25" customHeight="1" x14ac:dyDescent="0.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</row>
    <row r="509" spans="1:12" s="189" customFormat="1" ht="5.25" customHeight="1" x14ac:dyDescent="0.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</row>
    <row r="510" spans="1:12" s="189" customFormat="1" ht="5.25" customHeight="1" x14ac:dyDescent="0.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</row>
    <row r="511" spans="1:12" s="189" customFormat="1" ht="5.25" customHeight="1" x14ac:dyDescent="0.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</row>
    <row r="512" spans="1:12" s="189" customFormat="1" ht="5.25" customHeight="1" x14ac:dyDescent="0.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</row>
    <row r="513" spans="1:12" s="189" customFormat="1" ht="5.25" customHeight="1" x14ac:dyDescent="0.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</row>
    <row r="514" spans="1:12" s="189" customFormat="1" ht="5.25" customHeight="1" x14ac:dyDescent="0.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</row>
    <row r="515" spans="1:12" s="189" customFormat="1" ht="5.25" customHeight="1" x14ac:dyDescent="0.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</row>
    <row r="516" spans="1:12" s="189" customFormat="1" ht="5.25" customHeight="1" x14ac:dyDescent="0.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</row>
    <row r="517" spans="1:12" s="189" customFormat="1" ht="5.25" customHeight="1" x14ac:dyDescent="0.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</row>
    <row r="518" spans="1:12" s="189" customFormat="1" ht="5.25" customHeight="1" x14ac:dyDescent="0.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</row>
    <row r="519" spans="1:12" s="189" customFormat="1" ht="5.25" customHeight="1" x14ac:dyDescent="0.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</row>
    <row r="520" spans="1:12" s="189" customFormat="1" ht="5.25" customHeight="1" x14ac:dyDescent="0.2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</row>
    <row r="521" spans="1:12" s="189" customFormat="1" ht="5.25" customHeight="1" x14ac:dyDescent="0.2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</row>
    <row r="522" spans="1:12" s="189" customFormat="1" ht="5.25" customHeight="1" x14ac:dyDescent="0.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</row>
    <row r="523" spans="1:12" s="189" customFormat="1" ht="5.25" customHeight="1" x14ac:dyDescent="0.2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</row>
    <row r="524" spans="1:12" s="189" customFormat="1" ht="5.25" customHeight="1" x14ac:dyDescent="0.2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</row>
    <row r="525" spans="1:12" s="189" customFormat="1" ht="5.25" customHeight="1" x14ac:dyDescent="0.2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</row>
    <row r="526" spans="1:12" s="189" customFormat="1" ht="5.25" customHeight="1" x14ac:dyDescent="0.2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</row>
    <row r="527" spans="1:12" s="189" customFormat="1" ht="5.25" customHeight="1" x14ac:dyDescent="0.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</row>
    <row r="528" spans="1:12" s="189" customFormat="1" ht="5.25" customHeight="1" x14ac:dyDescent="0.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</row>
    <row r="529" spans="1:12" s="189" customFormat="1" ht="5.25" customHeight="1" x14ac:dyDescent="0.2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</row>
    <row r="530" spans="1:12" s="189" customFormat="1" ht="5.25" customHeight="1" x14ac:dyDescent="0.2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</row>
    <row r="531" spans="1:12" s="189" customFormat="1" ht="5.25" customHeight="1" x14ac:dyDescent="0.2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</row>
    <row r="532" spans="1:12" s="189" customFormat="1" ht="5.25" customHeight="1" x14ac:dyDescent="0.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</row>
    <row r="533" spans="1:12" s="189" customFormat="1" ht="5.25" customHeight="1" x14ac:dyDescent="0.2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</row>
    <row r="534" spans="1:12" s="189" customFormat="1" ht="5.25" customHeight="1" x14ac:dyDescent="0.2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</row>
    <row r="535" spans="1:12" s="189" customFormat="1" ht="5.25" customHeight="1" x14ac:dyDescent="0.2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</row>
    <row r="536" spans="1:12" s="189" customFormat="1" ht="5.25" customHeight="1" x14ac:dyDescent="0.2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</row>
    <row r="537" spans="1:12" s="189" customFormat="1" ht="5.25" customHeight="1" x14ac:dyDescent="0.2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</row>
    <row r="538" spans="1:12" s="189" customFormat="1" ht="5.25" customHeight="1" x14ac:dyDescent="0.2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</row>
    <row r="539" spans="1:12" s="189" customFormat="1" ht="5.25" customHeight="1" x14ac:dyDescent="0.2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</row>
    <row r="540" spans="1:12" s="189" customFormat="1" ht="5.25" customHeight="1" x14ac:dyDescent="0.2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</row>
    <row r="541" spans="1:12" s="189" customFormat="1" ht="5.25" customHeight="1" x14ac:dyDescent="0.2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</row>
    <row r="542" spans="1:12" s="189" customFormat="1" ht="5.25" customHeight="1" x14ac:dyDescent="0.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</row>
    <row r="543" spans="1:12" s="189" customFormat="1" ht="5.25" customHeight="1" x14ac:dyDescent="0.2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</row>
    <row r="544" spans="1:12" s="189" customFormat="1" ht="5.25" customHeight="1" x14ac:dyDescent="0.2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</row>
    <row r="545" spans="1:12" s="189" customFormat="1" ht="5.25" customHeight="1" x14ac:dyDescent="0.2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</row>
    <row r="546" spans="1:12" s="189" customFormat="1" ht="5.25" customHeight="1" x14ac:dyDescent="0.2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</row>
    <row r="547" spans="1:12" s="189" customFormat="1" ht="5.25" customHeight="1" x14ac:dyDescent="0.2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</row>
    <row r="548" spans="1:12" s="189" customFormat="1" ht="5.25" customHeight="1" x14ac:dyDescent="0.2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</row>
    <row r="549" spans="1:12" s="189" customFormat="1" ht="5.25" customHeight="1" x14ac:dyDescent="0.2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</row>
    <row r="550" spans="1:12" s="189" customFormat="1" ht="5.25" customHeight="1" x14ac:dyDescent="0.2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</row>
    <row r="551" spans="1:12" s="189" customFormat="1" ht="5.25" customHeight="1" x14ac:dyDescent="0.2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</row>
    <row r="552" spans="1:12" s="189" customFormat="1" ht="5.25" customHeight="1" x14ac:dyDescent="0.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</row>
    <row r="553" spans="1:12" s="189" customFormat="1" ht="5.25" customHeight="1" x14ac:dyDescent="0.2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</row>
    <row r="554" spans="1:12" s="189" customFormat="1" ht="5.25" customHeight="1" x14ac:dyDescent="0.2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</row>
    <row r="555" spans="1:12" s="189" customFormat="1" ht="5.25" customHeight="1" x14ac:dyDescent="0.2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</row>
    <row r="556" spans="1:12" s="189" customFormat="1" ht="5.25" customHeight="1" x14ac:dyDescent="0.2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</row>
    <row r="557" spans="1:12" s="189" customFormat="1" ht="5.25" customHeight="1" x14ac:dyDescent="0.2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</row>
    <row r="558" spans="1:12" s="189" customFormat="1" ht="5.25" customHeight="1" x14ac:dyDescent="0.2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</row>
    <row r="559" spans="1:12" s="189" customFormat="1" ht="5.25" customHeight="1" x14ac:dyDescent="0.2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</row>
    <row r="560" spans="1:12" s="189" customFormat="1" ht="5.25" customHeight="1" x14ac:dyDescent="0.2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</row>
    <row r="561" spans="1:12" s="189" customFormat="1" ht="5.25" customHeight="1" x14ac:dyDescent="0.2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</row>
    <row r="562" spans="1:12" s="189" customFormat="1" ht="5.25" customHeight="1" x14ac:dyDescent="0.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</row>
    <row r="563" spans="1:12" s="189" customFormat="1" ht="5.25" customHeight="1" x14ac:dyDescent="0.2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</row>
    <row r="564" spans="1:12" s="189" customFormat="1" ht="5.25" customHeight="1" x14ac:dyDescent="0.2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</row>
    <row r="565" spans="1:12" s="189" customFormat="1" ht="5.25" customHeight="1" x14ac:dyDescent="0.2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</row>
    <row r="566" spans="1:12" s="189" customFormat="1" ht="5.25" customHeight="1" x14ac:dyDescent="0.2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</row>
    <row r="567" spans="1:12" s="189" customFormat="1" ht="5.25" customHeight="1" x14ac:dyDescent="0.2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</row>
    <row r="568" spans="1:12" s="189" customFormat="1" ht="5.25" customHeight="1" x14ac:dyDescent="0.2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</row>
    <row r="569" spans="1:12" s="189" customFormat="1" ht="5.25" customHeight="1" x14ac:dyDescent="0.2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</row>
    <row r="570" spans="1:12" s="189" customFormat="1" ht="5.25" customHeight="1" x14ac:dyDescent="0.2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</row>
    <row r="571" spans="1:12" s="189" customFormat="1" ht="5.25" customHeight="1" x14ac:dyDescent="0.2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</row>
    <row r="572" spans="1:12" s="189" customFormat="1" ht="5.25" customHeight="1" x14ac:dyDescent="0.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</row>
    <row r="573" spans="1:12" s="189" customFormat="1" ht="5.25" customHeight="1" x14ac:dyDescent="0.2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</row>
    <row r="574" spans="1:12" s="189" customFormat="1" ht="5.25" customHeight="1" x14ac:dyDescent="0.2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</row>
    <row r="575" spans="1:12" s="189" customFormat="1" ht="5.25" customHeight="1" x14ac:dyDescent="0.2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</row>
    <row r="576" spans="1:12" s="189" customFormat="1" ht="5.25" customHeight="1" x14ac:dyDescent="0.2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</row>
    <row r="577" spans="1:12" s="189" customFormat="1" ht="5.25" customHeight="1" x14ac:dyDescent="0.2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</row>
    <row r="578" spans="1:12" s="189" customFormat="1" ht="5.25" customHeight="1" x14ac:dyDescent="0.2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</row>
    <row r="579" spans="1:12" s="189" customFormat="1" ht="5.25" customHeight="1" x14ac:dyDescent="0.2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</row>
    <row r="580" spans="1:12" s="189" customFormat="1" ht="5.25" customHeight="1" x14ac:dyDescent="0.2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</row>
    <row r="581" spans="1:12" s="189" customFormat="1" ht="5.25" customHeight="1" x14ac:dyDescent="0.2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</row>
    <row r="582" spans="1:12" s="189" customFormat="1" ht="5.25" customHeight="1" x14ac:dyDescent="0.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</row>
    <row r="583" spans="1:12" s="189" customFormat="1" ht="5.25" customHeight="1" x14ac:dyDescent="0.2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</row>
    <row r="584" spans="1:12" s="189" customFormat="1" ht="5.25" customHeight="1" x14ac:dyDescent="0.2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</row>
    <row r="585" spans="1:12" s="189" customFormat="1" ht="5.25" customHeight="1" x14ac:dyDescent="0.2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</row>
    <row r="586" spans="1:12" s="189" customFormat="1" ht="5.25" customHeight="1" x14ac:dyDescent="0.2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</row>
    <row r="587" spans="1:12" s="189" customFormat="1" ht="5.25" customHeight="1" x14ac:dyDescent="0.2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</row>
    <row r="588" spans="1:12" s="189" customFormat="1" ht="5.25" customHeight="1" x14ac:dyDescent="0.2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</row>
    <row r="589" spans="1:12" s="189" customFormat="1" ht="5.25" customHeight="1" x14ac:dyDescent="0.2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</row>
    <row r="590" spans="1:12" s="189" customFormat="1" ht="5.25" customHeight="1" x14ac:dyDescent="0.2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</row>
    <row r="591" spans="1:12" s="189" customFormat="1" ht="5.25" customHeight="1" x14ac:dyDescent="0.2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</row>
    <row r="592" spans="1:12" s="189" customFormat="1" ht="5.25" customHeight="1" x14ac:dyDescent="0.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</row>
    <row r="593" spans="1:12" s="189" customFormat="1" ht="5.25" customHeight="1" x14ac:dyDescent="0.2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</row>
    <row r="594" spans="1:12" s="189" customFormat="1" ht="5.25" customHeight="1" x14ac:dyDescent="0.2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</row>
    <row r="595" spans="1:12" s="189" customFormat="1" ht="5.25" customHeight="1" x14ac:dyDescent="0.2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</row>
    <row r="596" spans="1:12" s="189" customFormat="1" ht="5.25" customHeight="1" x14ac:dyDescent="0.2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</row>
    <row r="597" spans="1:12" s="189" customFormat="1" ht="5.25" customHeight="1" x14ac:dyDescent="0.2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</row>
    <row r="598" spans="1:12" s="189" customFormat="1" ht="5.25" customHeight="1" x14ac:dyDescent="0.2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</row>
    <row r="599" spans="1:12" s="189" customFormat="1" ht="5.25" customHeight="1" x14ac:dyDescent="0.2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</row>
    <row r="600" spans="1:12" s="189" customFormat="1" ht="5.25" customHeight="1" x14ac:dyDescent="0.2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</row>
    <row r="601" spans="1:12" s="189" customFormat="1" ht="5.25" customHeight="1" x14ac:dyDescent="0.2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</row>
    <row r="602" spans="1:12" s="189" customFormat="1" ht="5.25" customHeight="1" x14ac:dyDescent="0.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</row>
    <row r="603" spans="1:12" s="189" customFormat="1" ht="5.25" customHeight="1" x14ac:dyDescent="0.2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</row>
    <row r="604" spans="1:12" s="189" customFormat="1" ht="5.25" customHeight="1" x14ac:dyDescent="0.2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</row>
    <row r="605" spans="1:12" s="189" customFormat="1" ht="5.25" customHeight="1" x14ac:dyDescent="0.2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</row>
    <row r="606" spans="1:12" s="189" customFormat="1" ht="5.25" customHeight="1" x14ac:dyDescent="0.2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</row>
    <row r="607" spans="1:12" s="189" customFormat="1" ht="5.25" customHeight="1" x14ac:dyDescent="0.2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</row>
    <row r="608" spans="1:12" s="189" customFormat="1" ht="5.25" customHeight="1" x14ac:dyDescent="0.2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</row>
    <row r="609" spans="1:12" s="189" customFormat="1" ht="5.25" customHeight="1" x14ac:dyDescent="0.2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</row>
    <row r="610" spans="1:12" s="189" customFormat="1" ht="5.25" customHeight="1" x14ac:dyDescent="0.2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</row>
    <row r="611" spans="1:12" s="189" customFormat="1" ht="5.25" customHeight="1" x14ac:dyDescent="0.2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</row>
    <row r="612" spans="1:12" s="189" customFormat="1" ht="5.25" customHeight="1" x14ac:dyDescent="0.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</row>
    <row r="613" spans="1:12" s="189" customFormat="1" ht="5.25" customHeight="1" x14ac:dyDescent="0.2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</row>
    <row r="614" spans="1:12" s="189" customFormat="1" ht="5.25" customHeight="1" x14ac:dyDescent="0.2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</row>
    <row r="615" spans="1:12" s="189" customFormat="1" ht="5.25" customHeight="1" x14ac:dyDescent="0.2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</row>
    <row r="616" spans="1:12" s="189" customFormat="1" ht="5.25" customHeight="1" x14ac:dyDescent="0.2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</row>
    <row r="617" spans="1:12" s="189" customFormat="1" ht="5.25" customHeight="1" x14ac:dyDescent="0.2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</row>
    <row r="618" spans="1:12" s="189" customFormat="1" ht="5.25" customHeight="1" x14ac:dyDescent="0.2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</row>
    <row r="619" spans="1:12" s="189" customFormat="1" ht="5.25" customHeight="1" x14ac:dyDescent="0.2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</row>
    <row r="620" spans="1:12" s="189" customFormat="1" ht="5.25" customHeight="1" x14ac:dyDescent="0.2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</row>
    <row r="621" spans="1:12" s="189" customFormat="1" ht="5.25" customHeight="1" x14ac:dyDescent="0.2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</row>
    <row r="622" spans="1:12" s="189" customFormat="1" ht="5.25" customHeight="1" x14ac:dyDescent="0.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</row>
    <row r="623" spans="1:12" s="189" customFormat="1" ht="5.25" customHeight="1" x14ac:dyDescent="0.2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</row>
    <row r="624" spans="1:12" s="189" customFormat="1" ht="5.25" customHeight="1" x14ac:dyDescent="0.2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</row>
    <row r="625" spans="1:12" s="189" customFormat="1" ht="5.25" customHeight="1" x14ac:dyDescent="0.2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</row>
    <row r="626" spans="1:12" s="189" customFormat="1" ht="5.25" customHeight="1" x14ac:dyDescent="0.2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</row>
    <row r="627" spans="1:12" s="189" customFormat="1" ht="5.25" customHeight="1" x14ac:dyDescent="0.2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</row>
    <row r="628" spans="1:12" s="189" customFormat="1" ht="5.25" customHeight="1" x14ac:dyDescent="0.2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</row>
    <row r="629" spans="1:12" s="189" customFormat="1" ht="5.25" customHeight="1" x14ac:dyDescent="0.2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</row>
    <row r="630" spans="1:12" s="189" customFormat="1" ht="5.25" customHeight="1" x14ac:dyDescent="0.2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</row>
    <row r="631" spans="1:12" s="189" customFormat="1" ht="5.25" customHeight="1" x14ac:dyDescent="0.2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</row>
    <row r="632" spans="1:12" s="189" customFormat="1" ht="5.25" customHeight="1" x14ac:dyDescent="0.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</row>
    <row r="633" spans="1:12" s="189" customFormat="1" ht="5.25" customHeight="1" x14ac:dyDescent="0.2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</row>
    <row r="634" spans="1:12" s="189" customFormat="1" ht="5.25" customHeight="1" x14ac:dyDescent="0.2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</row>
    <row r="635" spans="1:12" s="189" customFormat="1" ht="5.25" customHeight="1" x14ac:dyDescent="0.2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</row>
    <row r="636" spans="1:12" s="189" customFormat="1" ht="5.25" customHeight="1" x14ac:dyDescent="0.2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</row>
    <row r="637" spans="1:12" s="189" customFormat="1" ht="5.25" customHeight="1" x14ac:dyDescent="0.2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</row>
    <row r="638" spans="1:12" s="189" customFormat="1" ht="5.25" customHeight="1" x14ac:dyDescent="0.2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</row>
    <row r="639" spans="1:12" s="189" customFormat="1" ht="5.25" customHeight="1" x14ac:dyDescent="0.2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</row>
    <row r="640" spans="1:12" s="189" customFormat="1" ht="5.25" customHeight="1" x14ac:dyDescent="0.2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</row>
    <row r="641" spans="1:12" s="189" customFormat="1" ht="5.25" customHeight="1" x14ac:dyDescent="0.2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</row>
    <row r="642" spans="1:12" s="189" customFormat="1" ht="5.25" customHeight="1" x14ac:dyDescent="0.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</row>
    <row r="643" spans="1:12" s="189" customFormat="1" ht="5.25" customHeight="1" x14ac:dyDescent="0.2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</row>
    <row r="644" spans="1:12" s="189" customFormat="1" ht="5.25" customHeight="1" x14ac:dyDescent="0.2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</row>
    <row r="645" spans="1:12" s="189" customFormat="1" ht="5.25" customHeight="1" x14ac:dyDescent="0.2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</row>
    <row r="646" spans="1:12" s="189" customFormat="1" ht="5.25" customHeight="1" x14ac:dyDescent="0.2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</row>
    <row r="647" spans="1:12" s="189" customFormat="1" ht="5.25" customHeight="1" x14ac:dyDescent="0.2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</row>
    <row r="648" spans="1:12" s="189" customFormat="1" ht="5.25" customHeight="1" x14ac:dyDescent="0.2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</row>
    <row r="649" spans="1:12" s="189" customFormat="1" ht="5.25" customHeight="1" x14ac:dyDescent="0.2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</row>
    <row r="650" spans="1:12" s="189" customFormat="1" ht="5.25" customHeight="1" x14ac:dyDescent="0.2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</row>
    <row r="651" spans="1:12" s="189" customFormat="1" ht="5.25" customHeight="1" x14ac:dyDescent="0.2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</row>
    <row r="652" spans="1:12" s="189" customFormat="1" ht="5.25" customHeight="1" x14ac:dyDescent="0.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</row>
    <row r="653" spans="1:12" s="189" customFormat="1" ht="5.25" customHeight="1" x14ac:dyDescent="0.2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</row>
    <row r="654" spans="1:12" s="189" customFormat="1" ht="5.25" customHeight="1" x14ac:dyDescent="0.2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</row>
    <row r="655" spans="1:12" s="189" customFormat="1" ht="5.25" customHeight="1" x14ac:dyDescent="0.2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</row>
    <row r="656" spans="1:12" s="189" customFormat="1" ht="5.25" customHeight="1" x14ac:dyDescent="0.2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</row>
    <row r="657" spans="1:12" s="189" customFormat="1" ht="5.25" customHeight="1" x14ac:dyDescent="0.2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</row>
    <row r="658" spans="1:12" s="189" customFormat="1" ht="5.25" customHeight="1" x14ac:dyDescent="0.2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</row>
    <row r="659" spans="1:12" s="189" customFormat="1" ht="5.25" customHeight="1" x14ac:dyDescent="0.2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</row>
    <row r="660" spans="1:12" s="189" customFormat="1" ht="5.25" customHeight="1" x14ac:dyDescent="0.2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</row>
    <row r="661" spans="1:12" s="189" customFormat="1" ht="5.25" customHeight="1" x14ac:dyDescent="0.2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</row>
    <row r="662" spans="1:12" s="189" customFormat="1" ht="5.25" customHeight="1" x14ac:dyDescent="0.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</row>
    <row r="663" spans="1:12" s="189" customFormat="1" ht="5.25" customHeight="1" x14ac:dyDescent="0.2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</row>
    <row r="664" spans="1:12" s="189" customFormat="1" ht="5.25" customHeight="1" x14ac:dyDescent="0.2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</row>
    <row r="665" spans="1:12" s="189" customFormat="1" ht="5.25" customHeight="1" x14ac:dyDescent="0.2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</row>
    <row r="666" spans="1:12" s="189" customFormat="1" ht="5.25" customHeight="1" x14ac:dyDescent="0.2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</row>
    <row r="667" spans="1:12" s="189" customFormat="1" ht="5.25" customHeight="1" x14ac:dyDescent="0.2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</row>
    <row r="668" spans="1:12" s="189" customFormat="1" ht="5.25" customHeight="1" x14ac:dyDescent="0.2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</row>
    <row r="669" spans="1:12" s="189" customFormat="1" ht="5.25" customHeight="1" x14ac:dyDescent="0.2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</row>
    <row r="670" spans="1:12" s="189" customFormat="1" ht="5.25" customHeight="1" x14ac:dyDescent="0.2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</row>
    <row r="671" spans="1:12" s="189" customFormat="1" ht="5.25" customHeight="1" x14ac:dyDescent="0.2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</row>
    <row r="672" spans="1:12" s="189" customFormat="1" ht="5.25" customHeight="1" x14ac:dyDescent="0.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</row>
    <row r="673" spans="1:12" s="189" customFormat="1" ht="5.25" customHeight="1" x14ac:dyDescent="0.2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</row>
    <row r="674" spans="1:12" s="189" customFormat="1" ht="5.25" customHeight="1" x14ac:dyDescent="0.2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</row>
    <row r="675" spans="1:12" s="189" customFormat="1" ht="5.25" customHeight="1" x14ac:dyDescent="0.2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</row>
    <row r="676" spans="1:12" s="189" customFormat="1" ht="5.25" customHeight="1" x14ac:dyDescent="0.2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</row>
    <row r="677" spans="1:12" s="189" customFormat="1" ht="5.25" customHeight="1" x14ac:dyDescent="0.2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</row>
    <row r="678" spans="1:12" s="189" customFormat="1" ht="5.25" customHeight="1" x14ac:dyDescent="0.2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</row>
    <row r="679" spans="1:12" s="189" customFormat="1" ht="5.25" customHeight="1" x14ac:dyDescent="0.2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</row>
    <row r="680" spans="1:12" s="189" customFormat="1" ht="5.25" customHeight="1" x14ac:dyDescent="0.2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</row>
    <row r="681" spans="1:12" s="189" customFormat="1" ht="5.25" customHeight="1" x14ac:dyDescent="0.2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</row>
    <row r="682" spans="1:12" s="189" customFormat="1" ht="5.25" customHeight="1" x14ac:dyDescent="0.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</row>
    <row r="683" spans="1:12" s="189" customFormat="1" ht="5.25" customHeight="1" x14ac:dyDescent="0.2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</row>
    <row r="684" spans="1:12" s="189" customFormat="1" ht="5.25" customHeight="1" x14ac:dyDescent="0.2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</row>
    <row r="685" spans="1:12" s="189" customFormat="1" ht="5.25" customHeight="1" x14ac:dyDescent="0.2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</row>
    <row r="686" spans="1:12" s="189" customFormat="1" ht="5.25" customHeight="1" x14ac:dyDescent="0.2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</row>
    <row r="687" spans="1:12" s="189" customFormat="1" ht="5.25" customHeight="1" x14ac:dyDescent="0.2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</row>
    <row r="688" spans="1:12" s="189" customFormat="1" ht="5.25" customHeight="1" x14ac:dyDescent="0.2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</row>
    <row r="689" spans="1:12" s="189" customFormat="1" ht="5.25" customHeight="1" x14ac:dyDescent="0.2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</row>
    <row r="690" spans="1:12" s="189" customFormat="1" ht="5.25" customHeight="1" x14ac:dyDescent="0.2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</row>
    <row r="691" spans="1:12" s="189" customFormat="1" ht="5.25" customHeight="1" x14ac:dyDescent="0.2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</row>
    <row r="692" spans="1:12" s="189" customFormat="1" ht="5.25" customHeight="1" x14ac:dyDescent="0.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</row>
    <row r="693" spans="1:12" s="189" customFormat="1" ht="5.25" customHeight="1" x14ac:dyDescent="0.2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</row>
    <row r="694" spans="1:12" s="189" customFormat="1" ht="5.25" customHeight="1" x14ac:dyDescent="0.2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</row>
    <row r="695" spans="1:12" s="189" customFormat="1" ht="5.25" customHeight="1" x14ac:dyDescent="0.2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</row>
    <row r="696" spans="1:12" s="189" customFormat="1" ht="5.25" customHeight="1" x14ac:dyDescent="0.2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</row>
    <row r="697" spans="1:12" s="189" customFormat="1" ht="5.25" customHeight="1" x14ac:dyDescent="0.2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</row>
    <row r="698" spans="1:12" s="189" customFormat="1" ht="5.25" customHeight="1" x14ac:dyDescent="0.2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</row>
    <row r="699" spans="1:12" s="189" customFormat="1" ht="5.25" customHeight="1" x14ac:dyDescent="0.2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</row>
    <row r="700" spans="1:12" s="189" customFormat="1" ht="5.25" customHeight="1" x14ac:dyDescent="0.2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</row>
    <row r="701" spans="1:12" s="189" customFormat="1" ht="5.25" customHeight="1" x14ac:dyDescent="0.2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</row>
    <row r="702" spans="1:12" s="189" customFormat="1" ht="5.25" customHeight="1" x14ac:dyDescent="0.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</row>
    <row r="703" spans="1:12" s="189" customFormat="1" ht="5.25" customHeight="1" x14ac:dyDescent="0.2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</row>
    <row r="704" spans="1:12" s="189" customFormat="1" ht="5.25" customHeight="1" x14ac:dyDescent="0.2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</row>
    <row r="705" spans="1:12" s="189" customFormat="1" ht="5.25" customHeight="1" x14ac:dyDescent="0.2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</row>
    <row r="706" spans="1:12" s="189" customFormat="1" ht="5.25" customHeight="1" x14ac:dyDescent="0.2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</row>
    <row r="707" spans="1:12" s="189" customFormat="1" ht="5.25" customHeight="1" x14ac:dyDescent="0.2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</row>
    <row r="708" spans="1:12" s="189" customFormat="1" ht="5.25" customHeight="1" x14ac:dyDescent="0.2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</row>
    <row r="709" spans="1:12" s="189" customFormat="1" ht="5.25" customHeight="1" x14ac:dyDescent="0.2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</row>
    <row r="710" spans="1:12" s="189" customFormat="1" ht="5.25" customHeight="1" x14ac:dyDescent="0.2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</row>
    <row r="711" spans="1:12" s="189" customFormat="1" ht="5.25" customHeight="1" x14ac:dyDescent="0.2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</row>
    <row r="712" spans="1:12" s="189" customFormat="1" ht="5.25" customHeight="1" x14ac:dyDescent="0.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</row>
    <row r="713" spans="1:12" s="189" customFormat="1" ht="5.25" customHeight="1" x14ac:dyDescent="0.2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</row>
    <row r="714" spans="1:12" s="189" customFormat="1" ht="5.25" customHeight="1" x14ac:dyDescent="0.2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</row>
    <row r="715" spans="1:12" s="189" customFormat="1" ht="5.25" customHeight="1" x14ac:dyDescent="0.2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</row>
    <row r="716" spans="1:12" s="189" customFormat="1" ht="5.25" customHeight="1" x14ac:dyDescent="0.2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</row>
    <row r="717" spans="1:12" s="189" customFormat="1" ht="5.25" customHeight="1" x14ac:dyDescent="0.2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</row>
    <row r="718" spans="1:12" s="189" customFormat="1" ht="5.25" customHeight="1" x14ac:dyDescent="0.2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</row>
    <row r="719" spans="1:12" s="189" customFormat="1" ht="5.25" customHeight="1" x14ac:dyDescent="0.2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</row>
    <row r="720" spans="1:12" s="189" customFormat="1" ht="5.25" customHeight="1" x14ac:dyDescent="0.2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</row>
    <row r="721" spans="1:12" s="189" customFormat="1" ht="5.25" customHeight="1" x14ac:dyDescent="0.2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</row>
    <row r="722" spans="1:12" s="189" customFormat="1" ht="5.25" customHeight="1" x14ac:dyDescent="0.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</row>
    <row r="723" spans="1:12" s="189" customFormat="1" ht="5.25" customHeight="1" x14ac:dyDescent="0.2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</row>
    <row r="724" spans="1:12" s="189" customFormat="1" ht="5.25" customHeight="1" x14ac:dyDescent="0.2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</row>
    <row r="725" spans="1:12" s="189" customFormat="1" ht="5.25" customHeight="1" x14ac:dyDescent="0.2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</row>
    <row r="726" spans="1:12" s="189" customFormat="1" ht="5.25" customHeight="1" x14ac:dyDescent="0.2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</row>
    <row r="727" spans="1:12" s="189" customFormat="1" ht="5.25" customHeight="1" x14ac:dyDescent="0.2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</row>
    <row r="728" spans="1:12" s="189" customFormat="1" ht="5.25" customHeight="1" x14ac:dyDescent="0.2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</row>
    <row r="729" spans="1:12" s="189" customFormat="1" ht="5.25" customHeight="1" x14ac:dyDescent="0.2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</row>
    <row r="730" spans="1:12" s="189" customFormat="1" ht="5.25" customHeight="1" x14ac:dyDescent="0.2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</row>
    <row r="731" spans="1:12" s="189" customFormat="1" ht="5.25" customHeight="1" x14ac:dyDescent="0.2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</row>
    <row r="732" spans="1:12" s="189" customFormat="1" ht="5.25" customHeight="1" x14ac:dyDescent="0.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</row>
    <row r="733" spans="1:12" s="189" customFormat="1" ht="5.25" customHeight="1" x14ac:dyDescent="0.2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</row>
    <row r="734" spans="1:12" s="189" customFormat="1" ht="5.25" customHeight="1" x14ac:dyDescent="0.2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</row>
    <row r="735" spans="1:12" s="189" customFormat="1" ht="5.25" customHeight="1" x14ac:dyDescent="0.2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</row>
    <row r="736" spans="1:12" s="189" customFormat="1" ht="5.25" customHeight="1" x14ac:dyDescent="0.2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</row>
    <row r="737" spans="1:12" s="189" customFormat="1" ht="5.25" customHeight="1" x14ac:dyDescent="0.2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</row>
    <row r="738" spans="1:12" s="189" customFormat="1" ht="5.25" customHeight="1" x14ac:dyDescent="0.2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</row>
    <row r="739" spans="1:12" s="189" customFormat="1" ht="5.25" customHeight="1" x14ac:dyDescent="0.2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</row>
    <row r="740" spans="1:12" s="189" customFormat="1" ht="5.25" customHeight="1" x14ac:dyDescent="0.2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</row>
    <row r="741" spans="1:12" s="189" customFormat="1" ht="5.25" customHeight="1" x14ac:dyDescent="0.2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</row>
    <row r="742" spans="1:12" s="189" customFormat="1" ht="5.25" customHeight="1" x14ac:dyDescent="0.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</row>
    <row r="743" spans="1:12" s="189" customFormat="1" ht="5.25" customHeight="1" x14ac:dyDescent="0.2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</row>
    <row r="744" spans="1:12" s="189" customFormat="1" ht="5.25" customHeight="1" x14ac:dyDescent="0.2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</row>
    <row r="745" spans="1:12" s="189" customFormat="1" ht="5.25" customHeight="1" x14ac:dyDescent="0.2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</row>
    <row r="746" spans="1:12" s="189" customFormat="1" ht="5.25" customHeight="1" x14ac:dyDescent="0.2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</row>
    <row r="747" spans="1:12" s="189" customFormat="1" ht="5.25" customHeight="1" x14ac:dyDescent="0.2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</row>
    <row r="748" spans="1:12" s="189" customFormat="1" ht="5.25" customHeight="1" x14ac:dyDescent="0.2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</row>
    <row r="749" spans="1:12" s="189" customFormat="1" ht="5.25" customHeight="1" x14ac:dyDescent="0.2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</row>
    <row r="750" spans="1:12" s="189" customFormat="1" ht="5.25" customHeight="1" x14ac:dyDescent="0.2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</row>
    <row r="751" spans="1:12" s="189" customFormat="1" ht="5.25" customHeight="1" x14ac:dyDescent="0.2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</row>
    <row r="752" spans="1:12" s="189" customFormat="1" ht="5.25" customHeight="1" x14ac:dyDescent="0.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</row>
    <row r="753" spans="1:12" s="189" customFormat="1" ht="5.25" customHeight="1" x14ac:dyDescent="0.2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</row>
    <row r="754" spans="1:12" s="189" customFormat="1" ht="5.25" customHeight="1" x14ac:dyDescent="0.2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</row>
    <row r="755" spans="1:12" s="189" customFormat="1" ht="5.25" customHeight="1" x14ac:dyDescent="0.2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</row>
    <row r="756" spans="1:12" s="189" customFormat="1" ht="5.25" customHeight="1" x14ac:dyDescent="0.2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</row>
    <row r="757" spans="1:12" s="189" customFormat="1" ht="5.25" customHeight="1" x14ac:dyDescent="0.2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</row>
    <row r="758" spans="1:12" s="189" customFormat="1" ht="5.25" customHeight="1" x14ac:dyDescent="0.2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</row>
    <row r="759" spans="1:12" s="189" customFormat="1" ht="5.25" customHeight="1" x14ac:dyDescent="0.2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</row>
    <row r="760" spans="1:12" s="189" customFormat="1" ht="5.25" customHeight="1" x14ac:dyDescent="0.2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</row>
    <row r="761" spans="1:12" s="189" customFormat="1" ht="5.25" customHeight="1" x14ac:dyDescent="0.2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</row>
    <row r="762" spans="1:12" s="189" customFormat="1" ht="5.25" customHeight="1" x14ac:dyDescent="0.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</row>
    <row r="763" spans="1:12" s="189" customFormat="1" ht="5.25" customHeight="1" x14ac:dyDescent="0.2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</row>
    <row r="764" spans="1:12" s="189" customFormat="1" ht="5.25" customHeight="1" x14ac:dyDescent="0.2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</row>
    <row r="765" spans="1:12" s="189" customFormat="1" ht="5.25" customHeight="1" x14ac:dyDescent="0.2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</row>
    <row r="766" spans="1:12" s="189" customFormat="1" ht="5.25" customHeight="1" x14ac:dyDescent="0.2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</row>
    <row r="767" spans="1:12" s="189" customFormat="1" ht="5.25" customHeight="1" x14ac:dyDescent="0.2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</row>
    <row r="768" spans="1:12" s="189" customFormat="1" ht="5.25" customHeight="1" x14ac:dyDescent="0.2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</row>
    <row r="769" spans="1:12" s="189" customFormat="1" ht="5.25" customHeight="1" x14ac:dyDescent="0.2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</row>
    <row r="770" spans="1:12" s="189" customFormat="1" ht="5.25" customHeight="1" x14ac:dyDescent="0.2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</row>
    <row r="771" spans="1:12" s="189" customFormat="1" ht="5.25" customHeight="1" x14ac:dyDescent="0.2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</row>
    <row r="772" spans="1:12" s="189" customFormat="1" ht="5.25" customHeight="1" x14ac:dyDescent="0.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</row>
    <row r="773" spans="1:12" s="189" customFormat="1" ht="5.25" customHeight="1" x14ac:dyDescent="0.2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</row>
    <row r="774" spans="1:12" s="189" customFormat="1" ht="5.25" customHeight="1" x14ac:dyDescent="0.2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</row>
    <row r="775" spans="1:12" s="189" customFormat="1" ht="5.25" customHeight="1" x14ac:dyDescent="0.2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</row>
    <row r="776" spans="1:12" s="189" customFormat="1" ht="5.25" customHeight="1" x14ac:dyDescent="0.2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</row>
    <row r="777" spans="1:12" s="189" customFormat="1" ht="5.25" customHeight="1" x14ac:dyDescent="0.2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</row>
    <row r="778" spans="1:12" s="189" customFormat="1" ht="5.25" customHeight="1" x14ac:dyDescent="0.2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</row>
    <row r="779" spans="1:12" s="189" customFormat="1" ht="5.25" customHeight="1" x14ac:dyDescent="0.2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</row>
    <row r="780" spans="1:12" s="189" customFormat="1" ht="5.25" customHeight="1" x14ac:dyDescent="0.2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</row>
    <row r="781" spans="1:12" s="189" customFormat="1" ht="5.25" customHeight="1" x14ac:dyDescent="0.2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</row>
    <row r="782" spans="1:12" s="189" customFormat="1" ht="5.25" customHeight="1" x14ac:dyDescent="0.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</row>
    <row r="783" spans="1:12" s="189" customFormat="1" ht="5.25" customHeight="1" x14ac:dyDescent="0.2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</row>
    <row r="784" spans="1:12" s="189" customFormat="1" ht="5.25" customHeight="1" x14ac:dyDescent="0.2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</row>
    <row r="785" spans="1:12" s="189" customFormat="1" ht="5.25" customHeight="1" x14ac:dyDescent="0.2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</row>
    <row r="786" spans="1:12" s="189" customFormat="1" ht="5.25" customHeight="1" x14ac:dyDescent="0.2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</row>
    <row r="787" spans="1:12" s="189" customFormat="1" ht="5.25" customHeight="1" x14ac:dyDescent="0.2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</row>
    <row r="788" spans="1:12" s="189" customFormat="1" ht="5.25" customHeight="1" x14ac:dyDescent="0.2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</row>
    <row r="789" spans="1:12" s="189" customFormat="1" ht="5.25" customHeight="1" x14ac:dyDescent="0.2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</row>
    <row r="790" spans="1:12" s="189" customFormat="1" ht="5.25" customHeight="1" x14ac:dyDescent="0.2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</row>
    <row r="791" spans="1:12" s="189" customFormat="1" ht="5.25" customHeight="1" x14ac:dyDescent="0.2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</row>
    <row r="792" spans="1:12" s="189" customFormat="1" ht="5.25" customHeight="1" x14ac:dyDescent="0.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</row>
    <row r="793" spans="1:12" s="189" customFormat="1" ht="5.25" customHeight="1" x14ac:dyDescent="0.2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</row>
    <row r="794" spans="1:12" s="189" customFormat="1" ht="5.25" customHeight="1" x14ac:dyDescent="0.2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</row>
    <row r="795" spans="1:12" s="189" customFormat="1" ht="5.25" customHeight="1" x14ac:dyDescent="0.2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</row>
    <row r="796" spans="1:12" s="189" customFormat="1" ht="5.25" customHeight="1" x14ac:dyDescent="0.2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</row>
    <row r="797" spans="1:12" s="189" customFormat="1" ht="5.25" customHeight="1" x14ac:dyDescent="0.2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</row>
    <row r="798" spans="1:12" s="189" customFormat="1" ht="5.25" customHeight="1" x14ac:dyDescent="0.2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</row>
    <row r="799" spans="1:12" s="189" customFormat="1" ht="5.25" customHeight="1" x14ac:dyDescent="0.2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</row>
    <row r="800" spans="1:12" s="189" customFormat="1" ht="5.25" customHeight="1" x14ac:dyDescent="0.2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</row>
    <row r="801" spans="1:12" s="189" customFormat="1" ht="5.25" customHeight="1" x14ac:dyDescent="0.2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</row>
    <row r="802" spans="1:12" s="189" customFormat="1" ht="5.25" customHeight="1" x14ac:dyDescent="0.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</row>
    <row r="803" spans="1:12" s="189" customFormat="1" ht="5.25" customHeight="1" x14ac:dyDescent="0.2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</row>
    <row r="804" spans="1:12" s="189" customFormat="1" ht="5.25" customHeight="1" x14ac:dyDescent="0.2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</row>
    <row r="805" spans="1:12" s="189" customFormat="1" ht="5.25" customHeight="1" x14ac:dyDescent="0.2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</row>
    <row r="806" spans="1:12" s="189" customFormat="1" ht="5.25" customHeight="1" x14ac:dyDescent="0.2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</row>
    <row r="807" spans="1:12" s="189" customFormat="1" ht="5.25" customHeight="1" x14ac:dyDescent="0.2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</row>
    <row r="808" spans="1:12" s="189" customFormat="1" ht="5.25" customHeight="1" x14ac:dyDescent="0.2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</row>
    <row r="809" spans="1:12" s="189" customFormat="1" ht="5.25" customHeight="1" x14ac:dyDescent="0.2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</row>
    <row r="810" spans="1:12" s="189" customFormat="1" ht="5.25" customHeight="1" x14ac:dyDescent="0.2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</row>
    <row r="811" spans="1:12" s="189" customFormat="1" ht="5.25" customHeight="1" x14ac:dyDescent="0.2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</row>
    <row r="812" spans="1:12" s="189" customFormat="1" ht="5.25" customHeight="1" x14ac:dyDescent="0.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</row>
    <row r="813" spans="1:12" s="189" customFormat="1" ht="5.25" customHeight="1" x14ac:dyDescent="0.2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</row>
    <row r="814" spans="1:12" s="189" customFormat="1" ht="5.25" customHeight="1" x14ac:dyDescent="0.2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</row>
    <row r="815" spans="1:12" s="189" customFormat="1" ht="5.25" customHeight="1" x14ac:dyDescent="0.2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</row>
    <row r="816" spans="1:12" s="189" customFormat="1" ht="5.25" customHeight="1" x14ac:dyDescent="0.2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</row>
    <row r="817" spans="1:12" s="189" customFormat="1" ht="5.25" customHeight="1" x14ac:dyDescent="0.2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</row>
    <row r="818" spans="1:12" s="189" customFormat="1" ht="5.25" customHeight="1" x14ac:dyDescent="0.2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</row>
    <row r="819" spans="1:12" s="189" customFormat="1" ht="5.25" customHeight="1" x14ac:dyDescent="0.2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</row>
    <row r="820" spans="1:12" s="189" customFormat="1" ht="5.25" customHeight="1" x14ac:dyDescent="0.2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</row>
    <row r="821" spans="1:12" s="189" customFormat="1" ht="5.25" customHeight="1" x14ac:dyDescent="0.2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</row>
    <row r="822" spans="1:12" s="189" customFormat="1" ht="5.25" customHeight="1" x14ac:dyDescent="0.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</row>
    <row r="823" spans="1:12" s="189" customFormat="1" ht="5.25" customHeight="1" x14ac:dyDescent="0.2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</row>
    <row r="824" spans="1:12" s="189" customFormat="1" ht="5.25" customHeight="1" x14ac:dyDescent="0.2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</row>
    <row r="825" spans="1:12" s="189" customFormat="1" ht="5.25" customHeight="1" x14ac:dyDescent="0.2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</row>
    <row r="826" spans="1:12" s="189" customFormat="1" ht="5.25" customHeight="1" x14ac:dyDescent="0.2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</row>
    <row r="827" spans="1:12" s="189" customFormat="1" ht="5.25" customHeight="1" x14ac:dyDescent="0.2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</row>
    <row r="828" spans="1:12" s="189" customFormat="1" ht="5.25" customHeight="1" x14ac:dyDescent="0.2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</row>
    <row r="829" spans="1:12" s="189" customFormat="1" ht="5.25" customHeight="1" x14ac:dyDescent="0.2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</row>
    <row r="830" spans="1:12" s="189" customFormat="1" ht="5.25" customHeight="1" x14ac:dyDescent="0.2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</row>
    <row r="831" spans="1:12" s="189" customFormat="1" ht="5.25" customHeight="1" x14ac:dyDescent="0.2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</row>
    <row r="832" spans="1:12" s="189" customFormat="1" ht="5.25" customHeight="1" x14ac:dyDescent="0.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</row>
    <row r="833" spans="1:12" s="189" customFormat="1" ht="5.25" customHeight="1" x14ac:dyDescent="0.2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</row>
    <row r="834" spans="1:12" s="189" customFormat="1" ht="5.25" customHeight="1" x14ac:dyDescent="0.2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</row>
    <row r="835" spans="1:12" s="189" customFormat="1" ht="5.25" customHeight="1" x14ac:dyDescent="0.2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</row>
    <row r="836" spans="1:12" s="189" customFormat="1" ht="5.25" customHeight="1" x14ac:dyDescent="0.2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</row>
    <row r="837" spans="1:12" s="189" customFormat="1" ht="5.25" customHeight="1" x14ac:dyDescent="0.2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</row>
    <row r="838" spans="1:12" s="189" customFormat="1" ht="5.25" customHeight="1" x14ac:dyDescent="0.2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</row>
    <row r="839" spans="1:12" s="189" customFormat="1" ht="5.25" customHeight="1" x14ac:dyDescent="0.2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</row>
    <row r="840" spans="1:12" s="189" customFormat="1" ht="5.25" customHeight="1" x14ac:dyDescent="0.2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</row>
    <row r="841" spans="1:12" s="189" customFormat="1" ht="5.25" customHeight="1" x14ac:dyDescent="0.2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</row>
    <row r="842" spans="1:12" s="189" customFormat="1" ht="5.25" customHeight="1" x14ac:dyDescent="0.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</row>
    <row r="843" spans="1:12" s="189" customFormat="1" ht="5.25" customHeight="1" x14ac:dyDescent="0.2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</row>
    <row r="844" spans="1:12" s="189" customFormat="1" ht="5.25" customHeight="1" x14ac:dyDescent="0.2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</row>
    <row r="845" spans="1:12" s="189" customFormat="1" ht="5.25" customHeight="1" x14ac:dyDescent="0.2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</row>
    <row r="846" spans="1:12" s="189" customFormat="1" ht="5.25" customHeight="1" x14ac:dyDescent="0.2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</row>
    <row r="847" spans="1:12" s="189" customFormat="1" ht="5.25" customHeight="1" x14ac:dyDescent="0.2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</row>
    <row r="848" spans="1:12" s="189" customFormat="1" ht="5.25" customHeight="1" x14ac:dyDescent="0.2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</row>
    <row r="849" spans="1:12" s="189" customFormat="1" ht="5.25" customHeight="1" x14ac:dyDescent="0.2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</row>
    <row r="850" spans="1:12" s="189" customFormat="1" ht="5.25" customHeight="1" x14ac:dyDescent="0.2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</row>
    <row r="851" spans="1:12" s="189" customFormat="1" ht="5.25" customHeight="1" x14ac:dyDescent="0.2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</row>
    <row r="852" spans="1:12" s="189" customFormat="1" ht="5.25" customHeight="1" x14ac:dyDescent="0.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</row>
    <row r="853" spans="1:12" s="189" customFormat="1" ht="5.25" customHeight="1" x14ac:dyDescent="0.2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</row>
    <row r="854" spans="1:12" s="189" customFormat="1" ht="5.25" customHeight="1" x14ac:dyDescent="0.2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</row>
    <row r="855" spans="1:12" s="189" customFormat="1" ht="5.25" customHeight="1" x14ac:dyDescent="0.2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</row>
    <row r="856" spans="1:12" s="189" customFormat="1" ht="5.25" customHeight="1" x14ac:dyDescent="0.2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</row>
    <row r="857" spans="1:12" s="189" customFormat="1" ht="5.25" customHeight="1" x14ac:dyDescent="0.2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</row>
    <row r="858" spans="1:12" s="189" customFormat="1" ht="5.25" customHeight="1" x14ac:dyDescent="0.2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</row>
    <row r="859" spans="1:12" s="189" customFormat="1" ht="5.25" customHeight="1" x14ac:dyDescent="0.2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</row>
    <row r="860" spans="1:12" s="189" customFormat="1" ht="5.25" customHeight="1" x14ac:dyDescent="0.2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</row>
    <row r="861" spans="1:12" s="189" customFormat="1" ht="5.25" customHeight="1" x14ac:dyDescent="0.2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</row>
    <row r="862" spans="1:12" s="189" customFormat="1" ht="5.25" customHeight="1" x14ac:dyDescent="0.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</row>
    <row r="863" spans="1:12" s="189" customFormat="1" ht="5.25" customHeight="1" x14ac:dyDescent="0.2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</row>
    <row r="864" spans="1:12" s="189" customFormat="1" ht="5.25" customHeight="1" x14ac:dyDescent="0.2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</row>
    <row r="865" spans="1:12" s="189" customFormat="1" ht="5.25" customHeight="1" x14ac:dyDescent="0.2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</row>
    <row r="866" spans="1:12" s="189" customFormat="1" ht="5.25" customHeight="1" x14ac:dyDescent="0.2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</row>
    <row r="867" spans="1:12" s="189" customFormat="1" ht="5.25" customHeight="1" x14ac:dyDescent="0.2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</row>
    <row r="868" spans="1:12" s="189" customFormat="1" ht="5.25" customHeight="1" x14ac:dyDescent="0.2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</row>
    <row r="869" spans="1:12" s="189" customFormat="1" ht="5.25" customHeight="1" x14ac:dyDescent="0.2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</row>
    <row r="870" spans="1:12" s="189" customFormat="1" ht="5.25" customHeight="1" x14ac:dyDescent="0.2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</row>
    <row r="871" spans="1:12" s="189" customFormat="1" ht="5.25" customHeight="1" x14ac:dyDescent="0.2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</row>
    <row r="872" spans="1:12" s="189" customFormat="1" ht="5.25" customHeight="1" x14ac:dyDescent="0.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</row>
    <row r="873" spans="1:12" s="189" customFormat="1" ht="5.25" customHeight="1" x14ac:dyDescent="0.2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</row>
    <row r="874" spans="1:12" s="189" customFormat="1" ht="5.25" customHeight="1" x14ac:dyDescent="0.2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</row>
    <row r="875" spans="1:12" s="189" customFormat="1" ht="5.25" customHeight="1" x14ac:dyDescent="0.2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</row>
    <row r="876" spans="1:12" s="189" customFormat="1" ht="5.25" customHeight="1" x14ac:dyDescent="0.2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</row>
    <row r="877" spans="1:12" s="189" customFormat="1" ht="5.25" customHeight="1" x14ac:dyDescent="0.2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</row>
    <row r="878" spans="1:12" s="189" customFormat="1" ht="5.25" customHeight="1" x14ac:dyDescent="0.2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</row>
    <row r="879" spans="1:12" s="189" customFormat="1" ht="5.25" customHeight="1" x14ac:dyDescent="0.2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</row>
    <row r="880" spans="1:12" s="189" customFormat="1" ht="5.25" customHeight="1" x14ac:dyDescent="0.2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</row>
    <row r="881" spans="1:12" s="189" customFormat="1" ht="5.25" customHeight="1" x14ac:dyDescent="0.2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</row>
    <row r="882" spans="1:12" s="189" customFormat="1" ht="5.25" customHeight="1" x14ac:dyDescent="0.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</row>
    <row r="883" spans="1:12" s="189" customFormat="1" ht="5.25" customHeight="1" x14ac:dyDescent="0.2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</row>
    <row r="884" spans="1:12" s="189" customFormat="1" ht="5.25" customHeight="1" x14ac:dyDescent="0.2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</row>
    <row r="885" spans="1:12" s="189" customFormat="1" ht="5.25" customHeight="1" x14ac:dyDescent="0.2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</row>
    <row r="886" spans="1:12" s="189" customFormat="1" ht="5.25" customHeight="1" x14ac:dyDescent="0.2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</row>
    <row r="887" spans="1:12" s="189" customFormat="1" ht="5.25" customHeight="1" x14ac:dyDescent="0.2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</row>
    <row r="888" spans="1:12" s="189" customFormat="1" ht="5.25" customHeight="1" x14ac:dyDescent="0.2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</row>
    <row r="889" spans="1:12" s="189" customFormat="1" ht="5.25" customHeight="1" x14ac:dyDescent="0.2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</row>
    <row r="890" spans="1:12" s="189" customFormat="1" ht="5.25" customHeight="1" x14ac:dyDescent="0.2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</row>
    <row r="891" spans="1:12" s="189" customFormat="1" ht="5.25" customHeight="1" x14ac:dyDescent="0.2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</row>
    <row r="892" spans="1:12" s="189" customFormat="1" ht="5.25" customHeight="1" x14ac:dyDescent="0.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</row>
    <row r="893" spans="1:12" s="189" customFormat="1" ht="5.25" customHeight="1" x14ac:dyDescent="0.2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</row>
    <row r="894" spans="1:12" s="189" customFormat="1" ht="5.25" customHeight="1" x14ac:dyDescent="0.2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</row>
    <row r="895" spans="1:12" s="189" customFormat="1" ht="5.25" customHeight="1" x14ac:dyDescent="0.2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</row>
    <row r="896" spans="1:12" s="189" customFormat="1" ht="5.25" customHeight="1" x14ac:dyDescent="0.2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</row>
    <row r="897" spans="1:12" s="189" customFormat="1" ht="5.25" customHeight="1" x14ac:dyDescent="0.2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</row>
    <row r="898" spans="1:12" s="189" customFormat="1" ht="5.25" customHeight="1" x14ac:dyDescent="0.2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</row>
    <row r="899" spans="1:12" s="189" customFormat="1" ht="5.25" customHeight="1" x14ac:dyDescent="0.2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</row>
    <row r="900" spans="1:12" s="189" customFormat="1" ht="5.25" customHeight="1" x14ac:dyDescent="0.2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</row>
    <row r="901" spans="1:12" s="189" customFormat="1" ht="5.25" customHeight="1" x14ac:dyDescent="0.2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</row>
    <row r="902" spans="1:12" s="189" customFormat="1" ht="5.25" customHeight="1" x14ac:dyDescent="0.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</row>
    <row r="903" spans="1:12" s="189" customFormat="1" ht="5.25" customHeight="1" x14ac:dyDescent="0.2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</row>
    <row r="904" spans="1:12" s="189" customFormat="1" ht="5.25" customHeight="1" x14ac:dyDescent="0.2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</row>
    <row r="905" spans="1:12" s="189" customFormat="1" ht="5.25" customHeight="1" x14ac:dyDescent="0.2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</row>
    <row r="906" spans="1:12" s="189" customFormat="1" ht="5.25" customHeight="1" x14ac:dyDescent="0.2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</row>
    <row r="907" spans="1:12" s="189" customFormat="1" ht="5.25" customHeight="1" x14ac:dyDescent="0.2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</row>
    <row r="908" spans="1:12" s="189" customFormat="1" ht="5.25" customHeight="1" x14ac:dyDescent="0.2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</row>
    <row r="909" spans="1:12" s="189" customFormat="1" ht="5.25" customHeight="1" x14ac:dyDescent="0.2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</row>
    <row r="910" spans="1:12" s="189" customFormat="1" ht="5.25" customHeight="1" x14ac:dyDescent="0.2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</row>
    <row r="911" spans="1:12" s="189" customFormat="1" ht="5.25" customHeight="1" x14ac:dyDescent="0.2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</row>
    <row r="912" spans="1:12" s="189" customFormat="1" ht="5.25" customHeight="1" x14ac:dyDescent="0.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</row>
    <row r="913" spans="1:12" s="189" customFormat="1" ht="5.25" customHeight="1" x14ac:dyDescent="0.2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</row>
    <row r="914" spans="1:12" s="189" customFormat="1" ht="5.25" customHeight="1" x14ac:dyDescent="0.2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</row>
    <row r="915" spans="1:12" s="189" customFormat="1" ht="5.25" customHeight="1" x14ac:dyDescent="0.2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</row>
    <row r="916" spans="1:12" s="189" customFormat="1" ht="5.25" customHeight="1" x14ac:dyDescent="0.2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</row>
    <row r="917" spans="1:12" s="189" customFormat="1" ht="5.25" customHeight="1" x14ac:dyDescent="0.2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</row>
    <row r="918" spans="1:12" s="189" customFormat="1" ht="5.25" customHeight="1" x14ac:dyDescent="0.2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</row>
    <row r="919" spans="1:12" s="189" customFormat="1" ht="5.25" customHeight="1" x14ac:dyDescent="0.2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</row>
    <row r="920" spans="1:12" s="189" customFormat="1" ht="5.25" customHeight="1" x14ac:dyDescent="0.2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</row>
    <row r="921" spans="1:12" s="189" customFormat="1" ht="5.25" customHeight="1" x14ac:dyDescent="0.2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</row>
    <row r="922" spans="1:12" s="189" customFormat="1" ht="5.25" customHeight="1" x14ac:dyDescent="0.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</row>
    <row r="923" spans="1:12" s="189" customFormat="1" ht="5.25" customHeight="1" x14ac:dyDescent="0.2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</row>
    <row r="924" spans="1:12" s="189" customFormat="1" ht="5.25" customHeight="1" x14ac:dyDescent="0.2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</row>
    <row r="925" spans="1:12" s="189" customFormat="1" ht="5.25" customHeight="1" x14ac:dyDescent="0.2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</row>
    <row r="926" spans="1:12" s="189" customFormat="1" ht="5.25" customHeight="1" x14ac:dyDescent="0.2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</row>
    <row r="927" spans="1:12" s="189" customFormat="1" ht="5.25" customHeight="1" x14ac:dyDescent="0.2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</row>
    <row r="928" spans="1:12" s="189" customFormat="1" ht="5.25" customHeight="1" x14ac:dyDescent="0.2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</row>
    <row r="929" spans="1:12" s="189" customFormat="1" ht="5.25" customHeight="1" x14ac:dyDescent="0.2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</row>
    <row r="930" spans="1:12" s="189" customFormat="1" ht="5.25" customHeight="1" x14ac:dyDescent="0.2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</row>
    <row r="931" spans="1:12" s="189" customFormat="1" ht="5.25" customHeight="1" x14ac:dyDescent="0.2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</row>
    <row r="932" spans="1:12" s="189" customFormat="1" ht="5.25" customHeight="1" x14ac:dyDescent="0.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</row>
    <row r="933" spans="1:12" s="189" customFormat="1" ht="5.25" customHeight="1" x14ac:dyDescent="0.2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</row>
    <row r="934" spans="1:12" s="189" customFormat="1" ht="5.25" customHeight="1" x14ac:dyDescent="0.2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</row>
    <row r="935" spans="1:12" s="189" customFormat="1" ht="5.25" customHeight="1" x14ac:dyDescent="0.2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</row>
    <row r="936" spans="1:12" s="189" customFormat="1" ht="5.25" customHeight="1" x14ac:dyDescent="0.2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</row>
    <row r="937" spans="1:12" s="189" customFormat="1" ht="5.25" customHeight="1" x14ac:dyDescent="0.2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</row>
    <row r="938" spans="1:12" s="189" customFormat="1" ht="5.25" customHeight="1" x14ac:dyDescent="0.2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</row>
    <row r="939" spans="1:12" s="189" customFormat="1" ht="5.25" customHeight="1" x14ac:dyDescent="0.2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</row>
    <row r="940" spans="1:12" s="189" customFormat="1" ht="5.25" customHeight="1" x14ac:dyDescent="0.2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</row>
    <row r="941" spans="1:12" s="189" customFormat="1" ht="5.25" customHeight="1" x14ac:dyDescent="0.2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</row>
    <row r="942" spans="1:12" s="189" customFormat="1" ht="5.25" customHeight="1" x14ac:dyDescent="0.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</row>
    <row r="943" spans="1:12" s="189" customFormat="1" ht="5.25" customHeight="1" x14ac:dyDescent="0.2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</row>
    <row r="944" spans="1:12" s="189" customFormat="1" ht="5.25" customHeight="1" x14ac:dyDescent="0.2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</row>
    <row r="945" spans="1:12" s="189" customFormat="1" ht="5.25" customHeight="1" x14ac:dyDescent="0.2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</row>
    <row r="946" spans="1:12" s="189" customFormat="1" ht="5.25" customHeight="1" x14ac:dyDescent="0.2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</row>
    <row r="947" spans="1:12" s="189" customFormat="1" ht="5.25" customHeight="1" x14ac:dyDescent="0.2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</row>
    <row r="948" spans="1:12" s="189" customFormat="1" ht="5.25" customHeight="1" x14ac:dyDescent="0.2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</row>
    <row r="949" spans="1:12" s="189" customFormat="1" ht="5.25" customHeight="1" x14ac:dyDescent="0.2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</row>
    <row r="950" spans="1:12" s="189" customFormat="1" ht="5.25" customHeight="1" x14ac:dyDescent="0.2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</row>
    <row r="951" spans="1:12" s="189" customFormat="1" ht="5.25" customHeight="1" x14ac:dyDescent="0.2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</row>
    <row r="952" spans="1:12" s="189" customFormat="1" ht="5.25" customHeight="1" x14ac:dyDescent="0.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</row>
    <row r="953" spans="1:12" s="189" customFormat="1" ht="5.25" customHeight="1" x14ac:dyDescent="0.2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</row>
    <row r="954" spans="1:12" s="189" customFormat="1" ht="5.25" customHeight="1" x14ac:dyDescent="0.2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</row>
    <row r="955" spans="1:12" s="189" customFormat="1" ht="5.25" customHeight="1" x14ac:dyDescent="0.2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</row>
    <row r="956" spans="1:12" s="189" customFormat="1" ht="5.25" customHeight="1" x14ac:dyDescent="0.2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</row>
    <row r="957" spans="1:12" s="189" customFormat="1" ht="5.25" customHeight="1" x14ac:dyDescent="0.2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</row>
    <row r="958" spans="1:12" s="189" customFormat="1" ht="5.25" customHeight="1" x14ac:dyDescent="0.2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</row>
    <row r="959" spans="1:12" s="189" customFormat="1" ht="5.25" customHeight="1" x14ac:dyDescent="0.2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</row>
    <row r="960" spans="1:12" s="189" customFormat="1" ht="5.25" customHeight="1" x14ac:dyDescent="0.2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</row>
    <row r="961" spans="1:12" s="189" customFormat="1" ht="5.25" customHeight="1" x14ac:dyDescent="0.2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</row>
    <row r="962" spans="1:12" s="189" customFormat="1" ht="5.25" customHeight="1" x14ac:dyDescent="0.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</row>
    <row r="963" spans="1:12" s="189" customFormat="1" ht="5.25" customHeight="1" x14ac:dyDescent="0.2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</row>
    <row r="964" spans="1:12" s="189" customFormat="1" ht="5.25" customHeight="1" x14ac:dyDescent="0.2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</row>
    <row r="965" spans="1:12" s="189" customFormat="1" ht="5.25" customHeight="1" x14ac:dyDescent="0.2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</row>
    <row r="966" spans="1:12" s="189" customFormat="1" ht="5.25" customHeight="1" x14ac:dyDescent="0.2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</row>
    <row r="967" spans="1:12" s="189" customFormat="1" ht="5.25" customHeight="1" x14ac:dyDescent="0.2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</row>
    <row r="968" spans="1:12" s="189" customFormat="1" ht="5.25" customHeight="1" x14ac:dyDescent="0.2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</row>
    <row r="969" spans="1:12" s="189" customFormat="1" ht="5.25" customHeight="1" x14ac:dyDescent="0.2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</row>
    <row r="970" spans="1:12" s="189" customFormat="1" ht="5.25" customHeight="1" x14ac:dyDescent="0.2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</row>
    <row r="971" spans="1:12" s="189" customFormat="1" ht="5.25" customHeight="1" x14ac:dyDescent="0.2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</row>
    <row r="972" spans="1:12" s="189" customFormat="1" ht="5.25" customHeight="1" x14ac:dyDescent="0.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</row>
    <row r="973" spans="1:12" s="189" customFormat="1" ht="5.25" customHeight="1" x14ac:dyDescent="0.2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</row>
    <row r="974" spans="1:12" s="189" customFormat="1" ht="5.25" customHeight="1" x14ac:dyDescent="0.2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</row>
    <row r="975" spans="1:12" s="189" customFormat="1" ht="5.25" customHeight="1" x14ac:dyDescent="0.2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</row>
    <row r="976" spans="1:12" s="189" customFormat="1" ht="5.25" customHeight="1" x14ac:dyDescent="0.2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</row>
    <row r="977" spans="1:12" s="189" customFormat="1" ht="5.25" customHeight="1" x14ac:dyDescent="0.2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</row>
    <row r="978" spans="1:12" s="189" customFormat="1" ht="5.25" customHeight="1" x14ac:dyDescent="0.2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</row>
    <row r="979" spans="1:12" s="189" customFormat="1" ht="5.25" customHeight="1" x14ac:dyDescent="0.2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</row>
    <row r="980" spans="1:12" s="189" customFormat="1" ht="5.25" customHeight="1" x14ac:dyDescent="0.2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</row>
    <row r="981" spans="1:12" s="189" customFormat="1" ht="5.25" customHeight="1" x14ac:dyDescent="0.2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</row>
    <row r="982" spans="1:12" s="189" customFormat="1" ht="5.25" customHeight="1" x14ac:dyDescent="0.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</row>
    <row r="983" spans="1:12" s="189" customFormat="1" ht="5.25" customHeight="1" x14ac:dyDescent="0.2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</row>
    <row r="984" spans="1:12" s="189" customFormat="1" ht="5.25" customHeight="1" x14ac:dyDescent="0.2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</row>
    <row r="985" spans="1:12" s="189" customFormat="1" ht="5.25" customHeight="1" x14ac:dyDescent="0.2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</row>
    <row r="986" spans="1:12" s="189" customFormat="1" ht="5.25" customHeight="1" x14ac:dyDescent="0.2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</row>
    <row r="987" spans="1:12" s="189" customFormat="1" ht="5.25" customHeight="1" x14ac:dyDescent="0.2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</row>
    <row r="988" spans="1:12" s="189" customFormat="1" ht="5.25" customHeight="1" x14ac:dyDescent="0.2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</row>
    <row r="989" spans="1:12" s="189" customFormat="1" ht="5.25" customHeight="1" x14ac:dyDescent="0.2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</row>
    <row r="990" spans="1:12" s="189" customFormat="1" ht="5.25" customHeight="1" x14ac:dyDescent="0.2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</row>
    <row r="991" spans="1:12" s="189" customFormat="1" ht="5.25" customHeight="1" x14ac:dyDescent="0.2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</row>
    <row r="992" spans="1:12" s="189" customFormat="1" ht="5.25" customHeight="1" x14ac:dyDescent="0.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</row>
    <row r="993" spans="1:12" s="189" customFormat="1" ht="5.25" customHeight="1" x14ac:dyDescent="0.2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</row>
    <row r="994" spans="1:12" s="189" customFormat="1" ht="5.25" customHeight="1" x14ac:dyDescent="0.2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</row>
    <row r="995" spans="1:12" s="189" customFormat="1" ht="5.25" customHeight="1" x14ac:dyDescent="0.2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</row>
    <row r="996" spans="1:12" s="189" customFormat="1" ht="5.25" customHeight="1" x14ac:dyDescent="0.2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</row>
    <row r="997" spans="1:12" s="189" customFormat="1" ht="5.25" customHeight="1" x14ac:dyDescent="0.2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</row>
    <row r="998" spans="1:12" s="189" customFormat="1" ht="5.25" customHeight="1" x14ac:dyDescent="0.2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</row>
    <row r="999" spans="1:12" s="189" customFormat="1" ht="5.25" customHeight="1" x14ac:dyDescent="0.2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</row>
    <row r="1000" spans="1:12" s="189" customFormat="1" ht="5.25" customHeight="1" x14ac:dyDescent="0.2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</row>
    <row r="1001" spans="1:12" s="189" customFormat="1" ht="5.25" customHeight="1" x14ac:dyDescent="0.2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</row>
    <row r="1002" spans="1:12" s="189" customFormat="1" ht="5.25" customHeight="1" x14ac:dyDescent="0.2">
      <c r="A1002" s="25"/>
      <c r="B1002" s="25"/>
      <c r="C1002" s="25"/>
      <c r="D1002" s="25"/>
      <c r="E1002" s="25"/>
      <c r="F1002" s="25"/>
      <c r="G1002" s="25"/>
      <c r="H1002" s="25"/>
      <c r="I1002" s="25"/>
      <c r="J1002" s="25"/>
      <c r="K1002" s="25"/>
      <c r="L1002" s="25"/>
    </row>
    <row r="1003" spans="1:12" s="189" customFormat="1" ht="5.25" customHeight="1" x14ac:dyDescent="0.2">
      <c r="A1003" s="25"/>
      <c r="B1003" s="25"/>
      <c r="C1003" s="25"/>
      <c r="D1003" s="25"/>
      <c r="E1003" s="25"/>
      <c r="F1003" s="25"/>
      <c r="G1003" s="25"/>
      <c r="H1003" s="25"/>
      <c r="I1003" s="25"/>
      <c r="J1003" s="25"/>
      <c r="K1003" s="25"/>
      <c r="L1003" s="25"/>
    </row>
    <row r="1004" spans="1:12" s="189" customFormat="1" ht="5.25" customHeight="1" x14ac:dyDescent="0.2">
      <c r="A1004" s="25"/>
      <c r="B1004" s="25"/>
      <c r="C1004" s="25"/>
      <c r="D1004" s="25"/>
      <c r="E1004" s="25"/>
      <c r="F1004" s="25"/>
      <c r="G1004" s="25"/>
      <c r="H1004" s="25"/>
      <c r="I1004" s="25"/>
      <c r="J1004" s="25"/>
      <c r="K1004" s="25"/>
      <c r="L1004" s="25"/>
    </row>
    <row r="1005" spans="1:12" s="189" customFormat="1" ht="5.25" customHeight="1" x14ac:dyDescent="0.2">
      <c r="A1005" s="25"/>
      <c r="B1005" s="25"/>
      <c r="C1005" s="25"/>
      <c r="D1005" s="25"/>
      <c r="E1005" s="25"/>
      <c r="F1005" s="25"/>
      <c r="G1005" s="25"/>
      <c r="H1005" s="25"/>
      <c r="I1005" s="25"/>
      <c r="J1005" s="25"/>
      <c r="K1005" s="25"/>
      <c r="L1005" s="25"/>
    </row>
    <row r="1006" spans="1:12" s="189" customFormat="1" ht="5.25" customHeight="1" x14ac:dyDescent="0.2">
      <c r="A1006" s="25"/>
      <c r="B1006" s="25"/>
      <c r="C1006" s="25"/>
      <c r="D1006" s="25"/>
      <c r="E1006" s="25"/>
      <c r="F1006" s="25"/>
      <c r="G1006" s="25"/>
      <c r="H1006" s="25"/>
      <c r="I1006" s="25"/>
      <c r="J1006" s="25"/>
      <c r="K1006" s="25"/>
      <c r="L1006" s="25"/>
    </row>
    <row r="1007" spans="1:12" s="189" customFormat="1" ht="5.25" customHeight="1" x14ac:dyDescent="0.2">
      <c r="A1007" s="25"/>
      <c r="B1007" s="25"/>
      <c r="C1007" s="25"/>
      <c r="D1007" s="25"/>
      <c r="E1007" s="25"/>
      <c r="F1007" s="25"/>
      <c r="G1007" s="25"/>
      <c r="H1007" s="25"/>
      <c r="I1007" s="25"/>
      <c r="J1007" s="25"/>
      <c r="K1007" s="25"/>
      <c r="L1007" s="25"/>
    </row>
    <row r="1008" spans="1:12" s="189" customFormat="1" ht="5.25" customHeight="1" x14ac:dyDescent="0.2">
      <c r="A1008" s="25"/>
      <c r="B1008" s="25"/>
      <c r="C1008" s="25"/>
      <c r="D1008" s="25"/>
      <c r="E1008" s="25"/>
      <c r="F1008" s="25"/>
      <c r="G1008" s="25"/>
      <c r="H1008" s="25"/>
      <c r="I1008" s="25"/>
      <c r="J1008" s="25"/>
      <c r="K1008" s="25"/>
      <c r="L1008" s="25"/>
    </row>
    <row r="1009" spans="1:12" s="189" customFormat="1" ht="5.25" customHeight="1" x14ac:dyDescent="0.2">
      <c r="A1009" s="25"/>
      <c r="B1009" s="25"/>
      <c r="C1009" s="25"/>
      <c r="D1009" s="25"/>
      <c r="E1009" s="25"/>
      <c r="F1009" s="25"/>
      <c r="G1009" s="25"/>
      <c r="H1009" s="25"/>
      <c r="I1009" s="25"/>
      <c r="J1009" s="25"/>
      <c r="K1009" s="25"/>
      <c r="L1009" s="25"/>
    </row>
    <row r="1010" spans="1:12" s="189" customFormat="1" ht="5.25" customHeight="1" x14ac:dyDescent="0.2">
      <c r="A1010" s="25"/>
      <c r="B1010" s="25"/>
      <c r="C1010" s="25"/>
      <c r="D1010" s="25"/>
      <c r="E1010" s="25"/>
      <c r="F1010" s="25"/>
      <c r="G1010" s="25"/>
      <c r="H1010" s="25"/>
      <c r="I1010" s="25"/>
      <c r="J1010" s="25"/>
      <c r="K1010" s="25"/>
      <c r="L1010" s="25"/>
    </row>
    <row r="1011" spans="1:12" s="189" customFormat="1" ht="5.25" customHeight="1" x14ac:dyDescent="0.2">
      <c r="A1011" s="25"/>
      <c r="B1011" s="25"/>
      <c r="C1011" s="25"/>
      <c r="D1011" s="25"/>
      <c r="E1011" s="25"/>
      <c r="F1011" s="25"/>
      <c r="G1011" s="25"/>
      <c r="H1011" s="25"/>
      <c r="I1011" s="25"/>
      <c r="J1011" s="25"/>
      <c r="K1011" s="25"/>
      <c r="L1011" s="25"/>
    </row>
    <row r="1012" spans="1:12" s="189" customFormat="1" ht="5.25" customHeight="1" x14ac:dyDescent="0.2">
      <c r="A1012" s="25"/>
      <c r="B1012" s="25"/>
      <c r="C1012" s="25"/>
      <c r="D1012" s="25"/>
      <c r="E1012" s="25"/>
      <c r="F1012" s="25"/>
      <c r="G1012" s="25"/>
      <c r="H1012" s="25"/>
      <c r="I1012" s="25"/>
      <c r="J1012" s="25"/>
      <c r="K1012" s="25"/>
      <c r="L1012" s="25"/>
    </row>
    <row r="1013" spans="1:12" s="189" customFormat="1" ht="5.25" customHeight="1" x14ac:dyDescent="0.2">
      <c r="A1013" s="25"/>
      <c r="B1013" s="25"/>
      <c r="C1013" s="25"/>
      <c r="D1013" s="25"/>
      <c r="E1013" s="25"/>
      <c r="F1013" s="25"/>
      <c r="G1013" s="25"/>
      <c r="H1013" s="25"/>
      <c r="I1013" s="25"/>
      <c r="J1013" s="25"/>
      <c r="K1013" s="25"/>
      <c r="L1013" s="25"/>
    </row>
    <row r="1014" spans="1:12" s="189" customFormat="1" ht="5.25" customHeight="1" x14ac:dyDescent="0.2">
      <c r="A1014" s="25"/>
      <c r="B1014" s="25"/>
      <c r="C1014" s="25"/>
      <c r="D1014" s="25"/>
      <c r="E1014" s="25"/>
      <c r="F1014" s="25"/>
      <c r="G1014" s="25"/>
      <c r="H1014" s="25"/>
      <c r="I1014" s="25"/>
      <c r="J1014" s="25"/>
      <c r="K1014" s="25"/>
      <c r="L1014" s="25"/>
    </row>
    <row r="1015" spans="1:12" s="189" customFormat="1" ht="5.25" customHeight="1" x14ac:dyDescent="0.2">
      <c r="A1015" s="25"/>
      <c r="B1015" s="25"/>
      <c r="C1015" s="25"/>
      <c r="D1015" s="25"/>
      <c r="E1015" s="25"/>
      <c r="F1015" s="25"/>
      <c r="G1015" s="25"/>
      <c r="H1015" s="25"/>
      <c r="I1015" s="25"/>
      <c r="J1015" s="25"/>
      <c r="K1015" s="25"/>
      <c r="L1015" s="25"/>
    </row>
    <row r="1016" spans="1:12" s="189" customFormat="1" ht="5.25" customHeight="1" x14ac:dyDescent="0.2">
      <c r="A1016" s="25"/>
      <c r="B1016" s="25"/>
      <c r="C1016" s="25"/>
      <c r="D1016" s="25"/>
      <c r="E1016" s="25"/>
      <c r="F1016" s="25"/>
      <c r="G1016" s="25"/>
      <c r="H1016" s="25"/>
      <c r="I1016" s="25"/>
      <c r="J1016" s="25"/>
      <c r="K1016" s="25"/>
      <c r="L1016" s="25"/>
    </row>
    <row r="1017" spans="1:12" s="189" customFormat="1" ht="5.25" customHeight="1" x14ac:dyDescent="0.2">
      <c r="A1017" s="25"/>
      <c r="B1017" s="25"/>
      <c r="C1017" s="25"/>
      <c r="D1017" s="25"/>
      <c r="E1017" s="25"/>
      <c r="F1017" s="25"/>
      <c r="G1017" s="25"/>
      <c r="H1017" s="25"/>
      <c r="I1017" s="25"/>
      <c r="J1017" s="25"/>
      <c r="K1017" s="25"/>
      <c r="L1017" s="25"/>
    </row>
    <row r="1018" spans="1:12" s="189" customFormat="1" ht="5.25" customHeight="1" x14ac:dyDescent="0.2">
      <c r="A1018" s="25"/>
      <c r="B1018" s="25"/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</row>
    <row r="1019" spans="1:12" s="189" customFormat="1" ht="5.25" customHeight="1" x14ac:dyDescent="0.2">
      <c r="A1019" s="25"/>
      <c r="B1019" s="25"/>
      <c r="C1019" s="25"/>
      <c r="D1019" s="25"/>
      <c r="E1019" s="25"/>
      <c r="F1019" s="25"/>
      <c r="G1019" s="25"/>
      <c r="H1019" s="25"/>
      <c r="I1019" s="25"/>
      <c r="J1019" s="25"/>
      <c r="K1019" s="25"/>
      <c r="L1019" s="25"/>
    </row>
    <row r="1020" spans="1:12" s="189" customFormat="1" ht="5.25" customHeight="1" x14ac:dyDescent="0.2">
      <c r="A1020" s="25"/>
      <c r="B1020" s="25"/>
      <c r="C1020" s="25"/>
      <c r="D1020" s="25"/>
      <c r="E1020" s="25"/>
      <c r="F1020" s="25"/>
      <c r="G1020" s="25"/>
      <c r="H1020" s="25"/>
      <c r="I1020" s="25"/>
      <c r="J1020" s="25"/>
      <c r="K1020" s="25"/>
      <c r="L1020" s="25"/>
    </row>
    <row r="1021" spans="1:12" s="189" customFormat="1" ht="5.25" customHeight="1" x14ac:dyDescent="0.2">
      <c r="A1021" s="25"/>
      <c r="B1021" s="25"/>
      <c r="C1021" s="25"/>
      <c r="D1021" s="25"/>
      <c r="E1021" s="25"/>
      <c r="F1021" s="25"/>
      <c r="G1021" s="25"/>
      <c r="H1021" s="25"/>
      <c r="I1021" s="25"/>
      <c r="J1021" s="25"/>
      <c r="K1021" s="25"/>
      <c r="L1021" s="25"/>
    </row>
    <row r="1022" spans="1:12" s="189" customFormat="1" ht="5.25" customHeight="1" x14ac:dyDescent="0.2">
      <c r="A1022" s="25"/>
      <c r="B1022" s="25"/>
      <c r="C1022" s="25"/>
      <c r="D1022" s="25"/>
      <c r="E1022" s="25"/>
      <c r="F1022" s="25"/>
      <c r="G1022" s="25"/>
      <c r="H1022" s="25"/>
      <c r="I1022" s="25"/>
      <c r="J1022" s="25"/>
      <c r="K1022" s="25"/>
      <c r="L1022" s="25"/>
    </row>
    <row r="1023" spans="1:12" s="189" customFormat="1" ht="5.25" customHeight="1" x14ac:dyDescent="0.2">
      <c r="A1023" s="25"/>
      <c r="B1023" s="25"/>
      <c r="C1023" s="25"/>
      <c r="D1023" s="25"/>
      <c r="E1023" s="25"/>
      <c r="F1023" s="25"/>
      <c r="G1023" s="25"/>
      <c r="H1023" s="25"/>
      <c r="I1023" s="25"/>
      <c r="J1023" s="25"/>
      <c r="K1023" s="25"/>
      <c r="L1023" s="25"/>
    </row>
    <row r="1024" spans="1:12" s="189" customFormat="1" ht="5.25" customHeight="1" x14ac:dyDescent="0.2">
      <c r="A1024" s="25"/>
      <c r="B1024" s="25"/>
      <c r="C1024" s="25"/>
      <c r="D1024" s="25"/>
      <c r="E1024" s="25"/>
      <c r="F1024" s="25"/>
      <c r="G1024" s="25"/>
      <c r="H1024" s="25"/>
      <c r="I1024" s="25"/>
      <c r="J1024" s="25"/>
      <c r="K1024" s="25"/>
      <c r="L1024" s="25"/>
    </row>
    <row r="1025" spans="1:12" s="189" customFormat="1" ht="5.25" customHeight="1" x14ac:dyDescent="0.2">
      <c r="A1025" s="25"/>
      <c r="B1025" s="25"/>
      <c r="C1025" s="25"/>
      <c r="D1025" s="25"/>
      <c r="E1025" s="25"/>
      <c r="F1025" s="25"/>
      <c r="G1025" s="25"/>
      <c r="H1025" s="25"/>
      <c r="I1025" s="25"/>
      <c r="J1025" s="25"/>
      <c r="K1025" s="25"/>
      <c r="L1025" s="25"/>
    </row>
    <row r="1026" spans="1:12" s="189" customFormat="1" ht="5.25" customHeight="1" x14ac:dyDescent="0.2">
      <c r="A1026" s="25"/>
      <c r="B1026" s="25"/>
      <c r="C1026" s="25"/>
      <c r="D1026" s="25"/>
      <c r="E1026" s="25"/>
      <c r="F1026" s="25"/>
      <c r="G1026" s="25"/>
      <c r="H1026" s="25"/>
      <c r="I1026" s="25"/>
      <c r="J1026" s="25"/>
      <c r="K1026" s="25"/>
      <c r="L1026" s="25"/>
    </row>
    <row r="1027" spans="1:12" s="189" customFormat="1" ht="5.25" customHeight="1" x14ac:dyDescent="0.2">
      <c r="A1027" s="25"/>
      <c r="B1027" s="25"/>
      <c r="C1027" s="25"/>
      <c r="D1027" s="25"/>
      <c r="E1027" s="25"/>
      <c r="F1027" s="25"/>
      <c r="G1027" s="25"/>
      <c r="H1027" s="25"/>
      <c r="I1027" s="25"/>
      <c r="J1027" s="25"/>
      <c r="K1027" s="25"/>
      <c r="L1027" s="25"/>
    </row>
    <row r="1028" spans="1:12" s="189" customFormat="1" ht="5.25" customHeight="1" x14ac:dyDescent="0.2">
      <c r="A1028" s="25"/>
      <c r="B1028" s="25"/>
      <c r="C1028" s="25"/>
      <c r="D1028" s="25"/>
      <c r="E1028" s="25"/>
      <c r="F1028" s="25"/>
      <c r="G1028" s="25"/>
      <c r="H1028" s="25"/>
      <c r="I1028" s="25"/>
      <c r="J1028" s="25"/>
      <c r="K1028" s="25"/>
      <c r="L1028" s="25"/>
    </row>
    <row r="1029" spans="1:12" s="189" customFormat="1" ht="5.25" customHeight="1" x14ac:dyDescent="0.2">
      <c r="A1029" s="25"/>
      <c r="B1029" s="25"/>
      <c r="C1029" s="25"/>
      <c r="D1029" s="25"/>
      <c r="E1029" s="25"/>
      <c r="F1029" s="25"/>
      <c r="G1029" s="25"/>
      <c r="H1029" s="25"/>
      <c r="I1029" s="25"/>
      <c r="J1029" s="25"/>
      <c r="K1029" s="25"/>
      <c r="L1029" s="25"/>
    </row>
    <row r="1030" spans="1:12" s="189" customFormat="1" ht="5.25" customHeight="1" x14ac:dyDescent="0.2">
      <c r="A1030" s="25"/>
      <c r="B1030" s="25"/>
      <c r="C1030" s="25"/>
      <c r="D1030" s="25"/>
      <c r="E1030" s="25"/>
      <c r="F1030" s="25"/>
      <c r="G1030" s="25"/>
      <c r="H1030" s="25"/>
      <c r="I1030" s="25"/>
      <c r="J1030" s="25"/>
      <c r="K1030" s="25"/>
      <c r="L1030" s="25"/>
    </row>
    <row r="1031" spans="1:12" s="189" customFormat="1" ht="5.25" customHeight="1" x14ac:dyDescent="0.2">
      <c r="A1031" s="25"/>
      <c r="B1031" s="25"/>
      <c r="C1031" s="25"/>
      <c r="D1031" s="25"/>
      <c r="E1031" s="25"/>
      <c r="F1031" s="25"/>
      <c r="G1031" s="25"/>
      <c r="H1031" s="25"/>
      <c r="I1031" s="25"/>
      <c r="J1031" s="25"/>
      <c r="K1031" s="25"/>
      <c r="L1031" s="25"/>
    </row>
    <row r="1032" spans="1:12" s="189" customFormat="1" ht="5.25" customHeight="1" x14ac:dyDescent="0.2">
      <c r="A1032" s="25"/>
      <c r="B1032" s="25"/>
      <c r="C1032" s="25"/>
      <c r="D1032" s="25"/>
      <c r="E1032" s="25"/>
      <c r="F1032" s="25"/>
      <c r="G1032" s="25"/>
      <c r="H1032" s="25"/>
      <c r="I1032" s="25"/>
      <c r="J1032" s="25"/>
      <c r="K1032" s="25"/>
      <c r="L1032" s="25"/>
    </row>
    <row r="1033" spans="1:12" s="189" customFormat="1" ht="5.25" customHeight="1" x14ac:dyDescent="0.2">
      <c r="A1033" s="25"/>
      <c r="B1033" s="25"/>
      <c r="C1033" s="25"/>
      <c r="D1033" s="25"/>
      <c r="E1033" s="25"/>
      <c r="F1033" s="25"/>
      <c r="G1033" s="25"/>
      <c r="H1033" s="25"/>
      <c r="I1033" s="25"/>
      <c r="J1033" s="25"/>
      <c r="K1033" s="25"/>
      <c r="L1033" s="25"/>
    </row>
    <row r="1034" spans="1:12" s="189" customFormat="1" ht="5.25" customHeight="1" x14ac:dyDescent="0.2">
      <c r="A1034" s="25"/>
      <c r="B1034" s="25"/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</row>
    <row r="1035" spans="1:12" s="189" customFormat="1" ht="5.25" customHeight="1" x14ac:dyDescent="0.2">
      <c r="A1035" s="25"/>
      <c r="B1035" s="25"/>
      <c r="C1035" s="25"/>
      <c r="D1035" s="25"/>
      <c r="E1035" s="25"/>
      <c r="F1035" s="25"/>
      <c r="G1035" s="25"/>
      <c r="H1035" s="25"/>
      <c r="I1035" s="25"/>
      <c r="J1035" s="25"/>
      <c r="K1035" s="25"/>
      <c r="L1035" s="25"/>
    </row>
    <row r="1036" spans="1:12" s="189" customFormat="1" ht="5.25" customHeight="1" x14ac:dyDescent="0.2">
      <c r="A1036" s="25"/>
      <c r="B1036" s="25"/>
      <c r="C1036" s="25"/>
      <c r="D1036" s="25"/>
      <c r="E1036" s="25"/>
      <c r="F1036" s="25"/>
      <c r="G1036" s="25"/>
      <c r="H1036" s="25"/>
      <c r="I1036" s="25"/>
      <c r="J1036" s="25"/>
      <c r="K1036" s="25"/>
      <c r="L1036" s="25"/>
    </row>
    <row r="1037" spans="1:12" s="189" customFormat="1" ht="5.25" customHeight="1" x14ac:dyDescent="0.2">
      <c r="A1037" s="25"/>
      <c r="B1037" s="25"/>
      <c r="C1037" s="25"/>
      <c r="D1037" s="25"/>
      <c r="E1037" s="25"/>
      <c r="F1037" s="25"/>
      <c r="G1037" s="25"/>
      <c r="H1037" s="25"/>
      <c r="I1037" s="25"/>
      <c r="J1037" s="25"/>
      <c r="K1037" s="25"/>
      <c r="L1037" s="25"/>
    </row>
    <row r="1038" spans="1:12" s="189" customFormat="1" ht="5.25" customHeight="1" x14ac:dyDescent="0.2">
      <c r="A1038" s="25"/>
      <c r="B1038" s="25"/>
      <c r="C1038" s="25"/>
      <c r="D1038" s="25"/>
      <c r="E1038" s="25"/>
      <c r="F1038" s="25"/>
      <c r="G1038" s="25"/>
      <c r="H1038" s="25"/>
      <c r="I1038" s="25"/>
      <c r="J1038" s="25"/>
      <c r="K1038" s="25"/>
      <c r="L1038" s="25"/>
    </row>
    <row r="1039" spans="1:12" s="189" customFormat="1" ht="5.25" customHeight="1" x14ac:dyDescent="0.2">
      <c r="A1039" s="25"/>
      <c r="B1039" s="25"/>
      <c r="C1039" s="25"/>
      <c r="D1039" s="25"/>
      <c r="E1039" s="25"/>
      <c r="F1039" s="25"/>
      <c r="G1039" s="25"/>
      <c r="H1039" s="25"/>
      <c r="I1039" s="25"/>
      <c r="J1039" s="25"/>
      <c r="K1039" s="25"/>
      <c r="L1039" s="25"/>
    </row>
    <row r="1040" spans="1:12" s="189" customFormat="1" ht="5.25" customHeight="1" x14ac:dyDescent="0.2">
      <c r="A1040" s="25"/>
      <c r="B1040" s="25"/>
      <c r="C1040" s="25"/>
      <c r="D1040" s="25"/>
      <c r="E1040" s="25"/>
      <c r="F1040" s="25"/>
      <c r="G1040" s="25"/>
      <c r="H1040" s="25"/>
      <c r="I1040" s="25"/>
      <c r="J1040" s="25"/>
      <c r="K1040" s="25"/>
      <c r="L1040" s="25"/>
    </row>
    <row r="1041" spans="1:12" s="189" customFormat="1" ht="5.25" customHeight="1" x14ac:dyDescent="0.2">
      <c r="A1041" s="25"/>
      <c r="B1041" s="25"/>
      <c r="C1041" s="25"/>
      <c r="D1041" s="25"/>
      <c r="E1041" s="25"/>
      <c r="F1041" s="25"/>
      <c r="G1041" s="25"/>
      <c r="H1041" s="25"/>
      <c r="I1041" s="25"/>
      <c r="J1041" s="25"/>
      <c r="K1041" s="25"/>
      <c r="L1041" s="25"/>
    </row>
    <row r="1042" spans="1:12" s="189" customFormat="1" ht="5.25" customHeight="1" x14ac:dyDescent="0.2">
      <c r="A1042" s="25"/>
      <c r="B1042" s="25"/>
      <c r="C1042" s="25"/>
      <c r="D1042" s="25"/>
      <c r="E1042" s="25"/>
      <c r="F1042" s="25"/>
      <c r="G1042" s="25"/>
      <c r="H1042" s="25"/>
      <c r="I1042" s="25"/>
      <c r="J1042" s="25"/>
      <c r="K1042" s="25"/>
      <c r="L1042" s="25"/>
    </row>
    <row r="1043" spans="1:12" s="189" customFormat="1" ht="5.25" customHeight="1" x14ac:dyDescent="0.2">
      <c r="A1043" s="25"/>
      <c r="B1043" s="25"/>
      <c r="C1043" s="25"/>
      <c r="D1043" s="25"/>
      <c r="E1043" s="25"/>
      <c r="F1043" s="25"/>
      <c r="G1043" s="25"/>
      <c r="H1043" s="25"/>
      <c r="I1043" s="25"/>
      <c r="J1043" s="25"/>
      <c r="K1043" s="25"/>
      <c r="L1043" s="25"/>
    </row>
    <row r="1044" spans="1:12" s="189" customFormat="1" ht="5.25" customHeight="1" x14ac:dyDescent="0.2">
      <c r="A1044" s="25"/>
      <c r="B1044" s="25"/>
      <c r="C1044" s="25"/>
      <c r="D1044" s="25"/>
      <c r="E1044" s="25"/>
      <c r="F1044" s="25"/>
      <c r="G1044" s="25"/>
      <c r="H1044" s="25"/>
      <c r="I1044" s="25"/>
      <c r="J1044" s="25"/>
      <c r="K1044" s="25"/>
      <c r="L1044" s="25"/>
    </row>
    <row r="1045" spans="1:12" s="189" customFormat="1" ht="5.25" customHeight="1" x14ac:dyDescent="0.2">
      <c r="A1045" s="25"/>
      <c r="B1045" s="25"/>
      <c r="C1045" s="25"/>
      <c r="D1045" s="25"/>
      <c r="E1045" s="25"/>
      <c r="F1045" s="25"/>
      <c r="G1045" s="25"/>
      <c r="H1045" s="25"/>
      <c r="I1045" s="25"/>
      <c r="J1045" s="25"/>
      <c r="K1045" s="25"/>
      <c r="L1045" s="25"/>
    </row>
    <row r="1046" spans="1:12" s="189" customFormat="1" ht="5.25" customHeight="1" x14ac:dyDescent="0.2">
      <c r="A1046" s="25"/>
      <c r="B1046" s="25"/>
      <c r="C1046" s="25"/>
      <c r="D1046" s="25"/>
      <c r="E1046" s="25"/>
      <c r="F1046" s="25"/>
      <c r="G1046" s="25"/>
      <c r="H1046" s="25"/>
      <c r="I1046" s="25"/>
      <c r="J1046" s="25"/>
      <c r="K1046" s="25"/>
      <c r="L1046" s="25"/>
    </row>
    <row r="1047" spans="1:12" s="189" customFormat="1" ht="5.25" customHeight="1" x14ac:dyDescent="0.2">
      <c r="A1047" s="25"/>
      <c r="B1047" s="25"/>
      <c r="C1047" s="25"/>
      <c r="D1047" s="25"/>
      <c r="E1047" s="25"/>
      <c r="F1047" s="25"/>
      <c r="G1047" s="25"/>
      <c r="H1047" s="25"/>
      <c r="I1047" s="25"/>
      <c r="J1047" s="25"/>
      <c r="K1047" s="25"/>
      <c r="L1047" s="25"/>
    </row>
    <row r="1048" spans="1:12" s="189" customFormat="1" ht="5.25" customHeight="1" x14ac:dyDescent="0.2">
      <c r="A1048" s="25"/>
      <c r="B1048" s="25"/>
      <c r="C1048" s="25"/>
      <c r="D1048" s="25"/>
      <c r="E1048" s="25"/>
      <c r="F1048" s="25"/>
      <c r="G1048" s="25"/>
      <c r="H1048" s="25"/>
      <c r="I1048" s="25"/>
      <c r="J1048" s="25"/>
      <c r="K1048" s="25"/>
      <c r="L1048" s="25"/>
    </row>
    <row r="1049" spans="1:12" s="189" customFormat="1" ht="5.25" customHeight="1" x14ac:dyDescent="0.2">
      <c r="A1049" s="25"/>
      <c r="B1049" s="25"/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</row>
    <row r="1050" spans="1:12" s="189" customFormat="1" ht="5.25" customHeight="1" x14ac:dyDescent="0.2">
      <c r="A1050" s="25"/>
      <c r="B1050" s="25"/>
      <c r="C1050" s="25"/>
      <c r="D1050" s="25"/>
      <c r="E1050" s="25"/>
      <c r="F1050" s="25"/>
      <c r="G1050" s="25"/>
      <c r="H1050" s="25"/>
      <c r="I1050" s="25"/>
      <c r="J1050" s="25"/>
      <c r="K1050" s="25"/>
      <c r="L1050" s="25"/>
    </row>
    <row r="1051" spans="1:12" s="189" customFormat="1" ht="5.25" customHeight="1" x14ac:dyDescent="0.2">
      <c r="A1051" s="25"/>
      <c r="B1051" s="25"/>
      <c r="C1051" s="25"/>
      <c r="D1051" s="25"/>
      <c r="E1051" s="25"/>
      <c r="F1051" s="25"/>
      <c r="G1051" s="25"/>
      <c r="H1051" s="25"/>
      <c r="I1051" s="25"/>
      <c r="J1051" s="25"/>
      <c r="K1051" s="25"/>
      <c r="L1051" s="25"/>
    </row>
    <row r="1052" spans="1:12" s="189" customFormat="1" ht="5.25" customHeight="1" x14ac:dyDescent="0.2">
      <c r="A1052" s="25"/>
      <c r="B1052" s="25"/>
      <c r="C1052" s="25"/>
      <c r="D1052" s="25"/>
      <c r="E1052" s="25"/>
      <c r="F1052" s="25"/>
      <c r="G1052" s="25"/>
      <c r="H1052" s="25"/>
      <c r="I1052" s="25"/>
      <c r="J1052" s="25"/>
      <c r="K1052" s="25"/>
      <c r="L1052" s="25"/>
    </row>
    <row r="1053" spans="1:12" s="189" customFormat="1" ht="5.25" customHeight="1" x14ac:dyDescent="0.2">
      <c r="A1053" s="25"/>
      <c r="B1053" s="25"/>
      <c r="C1053" s="25"/>
      <c r="D1053" s="25"/>
      <c r="E1053" s="25"/>
      <c r="F1053" s="25"/>
      <c r="G1053" s="25"/>
      <c r="H1053" s="25"/>
      <c r="I1053" s="25"/>
      <c r="J1053" s="25"/>
      <c r="K1053" s="25"/>
      <c r="L1053" s="25"/>
    </row>
    <row r="1054" spans="1:12" s="189" customFormat="1" ht="5.25" customHeight="1" x14ac:dyDescent="0.2">
      <c r="A1054" s="25"/>
      <c r="B1054" s="25"/>
      <c r="C1054" s="25"/>
      <c r="D1054" s="25"/>
      <c r="E1054" s="25"/>
      <c r="F1054" s="25"/>
      <c r="G1054" s="25"/>
      <c r="H1054" s="25"/>
      <c r="I1054" s="25"/>
      <c r="J1054" s="25"/>
      <c r="K1054" s="25"/>
      <c r="L1054" s="25"/>
    </row>
    <row r="1055" spans="1:12" s="189" customFormat="1" ht="5.25" customHeight="1" x14ac:dyDescent="0.2">
      <c r="A1055" s="25"/>
      <c r="B1055" s="25"/>
      <c r="C1055" s="25"/>
      <c r="D1055" s="25"/>
      <c r="E1055" s="25"/>
      <c r="F1055" s="25"/>
      <c r="G1055" s="25"/>
      <c r="H1055" s="25"/>
      <c r="I1055" s="25"/>
      <c r="J1055" s="25"/>
      <c r="K1055" s="25"/>
      <c r="L1055" s="25"/>
    </row>
    <row r="1056" spans="1:12" s="189" customFormat="1" ht="5.25" customHeight="1" x14ac:dyDescent="0.2">
      <c r="A1056" s="25"/>
      <c r="B1056" s="25"/>
      <c r="C1056" s="25"/>
      <c r="D1056" s="25"/>
      <c r="E1056" s="25"/>
      <c r="F1056" s="25"/>
      <c r="G1056" s="25"/>
      <c r="H1056" s="25"/>
      <c r="I1056" s="25"/>
      <c r="J1056" s="25"/>
      <c r="K1056" s="25"/>
      <c r="L1056" s="25"/>
    </row>
    <row r="1057" spans="1:12" s="189" customFormat="1" ht="5.25" customHeight="1" x14ac:dyDescent="0.2">
      <c r="A1057" s="25"/>
      <c r="B1057" s="25"/>
      <c r="C1057" s="25"/>
      <c r="D1057" s="25"/>
      <c r="E1057" s="25"/>
      <c r="F1057" s="25"/>
      <c r="G1057" s="25"/>
      <c r="H1057" s="25"/>
      <c r="I1057" s="25"/>
      <c r="J1057" s="25"/>
      <c r="K1057" s="25"/>
      <c r="L1057" s="25"/>
    </row>
    <row r="1058" spans="1:12" s="189" customFormat="1" ht="5.25" customHeight="1" x14ac:dyDescent="0.2">
      <c r="A1058" s="25"/>
      <c r="B1058" s="25"/>
      <c r="C1058" s="25"/>
      <c r="D1058" s="25"/>
      <c r="E1058" s="25"/>
      <c r="F1058" s="25"/>
      <c r="G1058" s="25"/>
      <c r="H1058" s="25"/>
      <c r="I1058" s="25"/>
      <c r="J1058" s="25"/>
      <c r="K1058" s="25"/>
      <c r="L1058" s="25"/>
    </row>
    <row r="1059" spans="1:12" s="189" customFormat="1" ht="5.25" customHeight="1" x14ac:dyDescent="0.2">
      <c r="A1059" s="25"/>
      <c r="B1059" s="25"/>
      <c r="C1059" s="25"/>
      <c r="D1059" s="25"/>
      <c r="E1059" s="25"/>
      <c r="F1059" s="25"/>
      <c r="G1059" s="25"/>
      <c r="H1059" s="25"/>
      <c r="I1059" s="25"/>
      <c r="J1059" s="25"/>
      <c r="K1059" s="25"/>
      <c r="L1059" s="25"/>
    </row>
    <row r="1060" spans="1:12" s="189" customFormat="1" ht="5.25" customHeight="1" x14ac:dyDescent="0.2">
      <c r="A1060" s="25"/>
      <c r="B1060" s="25"/>
      <c r="C1060" s="25"/>
      <c r="D1060" s="25"/>
      <c r="E1060" s="25"/>
      <c r="F1060" s="25"/>
      <c r="G1060" s="25"/>
      <c r="H1060" s="25"/>
      <c r="I1060" s="25"/>
      <c r="J1060" s="25"/>
      <c r="K1060" s="25"/>
      <c r="L1060" s="25"/>
    </row>
    <row r="1061" spans="1:12" s="189" customFormat="1" ht="5.25" customHeight="1" x14ac:dyDescent="0.2">
      <c r="A1061" s="25"/>
      <c r="B1061" s="25"/>
      <c r="C1061" s="25"/>
      <c r="D1061" s="25"/>
      <c r="E1061" s="25"/>
      <c r="F1061" s="25"/>
      <c r="G1061" s="25"/>
      <c r="H1061" s="25"/>
      <c r="I1061" s="25"/>
      <c r="J1061" s="25"/>
      <c r="K1061" s="25"/>
      <c r="L1061" s="25"/>
    </row>
    <row r="1062" spans="1:12" s="189" customFormat="1" ht="5.25" customHeight="1" x14ac:dyDescent="0.2">
      <c r="A1062" s="25"/>
      <c r="B1062" s="25"/>
      <c r="C1062" s="25"/>
      <c r="D1062" s="25"/>
      <c r="E1062" s="25"/>
      <c r="F1062" s="25"/>
      <c r="G1062" s="25"/>
      <c r="H1062" s="25"/>
      <c r="I1062" s="25"/>
      <c r="J1062" s="25"/>
      <c r="K1062" s="25"/>
      <c r="L1062" s="25"/>
    </row>
    <row r="1063" spans="1:12" s="189" customFormat="1" ht="5.25" customHeight="1" x14ac:dyDescent="0.2">
      <c r="A1063" s="25"/>
      <c r="B1063" s="25"/>
      <c r="C1063" s="25"/>
      <c r="D1063" s="25"/>
      <c r="E1063" s="25"/>
      <c r="F1063" s="25"/>
      <c r="G1063" s="25"/>
      <c r="H1063" s="25"/>
      <c r="I1063" s="25"/>
      <c r="J1063" s="25"/>
      <c r="K1063" s="25"/>
      <c r="L1063" s="25"/>
    </row>
    <row r="1064" spans="1:12" s="189" customFormat="1" ht="5.25" customHeight="1" x14ac:dyDescent="0.2">
      <c r="A1064" s="25"/>
      <c r="B1064" s="25"/>
      <c r="C1064" s="25"/>
      <c r="D1064" s="25"/>
      <c r="E1064" s="25"/>
      <c r="F1064" s="25"/>
      <c r="G1064" s="25"/>
      <c r="H1064" s="25"/>
      <c r="I1064" s="25"/>
      <c r="J1064" s="25"/>
      <c r="K1064" s="25"/>
      <c r="L1064" s="25"/>
    </row>
    <row r="1065" spans="1:12" s="189" customFormat="1" ht="5.25" customHeight="1" x14ac:dyDescent="0.2">
      <c r="A1065" s="25"/>
      <c r="B1065" s="25"/>
      <c r="C1065" s="25"/>
      <c r="D1065" s="25"/>
      <c r="E1065" s="25"/>
      <c r="F1065" s="25"/>
      <c r="G1065" s="25"/>
      <c r="H1065" s="25"/>
      <c r="I1065" s="25"/>
      <c r="J1065" s="25"/>
      <c r="K1065" s="25"/>
      <c r="L1065" s="25"/>
    </row>
    <row r="1066" spans="1:12" s="189" customFormat="1" ht="5.25" customHeight="1" x14ac:dyDescent="0.2">
      <c r="A1066" s="25"/>
      <c r="B1066" s="25"/>
      <c r="C1066" s="25"/>
      <c r="D1066" s="25"/>
      <c r="E1066" s="25"/>
      <c r="F1066" s="25"/>
      <c r="G1066" s="25"/>
      <c r="H1066" s="25"/>
      <c r="I1066" s="25"/>
      <c r="J1066" s="25"/>
      <c r="K1066" s="25"/>
      <c r="L1066" s="25"/>
    </row>
    <row r="1067" spans="1:12" s="189" customFormat="1" ht="5.25" customHeight="1" x14ac:dyDescent="0.2">
      <c r="A1067" s="25"/>
      <c r="B1067" s="25"/>
      <c r="C1067" s="25"/>
      <c r="D1067" s="25"/>
      <c r="E1067" s="25"/>
      <c r="F1067" s="25"/>
      <c r="G1067" s="25"/>
      <c r="H1067" s="25"/>
      <c r="I1067" s="25"/>
      <c r="J1067" s="25"/>
      <c r="K1067" s="25"/>
      <c r="L1067" s="25"/>
    </row>
    <row r="1068" spans="1:12" s="189" customFormat="1" ht="5.25" customHeight="1" x14ac:dyDescent="0.2">
      <c r="A1068" s="25"/>
      <c r="B1068" s="25"/>
      <c r="C1068" s="25"/>
      <c r="D1068" s="25"/>
      <c r="E1068" s="25"/>
      <c r="F1068" s="25"/>
      <c r="G1068" s="25"/>
      <c r="H1068" s="25"/>
      <c r="I1068" s="25"/>
      <c r="J1068" s="25"/>
      <c r="K1068" s="25"/>
      <c r="L1068" s="25"/>
    </row>
    <row r="1069" spans="1:12" s="189" customFormat="1" ht="5.25" customHeight="1" x14ac:dyDescent="0.2">
      <c r="A1069" s="25"/>
      <c r="B1069" s="25"/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</row>
    <row r="1070" spans="1:12" s="189" customFormat="1" ht="5.25" customHeight="1" x14ac:dyDescent="0.2">
      <c r="A1070" s="25"/>
      <c r="B1070" s="25"/>
      <c r="C1070" s="25"/>
      <c r="D1070" s="25"/>
      <c r="E1070" s="25"/>
      <c r="F1070" s="25"/>
      <c r="G1070" s="25"/>
      <c r="H1070" s="25"/>
      <c r="I1070" s="25"/>
      <c r="J1070" s="25"/>
      <c r="K1070" s="25"/>
      <c r="L1070" s="25"/>
    </row>
    <row r="1071" spans="1:12" s="189" customFormat="1" ht="5.25" customHeight="1" x14ac:dyDescent="0.2">
      <c r="A1071" s="25"/>
      <c r="B1071" s="25"/>
      <c r="C1071" s="25"/>
      <c r="D1071" s="25"/>
      <c r="E1071" s="25"/>
      <c r="F1071" s="25"/>
      <c r="G1071" s="25"/>
      <c r="H1071" s="25"/>
      <c r="I1071" s="25"/>
      <c r="J1071" s="25"/>
      <c r="K1071" s="25"/>
      <c r="L1071" s="25"/>
    </row>
    <row r="1072" spans="1:12" s="189" customFormat="1" ht="5.25" customHeight="1" x14ac:dyDescent="0.2">
      <c r="A1072" s="25"/>
      <c r="B1072" s="25"/>
      <c r="C1072" s="25"/>
      <c r="D1072" s="25"/>
      <c r="E1072" s="25"/>
      <c r="F1072" s="25"/>
      <c r="G1072" s="25"/>
      <c r="H1072" s="25"/>
      <c r="I1072" s="25"/>
      <c r="J1072" s="25"/>
      <c r="K1072" s="25"/>
      <c r="L1072" s="25"/>
    </row>
    <row r="1073" spans="1:12" s="189" customFormat="1" ht="5.25" customHeight="1" x14ac:dyDescent="0.2">
      <c r="A1073" s="25"/>
      <c r="B1073" s="25"/>
      <c r="C1073" s="25"/>
      <c r="D1073" s="25"/>
      <c r="E1073" s="25"/>
      <c r="F1073" s="25"/>
      <c r="G1073" s="25"/>
      <c r="H1073" s="25"/>
      <c r="I1073" s="25"/>
      <c r="J1073" s="25"/>
      <c r="K1073" s="25"/>
      <c r="L1073" s="25"/>
    </row>
    <row r="1074" spans="1:12" s="189" customFormat="1" ht="5.25" customHeight="1" x14ac:dyDescent="0.2">
      <c r="A1074" s="25"/>
      <c r="B1074" s="25"/>
      <c r="C1074" s="25"/>
      <c r="D1074" s="25"/>
      <c r="E1074" s="25"/>
      <c r="F1074" s="25"/>
      <c r="G1074" s="25"/>
      <c r="H1074" s="25"/>
      <c r="I1074" s="25"/>
      <c r="J1074" s="25"/>
      <c r="K1074" s="25"/>
      <c r="L1074" s="25"/>
    </row>
    <row r="1075" spans="1:12" s="189" customFormat="1" ht="5.25" customHeight="1" x14ac:dyDescent="0.2">
      <c r="A1075" s="25"/>
      <c r="B1075" s="25"/>
      <c r="C1075" s="25"/>
      <c r="D1075" s="25"/>
      <c r="E1075" s="25"/>
      <c r="F1075" s="25"/>
      <c r="G1075" s="25"/>
      <c r="H1075" s="25"/>
      <c r="I1075" s="25"/>
      <c r="J1075" s="25"/>
      <c r="K1075" s="25"/>
      <c r="L1075" s="25"/>
    </row>
    <row r="1076" spans="1:12" s="189" customFormat="1" ht="5.25" customHeight="1" x14ac:dyDescent="0.2">
      <c r="A1076" s="25"/>
      <c r="B1076" s="25"/>
      <c r="C1076" s="25"/>
      <c r="D1076" s="25"/>
      <c r="E1076" s="25"/>
      <c r="F1076" s="25"/>
      <c r="G1076" s="25"/>
      <c r="H1076" s="25"/>
      <c r="I1076" s="25"/>
      <c r="J1076" s="25"/>
      <c r="K1076" s="25"/>
      <c r="L1076" s="25"/>
    </row>
    <row r="1077" spans="1:12" s="189" customFormat="1" ht="5.25" customHeight="1" x14ac:dyDescent="0.2">
      <c r="A1077" s="25"/>
      <c r="B1077" s="25"/>
      <c r="C1077" s="25"/>
      <c r="D1077" s="25"/>
      <c r="E1077" s="25"/>
      <c r="F1077" s="25"/>
      <c r="G1077" s="25"/>
      <c r="H1077" s="25"/>
      <c r="I1077" s="25"/>
      <c r="J1077" s="25"/>
      <c r="K1077" s="25"/>
      <c r="L1077" s="25"/>
    </row>
    <row r="1078" spans="1:12" s="189" customFormat="1" ht="5.25" customHeight="1" x14ac:dyDescent="0.2">
      <c r="A1078" s="25"/>
      <c r="B1078" s="25"/>
      <c r="C1078" s="25"/>
      <c r="D1078" s="25"/>
      <c r="E1078" s="25"/>
      <c r="F1078" s="25"/>
      <c r="G1078" s="25"/>
      <c r="H1078" s="25"/>
      <c r="I1078" s="25"/>
      <c r="J1078" s="25"/>
      <c r="K1078" s="25"/>
      <c r="L1078" s="25"/>
    </row>
    <row r="1079" spans="1:12" s="189" customFormat="1" ht="5.25" customHeight="1" x14ac:dyDescent="0.2">
      <c r="A1079" s="25"/>
      <c r="B1079" s="25"/>
      <c r="C1079" s="25"/>
      <c r="D1079" s="25"/>
      <c r="E1079" s="25"/>
      <c r="F1079" s="25"/>
      <c r="G1079" s="25"/>
      <c r="H1079" s="25"/>
      <c r="I1079" s="25"/>
      <c r="J1079" s="25"/>
      <c r="K1079" s="25"/>
      <c r="L1079" s="25"/>
    </row>
    <row r="1080" spans="1:12" s="189" customFormat="1" ht="5.25" customHeight="1" x14ac:dyDescent="0.2">
      <c r="A1080" s="25"/>
      <c r="B1080" s="25"/>
      <c r="C1080" s="25"/>
      <c r="D1080" s="25"/>
      <c r="E1080" s="25"/>
      <c r="F1080" s="25"/>
      <c r="G1080" s="25"/>
      <c r="H1080" s="25"/>
      <c r="I1080" s="25"/>
      <c r="J1080" s="25"/>
      <c r="K1080" s="25"/>
      <c r="L1080" s="25"/>
    </row>
    <row r="1081" spans="1:12" s="189" customFormat="1" ht="5.25" customHeight="1" x14ac:dyDescent="0.2">
      <c r="A1081" s="25"/>
      <c r="B1081" s="25"/>
      <c r="C1081" s="25"/>
      <c r="D1081" s="25"/>
      <c r="E1081" s="25"/>
      <c r="F1081" s="25"/>
      <c r="G1081" s="25"/>
      <c r="H1081" s="25"/>
      <c r="I1081" s="25"/>
      <c r="J1081" s="25"/>
      <c r="K1081" s="25"/>
      <c r="L1081" s="25"/>
    </row>
    <row r="1082" spans="1:12" s="189" customFormat="1" ht="5.25" customHeight="1" x14ac:dyDescent="0.2">
      <c r="A1082" s="25"/>
      <c r="B1082" s="25"/>
      <c r="C1082" s="25"/>
      <c r="D1082" s="25"/>
      <c r="E1082" s="25"/>
      <c r="F1082" s="25"/>
      <c r="G1082" s="25"/>
      <c r="H1082" s="25"/>
      <c r="I1082" s="25"/>
      <c r="J1082" s="25"/>
      <c r="K1082" s="25"/>
      <c r="L1082" s="25"/>
    </row>
    <row r="1083" spans="1:12" s="189" customFormat="1" ht="5.25" customHeight="1" x14ac:dyDescent="0.2">
      <c r="A1083" s="25"/>
      <c r="B1083" s="25"/>
      <c r="C1083" s="25"/>
      <c r="D1083" s="25"/>
      <c r="E1083" s="25"/>
      <c r="F1083" s="25"/>
      <c r="G1083" s="25"/>
      <c r="H1083" s="25"/>
      <c r="I1083" s="25"/>
      <c r="J1083" s="25"/>
      <c r="K1083" s="25"/>
      <c r="L1083" s="25"/>
    </row>
    <row r="1084" spans="1:12" s="189" customFormat="1" ht="5.25" customHeight="1" x14ac:dyDescent="0.2">
      <c r="A1084" s="25"/>
      <c r="B1084" s="25"/>
      <c r="C1084" s="25"/>
      <c r="D1084" s="25"/>
      <c r="E1084" s="25"/>
      <c r="F1084" s="25"/>
      <c r="G1084" s="25"/>
      <c r="H1084" s="25"/>
      <c r="I1084" s="25"/>
      <c r="J1084" s="25"/>
      <c r="K1084" s="25"/>
      <c r="L1084" s="25"/>
    </row>
    <row r="1085" spans="1:12" s="189" customFormat="1" ht="5.25" customHeight="1" x14ac:dyDescent="0.2">
      <c r="A1085" s="25"/>
      <c r="B1085" s="25"/>
      <c r="C1085" s="25"/>
      <c r="D1085" s="25"/>
      <c r="E1085" s="25"/>
      <c r="F1085" s="25"/>
      <c r="G1085" s="25"/>
      <c r="H1085" s="25"/>
      <c r="I1085" s="25"/>
      <c r="J1085" s="25"/>
      <c r="K1085" s="25"/>
      <c r="L1085" s="25"/>
    </row>
    <row r="1086" spans="1:12" s="189" customFormat="1" ht="5.25" customHeight="1" x14ac:dyDescent="0.2">
      <c r="A1086" s="25"/>
      <c r="B1086" s="25"/>
      <c r="C1086" s="25"/>
      <c r="D1086" s="25"/>
      <c r="E1086" s="25"/>
      <c r="F1086" s="25"/>
      <c r="G1086" s="25"/>
      <c r="H1086" s="25"/>
      <c r="I1086" s="25"/>
      <c r="J1086" s="25"/>
      <c r="K1086" s="25"/>
      <c r="L1086" s="25"/>
    </row>
    <row r="1087" spans="1:12" s="189" customFormat="1" ht="5.25" customHeight="1" x14ac:dyDescent="0.2">
      <c r="A1087" s="25"/>
      <c r="B1087" s="25"/>
      <c r="C1087" s="25"/>
      <c r="D1087" s="25"/>
      <c r="E1087" s="25"/>
      <c r="F1087" s="25"/>
      <c r="G1087" s="25"/>
      <c r="H1087" s="25"/>
      <c r="I1087" s="25"/>
      <c r="J1087" s="25"/>
      <c r="K1087" s="25"/>
      <c r="L1087" s="25"/>
    </row>
    <row r="1088" spans="1:12" s="189" customFormat="1" ht="5.25" customHeight="1" x14ac:dyDescent="0.2">
      <c r="A1088" s="25"/>
      <c r="B1088" s="25"/>
      <c r="C1088" s="25"/>
      <c r="D1088" s="25"/>
      <c r="E1088" s="25"/>
      <c r="F1088" s="25"/>
      <c r="G1088" s="25"/>
      <c r="H1088" s="25"/>
      <c r="I1088" s="25"/>
      <c r="J1088" s="25"/>
      <c r="K1088" s="25"/>
      <c r="L1088" s="25"/>
    </row>
    <row r="1089" spans="1:12" s="189" customFormat="1" ht="5.25" customHeight="1" x14ac:dyDescent="0.2">
      <c r="A1089" s="25"/>
      <c r="B1089" s="25"/>
      <c r="C1089" s="25"/>
      <c r="D1089" s="25"/>
      <c r="E1089" s="25"/>
      <c r="F1089" s="25"/>
      <c r="G1089" s="25"/>
      <c r="H1089" s="25"/>
      <c r="I1089" s="25"/>
      <c r="J1089" s="25"/>
      <c r="K1089" s="25"/>
      <c r="L1089" s="25"/>
    </row>
    <row r="1090" spans="1:12" s="189" customFormat="1" ht="5.25" customHeight="1" x14ac:dyDescent="0.2">
      <c r="A1090" s="25"/>
      <c r="B1090" s="25"/>
      <c r="C1090" s="25"/>
      <c r="D1090" s="25"/>
      <c r="E1090" s="25"/>
      <c r="F1090" s="25"/>
      <c r="G1090" s="25"/>
      <c r="H1090" s="25"/>
      <c r="I1090" s="25"/>
      <c r="J1090" s="25"/>
      <c r="K1090" s="25"/>
      <c r="L1090" s="25"/>
    </row>
    <row r="1091" spans="1:12" s="189" customFormat="1" ht="5.25" customHeight="1" x14ac:dyDescent="0.2">
      <c r="A1091" s="25"/>
      <c r="B1091" s="25"/>
      <c r="C1091" s="25"/>
      <c r="D1091" s="25"/>
      <c r="E1091" s="25"/>
      <c r="F1091" s="25"/>
      <c r="G1091" s="25"/>
      <c r="H1091" s="25"/>
      <c r="I1091" s="25"/>
      <c r="J1091" s="25"/>
      <c r="K1091" s="25"/>
      <c r="L1091" s="25"/>
    </row>
    <row r="1092" spans="1:12" s="189" customFormat="1" ht="5.25" customHeight="1" x14ac:dyDescent="0.2">
      <c r="A1092" s="25"/>
      <c r="B1092" s="25"/>
      <c r="C1092" s="25"/>
      <c r="D1092" s="25"/>
      <c r="E1092" s="25"/>
      <c r="F1092" s="25"/>
      <c r="G1092" s="25"/>
      <c r="H1092" s="25"/>
      <c r="I1092" s="25"/>
      <c r="J1092" s="25"/>
      <c r="K1092" s="25"/>
      <c r="L1092" s="25"/>
    </row>
    <row r="1093" spans="1:12" s="189" customFormat="1" ht="5.25" customHeight="1" x14ac:dyDescent="0.2">
      <c r="A1093" s="25"/>
      <c r="B1093" s="25"/>
      <c r="C1093" s="25"/>
      <c r="D1093" s="25"/>
      <c r="E1093" s="25"/>
      <c r="F1093" s="25"/>
      <c r="G1093" s="25"/>
      <c r="H1093" s="25"/>
      <c r="I1093" s="25"/>
      <c r="J1093" s="25"/>
      <c r="K1093" s="25"/>
      <c r="L1093" s="25"/>
    </row>
    <row r="1094" spans="1:12" s="189" customFormat="1" ht="5.25" customHeight="1" x14ac:dyDescent="0.2">
      <c r="A1094" s="25"/>
      <c r="B1094" s="25"/>
      <c r="C1094" s="25"/>
      <c r="D1094" s="25"/>
      <c r="E1094" s="25"/>
      <c r="F1094" s="25"/>
      <c r="G1094" s="25"/>
      <c r="H1094" s="25"/>
      <c r="I1094" s="25"/>
      <c r="J1094" s="25"/>
      <c r="K1094" s="25"/>
      <c r="L1094" s="25"/>
    </row>
    <row r="1095" spans="1:12" s="189" customFormat="1" ht="5.25" customHeight="1" x14ac:dyDescent="0.2">
      <c r="A1095" s="25"/>
      <c r="B1095" s="25"/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</row>
    <row r="1096" spans="1:12" s="189" customFormat="1" ht="5.25" customHeight="1" x14ac:dyDescent="0.2">
      <c r="A1096" s="25"/>
      <c r="B1096" s="25"/>
      <c r="C1096" s="25"/>
      <c r="D1096" s="25"/>
      <c r="E1096" s="25"/>
      <c r="F1096" s="25"/>
      <c r="G1096" s="25"/>
      <c r="H1096" s="25"/>
      <c r="I1096" s="25"/>
      <c r="J1096" s="25"/>
      <c r="K1096" s="25"/>
      <c r="L1096" s="25"/>
    </row>
    <row r="1097" spans="1:12" s="189" customFormat="1" ht="5.25" customHeight="1" x14ac:dyDescent="0.2">
      <c r="A1097" s="25"/>
      <c r="B1097" s="25"/>
      <c r="C1097" s="25"/>
      <c r="D1097" s="25"/>
      <c r="E1097" s="25"/>
      <c r="F1097" s="25"/>
      <c r="G1097" s="25"/>
      <c r="H1097" s="25"/>
      <c r="I1097" s="25"/>
      <c r="J1097" s="25"/>
      <c r="K1097" s="25"/>
      <c r="L1097" s="25"/>
    </row>
    <row r="1098" spans="1:12" s="189" customFormat="1" ht="5.25" customHeight="1" x14ac:dyDescent="0.2">
      <c r="A1098" s="25"/>
      <c r="B1098" s="25"/>
      <c r="C1098" s="25"/>
      <c r="D1098" s="25"/>
      <c r="E1098" s="25"/>
      <c r="F1098" s="25"/>
      <c r="G1098" s="25"/>
      <c r="H1098" s="25"/>
      <c r="I1098" s="25"/>
      <c r="J1098" s="25"/>
      <c r="K1098" s="25"/>
      <c r="L1098" s="25"/>
    </row>
    <row r="1099" spans="1:12" s="189" customFormat="1" ht="5.25" customHeight="1" x14ac:dyDescent="0.2">
      <c r="A1099" s="25"/>
      <c r="B1099" s="25"/>
      <c r="C1099" s="25"/>
      <c r="D1099" s="25"/>
      <c r="E1099" s="25"/>
      <c r="F1099" s="25"/>
      <c r="G1099" s="25"/>
      <c r="H1099" s="25"/>
      <c r="I1099" s="25"/>
      <c r="J1099" s="25"/>
      <c r="K1099" s="25"/>
      <c r="L1099" s="25"/>
    </row>
    <row r="1100" spans="1:12" s="189" customFormat="1" ht="5.25" customHeight="1" x14ac:dyDescent="0.2">
      <c r="A1100" s="25"/>
      <c r="B1100" s="25"/>
      <c r="C1100" s="25"/>
      <c r="D1100" s="25"/>
      <c r="E1100" s="25"/>
      <c r="F1100" s="25"/>
      <c r="G1100" s="25"/>
      <c r="H1100" s="25"/>
      <c r="I1100" s="25"/>
      <c r="J1100" s="25"/>
      <c r="K1100" s="25"/>
      <c r="L1100" s="25"/>
    </row>
    <row r="1101" spans="1:12" s="189" customFormat="1" ht="5.25" customHeight="1" x14ac:dyDescent="0.2">
      <c r="A1101" s="25"/>
      <c r="B1101" s="25"/>
      <c r="C1101" s="25"/>
      <c r="D1101" s="25"/>
      <c r="E1101" s="25"/>
      <c r="F1101" s="25"/>
      <c r="G1101" s="25"/>
      <c r="H1101" s="25"/>
      <c r="I1101" s="25"/>
      <c r="J1101" s="25"/>
      <c r="K1101" s="25"/>
      <c r="L1101" s="25"/>
    </row>
    <row r="1102" spans="1:12" s="189" customFormat="1" ht="5.25" customHeight="1" x14ac:dyDescent="0.2">
      <c r="A1102" s="25"/>
      <c r="B1102" s="25"/>
      <c r="C1102" s="25"/>
      <c r="D1102" s="25"/>
      <c r="E1102" s="25"/>
      <c r="F1102" s="25"/>
      <c r="G1102" s="25"/>
      <c r="H1102" s="25"/>
      <c r="I1102" s="25"/>
      <c r="J1102" s="25"/>
      <c r="K1102" s="25"/>
      <c r="L1102" s="25"/>
    </row>
    <row r="1103" spans="1:12" s="189" customFormat="1" ht="5.25" customHeight="1" x14ac:dyDescent="0.2">
      <c r="A1103" s="25"/>
      <c r="B1103" s="25"/>
      <c r="C1103" s="25"/>
      <c r="D1103" s="25"/>
      <c r="E1103" s="25"/>
      <c r="F1103" s="25"/>
      <c r="G1103" s="25"/>
      <c r="H1103" s="25"/>
      <c r="I1103" s="25"/>
      <c r="J1103" s="25"/>
      <c r="K1103" s="25"/>
      <c r="L1103" s="25"/>
    </row>
    <row r="1104" spans="1:12" s="189" customFormat="1" ht="5.25" customHeight="1" x14ac:dyDescent="0.2">
      <c r="A1104" s="25"/>
      <c r="B1104" s="25"/>
      <c r="C1104" s="25"/>
      <c r="D1104" s="25"/>
      <c r="E1104" s="25"/>
      <c r="F1104" s="25"/>
      <c r="G1104" s="25"/>
      <c r="H1104" s="25"/>
      <c r="I1104" s="25"/>
      <c r="J1104" s="25"/>
      <c r="K1104" s="25"/>
      <c r="L1104" s="25"/>
    </row>
    <row r="1105" spans="1:12" s="189" customFormat="1" ht="5.25" customHeight="1" x14ac:dyDescent="0.2">
      <c r="A1105" s="25"/>
      <c r="B1105" s="25"/>
      <c r="C1105" s="25"/>
      <c r="D1105" s="25"/>
      <c r="E1105" s="25"/>
      <c r="F1105" s="25"/>
      <c r="G1105" s="25"/>
      <c r="H1105" s="25"/>
      <c r="I1105" s="25"/>
      <c r="J1105" s="25"/>
      <c r="K1105" s="25"/>
      <c r="L1105" s="25"/>
    </row>
    <row r="1106" spans="1:12" s="189" customFormat="1" ht="5.25" customHeight="1" x14ac:dyDescent="0.2">
      <c r="A1106" s="25"/>
      <c r="B1106" s="25"/>
      <c r="C1106" s="25"/>
      <c r="D1106" s="25"/>
      <c r="E1106" s="25"/>
      <c r="F1106" s="25"/>
      <c r="G1106" s="25"/>
      <c r="H1106" s="25"/>
      <c r="I1106" s="25"/>
      <c r="J1106" s="25"/>
      <c r="K1106" s="25"/>
      <c r="L1106" s="25"/>
    </row>
    <row r="1107" spans="1:12" s="189" customFormat="1" ht="5.25" customHeight="1" x14ac:dyDescent="0.2">
      <c r="A1107" s="25"/>
      <c r="B1107" s="25"/>
      <c r="C1107" s="25"/>
      <c r="D1107" s="25"/>
      <c r="E1107" s="25"/>
      <c r="F1107" s="25"/>
      <c r="G1107" s="25"/>
      <c r="H1107" s="25"/>
      <c r="I1107" s="25"/>
      <c r="J1107" s="25"/>
      <c r="K1107" s="25"/>
      <c r="L1107" s="25"/>
    </row>
    <row r="1108" spans="1:12" s="189" customFormat="1" ht="5.25" customHeight="1" x14ac:dyDescent="0.2">
      <c r="A1108" s="25"/>
      <c r="B1108" s="25"/>
      <c r="C1108" s="25"/>
      <c r="D1108" s="25"/>
      <c r="E1108" s="25"/>
      <c r="F1108" s="25"/>
      <c r="G1108" s="25"/>
      <c r="H1108" s="25"/>
      <c r="I1108" s="25"/>
      <c r="J1108" s="25"/>
      <c r="K1108" s="25"/>
      <c r="L1108" s="25"/>
    </row>
    <row r="1109" spans="1:12" s="189" customFormat="1" ht="5.25" customHeight="1" x14ac:dyDescent="0.2">
      <c r="A1109" s="25"/>
      <c r="B1109" s="25"/>
      <c r="C1109" s="25"/>
      <c r="D1109" s="25"/>
      <c r="E1109" s="25"/>
      <c r="F1109" s="25"/>
      <c r="G1109" s="25"/>
      <c r="H1109" s="25"/>
      <c r="I1109" s="25"/>
      <c r="J1109" s="25"/>
      <c r="K1109" s="25"/>
      <c r="L1109" s="25"/>
    </row>
    <row r="1110" spans="1:12" s="189" customFormat="1" ht="5.25" customHeight="1" x14ac:dyDescent="0.2">
      <c r="A1110" s="25"/>
      <c r="B1110" s="25"/>
      <c r="C1110" s="25"/>
      <c r="D1110" s="25"/>
      <c r="E1110" s="25"/>
      <c r="F1110" s="25"/>
      <c r="G1110" s="25"/>
      <c r="H1110" s="25"/>
      <c r="I1110" s="25"/>
      <c r="J1110" s="25"/>
      <c r="K1110" s="25"/>
      <c r="L1110" s="25"/>
    </row>
    <row r="1111" spans="1:12" s="189" customFormat="1" ht="5.25" customHeight="1" x14ac:dyDescent="0.2">
      <c r="A1111" s="25"/>
      <c r="B1111" s="25"/>
      <c r="C1111" s="25"/>
      <c r="D1111" s="25"/>
      <c r="E1111" s="25"/>
      <c r="F1111" s="25"/>
      <c r="G1111" s="25"/>
      <c r="H1111" s="25"/>
      <c r="I1111" s="25"/>
      <c r="J1111" s="25"/>
      <c r="K1111" s="25"/>
      <c r="L1111" s="25"/>
    </row>
    <row r="1112" spans="1:12" s="189" customFormat="1" ht="5.25" customHeight="1" x14ac:dyDescent="0.2">
      <c r="A1112" s="25"/>
      <c r="B1112" s="25"/>
      <c r="C1112" s="25"/>
      <c r="D1112" s="25"/>
      <c r="E1112" s="25"/>
      <c r="F1112" s="25"/>
      <c r="G1112" s="25"/>
      <c r="H1112" s="25"/>
      <c r="I1112" s="25"/>
      <c r="J1112" s="25"/>
      <c r="K1112" s="25"/>
      <c r="L1112" s="25"/>
    </row>
    <row r="1113" spans="1:12" s="189" customFormat="1" ht="5.25" customHeight="1" x14ac:dyDescent="0.2">
      <c r="A1113" s="25"/>
      <c r="B1113" s="25"/>
      <c r="C1113" s="25"/>
      <c r="D1113" s="25"/>
      <c r="E1113" s="25"/>
      <c r="F1113" s="25"/>
      <c r="G1113" s="25"/>
      <c r="H1113" s="25"/>
      <c r="I1113" s="25"/>
      <c r="J1113" s="25"/>
      <c r="K1113" s="25"/>
      <c r="L1113" s="25"/>
    </row>
    <row r="1114" spans="1:12" s="189" customFormat="1" ht="5.25" customHeight="1" x14ac:dyDescent="0.2">
      <c r="A1114" s="25"/>
      <c r="B1114" s="25"/>
      <c r="C1114" s="25"/>
      <c r="D1114" s="25"/>
      <c r="E1114" s="25"/>
      <c r="F1114" s="25"/>
      <c r="G1114" s="25"/>
      <c r="H1114" s="25"/>
      <c r="I1114" s="25"/>
      <c r="J1114" s="25"/>
      <c r="K1114" s="25"/>
      <c r="L1114" s="25"/>
    </row>
    <row r="1115" spans="1:12" s="189" customFormat="1" ht="5.25" customHeight="1" x14ac:dyDescent="0.2">
      <c r="A1115" s="25"/>
      <c r="B1115" s="25"/>
      <c r="C1115" s="25"/>
      <c r="D1115" s="25"/>
      <c r="E1115" s="25"/>
      <c r="F1115" s="25"/>
      <c r="G1115" s="25"/>
      <c r="H1115" s="25"/>
      <c r="I1115" s="25"/>
      <c r="J1115" s="25"/>
      <c r="K1115" s="25"/>
      <c r="L1115" s="25"/>
    </row>
    <row r="1116" spans="1:12" s="189" customFormat="1" ht="5.25" customHeight="1" x14ac:dyDescent="0.2">
      <c r="A1116" s="25"/>
      <c r="B1116" s="25"/>
      <c r="C1116" s="25"/>
      <c r="D1116" s="25"/>
      <c r="E1116" s="25"/>
      <c r="F1116" s="25"/>
      <c r="G1116" s="25"/>
      <c r="H1116" s="25"/>
      <c r="I1116" s="25"/>
      <c r="J1116" s="25"/>
      <c r="K1116" s="25"/>
      <c r="L1116" s="25"/>
    </row>
    <row r="1117" spans="1:12" s="189" customFormat="1" ht="5.25" customHeight="1" x14ac:dyDescent="0.2">
      <c r="A1117" s="25"/>
      <c r="B1117" s="25"/>
      <c r="C1117" s="25"/>
      <c r="D1117" s="25"/>
      <c r="E1117" s="25"/>
      <c r="F1117" s="25"/>
      <c r="G1117" s="25"/>
      <c r="H1117" s="25"/>
      <c r="I1117" s="25"/>
      <c r="J1117" s="25"/>
      <c r="K1117" s="25"/>
      <c r="L1117" s="25"/>
    </row>
    <row r="1118" spans="1:12" s="189" customFormat="1" ht="5.25" customHeight="1" x14ac:dyDescent="0.2">
      <c r="A1118" s="25"/>
      <c r="B1118" s="25"/>
      <c r="C1118" s="25"/>
      <c r="D1118" s="25"/>
      <c r="E1118" s="25"/>
      <c r="F1118" s="25"/>
      <c r="G1118" s="25"/>
      <c r="H1118" s="25"/>
      <c r="I1118" s="25"/>
      <c r="J1118" s="25"/>
      <c r="K1118" s="25"/>
      <c r="L1118" s="25"/>
    </row>
    <row r="1119" spans="1:12" s="189" customFormat="1" ht="5.25" customHeight="1" x14ac:dyDescent="0.2">
      <c r="A1119" s="25"/>
      <c r="B1119" s="25"/>
      <c r="C1119" s="25"/>
      <c r="D1119" s="25"/>
      <c r="E1119" s="25"/>
      <c r="F1119" s="25"/>
      <c r="G1119" s="25"/>
      <c r="H1119" s="25"/>
      <c r="I1119" s="25"/>
      <c r="J1119" s="25"/>
      <c r="K1119" s="25"/>
      <c r="L1119" s="25"/>
    </row>
    <row r="1120" spans="1:12" s="189" customFormat="1" ht="5.25" customHeight="1" x14ac:dyDescent="0.2">
      <c r="A1120" s="25"/>
      <c r="B1120" s="25"/>
      <c r="C1120" s="25"/>
      <c r="D1120" s="25"/>
      <c r="E1120" s="25"/>
      <c r="F1120" s="25"/>
      <c r="G1120" s="25"/>
      <c r="H1120" s="25"/>
      <c r="I1120" s="25"/>
      <c r="J1120" s="25"/>
      <c r="K1120" s="25"/>
      <c r="L1120" s="25"/>
    </row>
    <row r="1121" spans="1:12" s="189" customFormat="1" ht="5.25" customHeight="1" x14ac:dyDescent="0.2">
      <c r="A1121" s="25"/>
      <c r="B1121" s="25"/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</row>
    <row r="1122" spans="1:12" s="189" customFormat="1" ht="5.25" customHeight="1" x14ac:dyDescent="0.2">
      <c r="A1122" s="25"/>
      <c r="B1122" s="25"/>
      <c r="C1122" s="25"/>
      <c r="D1122" s="25"/>
      <c r="E1122" s="25"/>
      <c r="F1122" s="25"/>
      <c r="G1122" s="25"/>
      <c r="H1122" s="25"/>
      <c r="I1122" s="25"/>
      <c r="J1122" s="25"/>
      <c r="K1122" s="25"/>
      <c r="L1122" s="25"/>
    </row>
    <row r="1123" spans="1:12" s="189" customFormat="1" ht="5.25" customHeight="1" x14ac:dyDescent="0.2">
      <c r="A1123" s="25"/>
      <c r="B1123" s="25"/>
      <c r="C1123" s="25"/>
      <c r="D1123" s="25"/>
      <c r="E1123" s="25"/>
      <c r="F1123" s="25"/>
      <c r="G1123" s="25"/>
      <c r="H1123" s="25"/>
      <c r="I1123" s="25"/>
      <c r="J1123" s="25"/>
      <c r="K1123" s="25"/>
      <c r="L1123" s="25"/>
    </row>
    <row r="1124" spans="1:12" s="189" customFormat="1" ht="5.25" customHeight="1" x14ac:dyDescent="0.2">
      <c r="A1124" s="25"/>
      <c r="B1124" s="25"/>
      <c r="C1124" s="25"/>
      <c r="D1124" s="25"/>
      <c r="E1124" s="25"/>
      <c r="F1124" s="25"/>
      <c r="G1124" s="25"/>
      <c r="H1124" s="25"/>
      <c r="I1124" s="25"/>
      <c r="J1124" s="25"/>
      <c r="K1124" s="25"/>
      <c r="L1124" s="25"/>
    </row>
    <row r="1125" spans="1:12" s="189" customFormat="1" ht="5.25" customHeight="1" x14ac:dyDescent="0.2">
      <c r="A1125" s="25"/>
      <c r="B1125" s="25"/>
      <c r="C1125" s="25"/>
      <c r="D1125" s="25"/>
      <c r="E1125" s="25"/>
      <c r="F1125" s="25"/>
      <c r="G1125" s="25"/>
      <c r="H1125" s="25"/>
      <c r="I1125" s="25"/>
      <c r="J1125" s="25"/>
      <c r="K1125" s="25"/>
      <c r="L1125" s="25"/>
    </row>
    <row r="1126" spans="1:12" s="189" customFormat="1" ht="5.25" customHeight="1" x14ac:dyDescent="0.2">
      <c r="A1126" s="25"/>
      <c r="B1126" s="25"/>
      <c r="C1126" s="25"/>
      <c r="D1126" s="25"/>
      <c r="E1126" s="25"/>
      <c r="F1126" s="25"/>
      <c r="G1126" s="25"/>
      <c r="H1126" s="25"/>
      <c r="I1126" s="25"/>
      <c r="J1126" s="25"/>
      <c r="K1126" s="25"/>
      <c r="L1126" s="25"/>
    </row>
    <row r="1127" spans="1:12" s="189" customFormat="1" ht="5.25" customHeight="1" x14ac:dyDescent="0.2">
      <c r="A1127" s="25"/>
      <c r="B1127" s="25"/>
      <c r="C1127" s="25"/>
      <c r="D1127" s="25"/>
      <c r="E1127" s="25"/>
      <c r="F1127" s="25"/>
      <c r="G1127" s="25"/>
      <c r="H1127" s="25"/>
      <c r="I1127" s="25"/>
      <c r="J1127" s="25"/>
      <c r="K1127" s="25"/>
      <c r="L1127" s="25"/>
    </row>
    <row r="1128" spans="1:12" s="189" customFormat="1" ht="5.25" customHeight="1" x14ac:dyDescent="0.2">
      <c r="A1128" s="25"/>
      <c r="B1128" s="25"/>
      <c r="C1128" s="25"/>
      <c r="D1128" s="25"/>
      <c r="E1128" s="25"/>
      <c r="F1128" s="25"/>
      <c r="G1128" s="25"/>
      <c r="H1128" s="25"/>
      <c r="I1128" s="25"/>
      <c r="J1128" s="25"/>
      <c r="K1128" s="25"/>
      <c r="L1128" s="25"/>
    </row>
    <row r="1129" spans="1:12" s="189" customFormat="1" ht="5.25" customHeight="1" x14ac:dyDescent="0.2">
      <c r="A1129" s="25"/>
      <c r="B1129" s="25"/>
      <c r="C1129" s="25"/>
      <c r="D1129" s="25"/>
      <c r="E1129" s="25"/>
      <c r="F1129" s="25"/>
      <c r="G1129" s="25"/>
      <c r="H1129" s="25"/>
      <c r="I1129" s="25"/>
      <c r="J1129" s="25"/>
      <c r="K1129" s="25"/>
      <c r="L1129" s="25"/>
    </row>
    <row r="1130" spans="1:12" s="189" customFormat="1" ht="5.25" customHeight="1" x14ac:dyDescent="0.2">
      <c r="A1130" s="25"/>
      <c r="B1130" s="25"/>
      <c r="C1130" s="25"/>
      <c r="D1130" s="25"/>
      <c r="E1130" s="25"/>
      <c r="F1130" s="25"/>
      <c r="G1130" s="25"/>
      <c r="H1130" s="25"/>
      <c r="I1130" s="25"/>
      <c r="J1130" s="25"/>
      <c r="K1130" s="25"/>
      <c r="L1130" s="25"/>
    </row>
    <row r="1131" spans="1:12" s="189" customFormat="1" ht="5.25" customHeight="1" x14ac:dyDescent="0.2">
      <c r="A1131" s="25"/>
      <c r="B1131" s="25"/>
      <c r="C1131" s="25"/>
      <c r="D1131" s="25"/>
      <c r="E1131" s="25"/>
      <c r="F1131" s="25"/>
      <c r="G1131" s="25"/>
      <c r="H1131" s="25"/>
      <c r="I1131" s="25"/>
      <c r="J1131" s="25"/>
      <c r="K1131" s="25"/>
      <c r="L1131" s="25"/>
    </row>
    <row r="1132" spans="1:12" s="189" customFormat="1" ht="5.25" customHeight="1" x14ac:dyDescent="0.2">
      <c r="A1132" s="25"/>
      <c r="B1132" s="25"/>
      <c r="C1132" s="25"/>
      <c r="D1132" s="25"/>
      <c r="E1132" s="25"/>
      <c r="F1132" s="25"/>
      <c r="G1132" s="25"/>
      <c r="H1132" s="25"/>
      <c r="I1132" s="25"/>
      <c r="J1132" s="25"/>
      <c r="K1132" s="25"/>
      <c r="L1132" s="25"/>
    </row>
    <row r="1133" spans="1:12" s="189" customFormat="1" ht="5.25" customHeight="1" x14ac:dyDescent="0.2">
      <c r="A1133" s="25"/>
      <c r="B1133" s="25"/>
      <c r="C1133" s="25"/>
      <c r="D1133" s="25"/>
      <c r="E1133" s="25"/>
      <c r="F1133" s="25"/>
      <c r="G1133" s="25"/>
      <c r="H1133" s="25"/>
      <c r="I1133" s="25"/>
      <c r="J1133" s="25"/>
      <c r="K1133" s="25"/>
      <c r="L1133" s="25"/>
    </row>
    <row r="1134" spans="1:12" s="189" customFormat="1" ht="5.25" customHeight="1" x14ac:dyDescent="0.2">
      <c r="A1134" s="25"/>
      <c r="B1134" s="25"/>
      <c r="C1134" s="25"/>
      <c r="D1134" s="25"/>
      <c r="E1134" s="25"/>
      <c r="F1134" s="25"/>
      <c r="G1134" s="25"/>
      <c r="H1134" s="25"/>
      <c r="I1134" s="25"/>
      <c r="J1134" s="25"/>
      <c r="K1134" s="25"/>
      <c r="L1134" s="25"/>
    </row>
    <row r="1135" spans="1:12" s="189" customFormat="1" ht="5.25" customHeight="1" x14ac:dyDescent="0.2">
      <c r="A1135" s="25"/>
      <c r="B1135" s="25"/>
      <c r="C1135" s="25"/>
      <c r="D1135" s="25"/>
      <c r="E1135" s="25"/>
      <c r="F1135" s="25"/>
      <c r="G1135" s="25"/>
      <c r="H1135" s="25"/>
      <c r="I1135" s="25"/>
      <c r="J1135" s="25"/>
      <c r="K1135" s="25"/>
      <c r="L1135" s="25"/>
    </row>
    <row r="1136" spans="1:12" s="189" customFormat="1" ht="5.25" customHeight="1" x14ac:dyDescent="0.2">
      <c r="A1136" s="25"/>
      <c r="B1136" s="25"/>
      <c r="C1136" s="25"/>
      <c r="D1136" s="25"/>
      <c r="E1136" s="25"/>
      <c r="F1136" s="25"/>
      <c r="G1136" s="25"/>
      <c r="H1136" s="25"/>
      <c r="I1136" s="25"/>
      <c r="J1136" s="25"/>
      <c r="K1136" s="25"/>
      <c r="L1136" s="25"/>
    </row>
    <row r="1137" spans="1:12" s="189" customFormat="1" ht="5.25" customHeight="1" x14ac:dyDescent="0.2">
      <c r="A1137" s="25"/>
      <c r="B1137" s="25"/>
      <c r="C1137" s="25"/>
      <c r="D1137" s="25"/>
      <c r="E1137" s="25"/>
      <c r="F1137" s="25"/>
      <c r="G1137" s="25"/>
      <c r="H1137" s="25"/>
      <c r="I1137" s="25"/>
      <c r="J1137" s="25"/>
      <c r="K1137" s="25"/>
      <c r="L1137" s="25"/>
    </row>
    <row r="1138" spans="1:12" s="189" customFormat="1" ht="5.25" customHeight="1" x14ac:dyDescent="0.2">
      <c r="A1138" s="25"/>
      <c r="B1138" s="25"/>
      <c r="C1138" s="25"/>
      <c r="D1138" s="25"/>
      <c r="E1138" s="25"/>
      <c r="F1138" s="25"/>
      <c r="G1138" s="25"/>
      <c r="H1138" s="25"/>
      <c r="I1138" s="25"/>
      <c r="J1138" s="25"/>
      <c r="K1138" s="25"/>
      <c r="L1138" s="25"/>
    </row>
    <row r="1139" spans="1:12" s="189" customFormat="1" ht="5.25" customHeight="1" x14ac:dyDescent="0.2">
      <c r="A1139" s="25"/>
      <c r="B1139" s="25"/>
      <c r="C1139" s="25"/>
      <c r="D1139" s="25"/>
      <c r="E1139" s="25"/>
      <c r="F1139" s="25"/>
      <c r="G1139" s="25"/>
      <c r="H1139" s="25"/>
      <c r="I1139" s="25"/>
      <c r="J1139" s="25"/>
      <c r="K1139" s="25"/>
      <c r="L1139" s="25"/>
    </row>
    <row r="1140" spans="1:12" s="189" customFormat="1" ht="5.25" customHeight="1" x14ac:dyDescent="0.2">
      <c r="A1140" s="25"/>
      <c r="B1140" s="25"/>
      <c r="C1140" s="25"/>
      <c r="D1140" s="25"/>
      <c r="E1140" s="25"/>
      <c r="F1140" s="25"/>
      <c r="G1140" s="25"/>
      <c r="H1140" s="25"/>
      <c r="I1140" s="25"/>
      <c r="J1140" s="25"/>
      <c r="K1140" s="25"/>
      <c r="L1140" s="25"/>
    </row>
    <row r="1141" spans="1:12" s="189" customFormat="1" ht="5.25" customHeight="1" x14ac:dyDescent="0.2">
      <c r="A1141" s="25"/>
      <c r="B1141" s="25"/>
      <c r="C1141" s="25"/>
      <c r="D1141" s="25"/>
      <c r="E1141" s="25"/>
      <c r="F1141" s="25"/>
      <c r="G1141" s="25"/>
      <c r="H1141" s="25"/>
      <c r="I1141" s="25"/>
      <c r="J1141" s="25"/>
      <c r="K1141" s="25"/>
      <c r="L1141" s="25"/>
    </row>
    <row r="1142" spans="1:12" s="189" customFormat="1" ht="5.25" customHeight="1" x14ac:dyDescent="0.2">
      <c r="A1142" s="25"/>
      <c r="B1142" s="25"/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</row>
    <row r="1143" spans="1:12" s="189" customFormat="1" ht="5.25" customHeight="1" x14ac:dyDescent="0.2">
      <c r="A1143" s="25"/>
      <c r="B1143" s="25"/>
      <c r="C1143" s="25"/>
      <c r="D1143" s="25"/>
      <c r="E1143" s="25"/>
      <c r="F1143" s="25"/>
      <c r="G1143" s="25"/>
      <c r="H1143" s="25"/>
      <c r="I1143" s="25"/>
      <c r="J1143" s="25"/>
      <c r="K1143" s="25"/>
      <c r="L1143" s="25"/>
    </row>
    <row r="1144" spans="1:12" s="189" customFormat="1" ht="5.25" customHeight="1" x14ac:dyDescent="0.2">
      <c r="A1144" s="25"/>
      <c r="B1144" s="25"/>
      <c r="C1144" s="25"/>
      <c r="D1144" s="25"/>
      <c r="E1144" s="25"/>
      <c r="F1144" s="25"/>
      <c r="G1144" s="25"/>
      <c r="H1144" s="25"/>
      <c r="I1144" s="25"/>
      <c r="J1144" s="25"/>
      <c r="K1144" s="25"/>
      <c r="L1144" s="25"/>
    </row>
    <row r="1145" spans="1:12" s="189" customFormat="1" ht="5.25" customHeight="1" x14ac:dyDescent="0.2">
      <c r="A1145" s="25"/>
      <c r="B1145" s="25"/>
      <c r="C1145" s="25"/>
      <c r="D1145" s="25"/>
      <c r="E1145" s="25"/>
      <c r="F1145" s="25"/>
      <c r="G1145" s="25"/>
      <c r="H1145" s="25"/>
      <c r="I1145" s="25"/>
      <c r="J1145" s="25"/>
      <c r="K1145" s="25"/>
      <c r="L1145" s="25"/>
    </row>
    <row r="1146" spans="1:12" s="189" customFormat="1" ht="5.25" customHeight="1" x14ac:dyDescent="0.2">
      <c r="A1146" s="25"/>
      <c r="B1146" s="25"/>
      <c r="C1146" s="25"/>
      <c r="D1146" s="25"/>
      <c r="E1146" s="25"/>
      <c r="F1146" s="25"/>
      <c r="G1146" s="25"/>
      <c r="H1146" s="25"/>
      <c r="I1146" s="25"/>
      <c r="J1146" s="25"/>
      <c r="K1146" s="25"/>
      <c r="L1146" s="25"/>
    </row>
    <row r="1147" spans="1:12" s="189" customFormat="1" ht="5.25" customHeight="1" x14ac:dyDescent="0.2">
      <c r="A1147" s="25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</row>
    <row r="1148" spans="1:12" s="189" customFormat="1" ht="5.25" customHeight="1" x14ac:dyDescent="0.2">
      <c r="A1148" s="25"/>
      <c r="B1148" s="25"/>
      <c r="C1148" s="25"/>
      <c r="D1148" s="25"/>
      <c r="E1148" s="25"/>
      <c r="F1148" s="25"/>
      <c r="G1148" s="25"/>
      <c r="H1148" s="25"/>
      <c r="I1148" s="25"/>
      <c r="J1148" s="25"/>
      <c r="K1148" s="25"/>
      <c r="L1148" s="25"/>
    </row>
    <row r="1149" spans="1:12" s="189" customFormat="1" ht="5.25" customHeight="1" x14ac:dyDescent="0.2">
      <c r="A1149" s="25"/>
      <c r="B1149" s="25"/>
      <c r="C1149" s="25"/>
      <c r="D1149" s="25"/>
      <c r="E1149" s="25"/>
      <c r="F1149" s="25"/>
      <c r="G1149" s="25"/>
      <c r="H1149" s="25"/>
      <c r="I1149" s="25"/>
      <c r="J1149" s="25"/>
      <c r="K1149" s="25"/>
      <c r="L1149" s="25"/>
    </row>
    <row r="1150" spans="1:12" s="189" customFormat="1" ht="5.25" customHeight="1" x14ac:dyDescent="0.2">
      <c r="A1150" s="25"/>
      <c r="B1150" s="25"/>
      <c r="C1150" s="25"/>
      <c r="D1150" s="25"/>
      <c r="E1150" s="25"/>
      <c r="F1150" s="25"/>
      <c r="G1150" s="25"/>
      <c r="H1150" s="25"/>
      <c r="I1150" s="25"/>
      <c r="J1150" s="25"/>
      <c r="K1150" s="25"/>
      <c r="L1150" s="25"/>
    </row>
    <row r="1151" spans="1:12" s="189" customFormat="1" ht="5.25" customHeight="1" x14ac:dyDescent="0.2">
      <c r="A1151" s="25"/>
      <c r="B1151" s="25"/>
      <c r="C1151" s="25"/>
      <c r="D1151" s="25"/>
      <c r="E1151" s="25"/>
      <c r="F1151" s="25"/>
      <c r="G1151" s="25"/>
      <c r="H1151" s="25"/>
      <c r="I1151" s="25"/>
      <c r="J1151" s="25"/>
      <c r="K1151" s="25"/>
      <c r="L1151" s="25"/>
    </row>
    <row r="1152" spans="1:12" s="189" customFormat="1" ht="5.25" customHeight="1" x14ac:dyDescent="0.2">
      <c r="A1152" s="25"/>
      <c r="B1152" s="25"/>
      <c r="C1152" s="25"/>
      <c r="D1152" s="25"/>
      <c r="E1152" s="25"/>
      <c r="F1152" s="25"/>
      <c r="G1152" s="25"/>
      <c r="H1152" s="25"/>
      <c r="I1152" s="25"/>
      <c r="J1152" s="25"/>
      <c r="K1152" s="25"/>
      <c r="L1152" s="25"/>
    </row>
    <row r="1153" spans="1:12" s="189" customFormat="1" ht="5.25" customHeight="1" x14ac:dyDescent="0.2">
      <c r="A1153" s="25"/>
      <c r="B1153" s="25"/>
      <c r="C1153" s="25"/>
      <c r="D1153" s="25"/>
      <c r="E1153" s="25"/>
      <c r="F1153" s="25"/>
      <c r="G1153" s="25"/>
      <c r="H1153" s="25"/>
      <c r="I1153" s="25"/>
      <c r="J1153" s="25"/>
      <c r="K1153" s="25"/>
      <c r="L1153" s="25"/>
    </row>
    <row r="1154" spans="1:12" s="189" customFormat="1" ht="5.25" customHeight="1" x14ac:dyDescent="0.2">
      <c r="A1154" s="25"/>
      <c r="B1154" s="25"/>
      <c r="C1154" s="25"/>
      <c r="D1154" s="25"/>
      <c r="E1154" s="25"/>
      <c r="F1154" s="25"/>
      <c r="G1154" s="25"/>
      <c r="H1154" s="25"/>
      <c r="I1154" s="25"/>
      <c r="J1154" s="25"/>
      <c r="K1154" s="25"/>
      <c r="L1154" s="25"/>
    </row>
    <row r="1155" spans="1:12" s="189" customFormat="1" ht="5.25" customHeight="1" x14ac:dyDescent="0.2">
      <c r="A1155" s="25"/>
      <c r="B1155" s="25"/>
      <c r="C1155" s="25"/>
      <c r="D1155" s="25"/>
      <c r="E1155" s="25"/>
      <c r="F1155" s="25"/>
      <c r="G1155" s="25"/>
      <c r="H1155" s="25"/>
      <c r="I1155" s="25"/>
      <c r="J1155" s="25"/>
      <c r="K1155" s="25"/>
      <c r="L1155" s="25"/>
    </row>
    <row r="1156" spans="1:12" s="189" customFormat="1" ht="5.25" customHeight="1" x14ac:dyDescent="0.2">
      <c r="A1156" s="25"/>
      <c r="B1156" s="25"/>
      <c r="C1156" s="25"/>
      <c r="D1156" s="25"/>
      <c r="E1156" s="25"/>
      <c r="F1156" s="25"/>
      <c r="G1156" s="25"/>
      <c r="H1156" s="25"/>
      <c r="I1156" s="25"/>
      <c r="J1156" s="25"/>
      <c r="K1156" s="25"/>
      <c r="L1156" s="25"/>
    </row>
    <row r="1157" spans="1:12" s="189" customFormat="1" ht="5.25" customHeight="1" x14ac:dyDescent="0.2">
      <c r="A1157" s="25"/>
      <c r="B1157" s="25"/>
      <c r="C1157" s="25"/>
      <c r="D1157" s="25"/>
      <c r="E1157" s="25"/>
      <c r="F1157" s="25"/>
      <c r="G1157" s="25"/>
      <c r="H1157" s="25"/>
      <c r="I1157" s="25"/>
      <c r="J1157" s="25"/>
      <c r="K1157" s="25"/>
      <c r="L1157" s="25"/>
    </row>
    <row r="1158" spans="1:12" s="189" customFormat="1" ht="5.25" customHeight="1" x14ac:dyDescent="0.2">
      <c r="A1158" s="25"/>
      <c r="B1158" s="25"/>
      <c r="C1158" s="25"/>
      <c r="D1158" s="25"/>
      <c r="E1158" s="25"/>
      <c r="F1158" s="25"/>
      <c r="G1158" s="25"/>
      <c r="H1158" s="25"/>
      <c r="I1158" s="25"/>
      <c r="J1158" s="25"/>
      <c r="K1158" s="25"/>
      <c r="L1158" s="25"/>
    </row>
    <row r="1159" spans="1:12" s="189" customFormat="1" ht="5.25" customHeight="1" x14ac:dyDescent="0.2">
      <c r="A1159" s="25"/>
      <c r="B1159" s="25"/>
      <c r="C1159" s="25"/>
      <c r="D1159" s="25"/>
      <c r="E1159" s="25"/>
      <c r="F1159" s="25"/>
      <c r="G1159" s="25"/>
      <c r="H1159" s="25"/>
      <c r="I1159" s="25"/>
      <c r="J1159" s="25"/>
      <c r="K1159" s="25"/>
      <c r="L1159" s="25"/>
    </row>
    <row r="1160" spans="1:12" s="189" customFormat="1" ht="5.25" customHeight="1" x14ac:dyDescent="0.2">
      <c r="A1160" s="25"/>
      <c r="B1160" s="25"/>
      <c r="C1160" s="25"/>
      <c r="D1160" s="25"/>
      <c r="E1160" s="25"/>
      <c r="F1160" s="25"/>
      <c r="G1160" s="25"/>
      <c r="H1160" s="25"/>
      <c r="I1160" s="25"/>
      <c r="J1160" s="25"/>
      <c r="K1160" s="25"/>
      <c r="L1160" s="25"/>
    </row>
    <row r="1161" spans="1:12" s="189" customFormat="1" ht="5.25" customHeight="1" x14ac:dyDescent="0.2">
      <c r="A1161" s="25"/>
      <c r="B1161" s="25"/>
      <c r="C1161" s="25"/>
      <c r="D1161" s="25"/>
      <c r="E1161" s="25"/>
      <c r="F1161" s="25"/>
      <c r="G1161" s="25"/>
      <c r="H1161" s="25"/>
      <c r="I1161" s="25"/>
      <c r="J1161" s="25"/>
      <c r="K1161" s="25"/>
      <c r="L1161" s="25"/>
    </row>
    <row r="1162" spans="1:12" s="189" customFormat="1" ht="5.25" customHeight="1" x14ac:dyDescent="0.2">
      <c r="A1162" s="25"/>
      <c r="B1162" s="25"/>
      <c r="C1162" s="25"/>
      <c r="D1162" s="25"/>
      <c r="E1162" s="25"/>
      <c r="F1162" s="25"/>
      <c r="G1162" s="25"/>
      <c r="H1162" s="25"/>
      <c r="I1162" s="25"/>
      <c r="J1162" s="25"/>
      <c r="K1162" s="25"/>
      <c r="L1162" s="25"/>
    </row>
    <row r="1163" spans="1:12" s="189" customFormat="1" ht="5.25" customHeight="1" x14ac:dyDescent="0.2">
      <c r="A1163" s="25"/>
      <c r="B1163" s="25"/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</row>
    <row r="1164" spans="1:12" s="189" customFormat="1" ht="5.25" customHeight="1" x14ac:dyDescent="0.2">
      <c r="A1164" s="25"/>
      <c r="B1164" s="25"/>
      <c r="C1164" s="25"/>
      <c r="D1164" s="25"/>
      <c r="E1164" s="25"/>
      <c r="F1164" s="25"/>
      <c r="G1164" s="25"/>
      <c r="H1164" s="25"/>
      <c r="I1164" s="25"/>
      <c r="J1164" s="25"/>
      <c r="K1164" s="25"/>
      <c r="L1164" s="25"/>
    </row>
    <row r="1165" spans="1:12" s="189" customFormat="1" ht="5.25" customHeight="1" x14ac:dyDescent="0.2">
      <c r="A1165" s="25"/>
      <c r="B1165" s="25"/>
      <c r="C1165" s="25"/>
      <c r="D1165" s="25"/>
      <c r="E1165" s="25"/>
      <c r="F1165" s="25"/>
      <c r="G1165" s="25"/>
      <c r="H1165" s="25"/>
      <c r="I1165" s="25"/>
      <c r="J1165" s="25"/>
      <c r="K1165" s="25"/>
      <c r="L1165" s="25"/>
    </row>
    <row r="1166" spans="1:12" s="189" customFormat="1" ht="5.25" customHeight="1" x14ac:dyDescent="0.2">
      <c r="A1166" s="25"/>
      <c r="B1166" s="25"/>
      <c r="C1166" s="25"/>
      <c r="D1166" s="25"/>
      <c r="E1166" s="25"/>
      <c r="F1166" s="25"/>
      <c r="G1166" s="25"/>
      <c r="H1166" s="25"/>
      <c r="I1166" s="25"/>
      <c r="J1166" s="25"/>
      <c r="K1166" s="25"/>
      <c r="L1166" s="25"/>
    </row>
    <row r="1167" spans="1:12" s="189" customFormat="1" ht="5.25" customHeight="1" x14ac:dyDescent="0.2">
      <c r="A1167" s="25"/>
      <c r="B1167" s="25"/>
      <c r="C1167" s="25"/>
      <c r="D1167" s="25"/>
      <c r="E1167" s="25"/>
      <c r="F1167" s="25"/>
      <c r="G1167" s="25"/>
      <c r="H1167" s="25"/>
      <c r="I1167" s="25"/>
      <c r="J1167" s="25"/>
      <c r="K1167" s="25"/>
      <c r="L1167" s="25"/>
    </row>
    <row r="1168" spans="1:12" s="189" customFormat="1" ht="5.25" customHeight="1" x14ac:dyDescent="0.2">
      <c r="A1168" s="25"/>
      <c r="B1168" s="25"/>
      <c r="C1168" s="25"/>
      <c r="D1168" s="25"/>
      <c r="E1168" s="25"/>
      <c r="F1168" s="25"/>
      <c r="G1168" s="25"/>
      <c r="H1168" s="25"/>
      <c r="I1168" s="25"/>
      <c r="J1168" s="25"/>
      <c r="K1168" s="25"/>
      <c r="L1168" s="25"/>
    </row>
    <row r="1169" spans="1:12" s="189" customFormat="1" ht="5.25" customHeight="1" x14ac:dyDescent="0.2">
      <c r="A1169" s="25"/>
      <c r="B1169" s="25"/>
      <c r="C1169" s="25"/>
      <c r="D1169" s="25"/>
      <c r="E1169" s="25"/>
      <c r="F1169" s="25"/>
      <c r="G1169" s="25"/>
      <c r="H1169" s="25"/>
      <c r="I1169" s="25"/>
      <c r="J1169" s="25"/>
      <c r="K1169" s="25"/>
      <c r="L1169" s="25"/>
    </row>
    <row r="1170" spans="1:12" s="189" customFormat="1" ht="5.25" customHeight="1" x14ac:dyDescent="0.2">
      <c r="A1170" s="25"/>
      <c r="B1170" s="25"/>
      <c r="C1170" s="25"/>
      <c r="D1170" s="25"/>
      <c r="E1170" s="25"/>
      <c r="F1170" s="25"/>
      <c r="G1170" s="25"/>
      <c r="H1170" s="25"/>
      <c r="I1170" s="25"/>
      <c r="J1170" s="25"/>
      <c r="K1170" s="25"/>
      <c r="L1170" s="25"/>
    </row>
    <row r="1171" spans="1:12" s="189" customFormat="1" ht="5.25" customHeight="1" x14ac:dyDescent="0.2">
      <c r="A1171" s="25"/>
      <c r="B1171" s="25"/>
      <c r="C1171" s="25"/>
      <c r="D1171" s="25"/>
      <c r="E1171" s="25"/>
      <c r="F1171" s="25"/>
      <c r="G1171" s="25"/>
      <c r="H1171" s="25"/>
      <c r="I1171" s="25"/>
      <c r="J1171" s="25"/>
      <c r="K1171" s="25"/>
      <c r="L1171" s="25"/>
    </row>
    <row r="1172" spans="1:12" s="189" customFormat="1" ht="5.25" customHeight="1" x14ac:dyDescent="0.2">
      <c r="A1172" s="25"/>
      <c r="B1172" s="25"/>
      <c r="C1172" s="25"/>
      <c r="D1172" s="25"/>
      <c r="E1172" s="25"/>
      <c r="F1172" s="25"/>
      <c r="G1172" s="25"/>
      <c r="H1172" s="25"/>
      <c r="I1172" s="25"/>
      <c r="J1172" s="25"/>
      <c r="K1172" s="25"/>
      <c r="L1172" s="25"/>
    </row>
    <row r="1173" spans="1:12" s="189" customFormat="1" ht="5.25" customHeight="1" x14ac:dyDescent="0.2">
      <c r="A1173" s="25"/>
      <c r="B1173" s="25"/>
      <c r="C1173" s="25"/>
      <c r="D1173" s="25"/>
      <c r="E1173" s="25"/>
      <c r="F1173" s="25"/>
      <c r="G1173" s="25"/>
      <c r="H1173" s="25"/>
      <c r="I1173" s="25"/>
      <c r="J1173" s="25"/>
      <c r="K1173" s="25"/>
      <c r="L1173" s="25"/>
    </row>
    <row r="1174" spans="1:12" s="189" customFormat="1" ht="5.25" customHeight="1" x14ac:dyDescent="0.2">
      <c r="A1174" s="25"/>
      <c r="B1174" s="25"/>
      <c r="C1174" s="25"/>
      <c r="D1174" s="25"/>
      <c r="E1174" s="25"/>
      <c r="F1174" s="25"/>
      <c r="G1174" s="25"/>
      <c r="H1174" s="25"/>
      <c r="I1174" s="25"/>
      <c r="J1174" s="25"/>
      <c r="K1174" s="25"/>
      <c r="L1174" s="25"/>
    </row>
    <row r="1175" spans="1:12" s="189" customFormat="1" ht="5.25" customHeight="1" x14ac:dyDescent="0.2">
      <c r="A1175" s="25"/>
      <c r="B1175" s="25"/>
      <c r="C1175" s="25"/>
      <c r="D1175" s="25"/>
      <c r="E1175" s="25"/>
      <c r="F1175" s="25"/>
      <c r="G1175" s="25"/>
      <c r="H1175" s="25"/>
      <c r="I1175" s="25"/>
      <c r="J1175" s="25"/>
      <c r="K1175" s="25"/>
      <c r="L1175" s="25"/>
    </row>
    <row r="1176" spans="1:12" s="189" customFormat="1" ht="5.25" customHeight="1" x14ac:dyDescent="0.2">
      <c r="A1176" s="25"/>
      <c r="B1176" s="25"/>
      <c r="C1176" s="25"/>
      <c r="D1176" s="25"/>
      <c r="E1176" s="25"/>
      <c r="F1176" s="25"/>
      <c r="G1176" s="25"/>
      <c r="H1176" s="25"/>
      <c r="I1176" s="25"/>
      <c r="J1176" s="25"/>
      <c r="K1176" s="25"/>
      <c r="L1176" s="25"/>
    </row>
    <row r="1177" spans="1:12" s="189" customFormat="1" ht="5.25" customHeight="1" x14ac:dyDescent="0.2">
      <c r="A1177" s="25"/>
      <c r="B1177" s="25"/>
      <c r="C1177" s="25"/>
      <c r="D1177" s="25"/>
      <c r="E1177" s="25"/>
      <c r="F1177" s="25"/>
      <c r="G1177" s="25"/>
      <c r="H1177" s="25"/>
      <c r="I1177" s="25"/>
      <c r="J1177" s="25"/>
      <c r="K1177" s="25"/>
      <c r="L1177" s="25"/>
    </row>
    <row r="1178" spans="1:12" s="189" customFormat="1" ht="5.25" customHeight="1" x14ac:dyDescent="0.2">
      <c r="A1178" s="25"/>
      <c r="B1178" s="25"/>
      <c r="C1178" s="25"/>
      <c r="D1178" s="25"/>
      <c r="E1178" s="25"/>
      <c r="F1178" s="25"/>
      <c r="G1178" s="25"/>
      <c r="H1178" s="25"/>
      <c r="I1178" s="25"/>
      <c r="J1178" s="25"/>
      <c r="K1178" s="25"/>
      <c r="L1178" s="25"/>
    </row>
    <row r="1179" spans="1:12" s="189" customFormat="1" ht="5.25" customHeight="1" x14ac:dyDescent="0.2">
      <c r="A1179" s="25"/>
      <c r="B1179" s="25"/>
      <c r="C1179" s="25"/>
      <c r="D1179" s="25"/>
      <c r="E1179" s="25"/>
      <c r="F1179" s="25"/>
      <c r="G1179" s="25"/>
      <c r="H1179" s="25"/>
      <c r="I1179" s="25"/>
      <c r="J1179" s="25"/>
      <c r="K1179" s="25"/>
      <c r="L1179" s="25"/>
    </row>
    <row r="1180" spans="1:12" s="189" customFormat="1" ht="5.25" customHeight="1" x14ac:dyDescent="0.2">
      <c r="A1180" s="25"/>
      <c r="B1180" s="25"/>
      <c r="C1180" s="25"/>
      <c r="D1180" s="25"/>
      <c r="E1180" s="25"/>
      <c r="F1180" s="25"/>
      <c r="G1180" s="25"/>
      <c r="H1180" s="25"/>
      <c r="I1180" s="25"/>
      <c r="J1180" s="25"/>
      <c r="K1180" s="25"/>
      <c r="L1180" s="25"/>
    </row>
    <row r="1181" spans="1:12" s="189" customFormat="1" ht="5.25" customHeight="1" x14ac:dyDescent="0.2">
      <c r="A1181" s="25"/>
      <c r="B1181" s="25"/>
      <c r="C1181" s="25"/>
      <c r="D1181" s="25"/>
      <c r="E1181" s="25"/>
      <c r="F1181" s="25"/>
      <c r="G1181" s="25"/>
      <c r="H1181" s="25"/>
      <c r="I1181" s="25"/>
      <c r="J1181" s="25"/>
      <c r="K1181" s="25"/>
      <c r="L1181" s="25"/>
    </row>
    <row r="1182" spans="1:12" s="189" customFormat="1" ht="5.25" customHeight="1" x14ac:dyDescent="0.2">
      <c r="A1182" s="25"/>
      <c r="B1182" s="25"/>
      <c r="C1182" s="25"/>
      <c r="D1182" s="25"/>
      <c r="E1182" s="25"/>
      <c r="F1182" s="25"/>
      <c r="G1182" s="25"/>
      <c r="H1182" s="25"/>
      <c r="I1182" s="25"/>
      <c r="J1182" s="25"/>
      <c r="K1182" s="25"/>
      <c r="L1182" s="25"/>
    </row>
    <row r="1183" spans="1:12" s="189" customFormat="1" ht="5.25" customHeight="1" x14ac:dyDescent="0.2">
      <c r="A1183" s="25"/>
      <c r="B1183" s="25"/>
      <c r="C1183" s="25"/>
      <c r="D1183" s="25"/>
      <c r="E1183" s="25"/>
      <c r="F1183" s="25"/>
      <c r="G1183" s="25"/>
      <c r="H1183" s="25"/>
      <c r="I1183" s="25"/>
      <c r="J1183" s="25"/>
      <c r="K1183" s="25"/>
      <c r="L1183" s="25"/>
    </row>
    <row r="1184" spans="1:12" s="189" customFormat="1" ht="5.25" customHeight="1" x14ac:dyDescent="0.2">
      <c r="A1184" s="25"/>
      <c r="B1184" s="25"/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</row>
    <row r="1185" spans="1:12" s="189" customFormat="1" ht="5.25" customHeight="1" x14ac:dyDescent="0.2">
      <c r="A1185" s="25"/>
      <c r="B1185" s="25"/>
      <c r="C1185" s="25"/>
      <c r="D1185" s="25"/>
      <c r="E1185" s="25"/>
      <c r="F1185" s="25"/>
      <c r="G1185" s="25"/>
      <c r="H1185" s="25"/>
      <c r="I1185" s="25"/>
      <c r="J1185" s="25"/>
      <c r="K1185" s="25"/>
      <c r="L1185" s="25"/>
    </row>
    <row r="1186" spans="1:12" s="189" customFormat="1" ht="5.25" customHeight="1" x14ac:dyDescent="0.2">
      <c r="A1186" s="25"/>
      <c r="B1186" s="25"/>
      <c r="C1186" s="25"/>
      <c r="D1186" s="25"/>
      <c r="E1186" s="25"/>
      <c r="F1186" s="25"/>
      <c r="G1186" s="25"/>
      <c r="H1186" s="25"/>
      <c r="I1186" s="25"/>
      <c r="J1186" s="25"/>
      <c r="K1186" s="25"/>
      <c r="L1186" s="25"/>
    </row>
    <row r="1187" spans="1:12" s="189" customFormat="1" ht="5.25" customHeight="1" x14ac:dyDescent="0.2">
      <c r="A1187" s="25"/>
      <c r="B1187" s="25"/>
      <c r="C1187" s="25"/>
      <c r="D1187" s="25"/>
      <c r="E1187" s="25"/>
      <c r="F1187" s="25"/>
      <c r="G1187" s="25"/>
      <c r="H1187" s="25"/>
      <c r="I1187" s="25"/>
      <c r="J1187" s="25"/>
      <c r="K1187" s="25"/>
      <c r="L1187" s="25"/>
    </row>
    <row r="1188" spans="1:12" s="189" customFormat="1" ht="5.25" customHeight="1" x14ac:dyDescent="0.2">
      <c r="A1188" s="25"/>
      <c r="B1188" s="25"/>
      <c r="C1188" s="25"/>
      <c r="D1188" s="25"/>
      <c r="E1188" s="25"/>
      <c r="F1188" s="25"/>
      <c r="G1188" s="25"/>
      <c r="H1188" s="25"/>
      <c r="I1188" s="25"/>
      <c r="J1188" s="25"/>
      <c r="K1188" s="25"/>
      <c r="L1188" s="25"/>
    </row>
    <row r="1189" spans="1:12" s="189" customFormat="1" ht="5.25" customHeight="1" x14ac:dyDescent="0.2">
      <c r="A1189" s="25"/>
      <c r="B1189" s="25"/>
      <c r="C1189" s="25"/>
      <c r="D1189" s="25"/>
      <c r="E1189" s="25"/>
      <c r="F1189" s="25"/>
      <c r="G1189" s="25"/>
      <c r="H1189" s="25"/>
      <c r="I1189" s="25"/>
      <c r="J1189" s="25"/>
      <c r="K1189" s="25"/>
      <c r="L1189" s="25"/>
    </row>
    <row r="1190" spans="1:12" s="189" customFormat="1" ht="5.25" customHeight="1" x14ac:dyDescent="0.2">
      <c r="A1190" s="25"/>
      <c r="B1190" s="25"/>
      <c r="C1190" s="25"/>
      <c r="D1190" s="25"/>
      <c r="E1190" s="25"/>
      <c r="F1190" s="25"/>
      <c r="G1190" s="25"/>
      <c r="H1190" s="25"/>
      <c r="I1190" s="25"/>
      <c r="J1190" s="25"/>
      <c r="K1190" s="25"/>
      <c r="L1190" s="25"/>
    </row>
    <row r="1191" spans="1:12" s="189" customFormat="1" ht="5.25" customHeight="1" x14ac:dyDescent="0.2">
      <c r="A1191" s="25"/>
      <c r="B1191" s="25"/>
      <c r="C1191" s="25"/>
      <c r="D1191" s="25"/>
      <c r="E1191" s="25"/>
      <c r="F1191" s="25"/>
      <c r="G1191" s="25"/>
      <c r="H1191" s="25"/>
      <c r="I1191" s="25"/>
      <c r="J1191" s="25"/>
      <c r="K1191" s="25"/>
      <c r="L1191" s="25"/>
    </row>
    <row r="1192" spans="1:12" s="189" customFormat="1" ht="5.25" customHeight="1" x14ac:dyDescent="0.2">
      <c r="A1192" s="25"/>
      <c r="B1192" s="25"/>
      <c r="C1192" s="25"/>
      <c r="D1192" s="25"/>
      <c r="E1192" s="25"/>
      <c r="F1192" s="25"/>
      <c r="G1192" s="25"/>
      <c r="H1192" s="25"/>
      <c r="I1192" s="25"/>
      <c r="J1192" s="25"/>
      <c r="K1192" s="25"/>
      <c r="L1192" s="25"/>
    </row>
    <row r="1193" spans="1:12" s="189" customFormat="1" ht="5.25" customHeight="1" x14ac:dyDescent="0.2">
      <c r="A1193" s="25"/>
      <c r="B1193" s="25"/>
      <c r="C1193" s="25"/>
      <c r="D1193" s="25"/>
      <c r="E1193" s="25"/>
      <c r="F1193" s="25"/>
      <c r="G1193" s="25"/>
      <c r="H1193" s="25"/>
      <c r="I1193" s="25"/>
      <c r="J1193" s="25"/>
      <c r="K1193" s="25"/>
      <c r="L1193" s="25"/>
    </row>
    <row r="1194" spans="1:12" s="189" customFormat="1" ht="5.25" customHeight="1" x14ac:dyDescent="0.2">
      <c r="A1194" s="25"/>
      <c r="B1194" s="25"/>
      <c r="C1194" s="25"/>
      <c r="D1194" s="25"/>
      <c r="E1194" s="25"/>
      <c r="F1194" s="25"/>
      <c r="G1194" s="25"/>
      <c r="H1194" s="25"/>
      <c r="I1194" s="25"/>
      <c r="J1194" s="25"/>
      <c r="K1194" s="25"/>
      <c r="L1194" s="25"/>
    </row>
    <row r="1195" spans="1:12" s="189" customFormat="1" ht="5.25" customHeight="1" x14ac:dyDescent="0.2">
      <c r="A1195" s="25"/>
      <c r="B1195" s="25"/>
      <c r="C1195" s="25"/>
      <c r="D1195" s="25"/>
      <c r="E1195" s="25"/>
      <c r="F1195" s="25"/>
      <c r="G1195" s="25"/>
      <c r="H1195" s="25"/>
      <c r="I1195" s="25"/>
      <c r="J1195" s="25"/>
      <c r="K1195" s="25"/>
      <c r="L1195" s="25"/>
    </row>
    <row r="1196" spans="1:12" s="189" customFormat="1" ht="5.25" customHeight="1" x14ac:dyDescent="0.2">
      <c r="A1196" s="25"/>
      <c r="B1196" s="25"/>
      <c r="C1196" s="25"/>
      <c r="D1196" s="25"/>
      <c r="E1196" s="25"/>
      <c r="F1196" s="25"/>
      <c r="G1196" s="25"/>
      <c r="H1196" s="25"/>
      <c r="I1196" s="25"/>
      <c r="J1196" s="25"/>
      <c r="K1196" s="25"/>
      <c r="L1196" s="25"/>
    </row>
    <row r="1197" spans="1:12" s="189" customFormat="1" ht="5.25" customHeight="1" x14ac:dyDescent="0.2">
      <c r="A1197" s="25"/>
      <c r="B1197" s="25"/>
      <c r="C1197" s="25"/>
      <c r="D1197" s="25"/>
      <c r="E1197" s="25"/>
      <c r="F1197" s="25"/>
      <c r="G1197" s="25"/>
      <c r="H1197" s="25"/>
      <c r="I1197" s="25"/>
      <c r="J1197" s="25"/>
      <c r="K1197" s="25"/>
      <c r="L1197" s="25"/>
    </row>
    <row r="1198" spans="1:12" s="189" customFormat="1" ht="5.25" customHeight="1" x14ac:dyDescent="0.2">
      <c r="A1198" s="25"/>
      <c r="B1198" s="25"/>
      <c r="C1198" s="25"/>
      <c r="D1198" s="25"/>
      <c r="E1198" s="25"/>
      <c r="F1198" s="25"/>
      <c r="G1198" s="25"/>
      <c r="H1198" s="25"/>
      <c r="I1198" s="25"/>
      <c r="J1198" s="25"/>
      <c r="K1198" s="25"/>
      <c r="L1198" s="25"/>
    </row>
    <row r="1199" spans="1:12" s="189" customFormat="1" ht="5.25" customHeight="1" x14ac:dyDescent="0.2">
      <c r="A1199" s="25"/>
      <c r="B1199" s="25"/>
      <c r="C1199" s="25"/>
      <c r="D1199" s="25"/>
      <c r="E1199" s="25"/>
      <c r="F1199" s="25"/>
      <c r="G1199" s="25"/>
      <c r="H1199" s="25"/>
      <c r="I1199" s="25"/>
      <c r="J1199" s="25"/>
      <c r="K1199" s="25"/>
      <c r="L1199" s="25"/>
    </row>
    <row r="1200" spans="1:12" s="189" customFormat="1" ht="5.25" customHeight="1" x14ac:dyDescent="0.2">
      <c r="A1200" s="25"/>
      <c r="B1200" s="25"/>
      <c r="C1200" s="25"/>
      <c r="D1200" s="25"/>
      <c r="E1200" s="25"/>
      <c r="F1200" s="25"/>
      <c r="G1200" s="25"/>
      <c r="H1200" s="25"/>
      <c r="I1200" s="25"/>
      <c r="J1200" s="25"/>
      <c r="K1200" s="25"/>
      <c r="L1200" s="25"/>
    </row>
    <row r="1201" spans="1:12" s="189" customFormat="1" ht="5.25" customHeight="1" x14ac:dyDescent="0.2">
      <c r="A1201" s="25"/>
      <c r="B1201" s="25"/>
      <c r="C1201" s="25"/>
      <c r="D1201" s="25"/>
      <c r="E1201" s="25"/>
      <c r="F1201" s="25"/>
      <c r="G1201" s="25"/>
      <c r="H1201" s="25"/>
      <c r="I1201" s="25"/>
      <c r="J1201" s="25"/>
      <c r="K1201" s="25"/>
      <c r="L1201" s="25"/>
    </row>
    <row r="1202" spans="1:12" s="189" customFormat="1" ht="5.25" customHeight="1" x14ac:dyDescent="0.2">
      <c r="A1202" s="25"/>
      <c r="B1202" s="25"/>
      <c r="C1202" s="25"/>
      <c r="D1202" s="25"/>
      <c r="E1202" s="25"/>
      <c r="F1202" s="25"/>
      <c r="G1202" s="25"/>
      <c r="H1202" s="25"/>
      <c r="I1202" s="25"/>
      <c r="J1202" s="25"/>
      <c r="K1202" s="25"/>
      <c r="L1202" s="25"/>
    </row>
    <row r="1203" spans="1:12" s="189" customFormat="1" ht="5.25" customHeight="1" x14ac:dyDescent="0.2">
      <c r="A1203" s="25"/>
      <c r="B1203" s="25"/>
      <c r="C1203" s="25"/>
      <c r="D1203" s="25"/>
      <c r="E1203" s="25"/>
      <c r="F1203" s="25"/>
      <c r="G1203" s="25"/>
      <c r="H1203" s="25"/>
      <c r="I1203" s="25"/>
      <c r="J1203" s="25"/>
      <c r="K1203" s="25"/>
      <c r="L1203" s="25"/>
    </row>
    <row r="1204" spans="1:12" s="189" customFormat="1" ht="5.25" customHeight="1" x14ac:dyDescent="0.2">
      <c r="A1204" s="25"/>
      <c r="B1204" s="25"/>
      <c r="C1204" s="25"/>
      <c r="D1204" s="25"/>
      <c r="E1204" s="25"/>
      <c r="F1204" s="25"/>
      <c r="G1204" s="25"/>
      <c r="H1204" s="25"/>
      <c r="I1204" s="25"/>
      <c r="J1204" s="25"/>
      <c r="K1204" s="25"/>
      <c r="L1204" s="25"/>
    </row>
    <row r="1205" spans="1:12" s="189" customFormat="1" ht="5.25" customHeight="1" x14ac:dyDescent="0.2">
      <c r="A1205" s="25"/>
      <c r="B1205" s="25"/>
      <c r="C1205" s="25"/>
      <c r="D1205" s="25"/>
      <c r="E1205" s="25"/>
      <c r="F1205" s="25"/>
      <c r="G1205" s="25"/>
      <c r="H1205" s="25"/>
      <c r="I1205" s="25"/>
      <c r="J1205" s="25"/>
      <c r="K1205" s="25"/>
      <c r="L1205" s="25"/>
    </row>
    <row r="1206" spans="1:12" s="189" customFormat="1" ht="5.25" customHeight="1" x14ac:dyDescent="0.2">
      <c r="A1206" s="25"/>
      <c r="B1206" s="25"/>
      <c r="C1206" s="25"/>
      <c r="D1206" s="25"/>
      <c r="E1206" s="25"/>
      <c r="F1206" s="25"/>
      <c r="G1206" s="25"/>
      <c r="H1206" s="25"/>
      <c r="I1206" s="25"/>
      <c r="J1206" s="25"/>
      <c r="K1206" s="25"/>
      <c r="L1206" s="25"/>
    </row>
    <row r="1207" spans="1:12" s="189" customFormat="1" ht="5.25" customHeight="1" x14ac:dyDescent="0.2">
      <c r="A1207" s="25"/>
      <c r="B1207" s="25"/>
      <c r="C1207" s="25"/>
      <c r="D1207" s="25"/>
      <c r="E1207" s="25"/>
      <c r="F1207" s="25"/>
      <c r="G1207" s="25"/>
      <c r="H1207" s="25"/>
      <c r="I1207" s="25"/>
      <c r="J1207" s="25"/>
      <c r="K1207" s="25"/>
      <c r="L1207" s="25"/>
    </row>
    <row r="1208" spans="1:12" s="189" customFormat="1" ht="5.25" customHeight="1" x14ac:dyDescent="0.2">
      <c r="A1208" s="25"/>
      <c r="B1208" s="25"/>
      <c r="C1208" s="25"/>
      <c r="D1208" s="25"/>
      <c r="E1208" s="25"/>
      <c r="F1208" s="25"/>
      <c r="G1208" s="25"/>
      <c r="H1208" s="25"/>
      <c r="I1208" s="25"/>
      <c r="J1208" s="25"/>
      <c r="K1208" s="25"/>
      <c r="L1208" s="25"/>
    </row>
    <row r="1209" spans="1:12" s="189" customFormat="1" ht="5.25" customHeight="1" x14ac:dyDescent="0.2">
      <c r="A1209" s="25"/>
      <c r="B1209" s="25"/>
      <c r="C1209" s="25"/>
      <c r="D1209" s="25"/>
      <c r="E1209" s="25"/>
      <c r="F1209" s="25"/>
      <c r="G1209" s="25"/>
      <c r="H1209" s="25"/>
      <c r="I1209" s="25"/>
      <c r="J1209" s="25"/>
      <c r="K1209" s="25"/>
      <c r="L1209" s="25"/>
    </row>
    <row r="1210" spans="1:12" s="189" customFormat="1" ht="5.25" customHeight="1" x14ac:dyDescent="0.2">
      <c r="A1210" s="25"/>
      <c r="B1210" s="25"/>
      <c r="C1210" s="25"/>
      <c r="D1210" s="25"/>
      <c r="E1210" s="25"/>
      <c r="F1210" s="25"/>
      <c r="G1210" s="25"/>
      <c r="H1210" s="25"/>
      <c r="I1210" s="25"/>
      <c r="J1210" s="25"/>
      <c r="K1210" s="25"/>
      <c r="L1210" s="25"/>
    </row>
    <row r="1211" spans="1:12" s="189" customFormat="1" ht="5.25" customHeight="1" x14ac:dyDescent="0.2">
      <c r="A1211" s="25"/>
      <c r="B1211" s="25"/>
      <c r="C1211" s="25"/>
      <c r="D1211" s="25"/>
      <c r="E1211" s="25"/>
      <c r="F1211" s="25"/>
      <c r="G1211" s="25"/>
      <c r="H1211" s="25"/>
      <c r="I1211" s="25"/>
      <c r="J1211" s="25"/>
      <c r="K1211" s="25"/>
      <c r="L1211" s="25"/>
    </row>
    <row r="1212" spans="1:12" s="189" customFormat="1" ht="5.25" customHeight="1" x14ac:dyDescent="0.2">
      <c r="A1212" s="25"/>
      <c r="B1212" s="25"/>
      <c r="C1212" s="25"/>
      <c r="D1212" s="25"/>
      <c r="E1212" s="25"/>
      <c r="F1212" s="25"/>
      <c r="G1212" s="25"/>
      <c r="H1212" s="25"/>
      <c r="I1212" s="25"/>
      <c r="J1212" s="25"/>
      <c r="K1212" s="25"/>
      <c r="L1212" s="25"/>
    </row>
    <row r="1213" spans="1:12" s="189" customFormat="1" ht="5.25" customHeight="1" x14ac:dyDescent="0.2">
      <c r="A1213" s="25"/>
      <c r="B1213" s="25"/>
      <c r="C1213" s="25"/>
      <c r="D1213" s="25"/>
      <c r="E1213" s="25"/>
      <c r="F1213" s="25"/>
      <c r="G1213" s="25"/>
      <c r="H1213" s="25"/>
      <c r="I1213" s="25"/>
      <c r="J1213" s="25"/>
      <c r="K1213" s="25"/>
      <c r="L1213" s="25"/>
    </row>
    <row r="1214" spans="1:12" s="189" customFormat="1" ht="5.25" customHeight="1" x14ac:dyDescent="0.2">
      <c r="A1214" s="25"/>
      <c r="B1214" s="25"/>
      <c r="C1214" s="25"/>
      <c r="D1214" s="25"/>
      <c r="E1214" s="25"/>
      <c r="F1214" s="25"/>
      <c r="G1214" s="25"/>
      <c r="H1214" s="25"/>
      <c r="I1214" s="25"/>
      <c r="J1214" s="25"/>
      <c r="K1214" s="25"/>
      <c r="L1214" s="25"/>
    </row>
    <row r="1215" spans="1:12" s="189" customFormat="1" ht="5.25" customHeight="1" x14ac:dyDescent="0.2">
      <c r="A1215" s="25"/>
      <c r="B1215" s="25"/>
      <c r="C1215" s="25"/>
      <c r="D1215" s="25"/>
      <c r="E1215" s="25"/>
      <c r="F1215" s="25"/>
      <c r="G1215" s="25"/>
      <c r="H1215" s="25"/>
      <c r="I1215" s="25"/>
      <c r="J1215" s="25"/>
      <c r="K1215" s="25"/>
      <c r="L1215" s="25"/>
    </row>
    <row r="1216" spans="1:12" s="189" customFormat="1" ht="5.25" customHeight="1" x14ac:dyDescent="0.2">
      <c r="A1216" s="25"/>
      <c r="B1216" s="25"/>
      <c r="C1216" s="25"/>
      <c r="D1216" s="25"/>
      <c r="E1216" s="25"/>
      <c r="F1216" s="25"/>
      <c r="G1216" s="25"/>
      <c r="H1216" s="25"/>
      <c r="I1216" s="25"/>
      <c r="J1216" s="25"/>
      <c r="K1216" s="25"/>
      <c r="L1216" s="25"/>
    </row>
    <row r="1217" spans="1:12" s="189" customFormat="1" ht="5.25" customHeight="1" x14ac:dyDescent="0.2">
      <c r="A1217" s="25"/>
      <c r="B1217" s="25"/>
      <c r="C1217" s="25"/>
      <c r="D1217" s="25"/>
      <c r="E1217" s="25"/>
      <c r="F1217" s="25"/>
      <c r="G1217" s="25"/>
      <c r="H1217" s="25"/>
      <c r="I1217" s="25"/>
      <c r="J1217" s="25"/>
      <c r="K1217" s="25"/>
      <c r="L1217" s="25"/>
    </row>
    <row r="1218" spans="1:12" s="189" customFormat="1" ht="5.25" customHeight="1" x14ac:dyDescent="0.2">
      <c r="A1218" s="25"/>
      <c r="B1218" s="25"/>
      <c r="C1218" s="25"/>
      <c r="D1218" s="25"/>
      <c r="E1218" s="25"/>
      <c r="F1218" s="25"/>
      <c r="G1218" s="25"/>
      <c r="H1218" s="25"/>
      <c r="I1218" s="25"/>
      <c r="J1218" s="25"/>
      <c r="K1218" s="25"/>
      <c r="L1218" s="25"/>
    </row>
    <row r="1219" spans="1:12" s="189" customFormat="1" ht="5.25" customHeight="1" x14ac:dyDescent="0.2">
      <c r="A1219" s="25"/>
      <c r="B1219" s="25"/>
      <c r="C1219" s="25"/>
      <c r="D1219" s="25"/>
      <c r="E1219" s="25"/>
      <c r="F1219" s="25"/>
      <c r="G1219" s="25"/>
      <c r="H1219" s="25"/>
      <c r="I1219" s="25"/>
      <c r="J1219" s="25"/>
      <c r="K1219" s="25"/>
      <c r="L1219" s="25"/>
    </row>
    <row r="1220" spans="1:12" s="189" customFormat="1" ht="5.25" customHeight="1" x14ac:dyDescent="0.2">
      <c r="A1220" s="25"/>
      <c r="B1220" s="25"/>
      <c r="C1220" s="25"/>
      <c r="D1220" s="25"/>
      <c r="E1220" s="25"/>
      <c r="F1220" s="25"/>
      <c r="G1220" s="25"/>
      <c r="H1220" s="25"/>
      <c r="I1220" s="25"/>
      <c r="J1220" s="25"/>
      <c r="K1220" s="25"/>
      <c r="L1220" s="25"/>
    </row>
    <row r="1221" spans="1:12" s="189" customFormat="1" ht="5.25" customHeight="1" x14ac:dyDescent="0.2">
      <c r="A1221" s="25"/>
      <c r="B1221" s="25"/>
      <c r="C1221" s="25"/>
      <c r="D1221" s="25"/>
      <c r="E1221" s="25"/>
      <c r="F1221" s="25"/>
      <c r="G1221" s="25"/>
      <c r="H1221" s="25"/>
      <c r="I1221" s="25"/>
      <c r="J1221" s="25"/>
      <c r="K1221" s="25"/>
      <c r="L1221" s="25"/>
    </row>
    <row r="1222" spans="1:12" s="189" customFormat="1" ht="5.25" customHeight="1" x14ac:dyDescent="0.2">
      <c r="A1222" s="25"/>
      <c r="B1222" s="25"/>
      <c r="C1222" s="25"/>
      <c r="D1222" s="25"/>
      <c r="E1222" s="25"/>
      <c r="F1222" s="25"/>
      <c r="G1222" s="25"/>
      <c r="H1222" s="25"/>
      <c r="I1222" s="25"/>
      <c r="J1222" s="25"/>
      <c r="K1222" s="25"/>
      <c r="L1222" s="25"/>
    </row>
    <row r="1223" spans="1:12" s="189" customFormat="1" ht="5.25" customHeight="1" x14ac:dyDescent="0.2">
      <c r="A1223" s="25"/>
      <c r="B1223" s="25"/>
      <c r="C1223" s="25"/>
      <c r="D1223" s="25"/>
      <c r="E1223" s="25"/>
      <c r="F1223" s="25"/>
      <c r="G1223" s="25"/>
      <c r="H1223" s="25"/>
      <c r="I1223" s="25"/>
      <c r="J1223" s="25"/>
      <c r="K1223" s="25"/>
      <c r="L1223" s="25"/>
    </row>
    <row r="1224" spans="1:12" s="189" customFormat="1" ht="5.25" customHeight="1" x14ac:dyDescent="0.2">
      <c r="A1224" s="25"/>
      <c r="B1224" s="25"/>
      <c r="C1224" s="25"/>
      <c r="D1224" s="25"/>
      <c r="E1224" s="25"/>
      <c r="F1224" s="25"/>
      <c r="G1224" s="25"/>
      <c r="H1224" s="25"/>
      <c r="I1224" s="25"/>
      <c r="J1224" s="25"/>
      <c r="K1224" s="25"/>
      <c r="L1224" s="25"/>
    </row>
    <row r="1225" spans="1:12" s="189" customFormat="1" ht="5.25" customHeight="1" x14ac:dyDescent="0.2">
      <c r="A1225" s="25"/>
      <c r="B1225" s="25"/>
      <c r="C1225" s="25"/>
      <c r="D1225" s="25"/>
      <c r="E1225" s="25"/>
      <c r="F1225" s="25"/>
      <c r="G1225" s="25"/>
      <c r="H1225" s="25"/>
      <c r="I1225" s="25"/>
      <c r="J1225" s="25"/>
      <c r="K1225" s="25"/>
      <c r="L1225" s="25"/>
    </row>
    <row r="1226" spans="1:12" s="189" customFormat="1" ht="5.25" customHeight="1" x14ac:dyDescent="0.2">
      <c r="A1226" s="25"/>
      <c r="B1226" s="25"/>
      <c r="C1226" s="25"/>
      <c r="D1226" s="25"/>
      <c r="E1226" s="25"/>
      <c r="F1226" s="25"/>
      <c r="G1226" s="25"/>
      <c r="H1226" s="25"/>
      <c r="I1226" s="25"/>
      <c r="J1226" s="25"/>
      <c r="K1226" s="25"/>
      <c r="L1226" s="25"/>
    </row>
    <row r="1227" spans="1:12" s="189" customFormat="1" ht="5.25" customHeight="1" x14ac:dyDescent="0.2">
      <c r="A1227" s="25"/>
      <c r="B1227" s="25"/>
      <c r="C1227" s="25"/>
      <c r="D1227" s="25"/>
      <c r="E1227" s="25"/>
      <c r="F1227" s="25"/>
      <c r="G1227" s="25"/>
      <c r="H1227" s="25"/>
      <c r="I1227" s="25"/>
      <c r="J1227" s="25"/>
      <c r="K1227" s="25"/>
      <c r="L1227" s="25"/>
    </row>
    <row r="1228" spans="1:12" s="189" customFormat="1" ht="5.25" customHeight="1" x14ac:dyDescent="0.2">
      <c r="A1228" s="25"/>
      <c r="B1228" s="25"/>
      <c r="C1228" s="25"/>
      <c r="D1228" s="25"/>
      <c r="E1228" s="25"/>
      <c r="F1228" s="25"/>
      <c r="G1228" s="25"/>
      <c r="H1228" s="25"/>
      <c r="I1228" s="25"/>
      <c r="J1228" s="25"/>
      <c r="K1228" s="25"/>
      <c r="L1228" s="25"/>
    </row>
    <row r="1229" spans="1:12" s="189" customFormat="1" ht="5.25" customHeight="1" x14ac:dyDescent="0.2">
      <c r="A1229" s="25"/>
      <c r="B1229" s="25"/>
      <c r="C1229" s="25"/>
      <c r="D1229" s="25"/>
      <c r="E1229" s="25"/>
      <c r="F1229" s="25"/>
      <c r="G1229" s="25"/>
      <c r="H1229" s="25"/>
      <c r="I1229" s="25"/>
      <c r="J1229" s="25"/>
      <c r="K1229" s="25"/>
      <c r="L1229" s="25"/>
    </row>
    <row r="1230" spans="1:12" s="189" customFormat="1" ht="5.25" customHeight="1" x14ac:dyDescent="0.2">
      <c r="A1230" s="25"/>
      <c r="B1230" s="25"/>
      <c r="C1230" s="25"/>
      <c r="D1230" s="25"/>
      <c r="E1230" s="25"/>
      <c r="F1230" s="25"/>
      <c r="G1230" s="25"/>
      <c r="H1230" s="25"/>
      <c r="I1230" s="25"/>
      <c r="J1230" s="25"/>
      <c r="K1230" s="25"/>
      <c r="L1230" s="25"/>
    </row>
    <row r="1231" spans="1:12" s="189" customFormat="1" ht="5.25" customHeight="1" x14ac:dyDescent="0.2">
      <c r="A1231" s="25"/>
      <c r="B1231" s="25"/>
      <c r="C1231" s="25"/>
      <c r="D1231" s="25"/>
      <c r="E1231" s="25"/>
      <c r="F1231" s="25"/>
      <c r="G1231" s="25"/>
      <c r="H1231" s="25"/>
      <c r="I1231" s="25"/>
      <c r="J1231" s="25"/>
      <c r="K1231" s="25"/>
      <c r="L1231" s="25"/>
    </row>
    <row r="1232" spans="1:12" s="189" customFormat="1" ht="5.25" customHeight="1" x14ac:dyDescent="0.2">
      <c r="A1232" s="25"/>
      <c r="B1232" s="25"/>
      <c r="C1232" s="25"/>
      <c r="D1232" s="25"/>
      <c r="E1232" s="25"/>
      <c r="F1232" s="25"/>
      <c r="G1232" s="25"/>
      <c r="H1232" s="25"/>
      <c r="I1232" s="25"/>
      <c r="J1232" s="25"/>
      <c r="K1232" s="25"/>
      <c r="L1232" s="25"/>
    </row>
    <row r="1233" spans="1:12" s="189" customFormat="1" ht="5.25" customHeight="1" x14ac:dyDescent="0.2">
      <c r="A1233" s="25"/>
      <c r="B1233" s="25"/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</row>
    <row r="1234" spans="1:12" s="189" customFormat="1" ht="5.25" customHeight="1" x14ac:dyDescent="0.2">
      <c r="A1234" s="25"/>
      <c r="B1234" s="25"/>
      <c r="C1234" s="25"/>
      <c r="D1234" s="25"/>
      <c r="E1234" s="25"/>
      <c r="F1234" s="25"/>
      <c r="G1234" s="25"/>
      <c r="H1234" s="25"/>
      <c r="I1234" s="25"/>
      <c r="J1234" s="25"/>
      <c r="K1234" s="25"/>
      <c r="L1234" s="25"/>
    </row>
    <row r="1235" spans="1:12" s="189" customFormat="1" ht="5.25" customHeight="1" x14ac:dyDescent="0.2">
      <c r="A1235" s="25"/>
      <c r="B1235" s="25"/>
      <c r="C1235" s="25"/>
      <c r="D1235" s="25"/>
      <c r="E1235" s="25"/>
      <c r="F1235" s="25"/>
      <c r="G1235" s="25"/>
      <c r="H1235" s="25"/>
      <c r="I1235" s="25"/>
      <c r="J1235" s="25"/>
      <c r="K1235" s="25"/>
      <c r="L1235" s="25"/>
    </row>
    <row r="1236" spans="1:12" s="189" customFormat="1" ht="5.25" customHeight="1" x14ac:dyDescent="0.2">
      <c r="A1236" s="25"/>
      <c r="B1236" s="25"/>
      <c r="C1236" s="25"/>
      <c r="D1236" s="25"/>
      <c r="E1236" s="25"/>
      <c r="F1236" s="25"/>
      <c r="G1236" s="25"/>
      <c r="H1236" s="25"/>
      <c r="I1236" s="25"/>
      <c r="J1236" s="25"/>
      <c r="K1236" s="25"/>
      <c r="L1236" s="25"/>
    </row>
    <row r="1237" spans="1:12" s="189" customFormat="1" ht="5.25" customHeight="1" x14ac:dyDescent="0.2">
      <c r="A1237" s="25"/>
      <c r="B1237" s="25"/>
      <c r="C1237" s="25"/>
      <c r="D1237" s="25"/>
      <c r="E1237" s="25"/>
      <c r="F1237" s="25"/>
      <c r="G1237" s="25"/>
      <c r="H1237" s="25"/>
      <c r="I1237" s="25"/>
      <c r="J1237" s="25"/>
      <c r="K1237" s="25"/>
      <c r="L1237" s="25"/>
    </row>
    <row r="1238" spans="1:12" s="189" customFormat="1" ht="5.25" customHeight="1" x14ac:dyDescent="0.2">
      <c r="A1238" s="25"/>
      <c r="B1238" s="25"/>
      <c r="C1238" s="25"/>
      <c r="D1238" s="25"/>
      <c r="E1238" s="25"/>
      <c r="F1238" s="25"/>
      <c r="G1238" s="25"/>
      <c r="H1238" s="25"/>
      <c r="I1238" s="25"/>
      <c r="J1238" s="25"/>
      <c r="K1238" s="25"/>
      <c r="L1238" s="25"/>
    </row>
    <row r="1239" spans="1:12" s="189" customFormat="1" ht="5.25" customHeight="1" x14ac:dyDescent="0.2">
      <c r="A1239" s="25"/>
      <c r="B1239" s="25"/>
      <c r="C1239" s="25"/>
      <c r="D1239" s="25"/>
      <c r="E1239" s="25"/>
      <c r="F1239" s="25"/>
      <c r="G1239" s="25"/>
      <c r="H1239" s="25"/>
      <c r="I1239" s="25"/>
      <c r="J1239" s="25"/>
      <c r="K1239" s="25"/>
      <c r="L1239" s="25"/>
    </row>
    <row r="1240" spans="1:12" s="189" customFormat="1" ht="5.25" customHeight="1" x14ac:dyDescent="0.2">
      <c r="A1240" s="25"/>
      <c r="B1240" s="25"/>
      <c r="C1240" s="25"/>
      <c r="D1240" s="25"/>
      <c r="E1240" s="25"/>
      <c r="F1240" s="25"/>
      <c r="G1240" s="25"/>
      <c r="H1240" s="25"/>
      <c r="I1240" s="25"/>
      <c r="J1240" s="25"/>
      <c r="K1240" s="25"/>
      <c r="L1240" s="25"/>
    </row>
    <row r="1241" spans="1:12" s="189" customFormat="1" ht="5.25" customHeight="1" x14ac:dyDescent="0.2">
      <c r="A1241" s="25"/>
      <c r="B1241" s="25"/>
      <c r="C1241" s="25"/>
      <c r="D1241" s="25"/>
      <c r="E1241" s="25"/>
      <c r="F1241" s="25"/>
      <c r="G1241" s="25"/>
      <c r="H1241" s="25"/>
      <c r="I1241" s="25"/>
      <c r="J1241" s="25"/>
      <c r="K1241" s="25"/>
      <c r="L1241" s="25"/>
    </row>
    <row r="1242" spans="1:12" s="189" customFormat="1" ht="5.25" customHeight="1" x14ac:dyDescent="0.2">
      <c r="A1242" s="25"/>
      <c r="B1242" s="25"/>
      <c r="C1242" s="25"/>
      <c r="D1242" s="25"/>
      <c r="E1242" s="25"/>
      <c r="F1242" s="25"/>
      <c r="G1242" s="25"/>
      <c r="H1242" s="25"/>
      <c r="I1242" s="25"/>
      <c r="J1242" s="25"/>
      <c r="K1242" s="25"/>
      <c r="L1242" s="25"/>
    </row>
    <row r="1243" spans="1:12" s="189" customFormat="1" ht="5.25" customHeight="1" x14ac:dyDescent="0.2">
      <c r="A1243" s="25"/>
      <c r="B1243" s="25"/>
      <c r="C1243" s="25"/>
      <c r="D1243" s="25"/>
      <c r="E1243" s="25"/>
      <c r="F1243" s="25"/>
      <c r="G1243" s="25"/>
      <c r="H1243" s="25"/>
      <c r="I1243" s="25"/>
      <c r="J1243" s="25"/>
      <c r="K1243" s="25"/>
      <c r="L1243" s="25"/>
    </row>
    <row r="1244" spans="1:12" s="189" customFormat="1" ht="5.25" customHeight="1" x14ac:dyDescent="0.2">
      <c r="A1244" s="25"/>
      <c r="B1244" s="25"/>
      <c r="C1244" s="25"/>
      <c r="D1244" s="25"/>
      <c r="E1244" s="25"/>
      <c r="F1244" s="25"/>
      <c r="G1244" s="25"/>
      <c r="H1244" s="25"/>
      <c r="I1244" s="25"/>
      <c r="J1244" s="25"/>
      <c r="K1244" s="25"/>
      <c r="L1244" s="25"/>
    </row>
    <row r="1245" spans="1:12" s="189" customFormat="1" ht="5.25" customHeight="1" x14ac:dyDescent="0.2">
      <c r="A1245" s="25"/>
      <c r="B1245" s="25"/>
      <c r="C1245" s="25"/>
      <c r="D1245" s="25"/>
      <c r="E1245" s="25"/>
      <c r="F1245" s="25"/>
      <c r="G1245" s="25"/>
      <c r="H1245" s="25"/>
      <c r="I1245" s="25"/>
      <c r="J1245" s="25"/>
      <c r="K1245" s="25"/>
      <c r="L1245" s="25"/>
    </row>
    <row r="1246" spans="1:12" s="189" customFormat="1" ht="5.25" customHeight="1" x14ac:dyDescent="0.2">
      <c r="A1246" s="25"/>
      <c r="B1246" s="25"/>
      <c r="C1246" s="25"/>
      <c r="D1246" s="25"/>
      <c r="E1246" s="25"/>
      <c r="F1246" s="25"/>
      <c r="G1246" s="25"/>
      <c r="H1246" s="25"/>
      <c r="I1246" s="25"/>
      <c r="J1246" s="25"/>
      <c r="K1246" s="25"/>
      <c r="L1246" s="25"/>
    </row>
    <row r="1247" spans="1:12" s="189" customFormat="1" ht="5.25" customHeight="1" x14ac:dyDescent="0.2">
      <c r="A1247" s="25"/>
      <c r="B1247" s="25"/>
      <c r="C1247" s="25"/>
      <c r="D1247" s="25"/>
      <c r="E1247" s="25"/>
      <c r="F1247" s="25"/>
      <c r="G1247" s="25"/>
      <c r="H1247" s="25"/>
      <c r="I1247" s="25"/>
      <c r="J1247" s="25"/>
      <c r="K1247" s="25"/>
      <c r="L1247" s="25"/>
    </row>
    <row r="1248" spans="1:12" s="189" customFormat="1" ht="5.25" customHeight="1" x14ac:dyDescent="0.2">
      <c r="A1248" s="25"/>
      <c r="B1248" s="25"/>
      <c r="C1248" s="25"/>
      <c r="D1248" s="25"/>
      <c r="E1248" s="25"/>
      <c r="F1248" s="25"/>
      <c r="G1248" s="25"/>
      <c r="H1248" s="25"/>
      <c r="I1248" s="25"/>
      <c r="J1248" s="25"/>
      <c r="K1248" s="25"/>
      <c r="L1248" s="25"/>
    </row>
    <row r="1249" spans="1:12" s="189" customFormat="1" ht="5.25" customHeight="1" x14ac:dyDescent="0.2">
      <c r="A1249" s="25"/>
      <c r="B1249" s="25"/>
      <c r="C1249" s="25"/>
      <c r="D1249" s="25"/>
      <c r="E1249" s="25"/>
      <c r="F1249" s="25"/>
      <c r="G1249" s="25"/>
      <c r="H1249" s="25"/>
      <c r="I1249" s="25"/>
      <c r="J1249" s="25"/>
      <c r="K1249" s="25"/>
      <c r="L1249" s="25"/>
    </row>
    <row r="1250" spans="1:12" s="189" customFormat="1" ht="5.25" customHeight="1" x14ac:dyDescent="0.2">
      <c r="A1250" s="25"/>
      <c r="B1250" s="25"/>
      <c r="C1250" s="25"/>
      <c r="D1250" s="25"/>
      <c r="E1250" s="25"/>
      <c r="F1250" s="25"/>
      <c r="G1250" s="25"/>
      <c r="H1250" s="25"/>
      <c r="I1250" s="25"/>
      <c r="J1250" s="25"/>
      <c r="K1250" s="25"/>
      <c r="L1250" s="25"/>
    </row>
    <row r="1251" spans="1:12" s="189" customFormat="1" ht="5.25" customHeight="1" x14ac:dyDescent="0.2">
      <c r="A1251" s="25"/>
      <c r="B1251" s="25"/>
      <c r="C1251" s="25"/>
      <c r="D1251" s="25"/>
      <c r="E1251" s="25"/>
      <c r="F1251" s="25"/>
      <c r="G1251" s="25"/>
      <c r="H1251" s="25"/>
      <c r="I1251" s="25"/>
      <c r="J1251" s="25"/>
      <c r="K1251" s="25"/>
      <c r="L1251" s="25"/>
    </row>
    <row r="1252" spans="1:12" s="189" customFormat="1" ht="5.25" customHeight="1" x14ac:dyDescent="0.2">
      <c r="A1252" s="25"/>
      <c r="B1252" s="25"/>
      <c r="C1252" s="25"/>
      <c r="D1252" s="25"/>
      <c r="E1252" s="25"/>
      <c r="F1252" s="25"/>
      <c r="G1252" s="25"/>
      <c r="H1252" s="25"/>
      <c r="I1252" s="25"/>
      <c r="J1252" s="25"/>
      <c r="K1252" s="25"/>
      <c r="L1252" s="25"/>
    </row>
    <row r="1253" spans="1:12" s="189" customFormat="1" ht="5.25" customHeight="1" x14ac:dyDescent="0.2">
      <c r="A1253" s="25"/>
      <c r="B1253" s="25"/>
      <c r="C1253" s="25"/>
      <c r="D1253" s="25"/>
      <c r="E1253" s="25"/>
      <c r="F1253" s="25"/>
      <c r="G1253" s="25"/>
      <c r="H1253" s="25"/>
      <c r="I1253" s="25"/>
      <c r="J1253" s="25"/>
      <c r="K1253" s="25"/>
      <c r="L1253" s="25"/>
    </row>
    <row r="1254" spans="1:12" s="189" customFormat="1" ht="5.25" customHeight="1" x14ac:dyDescent="0.2">
      <c r="A1254" s="25"/>
      <c r="B1254" s="25"/>
      <c r="C1254" s="25"/>
      <c r="D1254" s="25"/>
      <c r="E1254" s="25"/>
      <c r="F1254" s="25"/>
      <c r="G1254" s="25"/>
      <c r="H1254" s="25"/>
      <c r="I1254" s="25"/>
      <c r="J1254" s="25"/>
      <c r="K1254" s="25"/>
      <c r="L1254" s="25"/>
    </row>
    <row r="1255" spans="1:12" s="189" customFormat="1" ht="5.25" customHeight="1" x14ac:dyDescent="0.2">
      <c r="A1255" s="25"/>
      <c r="B1255" s="25"/>
      <c r="C1255" s="25"/>
      <c r="D1255" s="25"/>
      <c r="E1255" s="25"/>
      <c r="F1255" s="25"/>
      <c r="G1255" s="25"/>
      <c r="H1255" s="25"/>
      <c r="I1255" s="25"/>
      <c r="J1255" s="25"/>
      <c r="K1255" s="25"/>
      <c r="L1255" s="25"/>
    </row>
    <row r="1256" spans="1:12" s="189" customFormat="1" ht="5.25" customHeight="1" x14ac:dyDescent="0.2">
      <c r="A1256" s="25"/>
      <c r="B1256" s="25"/>
      <c r="C1256" s="25"/>
      <c r="D1256" s="25"/>
      <c r="E1256" s="25"/>
      <c r="F1256" s="25"/>
      <c r="G1256" s="25"/>
      <c r="H1256" s="25"/>
      <c r="I1256" s="25"/>
      <c r="J1256" s="25"/>
      <c r="K1256" s="25"/>
      <c r="L1256" s="25"/>
    </row>
    <row r="1257" spans="1:12" s="189" customFormat="1" ht="5.25" customHeight="1" x14ac:dyDescent="0.2">
      <c r="A1257" s="25"/>
      <c r="B1257" s="25"/>
      <c r="C1257" s="25"/>
      <c r="D1257" s="25"/>
      <c r="E1257" s="25"/>
      <c r="F1257" s="25"/>
      <c r="G1257" s="25"/>
      <c r="H1257" s="25"/>
      <c r="I1257" s="25"/>
      <c r="J1257" s="25"/>
      <c r="K1257" s="25"/>
      <c r="L1257" s="25"/>
    </row>
    <row r="1258" spans="1:12" s="189" customFormat="1" ht="5.25" customHeight="1" x14ac:dyDescent="0.2">
      <c r="A1258" s="25"/>
      <c r="B1258" s="25"/>
      <c r="C1258" s="25"/>
      <c r="D1258" s="25"/>
      <c r="E1258" s="25"/>
      <c r="F1258" s="25"/>
      <c r="G1258" s="25"/>
      <c r="H1258" s="25"/>
      <c r="I1258" s="25"/>
      <c r="J1258" s="25"/>
      <c r="K1258" s="25"/>
      <c r="L1258" s="25"/>
    </row>
    <row r="1259" spans="1:12" s="189" customFormat="1" ht="5.25" customHeight="1" x14ac:dyDescent="0.2">
      <c r="A1259" s="25"/>
      <c r="B1259" s="25"/>
      <c r="C1259" s="25"/>
      <c r="D1259" s="25"/>
      <c r="E1259" s="25"/>
      <c r="F1259" s="25"/>
      <c r="G1259" s="25"/>
      <c r="H1259" s="25"/>
      <c r="I1259" s="25"/>
      <c r="J1259" s="25"/>
      <c r="K1259" s="25"/>
      <c r="L1259" s="25"/>
    </row>
    <row r="1260" spans="1:12" s="189" customFormat="1" ht="5.25" customHeight="1" x14ac:dyDescent="0.2">
      <c r="A1260" s="25"/>
      <c r="B1260" s="25"/>
      <c r="C1260" s="25"/>
      <c r="D1260" s="25"/>
      <c r="E1260" s="25"/>
      <c r="F1260" s="25"/>
      <c r="G1260" s="25"/>
      <c r="H1260" s="25"/>
      <c r="I1260" s="25"/>
      <c r="J1260" s="25"/>
      <c r="K1260" s="25"/>
      <c r="L1260" s="25"/>
    </row>
    <row r="1261" spans="1:12" s="189" customFormat="1" ht="5.25" customHeight="1" x14ac:dyDescent="0.2">
      <c r="A1261" s="25"/>
      <c r="B1261" s="25"/>
      <c r="C1261" s="25"/>
      <c r="D1261" s="25"/>
      <c r="E1261" s="25"/>
      <c r="F1261" s="25"/>
      <c r="G1261" s="25"/>
      <c r="H1261" s="25"/>
      <c r="I1261" s="25"/>
      <c r="J1261" s="25"/>
      <c r="K1261" s="25"/>
      <c r="L1261" s="25"/>
    </row>
    <row r="1262" spans="1:12" s="189" customFormat="1" ht="5.25" customHeight="1" x14ac:dyDescent="0.2">
      <c r="A1262" s="25"/>
      <c r="B1262" s="25"/>
      <c r="C1262" s="25"/>
      <c r="D1262" s="25"/>
      <c r="E1262" s="25"/>
      <c r="F1262" s="25"/>
      <c r="G1262" s="25"/>
      <c r="H1262" s="25"/>
      <c r="I1262" s="25"/>
      <c r="J1262" s="25"/>
      <c r="K1262" s="25"/>
      <c r="L1262" s="25"/>
    </row>
    <row r="1263" spans="1:12" s="189" customFormat="1" ht="5.25" customHeight="1" x14ac:dyDescent="0.2">
      <c r="A1263" s="25"/>
      <c r="B1263" s="25"/>
      <c r="C1263" s="25"/>
      <c r="D1263" s="25"/>
      <c r="E1263" s="25"/>
      <c r="F1263" s="25"/>
      <c r="G1263" s="25"/>
      <c r="H1263" s="25"/>
      <c r="I1263" s="25"/>
      <c r="J1263" s="25"/>
      <c r="K1263" s="25"/>
      <c r="L1263" s="25"/>
    </row>
    <row r="1264" spans="1:12" s="189" customFormat="1" ht="5.25" customHeight="1" x14ac:dyDescent="0.2">
      <c r="A1264" s="25"/>
      <c r="B1264" s="25"/>
      <c r="C1264" s="25"/>
      <c r="D1264" s="25"/>
      <c r="E1264" s="25"/>
      <c r="F1264" s="25"/>
      <c r="G1264" s="25"/>
      <c r="H1264" s="25"/>
      <c r="I1264" s="25"/>
      <c r="J1264" s="25"/>
      <c r="K1264" s="25"/>
      <c r="L1264" s="25"/>
    </row>
    <row r="1265" spans="1:12" s="189" customFormat="1" ht="5.25" customHeight="1" x14ac:dyDescent="0.2">
      <c r="A1265" s="25"/>
      <c r="B1265" s="25"/>
      <c r="C1265" s="25"/>
      <c r="D1265" s="25"/>
      <c r="E1265" s="25"/>
      <c r="F1265" s="25"/>
      <c r="G1265" s="25"/>
      <c r="H1265" s="25"/>
      <c r="I1265" s="25"/>
      <c r="J1265" s="25"/>
      <c r="K1265" s="25"/>
      <c r="L1265" s="25"/>
    </row>
    <row r="1266" spans="1:12" s="189" customFormat="1" ht="5.25" customHeight="1" x14ac:dyDescent="0.2">
      <c r="A1266" s="25"/>
      <c r="B1266" s="25"/>
      <c r="C1266" s="25"/>
      <c r="D1266" s="25"/>
      <c r="E1266" s="25"/>
      <c r="F1266" s="25"/>
      <c r="G1266" s="25"/>
      <c r="H1266" s="25"/>
      <c r="I1266" s="25"/>
      <c r="J1266" s="25"/>
      <c r="K1266" s="25"/>
      <c r="L1266" s="25"/>
    </row>
    <row r="1267" spans="1:12" s="189" customFormat="1" ht="5.25" customHeight="1" x14ac:dyDescent="0.2">
      <c r="A1267" s="25"/>
      <c r="B1267" s="25"/>
      <c r="C1267" s="25"/>
      <c r="D1267" s="25"/>
      <c r="E1267" s="25"/>
      <c r="F1267" s="25"/>
      <c r="G1267" s="25"/>
      <c r="H1267" s="25"/>
      <c r="I1267" s="25"/>
      <c r="J1267" s="25"/>
      <c r="K1267" s="25"/>
      <c r="L1267" s="25"/>
    </row>
    <row r="1268" spans="1:12" s="189" customFormat="1" ht="5.25" customHeight="1" x14ac:dyDescent="0.2">
      <c r="A1268" s="25"/>
      <c r="B1268" s="25"/>
      <c r="C1268" s="25"/>
      <c r="D1268" s="25"/>
      <c r="E1268" s="25"/>
      <c r="F1268" s="25"/>
      <c r="G1268" s="25"/>
      <c r="H1268" s="25"/>
      <c r="I1268" s="25"/>
      <c r="J1268" s="25"/>
      <c r="K1268" s="25"/>
      <c r="L1268" s="25"/>
    </row>
    <row r="1269" spans="1:12" s="189" customFormat="1" ht="5.25" customHeight="1" x14ac:dyDescent="0.2">
      <c r="A1269" s="25"/>
      <c r="B1269" s="25"/>
      <c r="C1269" s="25"/>
      <c r="D1269" s="25"/>
      <c r="E1269" s="25"/>
      <c r="F1269" s="25"/>
      <c r="G1269" s="25"/>
      <c r="H1269" s="25"/>
      <c r="I1269" s="25"/>
      <c r="J1269" s="25"/>
      <c r="K1269" s="25"/>
      <c r="L1269" s="25"/>
    </row>
    <row r="1270" spans="1:12" s="189" customFormat="1" ht="5.25" customHeight="1" x14ac:dyDescent="0.2">
      <c r="A1270" s="25"/>
      <c r="B1270" s="25"/>
      <c r="C1270" s="25"/>
      <c r="D1270" s="25"/>
      <c r="E1270" s="25"/>
      <c r="F1270" s="25"/>
      <c r="G1270" s="25"/>
      <c r="H1270" s="25"/>
      <c r="I1270" s="25"/>
      <c r="J1270" s="25"/>
      <c r="K1270" s="25"/>
      <c r="L1270" s="25"/>
    </row>
    <row r="1271" spans="1:12" s="189" customFormat="1" ht="5.25" customHeight="1" x14ac:dyDescent="0.2">
      <c r="A1271" s="25"/>
      <c r="B1271" s="25"/>
      <c r="C1271" s="25"/>
      <c r="D1271" s="25"/>
      <c r="E1271" s="25"/>
      <c r="F1271" s="25"/>
      <c r="G1271" s="25"/>
      <c r="H1271" s="25"/>
      <c r="I1271" s="25"/>
      <c r="J1271" s="25"/>
      <c r="K1271" s="25"/>
      <c r="L1271" s="25"/>
    </row>
    <row r="1272" spans="1:12" s="189" customFormat="1" ht="5.25" customHeight="1" x14ac:dyDescent="0.2">
      <c r="A1272" s="25"/>
      <c r="B1272" s="25"/>
      <c r="C1272" s="25"/>
      <c r="D1272" s="25"/>
      <c r="E1272" s="25"/>
      <c r="F1272" s="25"/>
      <c r="G1272" s="25"/>
      <c r="H1272" s="25"/>
      <c r="I1272" s="25"/>
      <c r="J1272" s="25"/>
      <c r="K1272" s="25"/>
      <c r="L1272" s="25"/>
    </row>
    <row r="1273" spans="1:12" s="189" customFormat="1" ht="5.25" customHeight="1" x14ac:dyDescent="0.2">
      <c r="A1273" s="25"/>
      <c r="B1273" s="25"/>
      <c r="C1273" s="25"/>
      <c r="D1273" s="25"/>
      <c r="E1273" s="25"/>
      <c r="F1273" s="25"/>
      <c r="G1273" s="25"/>
      <c r="H1273" s="25"/>
      <c r="I1273" s="25"/>
      <c r="J1273" s="25"/>
      <c r="K1273" s="25"/>
      <c r="L1273" s="25"/>
    </row>
    <row r="1274" spans="1:12" s="189" customFormat="1" ht="5.25" customHeight="1" x14ac:dyDescent="0.2">
      <c r="A1274" s="25"/>
      <c r="B1274" s="25"/>
      <c r="C1274" s="25"/>
      <c r="D1274" s="25"/>
      <c r="E1274" s="25"/>
      <c r="F1274" s="25"/>
      <c r="G1274" s="25"/>
      <c r="H1274" s="25"/>
      <c r="I1274" s="25"/>
      <c r="J1274" s="25"/>
      <c r="K1274" s="25"/>
      <c r="L1274" s="25"/>
    </row>
    <row r="1275" spans="1:12" s="189" customFormat="1" ht="5.25" customHeight="1" x14ac:dyDescent="0.2">
      <c r="A1275" s="25"/>
      <c r="B1275" s="25"/>
      <c r="C1275" s="25"/>
      <c r="D1275" s="25"/>
      <c r="E1275" s="25"/>
      <c r="F1275" s="25"/>
      <c r="G1275" s="25"/>
      <c r="H1275" s="25"/>
      <c r="I1275" s="25"/>
      <c r="J1275" s="25"/>
      <c r="K1275" s="25"/>
      <c r="L1275" s="25"/>
    </row>
    <row r="1276" spans="1:12" s="189" customFormat="1" ht="5.25" customHeight="1" x14ac:dyDescent="0.2">
      <c r="A1276" s="25"/>
      <c r="B1276" s="25"/>
      <c r="C1276" s="25"/>
      <c r="D1276" s="25"/>
      <c r="E1276" s="25"/>
      <c r="F1276" s="25"/>
      <c r="G1276" s="25"/>
      <c r="H1276" s="25"/>
      <c r="I1276" s="25"/>
      <c r="J1276" s="25"/>
      <c r="K1276" s="25"/>
      <c r="L1276" s="25"/>
    </row>
    <row r="1277" spans="1:12" s="189" customFormat="1" ht="5.25" customHeight="1" x14ac:dyDescent="0.2">
      <c r="A1277" s="25"/>
      <c r="B1277" s="25"/>
      <c r="C1277" s="25"/>
      <c r="D1277" s="25"/>
      <c r="E1277" s="25"/>
      <c r="F1277" s="25"/>
      <c r="G1277" s="25"/>
      <c r="H1277" s="25"/>
      <c r="I1277" s="25"/>
      <c r="J1277" s="25"/>
      <c r="K1277" s="25"/>
      <c r="L1277" s="25"/>
    </row>
    <row r="1278" spans="1:12" s="189" customFormat="1" ht="5.25" customHeight="1" x14ac:dyDescent="0.2">
      <c r="A1278" s="25"/>
      <c r="B1278" s="25"/>
      <c r="C1278" s="25"/>
      <c r="D1278" s="25"/>
      <c r="E1278" s="25"/>
      <c r="F1278" s="25"/>
      <c r="G1278" s="25"/>
      <c r="H1278" s="25"/>
      <c r="I1278" s="25"/>
      <c r="J1278" s="25"/>
      <c r="K1278" s="25"/>
      <c r="L1278" s="25"/>
    </row>
    <row r="1279" spans="1:12" s="189" customFormat="1" ht="5.25" customHeight="1" x14ac:dyDescent="0.2">
      <c r="A1279" s="25"/>
      <c r="B1279" s="25"/>
      <c r="C1279" s="25"/>
      <c r="D1279" s="25"/>
      <c r="E1279" s="25"/>
      <c r="F1279" s="25"/>
      <c r="G1279" s="25"/>
      <c r="H1279" s="25"/>
      <c r="I1279" s="25"/>
      <c r="J1279" s="25"/>
      <c r="K1279" s="25"/>
      <c r="L1279" s="25"/>
    </row>
    <row r="1280" spans="1:12" s="189" customFormat="1" ht="5.25" customHeight="1" x14ac:dyDescent="0.2">
      <c r="A1280" s="25"/>
      <c r="B1280" s="25"/>
      <c r="C1280" s="25"/>
      <c r="D1280" s="25"/>
      <c r="E1280" s="25"/>
      <c r="F1280" s="25"/>
      <c r="G1280" s="25"/>
      <c r="H1280" s="25"/>
      <c r="I1280" s="25"/>
      <c r="J1280" s="25"/>
      <c r="K1280" s="25"/>
      <c r="L1280" s="25"/>
    </row>
    <row r="1281" spans="1:12" s="189" customFormat="1" ht="5.25" customHeight="1" x14ac:dyDescent="0.2">
      <c r="A1281" s="25"/>
      <c r="B1281" s="25"/>
      <c r="C1281" s="25"/>
      <c r="D1281" s="25"/>
      <c r="E1281" s="25"/>
      <c r="F1281" s="25"/>
      <c r="G1281" s="25"/>
      <c r="H1281" s="25"/>
      <c r="I1281" s="25"/>
      <c r="J1281" s="25"/>
      <c r="K1281" s="25"/>
      <c r="L1281" s="25"/>
    </row>
    <row r="1282" spans="1:12" s="189" customFormat="1" ht="5.25" customHeight="1" x14ac:dyDescent="0.2">
      <c r="A1282" s="25"/>
      <c r="B1282" s="25"/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</row>
    <row r="1283" spans="1:12" s="189" customFormat="1" ht="5.25" customHeight="1" x14ac:dyDescent="0.2">
      <c r="A1283" s="25"/>
      <c r="B1283" s="25"/>
      <c r="C1283" s="25"/>
      <c r="D1283" s="25"/>
      <c r="E1283" s="25"/>
      <c r="F1283" s="25"/>
      <c r="G1283" s="25"/>
      <c r="H1283" s="25"/>
      <c r="I1283" s="25"/>
      <c r="J1283" s="25"/>
      <c r="K1283" s="25"/>
      <c r="L1283" s="25"/>
    </row>
    <row r="1284" spans="1:12" s="189" customFormat="1" ht="5.25" customHeight="1" x14ac:dyDescent="0.2">
      <c r="A1284" s="25"/>
      <c r="B1284" s="25"/>
      <c r="C1284" s="25"/>
      <c r="D1284" s="25"/>
      <c r="E1284" s="25"/>
      <c r="F1284" s="25"/>
      <c r="G1284" s="25"/>
      <c r="H1284" s="25"/>
      <c r="I1284" s="25"/>
      <c r="J1284" s="25"/>
      <c r="K1284" s="25"/>
      <c r="L1284" s="25"/>
    </row>
    <row r="1285" spans="1:12" s="189" customFormat="1" ht="5.25" customHeight="1" x14ac:dyDescent="0.2">
      <c r="A1285" s="25"/>
      <c r="B1285" s="25"/>
      <c r="C1285" s="25"/>
      <c r="D1285" s="25"/>
      <c r="E1285" s="25"/>
      <c r="F1285" s="25"/>
      <c r="G1285" s="25"/>
      <c r="H1285" s="25"/>
      <c r="I1285" s="25"/>
      <c r="J1285" s="25"/>
      <c r="K1285" s="25"/>
      <c r="L1285" s="25"/>
    </row>
    <row r="1286" spans="1:12" s="189" customFormat="1" ht="5.25" customHeight="1" x14ac:dyDescent="0.2">
      <c r="A1286" s="25"/>
      <c r="B1286" s="25"/>
      <c r="C1286" s="25"/>
      <c r="D1286" s="25"/>
      <c r="E1286" s="25"/>
      <c r="F1286" s="25"/>
      <c r="G1286" s="25"/>
      <c r="H1286" s="25"/>
      <c r="I1286" s="25"/>
      <c r="J1286" s="25"/>
      <c r="K1286" s="25"/>
      <c r="L1286" s="25"/>
    </row>
    <row r="1287" spans="1:12" s="189" customFormat="1" ht="5.25" customHeight="1" x14ac:dyDescent="0.2">
      <c r="A1287" s="25"/>
      <c r="B1287" s="25"/>
      <c r="C1287" s="25"/>
      <c r="D1287" s="25"/>
      <c r="E1287" s="25"/>
      <c r="F1287" s="25"/>
      <c r="G1287" s="25"/>
      <c r="H1287" s="25"/>
      <c r="I1287" s="25"/>
      <c r="J1287" s="25"/>
      <c r="K1287" s="25"/>
      <c r="L1287" s="25"/>
    </row>
    <row r="1288" spans="1:12" s="189" customFormat="1" ht="5.25" customHeight="1" x14ac:dyDescent="0.2">
      <c r="A1288" s="25"/>
      <c r="B1288" s="25"/>
      <c r="C1288" s="25"/>
      <c r="D1288" s="25"/>
      <c r="E1288" s="25"/>
      <c r="F1288" s="25"/>
      <c r="G1288" s="25"/>
      <c r="H1288" s="25"/>
      <c r="I1288" s="25"/>
      <c r="J1288" s="25"/>
      <c r="K1288" s="25"/>
      <c r="L1288" s="25"/>
    </row>
    <row r="1289" spans="1:12" s="189" customFormat="1" ht="5.25" customHeight="1" x14ac:dyDescent="0.2">
      <c r="A1289" s="25"/>
      <c r="B1289" s="25"/>
      <c r="C1289" s="25"/>
      <c r="D1289" s="25"/>
      <c r="E1289" s="25"/>
      <c r="F1289" s="25"/>
      <c r="G1289" s="25"/>
      <c r="H1289" s="25"/>
      <c r="I1289" s="25"/>
      <c r="J1289" s="25"/>
      <c r="K1289" s="25"/>
      <c r="L1289" s="25"/>
    </row>
    <row r="1290" spans="1:12" s="189" customFormat="1" ht="5.25" customHeight="1" x14ac:dyDescent="0.2">
      <c r="A1290" s="25"/>
      <c r="B1290" s="25"/>
      <c r="C1290" s="25"/>
      <c r="D1290" s="25"/>
      <c r="E1290" s="25"/>
      <c r="F1290" s="25"/>
      <c r="G1290" s="25"/>
      <c r="H1290" s="25"/>
      <c r="I1290" s="25"/>
      <c r="J1290" s="25"/>
      <c r="K1290" s="25"/>
      <c r="L1290" s="25"/>
    </row>
    <row r="1291" spans="1:12" s="189" customFormat="1" ht="5.25" customHeight="1" x14ac:dyDescent="0.2">
      <c r="A1291" s="25"/>
      <c r="B1291" s="25"/>
      <c r="C1291" s="25"/>
      <c r="D1291" s="25"/>
      <c r="E1291" s="25"/>
      <c r="F1291" s="25"/>
      <c r="G1291" s="25"/>
      <c r="H1291" s="25"/>
      <c r="I1291" s="25"/>
      <c r="J1291" s="25"/>
      <c r="K1291" s="25"/>
      <c r="L1291" s="25"/>
    </row>
    <row r="1292" spans="1:12" s="189" customFormat="1" ht="5.25" customHeight="1" x14ac:dyDescent="0.2">
      <c r="A1292" s="25"/>
      <c r="B1292" s="25"/>
      <c r="C1292" s="25"/>
      <c r="D1292" s="25"/>
      <c r="E1292" s="25"/>
      <c r="F1292" s="25"/>
      <c r="G1292" s="25"/>
      <c r="H1292" s="25"/>
      <c r="I1292" s="25"/>
      <c r="J1292" s="25"/>
      <c r="K1292" s="25"/>
      <c r="L1292" s="25"/>
    </row>
    <row r="1293" spans="1:12" s="189" customFormat="1" ht="5.25" customHeight="1" x14ac:dyDescent="0.2">
      <c r="A1293" s="25"/>
      <c r="B1293" s="25"/>
      <c r="C1293" s="25"/>
      <c r="D1293" s="25"/>
      <c r="E1293" s="25"/>
      <c r="F1293" s="25"/>
      <c r="G1293" s="25"/>
      <c r="H1293" s="25"/>
      <c r="I1293" s="25"/>
      <c r="J1293" s="25"/>
      <c r="K1293" s="25"/>
      <c r="L1293" s="25"/>
    </row>
    <row r="1294" spans="1:12" s="189" customFormat="1" ht="5.25" customHeight="1" x14ac:dyDescent="0.2">
      <c r="A1294" s="25"/>
      <c r="B1294" s="25"/>
      <c r="C1294" s="25"/>
      <c r="D1294" s="25"/>
      <c r="E1294" s="25"/>
      <c r="F1294" s="25"/>
      <c r="G1294" s="25"/>
      <c r="H1294" s="25"/>
      <c r="I1294" s="25"/>
      <c r="J1294" s="25"/>
      <c r="K1294" s="25"/>
      <c r="L1294" s="25"/>
    </row>
    <row r="1295" spans="1:12" s="189" customFormat="1" ht="5.25" customHeight="1" x14ac:dyDescent="0.2">
      <c r="A1295" s="25"/>
      <c r="B1295" s="25"/>
      <c r="C1295" s="25"/>
      <c r="D1295" s="25"/>
      <c r="E1295" s="25"/>
      <c r="F1295" s="25"/>
      <c r="G1295" s="25"/>
      <c r="H1295" s="25"/>
      <c r="I1295" s="25"/>
      <c r="J1295" s="25"/>
      <c r="K1295" s="25"/>
      <c r="L1295" s="25"/>
    </row>
    <row r="1296" spans="1:12" s="189" customFormat="1" ht="5.25" customHeight="1" x14ac:dyDescent="0.2">
      <c r="A1296" s="25"/>
      <c r="B1296" s="25"/>
      <c r="C1296" s="25"/>
      <c r="D1296" s="25"/>
      <c r="E1296" s="25"/>
      <c r="F1296" s="25"/>
      <c r="G1296" s="25"/>
      <c r="H1296" s="25"/>
      <c r="I1296" s="25"/>
      <c r="J1296" s="25"/>
      <c r="K1296" s="25"/>
      <c r="L1296" s="25"/>
    </row>
    <row r="1297" spans="1:12" s="189" customFormat="1" ht="5.25" customHeight="1" x14ac:dyDescent="0.2">
      <c r="A1297" s="25"/>
      <c r="B1297" s="25"/>
      <c r="C1297" s="25"/>
      <c r="D1297" s="25"/>
      <c r="E1297" s="25"/>
      <c r="F1297" s="25"/>
      <c r="G1297" s="25"/>
      <c r="H1297" s="25"/>
      <c r="I1297" s="25"/>
      <c r="J1297" s="25"/>
      <c r="K1297" s="25"/>
      <c r="L1297" s="25"/>
    </row>
    <row r="1298" spans="1:12" s="189" customFormat="1" ht="5.25" customHeight="1" x14ac:dyDescent="0.2">
      <c r="A1298" s="25"/>
      <c r="B1298" s="25"/>
      <c r="C1298" s="25"/>
      <c r="D1298" s="25"/>
      <c r="E1298" s="25"/>
      <c r="F1298" s="25"/>
      <c r="G1298" s="25"/>
      <c r="H1298" s="25"/>
      <c r="I1298" s="25"/>
      <c r="J1298" s="25"/>
      <c r="K1298" s="25"/>
      <c r="L1298" s="25"/>
    </row>
    <row r="1299" spans="1:12" s="189" customFormat="1" ht="5.25" customHeight="1" x14ac:dyDescent="0.2">
      <c r="A1299" s="25"/>
      <c r="B1299" s="25"/>
      <c r="C1299" s="25"/>
      <c r="D1299" s="25"/>
      <c r="E1299" s="25"/>
      <c r="F1299" s="25"/>
      <c r="G1299" s="25"/>
      <c r="H1299" s="25"/>
      <c r="I1299" s="25"/>
      <c r="J1299" s="25"/>
      <c r="K1299" s="25"/>
      <c r="L1299" s="25"/>
    </row>
    <row r="1300" spans="1:12" s="189" customFormat="1" ht="5.25" customHeight="1" x14ac:dyDescent="0.2">
      <c r="A1300" s="25"/>
      <c r="B1300" s="25"/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</row>
    <row r="1301" spans="1:12" s="189" customFormat="1" ht="5.25" customHeight="1" x14ac:dyDescent="0.2">
      <c r="A1301" s="25"/>
      <c r="B1301" s="25"/>
      <c r="C1301" s="25"/>
      <c r="D1301" s="25"/>
      <c r="E1301" s="25"/>
      <c r="F1301" s="25"/>
      <c r="G1301" s="25"/>
      <c r="H1301" s="25"/>
      <c r="I1301" s="25"/>
      <c r="J1301" s="25"/>
      <c r="K1301" s="25"/>
      <c r="L1301" s="25"/>
    </row>
    <row r="1302" spans="1:12" s="189" customFormat="1" ht="5.25" customHeight="1" x14ac:dyDescent="0.2">
      <c r="A1302" s="25"/>
      <c r="B1302" s="25"/>
      <c r="C1302" s="25"/>
      <c r="D1302" s="25"/>
      <c r="E1302" s="25"/>
      <c r="F1302" s="25"/>
      <c r="G1302" s="25"/>
      <c r="H1302" s="25"/>
      <c r="I1302" s="25"/>
      <c r="J1302" s="25"/>
      <c r="K1302" s="25"/>
      <c r="L1302" s="25"/>
    </row>
    <row r="1303" spans="1:12" s="189" customFormat="1" ht="5.25" customHeight="1" x14ac:dyDescent="0.2">
      <c r="A1303" s="25"/>
      <c r="B1303" s="25"/>
      <c r="C1303" s="25"/>
      <c r="D1303" s="25"/>
      <c r="E1303" s="25"/>
      <c r="F1303" s="25"/>
      <c r="G1303" s="25"/>
      <c r="H1303" s="25"/>
      <c r="I1303" s="25"/>
      <c r="J1303" s="25"/>
      <c r="K1303" s="25"/>
      <c r="L1303" s="25"/>
    </row>
    <row r="1304" spans="1:12" s="189" customFormat="1" ht="5.25" customHeight="1" x14ac:dyDescent="0.2">
      <c r="A1304" s="25"/>
      <c r="B1304" s="25"/>
      <c r="C1304" s="25"/>
      <c r="D1304" s="25"/>
      <c r="E1304" s="25"/>
      <c r="F1304" s="25"/>
      <c r="G1304" s="25"/>
      <c r="H1304" s="25"/>
      <c r="I1304" s="25"/>
      <c r="J1304" s="25"/>
      <c r="K1304" s="25"/>
      <c r="L1304" s="25"/>
    </row>
    <row r="1305" spans="1:12" s="189" customFormat="1" ht="5.25" customHeight="1" x14ac:dyDescent="0.2">
      <c r="A1305" s="25"/>
      <c r="B1305" s="25"/>
      <c r="C1305" s="25"/>
      <c r="D1305" s="25"/>
      <c r="E1305" s="25"/>
      <c r="F1305" s="25"/>
      <c r="G1305" s="25"/>
      <c r="H1305" s="25"/>
      <c r="I1305" s="25"/>
      <c r="J1305" s="25"/>
      <c r="K1305" s="25"/>
      <c r="L1305" s="25"/>
    </row>
    <row r="1306" spans="1:12" s="189" customFormat="1" ht="5.25" customHeight="1" x14ac:dyDescent="0.2">
      <c r="A1306" s="25"/>
      <c r="B1306" s="25"/>
      <c r="C1306" s="25"/>
      <c r="D1306" s="25"/>
      <c r="E1306" s="25"/>
      <c r="F1306" s="25"/>
      <c r="G1306" s="25"/>
      <c r="H1306" s="25"/>
      <c r="I1306" s="25"/>
      <c r="J1306" s="25"/>
      <c r="K1306" s="25"/>
      <c r="L1306" s="25"/>
    </row>
    <row r="1307" spans="1:12" s="189" customFormat="1" ht="5.25" customHeight="1" x14ac:dyDescent="0.2">
      <c r="A1307" s="25"/>
      <c r="B1307" s="25"/>
      <c r="C1307" s="25"/>
      <c r="D1307" s="25"/>
      <c r="E1307" s="25"/>
      <c r="F1307" s="25"/>
      <c r="G1307" s="25"/>
      <c r="H1307" s="25"/>
      <c r="I1307" s="25"/>
      <c r="J1307" s="25"/>
      <c r="K1307" s="25"/>
      <c r="L1307" s="25"/>
    </row>
    <row r="1308" spans="1:12" s="189" customFormat="1" ht="5.25" customHeight="1" x14ac:dyDescent="0.2">
      <c r="A1308" s="25"/>
      <c r="B1308" s="25"/>
      <c r="C1308" s="25"/>
      <c r="D1308" s="25"/>
      <c r="E1308" s="25"/>
      <c r="F1308" s="25"/>
      <c r="G1308" s="25"/>
      <c r="H1308" s="25"/>
      <c r="I1308" s="25"/>
      <c r="J1308" s="25"/>
      <c r="K1308" s="25"/>
      <c r="L1308" s="25"/>
    </row>
    <row r="1309" spans="1:12" s="189" customFormat="1" ht="5.25" customHeight="1" x14ac:dyDescent="0.2">
      <c r="A1309" s="25"/>
      <c r="B1309" s="25"/>
      <c r="C1309" s="25"/>
      <c r="D1309" s="25"/>
      <c r="E1309" s="25"/>
      <c r="F1309" s="25"/>
      <c r="G1309" s="25"/>
      <c r="H1309" s="25"/>
      <c r="I1309" s="25"/>
      <c r="J1309" s="25"/>
      <c r="K1309" s="25"/>
      <c r="L1309" s="25"/>
    </row>
    <row r="1310" spans="1:12" s="189" customFormat="1" ht="5.25" customHeight="1" x14ac:dyDescent="0.2">
      <c r="A1310" s="25"/>
      <c r="B1310" s="25"/>
      <c r="C1310" s="25"/>
      <c r="D1310" s="25"/>
      <c r="E1310" s="25"/>
      <c r="F1310" s="25"/>
      <c r="G1310" s="25"/>
      <c r="H1310" s="25"/>
      <c r="I1310" s="25"/>
      <c r="J1310" s="25"/>
      <c r="K1310" s="25"/>
      <c r="L1310" s="25"/>
    </row>
    <row r="1311" spans="1:12" s="189" customFormat="1" ht="5.25" customHeight="1" x14ac:dyDescent="0.2">
      <c r="A1311" s="25"/>
      <c r="B1311" s="25"/>
      <c r="C1311" s="25"/>
      <c r="D1311" s="25"/>
      <c r="E1311" s="25"/>
      <c r="F1311" s="25"/>
      <c r="G1311" s="25"/>
      <c r="H1311" s="25"/>
      <c r="I1311" s="25"/>
      <c r="J1311" s="25"/>
      <c r="K1311" s="25"/>
      <c r="L1311" s="25"/>
    </row>
    <row r="1312" spans="1:12" s="189" customFormat="1" ht="5.25" customHeight="1" x14ac:dyDescent="0.2">
      <c r="A1312" s="25"/>
      <c r="B1312" s="25"/>
      <c r="C1312" s="25"/>
      <c r="D1312" s="25"/>
      <c r="E1312" s="25"/>
      <c r="F1312" s="25"/>
      <c r="G1312" s="25"/>
      <c r="H1312" s="25"/>
      <c r="I1312" s="25"/>
      <c r="J1312" s="25"/>
      <c r="K1312" s="25"/>
      <c r="L1312" s="25"/>
    </row>
    <row r="1313" spans="1:12" s="189" customFormat="1" ht="5.25" customHeight="1" x14ac:dyDescent="0.2">
      <c r="A1313" s="25"/>
      <c r="B1313" s="25"/>
      <c r="C1313" s="25"/>
      <c r="D1313" s="25"/>
      <c r="E1313" s="25"/>
      <c r="F1313" s="25"/>
      <c r="G1313" s="25"/>
      <c r="H1313" s="25"/>
      <c r="I1313" s="25"/>
      <c r="J1313" s="25"/>
      <c r="K1313" s="25"/>
      <c r="L1313" s="25"/>
    </row>
    <row r="1314" spans="1:12" s="189" customFormat="1" ht="5.25" customHeight="1" x14ac:dyDescent="0.2">
      <c r="A1314" s="25"/>
      <c r="B1314" s="25"/>
      <c r="C1314" s="25"/>
      <c r="D1314" s="25"/>
      <c r="E1314" s="25"/>
      <c r="F1314" s="25"/>
      <c r="G1314" s="25"/>
      <c r="H1314" s="25"/>
      <c r="I1314" s="25"/>
      <c r="J1314" s="25"/>
      <c r="K1314" s="25"/>
      <c r="L1314" s="25"/>
    </row>
    <row r="1315" spans="1:12" s="189" customFormat="1" ht="5.25" customHeight="1" x14ac:dyDescent="0.2">
      <c r="A1315" s="25"/>
      <c r="B1315" s="25"/>
      <c r="C1315" s="25"/>
      <c r="D1315" s="25"/>
      <c r="E1315" s="25"/>
      <c r="F1315" s="25"/>
      <c r="G1315" s="25"/>
      <c r="H1315" s="25"/>
      <c r="I1315" s="25"/>
      <c r="J1315" s="25"/>
      <c r="K1315" s="25"/>
      <c r="L1315" s="25"/>
    </row>
    <row r="1316" spans="1:12" s="189" customFormat="1" ht="5.25" customHeight="1" x14ac:dyDescent="0.2">
      <c r="A1316" s="25"/>
      <c r="B1316" s="25"/>
      <c r="C1316" s="25"/>
      <c r="D1316" s="25"/>
      <c r="E1316" s="25"/>
      <c r="F1316" s="25"/>
      <c r="G1316" s="25"/>
      <c r="H1316" s="25"/>
      <c r="I1316" s="25"/>
      <c r="J1316" s="25"/>
      <c r="K1316" s="25"/>
      <c r="L1316" s="25"/>
    </row>
    <row r="1317" spans="1:12" s="189" customFormat="1" ht="5.25" customHeight="1" x14ac:dyDescent="0.2">
      <c r="A1317" s="25"/>
      <c r="B1317" s="25"/>
      <c r="C1317" s="25"/>
      <c r="D1317" s="25"/>
      <c r="E1317" s="25"/>
      <c r="F1317" s="25"/>
      <c r="G1317" s="25"/>
      <c r="H1317" s="25"/>
      <c r="I1317" s="25"/>
      <c r="J1317" s="25"/>
      <c r="K1317" s="25"/>
      <c r="L1317" s="25"/>
    </row>
    <row r="1318" spans="1:12" s="189" customFormat="1" ht="5.25" customHeight="1" x14ac:dyDescent="0.2">
      <c r="A1318" s="25"/>
      <c r="B1318" s="25"/>
      <c r="C1318" s="25"/>
      <c r="D1318" s="25"/>
      <c r="E1318" s="25"/>
      <c r="F1318" s="25"/>
      <c r="G1318" s="25"/>
      <c r="H1318" s="25"/>
      <c r="I1318" s="25"/>
      <c r="J1318" s="25"/>
      <c r="K1318" s="25"/>
      <c r="L1318" s="25"/>
    </row>
    <row r="1319" spans="1:12" s="189" customFormat="1" ht="5.25" customHeight="1" x14ac:dyDescent="0.2">
      <c r="A1319" s="25"/>
      <c r="B1319" s="25"/>
      <c r="C1319" s="25"/>
      <c r="D1319" s="25"/>
      <c r="E1319" s="25"/>
      <c r="F1319" s="25"/>
      <c r="G1319" s="25"/>
      <c r="H1319" s="25"/>
      <c r="I1319" s="25"/>
      <c r="J1319" s="25"/>
      <c r="K1319" s="25"/>
      <c r="L1319" s="25"/>
    </row>
    <row r="1320" spans="1:12" s="189" customFormat="1" ht="5.25" customHeight="1" x14ac:dyDescent="0.2">
      <c r="A1320" s="25"/>
      <c r="B1320" s="25"/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</row>
    <row r="1321" spans="1:12" s="189" customFormat="1" ht="5.25" customHeight="1" x14ac:dyDescent="0.2">
      <c r="A1321" s="25"/>
      <c r="B1321" s="25"/>
      <c r="C1321" s="25"/>
      <c r="D1321" s="25"/>
      <c r="E1321" s="25"/>
      <c r="F1321" s="25"/>
      <c r="G1321" s="25"/>
      <c r="H1321" s="25"/>
      <c r="I1321" s="25"/>
      <c r="J1321" s="25"/>
      <c r="K1321" s="25"/>
      <c r="L1321" s="25"/>
    </row>
    <row r="1322" spans="1:12" s="189" customFormat="1" ht="5.25" customHeight="1" x14ac:dyDescent="0.2">
      <c r="A1322" s="25"/>
      <c r="B1322" s="25"/>
      <c r="C1322" s="25"/>
      <c r="D1322" s="25"/>
      <c r="E1322" s="25"/>
      <c r="F1322" s="25"/>
      <c r="G1322" s="25"/>
      <c r="H1322" s="25"/>
      <c r="I1322" s="25"/>
      <c r="J1322" s="25"/>
      <c r="K1322" s="25"/>
      <c r="L1322" s="25"/>
    </row>
    <row r="1323" spans="1:12" s="189" customFormat="1" ht="5.25" customHeight="1" x14ac:dyDescent="0.2">
      <c r="A1323" s="25"/>
      <c r="B1323" s="25"/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</row>
    <row r="1324" spans="1:12" s="189" customFormat="1" ht="5.25" customHeight="1" x14ac:dyDescent="0.2">
      <c r="A1324" s="25"/>
      <c r="B1324" s="25"/>
      <c r="C1324" s="25"/>
      <c r="D1324" s="25"/>
      <c r="E1324" s="25"/>
      <c r="F1324" s="25"/>
      <c r="G1324" s="25"/>
      <c r="H1324" s="25"/>
      <c r="I1324" s="25"/>
      <c r="J1324" s="25"/>
      <c r="K1324" s="25"/>
      <c r="L1324" s="25"/>
    </row>
    <row r="1325" spans="1:12" s="189" customFormat="1" ht="5.25" customHeight="1" x14ac:dyDescent="0.2">
      <c r="A1325" s="25"/>
      <c r="B1325" s="25"/>
      <c r="C1325" s="25"/>
      <c r="D1325" s="25"/>
      <c r="E1325" s="25"/>
      <c r="F1325" s="25"/>
      <c r="G1325" s="25"/>
      <c r="H1325" s="25"/>
      <c r="I1325" s="25"/>
      <c r="J1325" s="25"/>
      <c r="K1325" s="25"/>
      <c r="L1325" s="25"/>
    </row>
    <row r="1326" spans="1:12" s="189" customFormat="1" ht="5.25" customHeight="1" x14ac:dyDescent="0.2">
      <c r="A1326" s="25"/>
      <c r="B1326" s="25"/>
      <c r="C1326" s="25"/>
      <c r="D1326" s="25"/>
      <c r="E1326" s="25"/>
      <c r="F1326" s="25"/>
      <c r="G1326" s="25"/>
      <c r="H1326" s="25"/>
      <c r="I1326" s="25"/>
      <c r="J1326" s="25"/>
      <c r="K1326" s="25"/>
      <c r="L1326" s="25"/>
    </row>
    <row r="1327" spans="1:12" s="189" customFormat="1" ht="5.25" customHeight="1" x14ac:dyDescent="0.2">
      <c r="A1327" s="25"/>
      <c r="B1327" s="25"/>
      <c r="C1327" s="25"/>
      <c r="D1327" s="25"/>
      <c r="E1327" s="25"/>
      <c r="F1327" s="25"/>
      <c r="G1327" s="25"/>
      <c r="H1327" s="25"/>
      <c r="I1327" s="25"/>
      <c r="J1327" s="25"/>
      <c r="K1327" s="25"/>
      <c r="L1327" s="25"/>
    </row>
    <row r="1328" spans="1:12" s="189" customFormat="1" ht="5.25" customHeight="1" x14ac:dyDescent="0.2">
      <c r="A1328" s="25"/>
      <c r="B1328" s="25"/>
      <c r="C1328" s="25"/>
      <c r="D1328" s="25"/>
      <c r="E1328" s="25"/>
      <c r="F1328" s="25"/>
      <c r="G1328" s="25"/>
      <c r="H1328" s="25"/>
      <c r="I1328" s="25"/>
      <c r="J1328" s="25"/>
      <c r="K1328" s="25"/>
      <c r="L1328" s="25"/>
    </row>
    <row r="1329" spans="1:12" s="189" customFormat="1" ht="5.25" customHeight="1" x14ac:dyDescent="0.2">
      <c r="A1329" s="25"/>
      <c r="B1329" s="25"/>
      <c r="C1329" s="25"/>
      <c r="D1329" s="25"/>
      <c r="E1329" s="25"/>
      <c r="F1329" s="25"/>
      <c r="G1329" s="25"/>
      <c r="H1329" s="25"/>
      <c r="I1329" s="25"/>
      <c r="J1329" s="25"/>
      <c r="K1329" s="25"/>
      <c r="L1329" s="25"/>
    </row>
    <row r="1330" spans="1:12" s="189" customFormat="1" ht="5.25" customHeight="1" x14ac:dyDescent="0.2">
      <c r="A1330" s="25"/>
      <c r="B1330" s="25"/>
      <c r="C1330" s="25"/>
      <c r="D1330" s="25"/>
      <c r="E1330" s="25"/>
      <c r="F1330" s="25"/>
      <c r="G1330" s="25"/>
      <c r="H1330" s="25"/>
      <c r="I1330" s="25"/>
      <c r="J1330" s="25"/>
      <c r="K1330" s="25"/>
      <c r="L1330" s="25"/>
    </row>
    <row r="1331" spans="1:12" s="189" customFormat="1" ht="5.25" customHeight="1" x14ac:dyDescent="0.2">
      <c r="A1331" s="25"/>
      <c r="B1331" s="25"/>
      <c r="C1331" s="25"/>
      <c r="D1331" s="25"/>
      <c r="E1331" s="25"/>
      <c r="F1331" s="25"/>
      <c r="G1331" s="25"/>
      <c r="H1331" s="25"/>
      <c r="I1331" s="25"/>
      <c r="J1331" s="25"/>
      <c r="K1331" s="25"/>
      <c r="L1331" s="25"/>
    </row>
    <row r="1332" spans="1:12" s="189" customFormat="1" ht="5.25" customHeight="1" x14ac:dyDescent="0.2">
      <c r="A1332" s="25"/>
      <c r="B1332" s="25"/>
      <c r="C1332" s="25"/>
      <c r="D1332" s="25"/>
      <c r="E1332" s="25"/>
      <c r="F1332" s="25"/>
      <c r="G1332" s="25"/>
      <c r="H1332" s="25"/>
      <c r="I1332" s="25"/>
      <c r="J1332" s="25"/>
      <c r="K1332" s="25"/>
      <c r="L1332" s="25"/>
    </row>
    <row r="1333" spans="1:12" s="189" customFormat="1" ht="5.25" customHeight="1" x14ac:dyDescent="0.2">
      <c r="A1333" s="25"/>
      <c r="B1333" s="25"/>
      <c r="C1333" s="25"/>
      <c r="D1333" s="25"/>
      <c r="E1333" s="25"/>
      <c r="F1333" s="25"/>
      <c r="G1333" s="25"/>
      <c r="H1333" s="25"/>
      <c r="I1333" s="25"/>
      <c r="J1333" s="25"/>
      <c r="K1333" s="25"/>
      <c r="L1333" s="25"/>
    </row>
    <row r="1334" spans="1:12" s="189" customFormat="1" ht="5.25" customHeight="1" x14ac:dyDescent="0.2">
      <c r="A1334" s="25"/>
      <c r="B1334" s="25"/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</row>
    <row r="1335" spans="1:12" s="189" customFormat="1" ht="5.25" customHeight="1" x14ac:dyDescent="0.2">
      <c r="A1335" s="25"/>
      <c r="B1335" s="25"/>
      <c r="C1335" s="25"/>
      <c r="D1335" s="25"/>
      <c r="E1335" s="25"/>
      <c r="F1335" s="25"/>
      <c r="G1335" s="25"/>
      <c r="H1335" s="25"/>
      <c r="I1335" s="25"/>
      <c r="J1335" s="25"/>
      <c r="K1335" s="25"/>
      <c r="L1335" s="25"/>
    </row>
    <row r="1336" spans="1:12" s="189" customFormat="1" ht="5.25" customHeight="1" x14ac:dyDescent="0.2">
      <c r="A1336" s="25"/>
      <c r="B1336" s="25"/>
      <c r="C1336" s="25"/>
      <c r="D1336" s="25"/>
      <c r="E1336" s="25"/>
      <c r="F1336" s="25"/>
      <c r="G1336" s="25"/>
      <c r="H1336" s="25"/>
      <c r="I1336" s="25"/>
      <c r="J1336" s="25"/>
      <c r="K1336" s="25"/>
      <c r="L1336" s="25"/>
    </row>
    <row r="1337" spans="1:12" s="189" customFormat="1" ht="5.25" customHeight="1" x14ac:dyDescent="0.2">
      <c r="A1337" s="25"/>
      <c r="B1337" s="25"/>
      <c r="C1337" s="25"/>
      <c r="D1337" s="25"/>
      <c r="E1337" s="25"/>
      <c r="F1337" s="25"/>
      <c r="G1337" s="25"/>
      <c r="H1337" s="25"/>
      <c r="I1337" s="25"/>
      <c r="J1337" s="25"/>
      <c r="K1337" s="25"/>
      <c r="L1337" s="25"/>
    </row>
    <row r="1338" spans="1:12" s="189" customFormat="1" ht="5.25" customHeight="1" x14ac:dyDescent="0.2">
      <c r="A1338" s="25"/>
      <c r="B1338" s="25"/>
      <c r="C1338" s="25"/>
      <c r="D1338" s="25"/>
      <c r="E1338" s="25"/>
      <c r="F1338" s="25"/>
      <c r="G1338" s="25"/>
      <c r="H1338" s="25"/>
      <c r="I1338" s="25"/>
      <c r="J1338" s="25"/>
      <c r="K1338" s="25"/>
      <c r="L1338" s="25"/>
    </row>
    <row r="1339" spans="1:12" s="189" customFormat="1" ht="5.25" customHeight="1" x14ac:dyDescent="0.2">
      <c r="A1339" s="25"/>
      <c r="B1339" s="25"/>
      <c r="C1339" s="25"/>
      <c r="D1339" s="25"/>
      <c r="E1339" s="25"/>
      <c r="F1339" s="25"/>
      <c r="G1339" s="25"/>
      <c r="H1339" s="25"/>
      <c r="I1339" s="25"/>
      <c r="J1339" s="25"/>
      <c r="K1339" s="25"/>
      <c r="L1339" s="25"/>
    </row>
    <row r="1340" spans="1:12" s="189" customFormat="1" ht="5.25" customHeight="1" x14ac:dyDescent="0.2">
      <c r="A1340" s="25"/>
      <c r="B1340" s="25"/>
      <c r="C1340" s="25"/>
      <c r="D1340" s="25"/>
      <c r="E1340" s="25"/>
      <c r="F1340" s="25"/>
      <c r="G1340" s="25"/>
      <c r="H1340" s="25"/>
      <c r="I1340" s="25"/>
      <c r="J1340" s="25"/>
      <c r="K1340" s="25"/>
      <c r="L1340" s="25"/>
    </row>
    <row r="1341" spans="1:12" s="189" customFormat="1" ht="5.25" customHeight="1" x14ac:dyDescent="0.2">
      <c r="A1341" s="25"/>
      <c r="B1341" s="25"/>
      <c r="C1341" s="25"/>
      <c r="D1341" s="25"/>
      <c r="E1341" s="25"/>
      <c r="F1341" s="25"/>
      <c r="G1341" s="25"/>
      <c r="H1341" s="25"/>
      <c r="I1341" s="25"/>
      <c r="J1341" s="25"/>
      <c r="K1341" s="25"/>
      <c r="L1341" s="25"/>
    </row>
    <row r="1342" spans="1:12" s="189" customFormat="1" ht="5.25" customHeight="1" x14ac:dyDescent="0.2">
      <c r="A1342" s="25"/>
      <c r="B1342" s="25"/>
      <c r="C1342" s="25"/>
      <c r="D1342" s="25"/>
      <c r="E1342" s="25"/>
      <c r="F1342" s="25"/>
      <c r="G1342" s="25"/>
      <c r="H1342" s="25"/>
      <c r="I1342" s="25"/>
      <c r="J1342" s="25"/>
      <c r="K1342" s="25"/>
      <c r="L1342" s="25"/>
    </row>
    <row r="1343" spans="1:12" s="189" customFormat="1" ht="5.25" customHeight="1" x14ac:dyDescent="0.2">
      <c r="A1343" s="25"/>
      <c r="B1343" s="25"/>
      <c r="C1343" s="25"/>
      <c r="D1343" s="25"/>
      <c r="E1343" s="25"/>
      <c r="F1343" s="25"/>
      <c r="G1343" s="25"/>
      <c r="H1343" s="25"/>
      <c r="I1343" s="25"/>
      <c r="J1343" s="25"/>
      <c r="K1343" s="25"/>
      <c r="L1343" s="25"/>
    </row>
    <row r="1344" spans="1:12" s="189" customFormat="1" ht="5.25" customHeight="1" x14ac:dyDescent="0.2">
      <c r="A1344" s="25"/>
      <c r="B1344" s="25"/>
      <c r="C1344" s="25"/>
      <c r="D1344" s="25"/>
      <c r="E1344" s="25"/>
      <c r="F1344" s="25"/>
      <c r="G1344" s="25"/>
      <c r="H1344" s="25"/>
      <c r="I1344" s="25"/>
      <c r="J1344" s="25"/>
      <c r="K1344" s="25"/>
      <c r="L1344" s="25"/>
    </row>
    <row r="1345" spans="1:12" s="189" customFormat="1" ht="5.25" customHeight="1" x14ac:dyDescent="0.2">
      <c r="A1345" s="25"/>
      <c r="B1345" s="25"/>
      <c r="C1345" s="25"/>
      <c r="D1345" s="25"/>
      <c r="E1345" s="25"/>
      <c r="F1345" s="25"/>
      <c r="G1345" s="25"/>
      <c r="H1345" s="25"/>
      <c r="I1345" s="25"/>
      <c r="J1345" s="25"/>
      <c r="K1345" s="25"/>
      <c r="L1345" s="25"/>
    </row>
    <row r="1346" spans="1:12" s="189" customFormat="1" ht="5.25" customHeight="1" x14ac:dyDescent="0.2">
      <c r="A1346" s="25"/>
      <c r="B1346" s="25"/>
      <c r="C1346" s="25"/>
      <c r="D1346" s="25"/>
      <c r="E1346" s="25"/>
      <c r="F1346" s="25"/>
      <c r="G1346" s="25"/>
      <c r="H1346" s="25"/>
      <c r="I1346" s="25"/>
      <c r="J1346" s="25"/>
      <c r="K1346" s="25"/>
      <c r="L1346" s="25"/>
    </row>
    <row r="1347" spans="1:12" s="189" customFormat="1" ht="5.25" customHeight="1" x14ac:dyDescent="0.2">
      <c r="A1347" s="25"/>
      <c r="B1347" s="25"/>
      <c r="C1347" s="25"/>
      <c r="D1347" s="25"/>
      <c r="E1347" s="25"/>
      <c r="F1347" s="25"/>
      <c r="G1347" s="25"/>
      <c r="H1347" s="25"/>
      <c r="I1347" s="25"/>
      <c r="J1347" s="25"/>
      <c r="K1347" s="25"/>
      <c r="L1347" s="25"/>
    </row>
    <row r="1348" spans="1:12" s="189" customFormat="1" ht="5.25" customHeight="1" x14ac:dyDescent="0.2">
      <c r="A1348" s="25"/>
      <c r="B1348" s="25"/>
      <c r="C1348" s="25"/>
      <c r="D1348" s="25"/>
      <c r="E1348" s="25"/>
      <c r="F1348" s="25"/>
      <c r="G1348" s="25"/>
      <c r="H1348" s="25"/>
      <c r="I1348" s="25"/>
      <c r="J1348" s="25"/>
      <c r="K1348" s="25"/>
      <c r="L1348" s="25"/>
    </row>
    <row r="1349" spans="1:12" s="189" customFormat="1" ht="5.25" customHeight="1" x14ac:dyDescent="0.2">
      <c r="A1349" s="25"/>
      <c r="B1349" s="25"/>
      <c r="C1349" s="25"/>
      <c r="D1349" s="25"/>
      <c r="E1349" s="25"/>
      <c r="F1349" s="25"/>
      <c r="G1349" s="25"/>
      <c r="H1349" s="25"/>
      <c r="I1349" s="25"/>
      <c r="J1349" s="25"/>
      <c r="K1349" s="25"/>
      <c r="L1349" s="25"/>
    </row>
    <row r="1350" spans="1:12" s="189" customFormat="1" ht="5.25" customHeight="1" x14ac:dyDescent="0.2">
      <c r="A1350" s="25"/>
      <c r="B1350" s="25"/>
      <c r="C1350" s="25"/>
      <c r="D1350" s="25"/>
      <c r="E1350" s="25"/>
      <c r="F1350" s="25"/>
      <c r="G1350" s="25"/>
      <c r="H1350" s="25"/>
      <c r="I1350" s="25"/>
      <c r="J1350" s="25"/>
      <c r="K1350" s="25"/>
      <c r="L1350" s="25"/>
    </row>
    <row r="1351" spans="1:12" s="189" customFormat="1" ht="5.25" customHeight="1" x14ac:dyDescent="0.2">
      <c r="A1351" s="25"/>
      <c r="B1351" s="25"/>
      <c r="C1351" s="25"/>
      <c r="D1351" s="25"/>
      <c r="E1351" s="25"/>
      <c r="F1351" s="25"/>
      <c r="G1351" s="25"/>
      <c r="H1351" s="25"/>
      <c r="I1351" s="25"/>
      <c r="J1351" s="25"/>
      <c r="K1351" s="25"/>
      <c r="L1351" s="25"/>
    </row>
    <row r="1352" spans="1:12" s="189" customFormat="1" ht="5.25" customHeight="1" x14ac:dyDescent="0.2">
      <c r="A1352" s="25"/>
      <c r="B1352" s="25"/>
      <c r="C1352" s="25"/>
      <c r="D1352" s="25"/>
      <c r="E1352" s="25"/>
      <c r="F1352" s="25"/>
      <c r="G1352" s="25"/>
      <c r="H1352" s="25"/>
      <c r="I1352" s="25"/>
      <c r="J1352" s="25"/>
      <c r="K1352" s="25"/>
      <c r="L1352" s="25"/>
    </row>
    <row r="1353" spans="1:12" s="189" customFormat="1" ht="5.25" customHeight="1" x14ac:dyDescent="0.2">
      <c r="A1353" s="25"/>
      <c r="B1353" s="25"/>
      <c r="C1353" s="25"/>
      <c r="D1353" s="25"/>
      <c r="E1353" s="25"/>
      <c r="F1353" s="25"/>
      <c r="G1353" s="25"/>
      <c r="H1353" s="25"/>
      <c r="I1353" s="25"/>
      <c r="J1353" s="25"/>
      <c r="K1353" s="25"/>
      <c r="L1353" s="25"/>
    </row>
    <row r="1354" spans="1:12" s="189" customFormat="1" ht="5.25" customHeight="1" x14ac:dyDescent="0.2">
      <c r="A1354" s="25"/>
      <c r="B1354" s="25"/>
      <c r="C1354" s="25"/>
      <c r="D1354" s="25"/>
      <c r="E1354" s="25"/>
      <c r="F1354" s="25"/>
      <c r="G1354" s="25"/>
      <c r="H1354" s="25"/>
      <c r="I1354" s="25"/>
      <c r="J1354" s="25"/>
      <c r="K1354" s="25"/>
      <c r="L1354" s="25"/>
    </row>
    <row r="1355" spans="1:12" s="189" customFormat="1" ht="5.25" customHeight="1" x14ac:dyDescent="0.2">
      <c r="A1355" s="25"/>
      <c r="B1355" s="25"/>
      <c r="C1355" s="25"/>
      <c r="D1355" s="25"/>
      <c r="E1355" s="25"/>
      <c r="F1355" s="25"/>
      <c r="G1355" s="25"/>
      <c r="H1355" s="25"/>
      <c r="I1355" s="25"/>
      <c r="J1355" s="25"/>
      <c r="K1355" s="25"/>
      <c r="L1355" s="25"/>
    </row>
    <row r="1356" spans="1:12" s="189" customFormat="1" ht="5.25" customHeight="1" x14ac:dyDescent="0.2">
      <c r="A1356" s="25"/>
      <c r="B1356" s="25"/>
      <c r="C1356" s="25"/>
      <c r="D1356" s="25"/>
      <c r="E1356" s="25"/>
      <c r="F1356" s="25"/>
      <c r="G1356" s="25"/>
      <c r="H1356" s="25"/>
      <c r="I1356" s="25"/>
      <c r="J1356" s="25"/>
      <c r="K1356" s="25"/>
      <c r="L1356" s="25"/>
    </row>
    <row r="1357" spans="1:12" s="189" customFormat="1" ht="5.25" customHeight="1" x14ac:dyDescent="0.2">
      <c r="A1357" s="25"/>
      <c r="B1357" s="25"/>
      <c r="C1357" s="25"/>
      <c r="D1357" s="25"/>
      <c r="E1357" s="25"/>
      <c r="F1357" s="25"/>
      <c r="G1357" s="25"/>
      <c r="H1357" s="25"/>
      <c r="I1357" s="25"/>
      <c r="J1357" s="25"/>
      <c r="K1357" s="25"/>
      <c r="L1357" s="25"/>
    </row>
    <row r="1358" spans="1:12" s="189" customFormat="1" ht="5.25" customHeight="1" x14ac:dyDescent="0.2">
      <c r="A1358" s="25"/>
      <c r="B1358" s="25"/>
      <c r="C1358" s="25"/>
      <c r="D1358" s="25"/>
      <c r="E1358" s="25"/>
      <c r="F1358" s="25"/>
      <c r="G1358" s="25"/>
      <c r="H1358" s="25"/>
      <c r="I1358" s="25"/>
      <c r="J1358" s="25"/>
      <c r="K1358" s="25"/>
      <c r="L1358" s="25"/>
    </row>
    <row r="1359" spans="1:12" s="189" customFormat="1" ht="5.25" customHeight="1" x14ac:dyDescent="0.2">
      <c r="A1359" s="25"/>
      <c r="B1359" s="25"/>
      <c r="C1359" s="25"/>
      <c r="D1359" s="25"/>
      <c r="E1359" s="25"/>
      <c r="F1359" s="25"/>
      <c r="G1359" s="25"/>
      <c r="H1359" s="25"/>
      <c r="I1359" s="25"/>
      <c r="J1359" s="25"/>
      <c r="K1359" s="25"/>
      <c r="L1359" s="25"/>
    </row>
    <row r="1360" spans="1:12" s="189" customFormat="1" ht="5.25" customHeight="1" x14ac:dyDescent="0.2">
      <c r="A1360" s="25"/>
      <c r="B1360" s="25"/>
      <c r="C1360" s="25"/>
      <c r="D1360" s="25"/>
      <c r="E1360" s="25"/>
      <c r="F1360" s="25"/>
      <c r="G1360" s="25"/>
      <c r="H1360" s="25"/>
      <c r="I1360" s="25"/>
      <c r="J1360" s="25"/>
      <c r="K1360" s="25"/>
      <c r="L1360" s="25"/>
    </row>
    <row r="1361" spans="1:12" s="189" customFormat="1" ht="5.25" customHeight="1" x14ac:dyDescent="0.2">
      <c r="A1361" s="25"/>
      <c r="B1361" s="25"/>
      <c r="C1361" s="25"/>
      <c r="D1361" s="25"/>
      <c r="E1361" s="25"/>
      <c r="F1361" s="25"/>
      <c r="G1361" s="25"/>
      <c r="H1361" s="25"/>
      <c r="I1361" s="25"/>
      <c r="J1361" s="25"/>
      <c r="K1361" s="25"/>
      <c r="L1361" s="25"/>
    </row>
    <row r="1362" spans="1:12" s="189" customFormat="1" ht="5.25" customHeight="1" x14ac:dyDescent="0.2">
      <c r="A1362" s="25"/>
      <c r="B1362" s="25"/>
      <c r="C1362" s="25"/>
      <c r="D1362" s="25"/>
      <c r="E1362" s="25"/>
      <c r="F1362" s="25"/>
      <c r="G1362" s="25"/>
      <c r="H1362" s="25"/>
      <c r="I1362" s="25"/>
      <c r="J1362" s="25"/>
      <c r="K1362" s="25"/>
      <c r="L1362" s="25"/>
    </row>
    <row r="1363" spans="1:12" s="189" customFormat="1" ht="5.25" customHeight="1" x14ac:dyDescent="0.2">
      <c r="A1363" s="25"/>
      <c r="B1363" s="25"/>
      <c r="C1363" s="25"/>
      <c r="D1363" s="25"/>
      <c r="E1363" s="25"/>
      <c r="F1363" s="25"/>
      <c r="G1363" s="25"/>
      <c r="H1363" s="25"/>
      <c r="I1363" s="25"/>
      <c r="J1363" s="25"/>
      <c r="K1363" s="25"/>
      <c r="L1363" s="25"/>
    </row>
    <row r="1364" spans="1:12" s="189" customFormat="1" ht="5.25" customHeight="1" x14ac:dyDescent="0.2">
      <c r="A1364" s="25"/>
      <c r="B1364" s="25"/>
      <c r="C1364" s="25"/>
      <c r="D1364" s="25"/>
      <c r="E1364" s="25"/>
      <c r="F1364" s="25"/>
      <c r="G1364" s="25"/>
      <c r="H1364" s="25"/>
      <c r="I1364" s="25"/>
      <c r="J1364" s="25"/>
      <c r="K1364" s="25"/>
      <c r="L1364" s="25"/>
    </row>
    <row r="1365" spans="1:12" s="189" customFormat="1" ht="5.25" customHeight="1" x14ac:dyDescent="0.2">
      <c r="A1365" s="25"/>
      <c r="B1365" s="25"/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</row>
    <row r="1366" spans="1:12" s="189" customFormat="1" ht="5.25" customHeight="1" x14ac:dyDescent="0.2">
      <c r="A1366" s="25"/>
      <c r="B1366" s="25"/>
      <c r="C1366" s="25"/>
      <c r="D1366" s="25"/>
      <c r="E1366" s="25"/>
      <c r="F1366" s="25"/>
      <c r="G1366" s="25"/>
      <c r="H1366" s="25"/>
      <c r="I1366" s="25"/>
      <c r="J1366" s="25"/>
      <c r="K1366" s="25"/>
      <c r="L1366" s="25"/>
    </row>
    <row r="1367" spans="1:12" s="189" customFormat="1" ht="5.25" customHeight="1" x14ac:dyDescent="0.2">
      <c r="A1367" s="25"/>
      <c r="B1367" s="25"/>
      <c r="C1367" s="25"/>
      <c r="D1367" s="25"/>
      <c r="E1367" s="25"/>
      <c r="F1367" s="25"/>
      <c r="G1367" s="25"/>
      <c r="H1367" s="25"/>
      <c r="I1367" s="25"/>
      <c r="J1367" s="25"/>
      <c r="K1367" s="25"/>
      <c r="L1367" s="25"/>
    </row>
    <row r="1368" spans="1:12" s="189" customFormat="1" ht="5.25" customHeight="1" x14ac:dyDescent="0.2">
      <c r="A1368" s="25"/>
      <c r="B1368" s="25"/>
      <c r="C1368" s="25"/>
      <c r="D1368" s="25"/>
      <c r="E1368" s="25"/>
      <c r="F1368" s="25"/>
      <c r="G1368" s="25"/>
      <c r="H1368" s="25"/>
      <c r="I1368" s="25"/>
      <c r="J1368" s="25"/>
      <c r="K1368" s="25"/>
      <c r="L1368" s="25"/>
    </row>
    <row r="1369" spans="1:12" s="189" customFormat="1" ht="5.25" customHeight="1" x14ac:dyDescent="0.2">
      <c r="A1369" s="25"/>
      <c r="B1369" s="25"/>
      <c r="C1369" s="25"/>
      <c r="D1369" s="25"/>
      <c r="E1369" s="25"/>
      <c r="F1369" s="25"/>
      <c r="G1369" s="25"/>
      <c r="H1369" s="25"/>
      <c r="I1369" s="25"/>
      <c r="J1369" s="25"/>
      <c r="K1369" s="25"/>
      <c r="L1369" s="25"/>
    </row>
    <row r="1370" spans="1:12" s="189" customFormat="1" ht="5.25" customHeight="1" x14ac:dyDescent="0.2">
      <c r="A1370" s="25"/>
      <c r="B1370" s="25"/>
      <c r="C1370" s="25"/>
      <c r="D1370" s="25"/>
      <c r="E1370" s="25"/>
      <c r="F1370" s="25"/>
      <c r="G1370" s="25"/>
      <c r="H1370" s="25"/>
      <c r="I1370" s="25"/>
      <c r="J1370" s="25"/>
      <c r="K1370" s="25"/>
      <c r="L1370" s="25"/>
    </row>
    <row r="1371" spans="1:12" s="189" customFormat="1" ht="5.25" customHeight="1" x14ac:dyDescent="0.2">
      <c r="A1371" s="25"/>
      <c r="B1371" s="25"/>
      <c r="C1371" s="25"/>
      <c r="D1371" s="25"/>
      <c r="E1371" s="25"/>
      <c r="F1371" s="25"/>
      <c r="G1371" s="25"/>
      <c r="H1371" s="25"/>
      <c r="I1371" s="25"/>
      <c r="J1371" s="25"/>
      <c r="K1371" s="25"/>
      <c r="L1371" s="25"/>
    </row>
    <row r="1372" spans="1:12" s="189" customFormat="1" ht="5.25" customHeight="1" x14ac:dyDescent="0.2">
      <c r="A1372" s="25"/>
      <c r="B1372" s="25"/>
      <c r="C1372" s="25"/>
      <c r="D1372" s="25"/>
      <c r="E1372" s="25"/>
      <c r="F1372" s="25"/>
      <c r="G1372" s="25"/>
      <c r="H1372" s="25"/>
      <c r="I1372" s="25"/>
      <c r="J1372" s="25"/>
      <c r="K1372" s="25"/>
      <c r="L1372" s="25"/>
    </row>
    <row r="1373" spans="1:12" s="189" customFormat="1" ht="5.25" customHeight="1" x14ac:dyDescent="0.2">
      <c r="A1373" s="25"/>
      <c r="B1373" s="25"/>
      <c r="C1373" s="25"/>
      <c r="D1373" s="25"/>
      <c r="E1373" s="25"/>
      <c r="F1373" s="25"/>
      <c r="G1373" s="25"/>
      <c r="H1373" s="25"/>
      <c r="I1373" s="25"/>
      <c r="J1373" s="25"/>
      <c r="K1373" s="25"/>
      <c r="L1373" s="25"/>
    </row>
    <row r="1374" spans="1:12" s="189" customFormat="1" ht="5.25" customHeight="1" x14ac:dyDescent="0.2">
      <c r="A1374" s="25"/>
      <c r="B1374" s="25"/>
      <c r="C1374" s="25"/>
      <c r="D1374" s="25"/>
      <c r="E1374" s="25"/>
      <c r="F1374" s="25"/>
      <c r="G1374" s="25"/>
      <c r="H1374" s="25"/>
      <c r="I1374" s="25"/>
      <c r="J1374" s="25"/>
      <c r="K1374" s="25"/>
      <c r="L1374" s="25"/>
    </row>
    <row r="1375" spans="1:12" s="189" customFormat="1" ht="5.25" customHeight="1" x14ac:dyDescent="0.2">
      <c r="A1375" s="25"/>
      <c r="B1375" s="25"/>
      <c r="C1375" s="25"/>
      <c r="D1375" s="25"/>
      <c r="E1375" s="25"/>
      <c r="F1375" s="25"/>
      <c r="G1375" s="25"/>
      <c r="H1375" s="25"/>
      <c r="I1375" s="25"/>
      <c r="J1375" s="25"/>
      <c r="K1375" s="25"/>
      <c r="L1375" s="25"/>
    </row>
    <row r="1376" spans="1:12" s="189" customFormat="1" ht="5.25" customHeight="1" x14ac:dyDescent="0.2">
      <c r="A1376" s="25"/>
      <c r="B1376" s="25"/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</row>
    <row r="1377" spans="1:12" s="189" customFormat="1" ht="5.25" customHeight="1" x14ac:dyDescent="0.2">
      <c r="A1377" s="25"/>
      <c r="B1377" s="25"/>
      <c r="C1377" s="25"/>
      <c r="D1377" s="25"/>
      <c r="E1377" s="25"/>
      <c r="F1377" s="25"/>
      <c r="G1377" s="25"/>
      <c r="H1377" s="25"/>
      <c r="I1377" s="25"/>
      <c r="J1377" s="25"/>
      <c r="K1377" s="25"/>
      <c r="L1377" s="25"/>
    </row>
    <row r="1378" spans="1:12" s="189" customFormat="1" ht="5.25" customHeight="1" x14ac:dyDescent="0.2">
      <c r="A1378" s="25"/>
      <c r="B1378" s="25"/>
      <c r="C1378" s="25"/>
      <c r="D1378" s="25"/>
      <c r="E1378" s="25"/>
      <c r="F1378" s="25"/>
      <c r="G1378" s="25"/>
      <c r="H1378" s="25"/>
      <c r="I1378" s="25"/>
      <c r="J1378" s="25"/>
      <c r="K1378" s="25"/>
      <c r="L1378" s="25"/>
    </row>
    <row r="1379" spans="1:12" s="189" customFormat="1" ht="5.25" customHeight="1" x14ac:dyDescent="0.2">
      <c r="A1379" s="25"/>
      <c r="B1379" s="25"/>
      <c r="C1379" s="25"/>
      <c r="D1379" s="25"/>
      <c r="E1379" s="25"/>
      <c r="F1379" s="25"/>
      <c r="G1379" s="25"/>
      <c r="H1379" s="25"/>
      <c r="I1379" s="25"/>
      <c r="J1379" s="25"/>
      <c r="K1379" s="25"/>
      <c r="L1379" s="25"/>
    </row>
    <row r="1380" spans="1:12" s="189" customFormat="1" ht="5.25" customHeight="1" x14ac:dyDescent="0.2">
      <c r="A1380" s="25"/>
      <c r="B1380" s="25"/>
      <c r="C1380" s="25"/>
      <c r="D1380" s="25"/>
      <c r="E1380" s="25"/>
      <c r="F1380" s="25"/>
      <c r="G1380" s="25"/>
      <c r="H1380" s="25"/>
      <c r="I1380" s="25"/>
      <c r="J1380" s="25"/>
      <c r="K1380" s="25"/>
      <c r="L1380" s="25"/>
    </row>
    <row r="1381" spans="1:12" s="189" customFormat="1" ht="5.25" customHeight="1" x14ac:dyDescent="0.2">
      <c r="A1381" s="25"/>
      <c r="B1381" s="25"/>
      <c r="C1381" s="25"/>
      <c r="D1381" s="25"/>
      <c r="E1381" s="25"/>
      <c r="F1381" s="25"/>
      <c r="G1381" s="25"/>
      <c r="H1381" s="25"/>
      <c r="I1381" s="25"/>
      <c r="J1381" s="25"/>
      <c r="K1381" s="25"/>
      <c r="L1381" s="25"/>
    </row>
    <row r="1382" spans="1:12" s="189" customFormat="1" ht="5.25" customHeight="1" x14ac:dyDescent="0.2">
      <c r="A1382" s="25"/>
      <c r="B1382" s="25"/>
      <c r="C1382" s="25"/>
      <c r="D1382" s="25"/>
      <c r="E1382" s="25"/>
      <c r="F1382" s="25"/>
      <c r="G1382" s="25"/>
      <c r="H1382" s="25"/>
      <c r="I1382" s="25"/>
      <c r="J1382" s="25"/>
      <c r="K1382" s="25"/>
      <c r="L1382" s="25"/>
    </row>
    <row r="1383" spans="1:12" s="189" customFormat="1" ht="5.25" customHeight="1" x14ac:dyDescent="0.2">
      <c r="A1383" s="25"/>
      <c r="B1383" s="25"/>
      <c r="C1383" s="25"/>
      <c r="D1383" s="25"/>
      <c r="E1383" s="25"/>
      <c r="F1383" s="25"/>
      <c r="G1383" s="25"/>
      <c r="H1383" s="25"/>
      <c r="I1383" s="25"/>
      <c r="J1383" s="25"/>
      <c r="K1383" s="25"/>
      <c r="L1383" s="25"/>
    </row>
    <row r="1384" spans="1:12" s="189" customFormat="1" ht="5.25" customHeight="1" x14ac:dyDescent="0.2">
      <c r="A1384" s="25"/>
      <c r="B1384" s="25"/>
      <c r="C1384" s="25"/>
      <c r="D1384" s="25"/>
      <c r="E1384" s="25"/>
      <c r="F1384" s="25"/>
      <c r="G1384" s="25"/>
      <c r="H1384" s="25"/>
      <c r="I1384" s="25"/>
      <c r="J1384" s="25"/>
      <c r="K1384" s="25"/>
      <c r="L1384" s="25"/>
    </row>
    <row r="1385" spans="1:12" s="189" customFormat="1" ht="5.25" customHeight="1" x14ac:dyDescent="0.2">
      <c r="A1385" s="25"/>
      <c r="B1385" s="25"/>
      <c r="C1385" s="25"/>
      <c r="D1385" s="25"/>
      <c r="E1385" s="25"/>
      <c r="F1385" s="25"/>
      <c r="G1385" s="25"/>
      <c r="H1385" s="25"/>
      <c r="I1385" s="25"/>
      <c r="J1385" s="25"/>
      <c r="K1385" s="25"/>
      <c r="L1385" s="25"/>
    </row>
    <row r="1386" spans="1:12" s="189" customFormat="1" ht="5.25" customHeight="1" x14ac:dyDescent="0.2">
      <c r="A1386" s="25"/>
      <c r="B1386" s="25"/>
      <c r="C1386" s="25"/>
      <c r="D1386" s="25"/>
      <c r="E1386" s="25"/>
      <c r="F1386" s="25"/>
      <c r="G1386" s="25"/>
      <c r="H1386" s="25"/>
      <c r="I1386" s="25"/>
      <c r="J1386" s="25"/>
      <c r="K1386" s="25"/>
      <c r="L1386" s="25"/>
    </row>
    <row r="1387" spans="1:12" s="189" customFormat="1" ht="5.25" customHeight="1" x14ac:dyDescent="0.2">
      <c r="A1387" s="25"/>
      <c r="B1387" s="25"/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</row>
    <row r="1388" spans="1:12" s="189" customFormat="1" ht="5.25" customHeight="1" x14ac:dyDescent="0.2">
      <c r="A1388" s="25"/>
      <c r="B1388" s="25"/>
      <c r="C1388" s="25"/>
      <c r="D1388" s="25"/>
      <c r="E1388" s="25"/>
      <c r="F1388" s="25"/>
      <c r="G1388" s="25"/>
      <c r="H1388" s="25"/>
      <c r="I1388" s="25"/>
      <c r="J1388" s="25"/>
      <c r="K1388" s="25"/>
      <c r="L1388" s="25"/>
    </row>
    <row r="1389" spans="1:12" s="189" customFormat="1" ht="5.25" customHeight="1" x14ac:dyDescent="0.2">
      <c r="A1389" s="25"/>
      <c r="B1389" s="25"/>
      <c r="C1389" s="25"/>
      <c r="D1389" s="25"/>
      <c r="E1389" s="25"/>
      <c r="F1389" s="25"/>
      <c r="G1389" s="25"/>
      <c r="H1389" s="25"/>
      <c r="I1389" s="25"/>
      <c r="J1389" s="25"/>
      <c r="K1389" s="25"/>
      <c r="L1389" s="25"/>
    </row>
    <row r="1390" spans="1:12" s="189" customFormat="1" ht="5.25" customHeight="1" x14ac:dyDescent="0.2">
      <c r="A1390" s="25"/>
      <c r="B1390" s="25"/>
      <c r="C1390" s="25"/>
      <c r="D1390" s="25"/>
      <c r="E1390" s="25"/>
      <c r="F1390" s="25"/>
      <c r="G1390" s="25"/>
      <c r="H1390" s="25"/>
      <c r="I1390" s="25"/>
      <c r="J1390" s="25"/>
      <c r="K1390" s="25"/>
      <c r="L1390" s="25"/>
    </row>
    <row r="1391" spans="1:12" s="189" customFormat="1" ht="5.25" customHeight="1" x14ac:dyDescent="0.2">
      <c r="A1391" s="25"/>
      <c r="B1391" s="25"/>
      <c r="C1391" s="25"/>
      <c r="D1391" s="25"/>
      <c r="E1391" s="25"/>
      <c r="F1391" s="25"/>
      <c r="G1391" s="25"/>
      <c r="H1391" s="25"/>
      <c r="I1391" s="25"/>
      <c r="J1391" s="25"/>
      <c r="K1391" s="25"/>
      <c r="L1391" s="25"/>
    </row>
    <row r="1392" spans="1:12" s="189" customFormat="1" ht="5.25" customHeight="1" x14ac:dyDescent="0.2">
      <c r="A1392" s="25"/>
      <c r="B1392" s="25"/>
      <c r="C1392" s="25"/>
      <c r="D1392" s="25"/>
      <c r="E1392" s="25"/>
      <c r="F1392" s="25"/>
      <c r="G1392" s="25"/>
      <c r="H1392" s="25"/>
      <c r="I1392" s="25"/>
      <c r="J1392" s="25"/>
      <c r="K1392" s="25"/>
      <c r="L1392" s="25"/>
    </row>
    <row r="1393" spans="1:12" s="189" customFormat="1" ht="5.25" customHeight="1" x14ac:dyDescent="0.2">
      <c r="A1393" s="25"/>
      <c r="B1393" s="25"/>
      <c r="C1393" s="25"/>
      <c r="D1393" s="25"/>
      <c r="E1393" s="25"/>
      <c r="F1393" s="25"/>
      <c r="G1393" s="25"/>
      <c r="H1393" s="25"/>
      <c r="I1393" s="25"/>
      <c r="J1393" s="25"/>
      <c r="K1393" s="25"/>
      <c r="L1393" s="25"/>
    </row>
    <row r="1394" spans="1:12" s="189" customFormat="1" ht="5.25" customHeight="1" x14ac:dyDescent="0.2">
      <c r="A1394" s="25"/>
      <c r="B1394" s="25"/>
      <c r="C1394" s="25"/>
      <c r="D1394" s="25"/>
      <c r="E1394" s="25"/>
      <c r="F1394" s="25"/>
      <c r="G1394" s="25"/>
      <c r="H1394" s="25"/>
      <c r="I1394" s="25"/>
      <c r="J1394" s="25"/>
      <c r="K1394" s="25"/>
      <c r="L1394" s="25"/>
    </row>
    <row r="1395" spans="1:12" s="189" customFormat="1" ht="5.25" customHeight="1" x14ac:dyDescent="0.2">
      <c r="A1395" s="25"/>
      <c r="B1395" s="25"/>
      <c r="C1395" s="25"/>
      <c r="D1395" s="25"/>
      <c r="E1395" s="25"/>
      <c r="F1395" s="25"/>
      <c r="G1395" s="25"/>
      <c r="H1395" s="25"/>
      <c r="I1395" s="25"/>
      <c r="J1395" s="25"/>
      <c r="K1395" s="25"/>
      <c r="L1395" s="25"/>
    </row>
    <row r="1396" spans="1:12" s="189" customFormat="1" ht="5.25" customHeight="1" x14ac:dyDescent="0.2">
      <c r="A1396" s="25"/>
      <c r="B1396" s="25"/>
      <c r="C1396" s="25"/>
      <c r="D1396" s="25"/>
      <c r="E1396" s="25"/>
      <c r="F1396" s="25"/>
      <c r="G1396" s="25"/>
      <c r="H1396" s="25"/>
      <c r="I1396" s="25"/>
      <c r="J1396" s="25"/>
      <c r="K1396" s="25"/>
      <c r="L1396" s="25"/>
    </row>
    <row r="1397" spans="1:12" s="189" customFormat="1" ht="5.25" customHeight="1" x14ac:dyDescent="0.2">
      <c r="A1397" s="25"/>
      <c r="B1397" s="25"/>
      <c r="C1397" s="25"/>
      <c r="D1397" s="25"/>
      <c r="E1397" s="25"/>
      <c r="F1397" s="25"/>
      <c r="G1397" s="25"/>
      <c r="H1397" s="25"/>
      <c r="I1397" s="25"/>
      <c r="J1397" s="25"/>
      <c r="K1397" s="25"/>
      <c r="L1397" s="25"/>
    </row>
    <row r="1398" spans="1:12" s="189" customFormat="1" ht="5.25" customHeight="1" x14ac:dyDescent="0.2">
      <c r="A1398" s="25"/>
      <c r="B1398" s="25"/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</row>
    <row r="1399" spans="1:12" s="189" customFormat="1" ht="5.25" customHeight="1" x14ac:dyDescent="0.2">
      <c r="A1399" s="25"/>
      <c r="B1399" s="25"/>
      <c r="C1399" s="25"/>
      <c r="D1399" s="25"/>
      <c r="E1399" s="25"/>
      <c r="F1399" s="25"/>
      <c r="G1399" s="25"/>
      <c r="H1399" s="25"/>
      <c r="I1399" s="25"/>
      <c r="J1399" s="25"/>
      <c r="K1399" s="25"/>
      <c r="L1399" s="25"/>
    </row>
    <row r="1400" spans="1:12" s="189" customFormat="1" ht="5.25" customHeight="1" x14ac:dyDescent="0.2">
      <c r="A1400" s="25"/>
      <c r="B1400" s="25"/>
      <c r="C1400" s="25"/>
      <c r="D1400" s="25"/>
      <c r="E1400" s="25"/>
      <c r="F1400" s="25"/>
      <c r="G1400" s="25"/>
      <c r="H1400" s="25"/>
      <c r="I1400" s="25"/>
      <c r="J1400" s="25"/>
      <c r="K1400" s="25"/>
      <c r="L1400" s="25"/>
    </row>
    <row r="1401" spans="1:12" s="189" customFormat="1" ht="5.25" customHeight="1" x14ac:dyDescent="0.2">
      <c r="A1401" s="25"/>
      <c r="B1401" s="25"/>
      <c r="C1401" s="25"/>
      <c r="D1401" s="25"/>
      <c r="E1401" s="25"/>
      <c r="F1401" s="25"/>
      <c r="G1401" s="25"/>
      <c r="H1401" s="25"/>
      <c r="I1401" s="25"/>
      <c r="J1401" s="25"/>
      <c r="K1401" s="25"/>
      <c r="L1401" s="25"/>
    </row>
    <row r="1402" spans="1:12" s="189" customFormat="1" ht="5.25" customHeight="1" x14ac:dyDescent="0.2">
      <c r="A1402" s="25"/>
      <c r="B1402" s="25"/>
      <c r="C1402" s="25"/>
      <c r="D1402" s="25"/>
      <c r="E1402" s="25"/>
      <c r="F1402" s="25"/>
      <c r="G1402" s="25"/>
      <c r="H1402" s="25"/>
      <c r="I1402" s="25"/>
      <c r="J1402" s="25"/>
      <c r="K1402" s="25"/>
      <c r="L1402" s="25"/>
    </row>
    <row r="1403" spans="1:12" s="189" customFormat="1" ht="5.25" customHeight="1" x14ac:dyDescent="0.2">
      <c r="A1403" s="25"/>
      <c r="B1403" s="25"/>
      <c r="C1403" s="25"/>
      <c r="D1403" s="25"/>
      <c r="E1403" s="25"/>
      <c r="F1403" s="25"/>
      <c r="G1403" s="25"/>
      <c r="H1403" s="25"/>
      <c r="I1403" s="25"/>
      <c r="J1403" s="25"/>
      <c r="K1403" s="25"/>
      <c r="L1403" s="25"/>
    </row>
    <row r="1404" spans="1:12" s="189" customFormat="1" ht="5.25" customHeight="1" x14ac:dyDescent="0.2">
      <c r="A1404" s="25"/>
      <c r="B1404" s="25"/>
      <c r="C1404" s="25"/>
      <c r="D1404" s="25"/>
      <c r="E1404" s="25"/>
      <c r="F1404" s="25"/>
      <c r="G1404" s="25"/>
      <c r="H1404" s="25"/>
      <c r="I1404" s="25"/>
      <c r="J1404" s="25"/>
      <c r="K1404" s="25"/>
      <c r="L1404" s="25"/>
    </row>
    <row r="1405" spans="1:12" s="189" customFormat="1" ht="5.25" customHeight="1" x14ac:dyDescent="0.2">
      <c r="A1405" s="25"/>
      <c r="B1405" s="25"/>
      <c r="C1405" s="25"/>
      <c r="D1405" s="25"/>
      <c r="E1405" s="25"/>
      <c r="F1405" s="25"/>
      <c r="G1405" s="25"/>
      <c r="H1405" s="25"/>
      <c r="I1405" s="25"/>
      <c r="J1405" s="25"/>
      <c r="K1405" s="25"/>
      <c r="L1405" s="25"/>
    </row>
    <row r="1406" spans="1:12" s="189" customFormat="1" ht="5.25" customHeight="1" x14ac:dyDescent="0.2">
      <c r="A1406" s="25"/>
      <c r="B1406" s="25"/>
      <c r="C1406" s="25"/>
      <c r="D1406" s="25"/>
      <c r="E1406" s="25"/>
      <c r="F1406" s="25"/>
      <c r="G1406" s="25"/>
      <c r="H1406" s="25"/>
      <c r="I1406" s="25"/>
      <c r="J1406" s="25"/>
      <c r="K1406" s="25"/>
      <c r="L1406" s="25"/>
    </row>
    <row r="1407" spans="1:12" s="189" customFormat="1" ht="5.25" customHeight="1" x14ac:dyDescent="0.2">
      <c r="A1407" s="25"/>
      <c r="B1407" s="25"/>
      <c r="C1407" s="25"/>
      <c r="D1407" s="25"/>
      <c r="E1407" s="25"/>
      <c r="F1407" s="25"/>
      <c r="G1407" s="25"/>
      <c r="H1407" s="25"/>
      <c r="I1407" s="25"/>
      <c r="J1407" s="25"/>
      <c r="K1407" s="25"/>
      <c r="L1407" s="25"/>
    </row>
    <row r="1408" spans="1:12" s="189" customFormat="1" ht="5.25" customHeight="1" x14ac:dyDescent="0.2">
      <c r="A1408" s="25"/>
      <c r="B1408" s="25"/>
      <c r="C1408" s="25"/>
      <c r="D1408" s="25"/>
      <c r="E1408" s="25"/>
      <c r="F1408" s="25"/>
      <c r="G1408" s="25"/>
      <c r="H1408" s="25"/>
      <c r="I1408" s="25"/>
      <c r="J1408" s="25"/>
      <c r="K1408" s="25"/>
      <c r="L1408" s="25"/>
    </row>
    <row r="1409" spans="1:12" s="189" customFormat="1" ht="5.25" customHeight="1" x14ac:dyDescent="0.2">
      <c r="A1409" s="25"/>
      <c r="B1409" s="25"/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</row>
    <row r="1410" spans="1:12" s="189" customFormat="1" ht="5.25" customHeight="1" x14ac:dyDescent="0.2">
      <c r="A1410" s="25"/>
      <c r="B1410" s="25"/>
      <c r="C1410" s="25"/>
      <c r="D1410" s="25"/>
      <c r="E1410" s="25"/>
      <c r="F1410" s="25"/>
      <c r="G1410" s="25"/>
      <c r="H1410" s="25"/>
      <c r="I1410" s="25"/>
      <c r="J1410" s="25"/>
      <c r="K1410" s="25"/>
      <c r="L1410" s="25"/>
    </row>
    <row r="1411" spans="1:12" s="189" customFormat="1" ht="5.25" customHeight="1" x14ac:dyDescent="0.2">
      <c r="A1411" s="25"/>
      <c r="B1411" s="25"/>
      <c r="C1411" s="25"/>
      <c r="D1411" s="25"/>
      <c r="E1411" s="25"/>
      <c r="F1411" s="25"/>
      <c r="G1411" s="25"/>
      <c r="H1411" s="25"/>
      <c r="I1411" s="25"/>
      <c r="J1411" s="25"/>
      <c r="K1411" s="25"/>
      <c r="L1411" s="25"/>
    </row>
    <row r="1412" spans="1:12" s="189" customFormat="1" ht="5.25" customHeight="1" x14ac:dyDescent="0.2">
      <c r="A1412" s="25"/>
      <c r="B1412" s="25"/>
      <c r="C1412" s="25"/>
      <c r="D1412" s="25"/>
      <c r="E1412" s="25"/>
      <c r="F1412" s="25"/>
      <c r="G1412" s="25"/>
      <c r="H1412" s="25"/>
      <c r="I1412" s="25"/>
      <c r="J1412" s="25"/>
      <c r="K1412" s="25"/>
      <c r="L1412" s="25"/>
    </row>
    <row r="1413" spans="1:12" s="189" customFormat="1" ht="5.25" customHeight="1" x14ac:dyDescent="0.2">
      <c r="A1413" s="25"/>
      <c r="B1413" s="25"/>
      <c r="C1413" s="25"/>
      <c r="D1413" s="25"/>
      <c r="E1413" s="25"/>
      <c r="F1413" s="25"/>
      <c r="G1413" s="25"/>
      <c r="H1413" s="25"/>
      <c r="I1413" s="25"/>
      <c r="J1413" s="25"/>
      <c r="K1413" s="25"/>
      <c r="L1413" s="25"/>
    </row>
    <row r="1414" spans="1:12" s="189" customFormat="1" ht="5.25" customHeight="1" x14ac:dyDescent="0.2">
      <c r="A1414" s="25"/>
      <c r="B1414" s="25"/>
      <c r="C1414" s="25"/>
      <c r="D1414" s="25"/>
      <c r="E1414" s="25"/>
      <c r="F1414" s="25"/>
      <c r="G1414" s="25"/>
      <c r="H1414" s="25"/>
      <c r="I1414" s="25"/>
      <c r="J1414" s="25"/>
      <c r="K1414" s="25"/>
      <c r="L1414" s="25"/>
    </row>
    <row r="1415" spans="1:12" s="189" customFormat="1" ht="5.25" customHeight="1" x14ac:dyDescent="0.2">
      <c r="A1415" s="25"/>
      <c r="B1415" s="25"/>
      <c r="C1415" s="25"/>
      <c r="D1415" s="25"/>
      <c r="E1415" s="25"/>
      <c r="F1415" s="25"/>
      <c r="G1415" s="25"/>
      <c r="H1415" s="25"/>
      <c r="I1415" s="25"/>
      <c r="J1415" s="25"/>
      <c r="K1415" s="25"/>
      <c r="L1415" s="25"/>
    </row>
    <row r="1416" spans="1:12" s="189" customFormat="1" ht="5.25" customHeight="1" x14ac:dyDescent="0.2">
      <c r="A1416" s="25"/>
      <c r="B1416" s="25"/>
      <c r="C1416" s="25"/>
      <c r="D1416" s="25"/>
      <c r="E1416" s="25"/>
      <c r="F1416" s="25"/>
      <c r="G1416" s="25"/>
      <c r="H1416" s="25"/>
      <c r="I1416" s="25"/>
      <c r="J1416" s="25"/>
      <c r="K1416" s="25"/>
      <c r="L1416" s="25"/>
    </row>
    <row r="1417" spans="1:12" s="189" customFormat="1" ht="5.25" customHeight="1" x14ac:dyDescent="0.2">
      <c r="A1417" s="25"/>
      <c r="B1417" s="25"/>
      <c r="C1417" s="25"/>
      <c r="D1417" s="25"/>
      <c r="E1417" s="25"/>
      <c r="F1417" s="25"/>
      <c r="G1417" s="25"/>
      <c r="H1417" s="25"/>
      <c r="I1417" s="25"/>
      <c r="J1417" s="25"/>
      <c r="K1417" s="25"/>
      <c r="L1417" s="25"/>
    </row>
    <row r="1418" spans="1:12" s="189" customFormat="1" ht="5.25" customHeight="1" x14ac:dyDescent="0.2">
      <c r="A1418" s="25"/>
      <c r="B1418" s="25"/>
      <c r="C1418" s="25"/>
      <c r="D1418" s="25"/>
      <c r="E1418" s="25"/>
      <c r="F1418" s="25"/>
      <c r="G1418" s="25"/>
      <c r="H1418" s="25"/>
      <c r="I1418" s="25"/>
      <c r="J1418" s="25"/>
      <c r="K1418" s="25"/>
      <c r="L1418" s="25"/>
    </row>
    <row r="1419" spans="1:12" s="189" customFormat="1" ht="5.25" customHeight="1" x14ac:dyDescent="0.2">
      <c r="A1419" s="25"/>
      <c r="B1419" s="25"/>
      <c r="C1419" s="25"/>
      <c r="D1419" s="25"/>
      <c r="E1419" s="25"/>
      <c r="F1419" s="25"/>
      <c r="G1419" s="25"/>
      <c r="H1419" s="25"/>
      <c r="I1419" s="25"/>
      <c r="J1419" s="25"/>
      <c r="K1419" s="25"/>
      <c r="L1419" s="25"/>
    </row>
    <row r="1420" spans="1:12" s="189" customFormat="1" ht="5.25" customHeight="1" x14ac:dyDescent="0.2">
      <c r="A1420" s="25"/>
      <c r="B1420" s="25"/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</row>
    <row r="1421" spans="1:12" s="189" customFormat="1" ht="5.25" customHeight="1" x14ac:dyDescent="0.2">
      <c r="A1421" s="25"/>
      <c r="B1421" s="25"/>
      <c r="C1421" s="25"/>
      <c r="D1421" s="25"/>
      <c r="E1421" s="25"/>
      <c r="F1421" s="25"/>
      <c r="G1421" s="25"/>
      <c r="H1421" s="25"/>
      <c r="I1421" s="25"/>
      <c r="J1421" s="25"/>
      <c r="K1421" s="25"/>
      <c r="L1421" s="25"/>
    </row>
    <row r="1422" spans="1:12" s="189" customFormat="1" ht="5.25" customHeight="1" x14ac:dyDescent="0.2">
      <c r="A1422" s="25"/>
      <c r="B1422" s="25"/>
      <c r="C1422" s="25"/>
      <c r="D1422" s="25"/>
      <c r="E1422" s="25"/>
      <c r="F1422" s="25"/>
      <c r="G1422" s="25"/>
      <c r="H1422" s="25"/>
      <c r="I1422" s="25"/>
      <c r="J1422" s="25"/>
      <c r="K1422" s="25"/>
      <c r="L1422" s="25"/>
    </row>
    <row r="1423" spans="1:12" s="189" customFormat="1" ht="5.25" customHeight="1" x14ac:dyDescent="0.2">
      <c r="A1423" s="25"/>
      <c r="B1423" s="25"/>
      <c r="C1423" s="25"/>
      <c r="D1423" s="25"/>
      <c r="E1423" s="25"/>
      <c r="F1423" s="25"/>
      <c r="G1423" s="25"/>
      <c r="H1423" s="25"/>
      <c r="I1423" s="25"/>
      <c r="J1423" s="25"/>
      <c r="K1423" s="25"/>
      <c r="L1423" s="25"/>
    </row>
    <row r="1424" spans="1:12" s="189" customFormat="1" ht="5.25" customHeight="1" x14ac:dyDescent="0.2">
      <c r="A1424" s="25"/>
      <c r="B1424" s="25"/>
      <c r="C1424" s="25"/>
      <c r="D1424" s="25"/>
      <c r="E1424" s="25"/>
      <c r="F1424" s="25"/>
      <c r="G1424" s="25"/>
      <c r="H1424" s="25"/>
      <c r="I1424" s="25"/>
      <c r="J1424" s="25"/>
      <c r="K1424" s="25"/>
      <c r="L1424" s="25"/>
    </row>
    <row r="1425" spans="1:12" s="189" customFormat="1" ht="5.25" customHeight="1" x14ac:dyDescent="0.2">
      <c r="A1425" s="25"/>
      <c r="B1425" s="25"/>
      <c r="C1425" s="25"/>
      <c r="D1425" s="25"/>
      <c r="E1425" s="25"/>
      <c r="F1425" s="25"/>
      <c r="G1425" s="25"/>
      <c r="H1425" s="25"/>
      <c r="I1425" s="25"/>
      <c r="J1425" s="25"/>
      <c r="K1425" s="25"/>
      <c r="L1425" s="25"/>
    </row>
    <row r="1426" spans="1:12" s="189" customFormat="1" ht="5.25" customHeight="1" x14ac:dyDescent="0.2">
      <c r="A1426" s="25"/>
      <c r="B1426" s="25"/>
      <c r="C1426" s="25"/>
      <c r="D1426" s="25"/>
      <c r="E1426" s="25"/>
      <c r="F1426" s="25"/>
      <c r="G1426" s="25"/>
      <c r="H1426" s="25"/>
      <c r="I1426" s="25"/>
      <c r="J1426" s="25"/>
      <c r="K1426" s="25"/>
      <c r="L1426" s="25"/>
    </row>
    <row r="1427" spans="1:12" s="189" customFormat="1" ht="5.25" customHeight="1" x14ac:dyDescent="0.2">
      <c r="A1427" s="25"/>
      <c r="B1427" s="25"/>
      <c r="C1427" s="25"/>
      <c r="D1427" s="25"/>
      <c r="E1427" s="25"/>
      <c r="F1427" s="25"/>
      <c r="G1427" s="25"/>
      <c r="H1427" s="25"/>
      <c r="I1427" s="25"/>
      <c r="J1427" s="25"/>
      <c r="K1427" s="25"/>
      <c r="L1427" s="25"/>
    </row>
    <row r="1428" spans="1:12" s="189" customFormat="1" ht="5.25" customHeight="1" x14ac:dyDescent="0.2">
      <c r="A1428" s="25"/>
      <c r="B1428" s="25"/>
      <c r="C1428" s="25"/>
      <c r="D1428" s="25"/>
      <c r="E1428" s="25"/>
      <c r="F1428" s="25"/>
      <c r="G1428" s="25"/>
      <c r="H1428" s="25"/>
      <c r="I1428" s="25"/>
      <c r="J1428" s="25"/>
      <c r="K1428" s="25"/>
      <c r="L1428" s="25"/>
    </row>
    <row r="1429" spans="1:12" s="189" customFormat="1" ht="5.25" customHeight="1" x14ac:dyDescent="0.2">
      <c r="A1429" s="25"/>
      <c r="B1429" s="25"/>
      <c r="C1429" s="25"/>
      <c r="D1429" s="25"/>
      <c r="E1429" s="25"/>
      <c r="F1429" s="25"/>
      <c r="G1429" s="25"/>
      <c r="H1429" s="25"/>
      <c r="I1429" s="25"/>
      <c r="J1429" s="25"/>
      <c r="K1429" s="25"/>
      <c r="L1429" s="25"/>
    </row>
    <row r="1430" spans="1:12" s="189" customFormat="1" ht="5.25" customHeight="1" x14ac:dyDescent="0.2">
      <c r="A1430" s="25"/>
      <c r="B1430" s="25"/>
      <c r="C1430" s="25"/>
      <c r="D1430" s="25"/>
      <c r="E1430" s="25"/>
      <c r="F1430" s="25"/>
      <c r="G1430" s="25"/>
      <c r="H1430" s="25"/>
      <c r="I1430" s="25"/>
      <c r="J1430" s="25"/>
      <c r="K1430" s="25"/>
      <c r="L1430" s="25"/>
    </row>
    <row r="1431" spans="1:12" s="189" customFormat="1" ht="5.25" customHeight="1" x14ac:dyDescent="0.2">
      <c r="A1431" s="25"/>
      <c r="B1431" s="25"/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</row>
    <row r="1432" spans="1:12" s="189" customFormat="1" ht="5.25" customHeight="1" x14ac:dyDescent="0.2">
      <c r="A1432" s="25"/>
      <c r="B1432" s="25"/>
      <c r="C1432" s="25"/>
      <c r="D1432" s="25"/>
      <c r="E1432" s="25"/>
      <c r="F1432" s="25"/>
      <c r="G1432" s="25"/>
      <c r="H1432" s="25"/>
      <c r="I1432" s="25"/>
      <c r="J1432" s="25"/>
      <c r="K1432" s="25"/>
      <c r="L1432" s="25"/>
    </row>
    <row r="1433" spans="1:12" s="189" customFormat="1" ht="5.25" customHeight="1" x14ac:dyDescent="0.2">
      <c r="A1433" s="25"/>
      <c r="B1433" s="25"/>
      <c r="C1433" s="25"/>
      <c r="D1433" s="25"/>
      <c r="E1433" s="25"/>
      <c r="F1433" s="25"/>
      <c r="G1433" s="25"/>
      <c r="H1433" s="25"/>
      <c r="I1433" s="25"/>
      <c r="J1433" s="25"/>
      <c r="K1433" s="25"/>
      <c r="L1433" s="25"/>
    </row>
    <row r="1434" spans="1:12" s="189" customFormat="1" ht="5.25" customHeight="1" x14ac:dyDescent="0.2">
      <c r="A1434" s="25"/>
      <c r="B1434" s="25"/>
      <c r="C1434" s="25"/>
      <c r="D1434" s="25"/>
      <c r="E1434" s="25"/>
      <c r="F1434" s="25"/>
      <c r="G1434" s="25"/>
      <c r="H1434" s="25"/>
      <c r="I1434" s="25"/>
      <c r="J1434" s="25"/>
      <c r="K1434" s="25"/>
      <c r="L1434" s="25"/>
    </row>
    <row r="1435" spans="1:12" s="189" customFormat="1" ht="5.25" customHeight="1" x14ac:dyDescent="0.2">
      <c r="A1435" s="25"/>
      <c r="B1435" s="25"/>
      <c r="C1435" s="25"/>
      <c r="D1435" s="25"/>
      <c r="E1435" s="25"/>
      <c r="F1435" s="25"/>
      <c r="G1435" s="25"/>
      <c r="H1435" s="25"/>
      <c r="I1435" s="25"/>
      <c r="J1435" s="25"/>
      <c r="K1435" s="25"/>
      <c r="L1435" s="25"/>
    </row>
    <row r="1436" spans="1:12" s="189" customFormat="1" ht="5.25" customHeight="1" x14ac:dyDescent="0.2">
      <c r="A1436" s="25"/>
      <c r="B1436" s="25"/>
      <c r="C1436" s="25"/>
      <c r="D1436" s="25"/>
      <c r="E1436" s="25"/>
      <c r="F1436" s="25"/>
      <c r="G1436" s="25"/>
      <c r="H1436" s="25"/>
      <c r="I1436" s="25"/>
      <c r="J1436" s="25"/>
      <c r="K1436" s="25"/>
      <c r="L1436" s="25"/>
    </row>
    <row r="1437" spans="1:12" s="189" customFormat="1" ht="5.25" customHeight="1" x14ac:dyDescent="0.2">
      <c r="A1437" s="25"/>
      <c r="B1437" s="25"/>
      <c r="C1437" s="25"/>
      <c r="D1437" s="25"/>
      <c r="E1437" s="25"/>
      <c r="F1437" s="25"/>
      <c r="G1437" s="25"/>
      <c r="H1437" s="25"/>
      <c r="I1437" s="25"/>
      <c r="J1437" s="25"/>
      <c r="K1437" s="25"/>
      <c r="L1437" s="25"/>
    </row>
    <row r="1438" spans="1:12" s="189" customFormat="1" ht="5.25" customHeight="1" x14ac:dyDescent="0.2">
      <c r="A1438" s="25"/>
      <c r="B1438" s="25"/>
      <c r="C1438" s="25"/>
      <c r="D1438" s="25"/>
      <c r="E1438" s="25"/>
      <c r="F1438" s="25"/>
      <c r="G1438" s="25"/>
      <c r="H1438" s="25"/>
      <c r="I1438" s="25"/>
      <c r="J1438" s="25"/>
      <c r="K1438" s="25"/>
      <c r="L1438" s="25"/>
    </row>
    <row r="1439" spans="1:12" s="189" customFormat="1" ht="5.25" customHeight="1" x14ac:dyDescent="0.2">
      <c r="A1439" s="25"/>
      <c r="B1439" s="25"/>
      <c r="C1439" s="25"/>
      <c r="D1439" s="25"/>
      <c r="E1439" s="25"/>
      <c r="F1439" s="25"/>
      <c r="G1439" s="25"/>
      <c r="H1439" s="25"/>
      <c r="I1439" s="25"/>
      <c r="J1439" s="25"/>
      <c r="K1439" s="25"/>
      <c r="L1439" s="25"/>
    </row>
    <row r="1440" spans="1:12" s="189" customFormat="1" ht="5.25" customHeight="1" x14ac:dyDescent="0.2">
      <c r="A1440" s="25"/>
      <c r="B1440" s="25"/>
      <c r="C1440" s="25"/>
      <c r="D1440" s="25"/>
      <c r="E1440" s="25"/>
      <c r="F1440" s="25"/>
      <c r="G1440" s="25"/>
      <c r="H1440" s="25"/>
      <c r="I1440" s="25"/>
      <c r="J1440" s="25"/>
      <c r="K1440" s="25"/>
      <c r="L1440" s="25"/>
    </row>
    <row r="1441" spans="1:12" s="189" customFormat="1" ht="5.25" customHeight="1" x14ac:dyDescent="0.2">
      <c r="A1441" s="25"/>
      <c r="B1441" s="25"/>
      <c r="C1441" s="25"/>
      <c r="D1441" s="25"/>
      <c r="E1441" s="25"/>
      <c r="F1441" s="25"/>
      <c r="G1441" s="25"/>
      <c r="H1441" s="25"/>
      <c r="I1441" s="25"/>
      <c r="J1441" s="25"/>
      <c r="K1441" s="25"/>
      <c r="L1441" s="25"/>
    </row>
    <row r="1442" spans="1:12" s="189" customFormat="1" ht="5.25" customHeight="1" x14ac:dyDescent="0.2">
      <c r="A1442" s="25"/>
      <c r="B1442" s="25"/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</row>
    <row r="1443" spans="1:12" s="189" customFormat="1" ht="5.25" customHeight="1" x14ac:dyDescent="0.2">
      <c r="A1443" s="25"/>
      <c r="B1443" s="25"/>
      <c r="C1443" s="25"/>
      <c r="D1443" s="25"/>
      <c r="E1443" s="25"/>
      <c r="F1443" s="25"/>
      <c r="G1443" s="25"/>
      <c r="H1443" s="25"/>
      <c r="I1443" s="25"/>
      <c r="J1443" s="25"/>
      <c r="K1443" s="25"/>
      <c r="L1443" s="25"/>
    </row>
    <row r="1444" spans="1:12" s="189" customFormat="1" ht="5.25" customHeight="1" x14ac:dyDescent="0.2">
      <c r="A1444" s="25"/>
      <c r="B1444" s="25"/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</row>
    <row r="1445" spans="1:12" s="189" customFormat="1" ht="5.25" customHeight="1" x14ac:dyDescent="0.2">
      <c r="A1445" s="25"/>
      <c r="B1445" s="25"/>
      <c r="C1445" s="25"/>
      <c r="D1445" s="25"/>
      <c r="E1445" s="25"/>
      <c r="F1445" s="25"/>
      <c r="G1445" s="25"/>
      <c r="H1445" s="25"/>
      <c r="I1445" s="25"/>
      <c r="J1445" s="25"/>
      <c r="K1445" s="25"/>
      <c r="L1445" s="25"/>
    </row>
    <row r="1446" spans="1:12" s="189" customFormat="1" ht="5.25" customHeight="1" x14ac:dyDescent="0.2">
      <c r="A1446" s="25"/>
      <c r="B1446" s="25"/>
      <c r="C1446" s="25"/>
      <c r="D1446" s="25"/>
      <c r="E1446" s="25"/>
      <c r="F1446" s="25"/>
      <c r="G1446" s="25"/>
      <c r="H1446" s="25"/>
      <c r="I1446" s="25"/>
      <c r="J1446" s="25"/>
      <c r="K1446" s="25"/>
      <c r="L1446" s="25"/>
    </row>
    <row r="1447" spans="1:12" s="189" customFormat="1" ht="5.25" customHeight="1" x14ac:dyDescent="0.2">
      <c r="A1447" s="25"/>
      <c r="B1447" s="25"/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</row>
    <row r="1448" spans="1:12" s="189" customFormat="1" ht="5.25" customHeight="1" x14ac:dyDescent="0.2">
      <c r="A1448" s="25"/>
      <c r="B1448" s="25"/>
      <c r="C1448" s="25"/>
      <c r="D1448" s="25"/>
      <c r="E1448" s="25"/>
      <c r="F1448" s="25"/>
      <c r="G1448" s="25"/>
      <c r="H1448" s="25"/>
      <c r="I1448" s="25"/>
      <c r="J1448" s="25"/>
      <c r="K1448" s="25"/>
      <c r="L1448" s="25"/>
    </row>
    <row r="1449" spans="1:12" s="189" customFormat="1" ht="5.25" customHeight="1" x14ac:dyDescent="0.2">
      <c r="A1449" s="25"/>
      <c r="B1449" s="25"/>
      <c r="C1449" s="25"/>
      <c r="D1449" s="25"/>
      <c r="E1449" s="25"/>
      <c r="F1449" s="25"/>
      <c r="G1449" s="25"/>
      <c r="H1449" s="25"/>
      <c r="I1449" s="25"/>
      <c r="J1449" s="25"/>
      <c r="K1449" s="25"/>
      <c r="L1449" s="25"/>
    </row>
    <row r="1450" spans="1:12" s="189" customFormat="1" ht="5.25" customHeight="1" x14ac:dyDescent="0.2">
      <c r="A1450" s="25"/>
      <c r="B1450" s="25"/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</row>
    <row r="1451" spans="1:12" s="189" customFormat="1" ht="5.25" customHeight="1" x14ac:dyDescent="0.2">
      <c r="A1451" s="25"/>
      <c r="B1451" s="25"/>
      <c r="C1451" s="25"/>
      <c r="D1451" s="25"/>
      <c r="E1451" s="25"/>
      <c r="F1451" s="25"/>
      <c r="G1451" s="25"/>
      <c r="H1451" s="25"/>
      <c r="I1451" s="25"/>
      <c r="J1451" s="25"/>
      <c r="K1451" s="25"/>
      <c r="L1451" s="25"/>
    </row>
    <row r="1452" spans="1:12" s="189" customFormat="1" ht="5.25" customHeight="1" x14ac:dyDescent="0.2">
      <c r="A1452" s="25"/>
      <c r="B1452" s="25"/>
      <c r="C1452" s="25"/>
      <c r="D1452" s="25"/>
      <c r="E1452" s="25"/>
      <c r="F1452" s="25"/>
      <c r="G1452" s="25"/>
      <c r="H1452" s="25"/>
      <c r="I1452" s="25"/>
      <c r="J1452" s="25"/>
      <c r="K1452" s="25"/>
      <c r="L1452" s="25"/>
    </row>
    <row r="1453" spans="1:12" s="189" customFormat="1" ht="5.25" customHeight="1" x14ac:dyDescent="0.2">
      <c r="A1453" s="25"/>
      <c r="B1453" s="25"/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</row>
    <row r="1454" spans="1:12" s="189" customFormat="1" ht="5.25" customHeight="1" x14ac:dyDescent="0.2">
      <c r="A1454" s="25"/>
      <c r="B1454" s="25"/>
      <c r="C1454" s="25"/>
      <c r="D1454" s="25"/>
      <c r="E1454" s="25"/>
      <c r="F1454" s="25"/>
      <c r="G1454" s="25"/>
      <c r="H1454" s="25"/>
      <c r="I1454" s="25"/>
      <c r="J1454" s="25"/>
      <c r="K1454" s="25"/>
      <c r="L1454" s="25"/>
    </row>
    <row r="1455" spans="1:12" s="189" customFormat="1" ht="5.25" customHeight="1" x14ac:dyDescent="0.2">
      <c r="A1455" s="25"/>
      <c r="B1455" s="25"/>
      <c r="C1455" s="25"/>
      <c r="D1455" s="25"/>
      <c r="E1455" s="25"/>
      <c r="F1455" s="25"/>
      <c r="G1455" s="25"/>
      <c r="H1455" s="25"/>
      <c r="I1455" s="25"/>
      <c r="J1455" s="25"/>
      <c r="K1455" s="25"/>
      <c r="L1455" s="25"/>
    </row>
    <row r="1456" spans="1:12" s="189" customFormat="1" ht="5.25" customHeight="1" x14ac:dyDescent="0.2">
      <c r="A1456" s="25"/>
      <c r="B1456" s="25"/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</row>
    <row r="1457" spans="1:12" s="189" customFormat="1" ht="5.25" customHeight="1" x14ac:dyDescent="0.2">
      <c r="A1457" s="25"/>
      <c r="B1457" s="25"/>
      <c r="C1457" s="25"/>
      <c r="D1457" s="25"/>
      <c r="E1457" s="25"/>
      <c r="F1457" s="25"/>
      <c r="G1457" s="25"/>
      <c r="H1457" s="25"/>
      <c r="I1457" s="25"/>
      <c r="J1457" s="25"/>
      <c r="K1457" s="25"/>
      <c r="L1457" s="25"/>
    </row>
    <row r="1458" spans="1:12" s="189" customFormat="1" ht="5.25" customHeight="1" x14ac:dyDescent="0.2">
      <c r="A1458" s="25"/>
      <c r="B1458" s="25"/>
      <c r="C1458" s="25"/>
      <c r="D1458" s="25"/>
      <c r="E1458" s="25"/>
      <c r="F1458" s="25"/>
      <c r="G1458" s="25"/>
      <c r="H1458" s="25"/>
      <c r="I1458" s="25"/>
      <c r="J1458" s="25"/>
      <c r="K1458" s="25"/>
      <c r="L1458" s="25"/>
    </row>
    <row r="1459" spans="1:12" s="189" customFormat="1" ht="5.25" customHeight="1" x14ac:dyDescent="0.2">
      <c r="A1459" s="25"/>
      <c r="B1459" s="25"/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</row>
    <row r="1460" spans="1:12" s="189" customFormat="1" ht="5.25" customHeight="1" x14ac:dyDescent="0.2">
      <c r="A1460" s="25"/>
      <c r="B1460" s="25"/>
      <c r="C1460" s="25"/>
      <c r="D1460" s="25"/>
      <c r="E1460" s="25"/>
      <c r="F1460" s="25"/>
      <c r="G1460" s="25"/>
      <c r="H1460" s="25"/>
      <c r="I1460" s="25"/>
      <c r="J1460" s="25"/>
      <c r="K1460" s="25"/>
      <c r="L1460" s="25"/>
    </row>
    <row r="1461" spans="1:12" s="189" customFormat="1" ht="5.25" customHeight="1" x14ac:dyDescent="0.2">
      <c r="A1461" s="25"/>
      <c r="B1461" s="25"/>
      <c r="C1461" s="25"/>
      <c r="D1461" s="25"/>
      <c r="E1461" s="25"/>
      <c r="F1461" s="25"/>
      <c r="G1461" s="25"/>
      <c r="H1461" s="25"/>
      <c r="I1461" s="25"/>
      <c r="J1461" s="25"/>
      <c r="K1461" s="25"/>
      <c r="L1461" s="25"/>
    </row>
    <row r="1462" spans="1:12" s="189" customFormat="1" ht="5.25" customHeight="1" x14ac:dyDescent="0.2">
      <c r="A1462" s="25"/>
      <c r="B1462" s="25"/>
      <c r="C1462" s="25"/>
      <c r="D1462" s="25"/>
      <c r="E1462" s="25"/>
      <c r="F1462" s="25"/>
      <c r="G1462" s="25"/>
      <c r="H1462" s="25"/>
      <c r="I1462" s="25"/>
      <c r="J1462" s="25"/>
      <c r="K1462" s="25"/>
      <c r="L1462" s="25"/>
    </row>
    <row r="1463" spans="1:12" s="189" customFormat="1" ht="5.25" customHeight="1" x14ac:dyDescent="0.2">
      <c r="A1463" s="25"/>
      <c r="B1463" s="25"/>
      <c r="C1463" s="25"/>
      <c r="D1463" s="25"/>
      <c r="E1463" s="25"/>
      <c r="F1463" s="25"/>
      <c r="G1463" s="25"/>
      <c r="H1463" s="25"/>
      <c r="I1463" s="25"/>
      <c r="J1463" s="25"/>
      <c r="K1463" s="25"/>
      <c r="L1463" s="25"/>
    </row>
    <row r="1464" spans="1:12" s="189" customFormat="1" ht="5.25" customHeight="1" x14ac:dyDescent="0.2">
      <c r="A1464" s="25"/>
      <c r="B1464" s="25"/>
      <c r="C1464" s="25"/>
      <c r="D1464" s="25"/>
      <c r="E1464" s="25"/>
      <c r="F1464" s="25"/>
      <c r="G1464" s="25"/>
      <c r="H1464" s="25"/>
      <c r="I1464" s="25"/>
      <c r="J1464" s="25"/>
      <c r="K1464" s="25"/>
      <c r="L1464" s="25"/>
    </row>
    <row r="1465" spans="1:12" s="189" customFormat="1" ht="5.25" customHeight="1" x14ac:dyDescent="0.2">
      <c r="A1465" s="25"/>
      <c r="B1465" s="25"/>
      <c r="C1465" s="25"/>
      <c r="D1465" s="25"/>
      <c r="E1465" s="25"/>
      <c r="F1465" s="25"/>
      <c r="G1465" s="25"/>
      <c r="H1465" s="25"/>
      <c r="I1465" s="25"/>
      <c r="J1465" s="25"/>
      <c r="K1465" s="25"/>
      <c r="L1465" s="25"/>
    </row>
    <row r="1466" spans="1:12" s="189" customFormat="1" ht="5.25" customHeight="1" x14ac:dyDescent="0.2">
      <c r="A1466" s="25"/>
      <c r="B1466" s="25"/>
      <c r="C1466" s="25"/>
      <c r="D1466" s="25"/>
      <c r="E1466" s="25"/>
      <c r="F1466" s="25"/>
      <c r="G1466" s="25"/>
      <c r="H1466" s="25"/>
      <c r="I1466" s="25"/>
      <c r="J1466" s="25"/>
      <c r="K1466" s="25"/>
      <c r="L1466" s="25"/>
    </row>
    <row r="1467" spans="1:12" s="189" customFormat="1" ht="5.25" customHeight="1" x14ac:dyDescent="0.2">
      <c r="A1467" s="25"/>
      <c r="B1467" s="25"/>
      <c r="C1467" s="25"/>
      <c r="D1467" s="25"/>
      <c r="E1467" s="25"/>
      <c r="F1467" s="25"/>
      <c r="G1467" s="25"/>
      <c r="H1467" s="25"/>
      <c r="I1467" s="25"/>
      <c r="J1467" s="25"/>
      <c r="K1467" s="25"/>
      <c r="L1467" s="25"/>
    </row>
    <row r="1468" spans="1:12" s="189" customFormat="1" ht="5.25" customHeight="1" x14ac:dyDescent="0.2">
      <c r="A1468" s="25"/>
      <c r="B1468" s="25"/>
      <c r="C1468" s="25"/>
      <c r="D1468" s="25"/>
      <c r="E1468" s="25"/>
      <c r="F1468" s="25"/>
      <c r="G1468" s="25"/>
      <c r="H1468" s="25"/>
      <c r="I1468" s="25"/>
      <c r="J1468" s="25"/>
      <c r="K1468" s="25"/>
      <c r="L1468" s="25"/>
    </row>
    <row r="1469" spans="1:12" s="189" customFormat="1" ht="5.25" customHeight="1" x14ac:dyDescent="0.2">
      <c r="A1469" s="25"/>
      <c r="B1469" s="25"/>
      <c r="C1469" s="25"/>
      <c r="D1469" s="25"/>
      <c r="E1469" s="25"/>
      <c r="F1469" s="25"/>
      <c r="G1469" s="25"/>
      <c r="H1469" s="25"/>
      <c r="I1469" s="25"/>
      <c r="J1469" s="25"/>
      <c r="K1469" s="25"/>
      <c r="L1469" s="25"/>
    </row>
    <row r="1470" spans="1:12" s="189" customFormat="1" ht="5.25" customHeight="1" x14ac:dyDescent="0.2">
      <c r="A1470" s="25"/>
      <c r="B1470" s="25"/>
      <c r="C1470" s="25"/>
      <c r="D1470" s="25"/>
      <c r="E1470" s="25"/>
      <c r="F1470" s="25"/>
      <c r="G1470" s="25"/>
      <c r="H1470" s="25"/>
      <c r="I1470" s="25"/>
      <c r="J1470" s="25"/>
      <c r="K1470" s="25"/>
      <c r="L1470" s="25"/>
    </row>
    <row r="1471" spans="1:12" s="189" customFormat="1" ht="5.25" customHeight="1" x14ac:dyDescent="0.2">
      <c r="A1471" s="25"/>
      <c r="B1471" s="25"/>
      <c r="C1471" s="25"/>
      <c r="D1471" s="25"/>
      <c r="E1471" s="25"/>
      <c r="F1471" s="25"/>
      <c r="G1471" s="25"/>
      <c r="H1471" s="25"/>
      <c r="I1471" s="25"/>
      <c r="J1471" s="25"/>
      <c r="K1471" s="25"/>
      <c r="L1471" s="25"/>
    </row>
    <row r="1472" spans="1:12" s="189" customFormat="1" ht="5.25" customHeight="1" x14ac:dyDescent="0.2">
      <c r="A1472" s="25"/>
      <c r="B1472" s="25"/>
      <c r="C1472" s="25"/>
      <c r="D1472" s="25"/>
      <c r="E1472" s="25"/>
      <c r="F1472" s="25"/>
      <c r="G1472" s="25"/>
      <c r="H1472" s="25"/>
      <c r="I1472" s="25"/>
      <c r="J1472" s="25"/>
      <c r="K1472" s="25"/>
      <c r="L1472" s="25"/>
    </row>
    <row r="1473" spans="1:12" s="189" customFormat="1" ht="5.25" customHeight="1" x14ac:dyDescent="0.2">
      <c r="A1473" s="25"/>
      <c r="B1473" s="25"/>
      <c r="C1473" s="25"/>
      <c r="D1473" s="25"/>
      <c r="E1473" s="25"/>
      <c r="F1473" s="25"/>
      <c r="G1473" s="25"/>
      <c r="H1473" s="25"/>
      <c r="I1473" s="25"/>
      <c r="J1473" s="25"/>
      <c r="K1473" s="25"/>
      <c r="L1473" s="25"/>
    </row>
    <row r="1474" spans="1:12" s="189" customFormat="1" ht="5.25" customHeight="1" x14ac:dyDescent="0.2">
      <c r="A1474" s="25"/>
      <c r="B1474" s="25"/>
      <c r="C1474" s="25"/>
      <c r="D1474" s="25"/>
      <c r="E1474" s="25"/>
      <c r="F1474" s="25"/>
      <c r="G1474" s="25"/>
      <c r="H1474" s="25"/>
      <c r="I1474" s="25"/>
      <c r="J1474" s="25"/>
      <c r="K1474" s="25"/>
      <c r="L1474" s="25"/>
    </row>
    <row r="1475" spans="1:12" s="189" customFormat="1" ht="5.25" customHeight="1" x14ac:dyDescent="0.2">
      <c r="A1475" s="25"/>
      <c r="B1475" s="25"/>
      <c r="C1475" s="25"/>
      <c r="D1475" s="25"/>
      <c r="E1475" s="25"/>
      <c r="F1475" s="25"/>
      <c r="G1475" s="25"/>
      <c r="H1475" s="25"/>
      <c r="I1475" s="25"/>
      <c r="J1475" s="25"/>
      <c r="K1475" s="25"/>
      <c r="L1475" s="25"/>
    </row>
    <row r="1476" spans="1:12" s="189" customFormat="1" ht="5.25" customHeight="1" x14ac:dyDescent="0.2">
      <c r="A1476" s="25"/>
      <c r="B1476" s="25"/>
      <c r="C1476" s="25"/>
      <c r="D1476" s="25"/>
      <c r="E1476" s="25"/>
      <c r="F1476" s="25"/>
      <c r="G1476" s="25"/>
      <c r="H1476" s="25"/>
      <c r="I1476" s="25"/>
      <c r="J1476" s="25"/>
      <c r="K1476" s="25"/>
      <c r="L1476" s="25"/>
    </row>
    <row r="1477" spans="1:12" s="189" customFormat="1" ht="5.25" customHeight="1" x14ac:dyDescent="0.2">
      <c r="A1477" s="25"/>
      <c r="B1477" s="25"/>
      <c r="C1477" s="25"/>
      <c r="D1477" s="25"/>
      <c r="E1477" s="25"/>
      <c r="F1477" s="25"/>
      <c r="G1477" s="25"/>
      <c r="H1477" s="25"/>
      <c r="I1477" s="25"/>
      <c r="J1477" s="25"/>
      <c r="K1477" s="25"/>
      <c r="L1477" s="25"/>
    </row>
    <row r="1478" spans="1:12" s="189" customFormat="1" ht="5.25" customHeight="1" x14ac:dyDescent="0.2">
      <c r="A1478" s="25"/>
      <c r="B1478" s="25"/>
      <c r="C1478" s="25"/>
      <c r="D1478" s="25"/>
      <c r="E1478" s="25"/>
      <c r="F1478" s="25"/>
      <c r="G1478" s="25"/>
      <c r="H1478" s="25"/>
      <c r="I1478" s="25"/>
      <c r="J1478" s="25"/>
      <c r="K1478" s="25"/>
      <c r="L1478" s="25"/>
    </row>
    <row r="1479" spans="1:12" s="189" customFormat="1" ht="5.25" customHeight="1" x14ac:dyDescent="0.2">
      <c r="A1479" s="25"/>
      <c r="B1479" s="25"/>
      <c r="C1479" s="25"/>
      <c r="D1479" s="25"/>
      <c r="E1479" s="25"/>
      <c r="F1479" s="25"/>
      <c r="G1479" s="25"/>
      <c r="H1479" s="25"/>
      <c r="I1479" s="25"/>
      <c r="J1479" s="25"/>
      <c r="K1479" s="25"/>
      <c r="L1479" s="25"/>
    </row>
    <row r="1480" spans="1:12" s="189" customFormat="1" ht="5.25" customHeight="1" x14ac:dyDescent="0.2">
      <c r="A1480" s="25"/>
      <c r="B1480" s="25"/>
      <c r="C1480" s="25"/>
      <c r="D1480" s="25"/>
      <c r="E1480" s="25"/>
      <c r="F1480" s="25"/>
      <c r="G1480" s="25"/>
      <c r="H1480" s="25"/>
      <c r="I1480" s="25"/>
      <c r="J1480" s="25"/>
      <c r="K1480" s="25"/>
      <c r="L1480" s="25"/>
    </row>
    <row r="1481" spans="1:12" s="189" customFormat="1" ht="5.25" customHeight="1" x14ac:dyDescent="0.2">
      <c r="A1481" s="25"/>
      <c r="B1481" s="25"/>
      <c r="C1481" s="25"/>
      <c r="D1481" s="25"/>
      <c r="E1481" s="25"/>
      <c r="F1481" s="25"/>
      <c r="G1481" s="25"/>
      <c r="H1481" s="25"/>
      <c r="I1481" s="25"/>
      <c r="J1481" s="25"/>
      <c r="K1481" s="25"/>
      <c r="L1481" s="25"/>
    </row>
    <row r="1482" spans="1:12" s="189" customFormat="1" ht="5.25" customHeight="1" x14ac:dyDescent="0.2">
      <c r="A1482" s="25"/>
      <c r="B1482" s="25"/>
      <c r="C1482" s="25"/>
      <c r="D1482" s="25"/>
      <c r="E1482" s="25"/>
      <c r="F1482" s="25"/>
      <c r="G1482" s="25"/>
      <c r="H1482" s="25"/>
      <c r="I1482" s="25"/>
      <c r="J1482" s="25"/>
      <c r="K1482" s="25"/>
      <c r="L1482" s="25"/>
    </row>
    <row r="1483" spans="1:12" s="189" customFormat="1" ht="5.25" customHeight="1" x14ac:dyDescent="0.2">
      <c r="A1483" s="25"/>
      <c r="B1483" s="25"/>
      <c r="C1483" s="25"/>
      <c r="D1483" s="25"/>
      <c r="E1483" s="25"/>
      <c r="F1483" s="25"/>
      <c r="G1483" s="25"/>
      <c r="H1483" s="25"/>
      <c r="I1483" s="25"/>
      <c r="J1483" s="25"/>
      <c r="K1483" s="25"/>
      <c r="L1483" s="25"/>
    </row>
    <row r="1484" spans="1:12" s="189" customFormat="1" ht="5.25" customHeight="1" x14ac:dyDescent="0.2">
      <c r="A1484" s="25"/>
      <c r="B1484" s="25"/>
      <c r="C1484" s="25"/>
      <c r="D1484" s="25"/>
      <c r="E1484" s="25"/>
      <c r="F1484" s="25"/>
      <c r="G1484" s="25"/>
      <c r="H1484" s="25"/>
      <c r="I1484" s="25"/>
      <c r="J1484" s="25"/>
      <c r="K1484" s="25"/>
      <c r="L1484" s="25"/>
    </row>
    <row r="1485" spans="1:12" s="189" customFormat="1" ht="5.25" customHeight="1" x14ac:dyDescent="0.2">
      <c r="A1485" s="25"/>
      <c r="B1485" s="25"/>
      <c r="C1485" s="25"/>
      <c r="D1485" s="25"/>
      <c r="E1485" s="25"/>
      <c r="F1485" s="25"/>
      <c r="G1485" s="25"/>
      <c r="H1485" s="25"/>
      <c r="I1485" s="25"/>
      <c r="J1485" s="25"/>
      <c r="K1485" s="25"/>
      <c r="L1485" s="25"/>
    </row>
    <row r="1486" spans="1:12" s="189" customFormat="1" ht="5.25" customHeight="1" x14ac:dyDescent="0.2">
      <c r="A1486" s="25"/>
      <c r="B1486" s="25"/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</row>
    <row r="1487" spans="1:12" s="189" customFormat="1" ht="5.25" customHeight="1" x14ac:dyDescent="0.2">
      <c r="A1487" s="25"/>
      <c r="B1487" s="25"/>
      <c r="C1487" s="25"/>
      <c r="D1487" s="25"/>
      <c r="E1487" s="25"/>
      <c r="F1487" s="25"/>
      <c r="G1487" s="25"/>
      <c r="H1487" s="25"/>
      <c r="I1487" s="25"/>
      <c r="J1487" s="25"/>
      <c r="K1487" s="25"/>
      <c r="L1487" s="25"/>
    </row>
    <row r="1488" spans="1:12" s="189" customFormat="1" ht="5.25" customHeight="1" x14ac:dyDescent="0.2">
      <c r="A1488" s="25"/>
      <c r="B1488" s="25"/>
      <c r="C1488" s="25"/>
      <c r="D1488" s="25"/>
      <c r="E1488" s="25"/>
      <c r="F1488" s="25"/>
      <c r="G1488" s="25"/>
      <c r="H1488" s="25"/>
      <c r="I1488" s="25"/>
      <c r="J1488" s="25"/>
      <c r="K1488" s="25"/>
      <c r="L1488" s="25"/>
    </row>
    <row r="1489" spans="1:12" s="189" customFormat="1" ht="5.25" customHeight="1" x14ac:dyDescent="0.2">
      <c r="A1489" s="25"/>
      <c r="B1489" s="25"/>
      <c r="C1489" s="25"/>
      <c r="D1489" s="25"/>
      <c r="E1489" s="25"/>
      <c r="F1489" s="25"/>
      <c r="G1489" s="25"/>
      <c r="H1489" s="25"/>
      <c r="I1489" s="25"/>
      <c r="J1489" s="25"/>
      <c r="K1489" s="25"/>
      <c r="L1489" s="25"/>
    </row>
    <row r="1490" spans="1:12" s="189" customFormat="1" ht="5.25" customHeight="1" x14ac:dyDescent="0.2">
      <c r="A1490" s="25"/>
      <c r="B1490" s="25"/>
      <c r="C1490" s="25"/>
      <c r="D1490" s="25"/>
      <c r="E1490" s="25"/>
      <c r="F1490" s="25"/>
      <c r="G1490" s="25"/>
      <c r="H1490" s="25"/>
      <c r="I1490" s="25"/>
      <c r="J1490" s="25"/>
      <c r="K1490" s="25"/>
      <c r="L1490" s="25"/>
    </row>
    <row r="1491" spans="1:12" s="189" customFormat="1" ht="5.25" customHeight="1" x14ac:dyDescent="0.2">
      <c r="A1491" s="25"/>
      <c r="B1491" s="25"/>
      <c r="C1491" s="25"/>
      <c r="D1491" s="25"/>
      <c r="E1491" s="25"/>
      <c r="F1491" s="25"/>
      <c r="G1491" s="25"/>
      <c r="H1491" s="25"/>
      <c r="I1491" s="25"/>
      <c r="J1491" s="25"/>
      <c r="K1491" s="25"/>
      <c r="L1491" s="25"/>
    </row>
    <row r="1492" spans="1:12" s="189" customFormat="1" ht="5.25" customHeight="1" x14ac:dyDescent="0.2">
      <c r="A1492" s="25"/>
      <c r="B1492" s="25"/>
      <c r="C1492" s="25"/>
      <c r="D1492" s="25"/>
      <c r="E1492" s="25"/>
      <c r="F1492" s="25"/>
      <c r="G1492" s="25"/>
      <c r="H1492" s="25"/>
      <c r="I1492" s="25"/>
      <c r="J1492" s="25"/>
      <c r="K1492" s="25"/>
      <c r="L1492" s="25"/>
    </row>
    <row r="1493" spans="1:12" s="189" customFormat="1" ht="5.25" customHeight="1" x14ac:dyDescent="0.2">
      <c r="A1493" s="25"/>
      <c r="B1493" s="25"/>
      <c r="C1493" s="25"/>
      <c r="D1493" s="25"/>
      <c r="E1493" s="25"/>
      <c r="F1493" s="25"/>
      <c r="G1493" s="25"/>
      <c r="H1493" s="25"/>
      <c r="I1493" s="25"/>
      <c r="J1493" s="25"/>
      <c r="K1493" s="25"/>
      <c r="L1493" s="25"/>
    </row>
    <row r="1494" spans="1:12" s="189" customFormat="1" ht="5.25" customHeight="1" x14ac:dyDescent="0.2">
      <c r="A1494" s="25"/>
      <c r="B1494" s="25"/>
      <c r="C1494" s="25"/>
      <c r="D1494" s="25"/>
      <c r="E1494" s="25"/>
      <c r="F1494" s="25"/>
      <c r="G1494" s="25"/>
      <c r="H1494" s="25"/>
      <c r="I1494" s="25"/>
      <c r="J1494" s="25"/>
      <c r="K1494" s="25"/>
      <c r="L1494" s="25"/>
    </row>
    <row r="1495" spans="1:12" s="189" customFormat="1" ht="5.25" customHeight="1" x14ac:dyDescent="0.2">
      <c r="A1495" s="25"/>
      <c r="B1495" s="25"/>
      <c r="C1495" s="25"/>
      <c r="D1495" s="25"/>
      <c r="E1495" s="25"/>
      <c r="F1495" s="25"/>
      <c r="G1495" s="25"/>
      <c r="H1495" s="25"/>
      <c r="I1495" s="25"/>
      <c r="J1495" s="25"/>
      <c r="K1495" s="25"/>
      <c r="L1495" s="25"/>
    </row>
    <row r="1496" spans="1:12" s="189" customFormat="1" ht="5.25" customHeight="1" x14ac:dyDescent="0.2">
      <c r="A1496" s="25"/>
      <c r="B1496" s="25"/>
      <c r="C1496" s="25"/>
      <c r="D1496" s="25"/>
      <c r="E1496" s="25"/>
      <c r="F1496" s="25"/>
      <c r="G1496" s="25"/>
      <c r="H1496" s="25"/>
      <c r="I1496" s="25"/>
      <c r="J1496" s="25"/>
      <c r="K1496" s="25"/>
      <c r="L1496" s="25"/>
    </row>
    <row r="1497" spans="1:12" s="189" customFormat="1" ht="5.25" customHeight="1" x14ac:dyDescent="0.2">
      <c r="A1497" s="25"/>
      <c r="B1497" s="25"/>
      <c r="C1497" s="25"/>
      <c r="D1497" s="25"/>
      <c r="E1497" s="25"/>
      <c r="F1497" s="25"/>
      <c r="G1497" s="25"/>
      <c r="H1497" s="25"/>
      <c r="I1497" s="25"/>
      <c r="J1497" s="25"/>
      <c r="K1497" s="25"/>
      <c r="L1497" s="25"/>
    </row>
    <row r="1498" spans="1:12" s="189" customFormat="1" ht="5.25" customHeight="1" x14ac:dyDescent="0.2">
      <c r="A1498" s="25"/>
      <c r="B1498" s="25"/>
      <c r="C1498" s="25"/>
      <c r="D1498" s="25"/>
      <c r="E1498" s="25"/>
      <c r="F1498" s="25"/>
      <c r="G1498" s="25"/>
      <c r="H1498" s="25"/>
      <c r="I1498" s="25"/>
      <c r="J1498" s="25"/>
      <c r="K1498" s="25"/>
      <c r="L1498" s="25"/>
    </row>
    <row r="1499" spans="1:12" s="189" customFormat="1" ht="5.25" customHeight="1" x14ac:dyDescent="0.2">
      <c r="A1499" s="25"/>
      <c r="B1499" s="25"/>
      <c r="C1499" s="25"/>
      <c r="D1499" s="25"/>
      <c r="E1499" s="25"/>
      <c r="F1499" s="25"/>
      <c r="G1499" s="25"/>
      <c r="H1499" s="25"/>
      <c r="I1499" s="25"/>
      <c r="J1499" s="25"/>
      <c r="K1499" s="25"/>
      <c r="L1499" s="25"/>
    </row>
    <row r="1500" spans="1:12" s="189" customFormat="1" ht="5.25" customHeight="1" x14ac:dyDescent="0.2">
      <c r="A1500" s="25"/>
      <c r="B1500" s="25"/>
      <c r="C1500" s="25"/>
      <c r="D1500" s="25"/>
      <c r="E1500" s="25"/>
      <c r="F1500" s="25"/>
      <c r="G1500" s="25"/>
      <c r="H1500" s="25"/>
      <c r="I1500" s="25"/>
      <c r="J1500" s="25"/>
      <c r="K1500" s="25"/>
      <c r="L1500" s="25"/>
    </row>
    <row r="1501" spans="1:12" s="189" customFormat="1" ht="5.25" customHeight="1" x14ac:dyDescent="0.2">
      <c r="A1501" s="25"/>
      <c r="B1501" s="25"/>
      <c r="C1501" s="25"/>
      <c r="D1501" s="25"/>
      <c r="E1501" s="25"/>
      <c r="F1501" s="25"/>
      <c r="G1501" s="25"/>
      <c r="H1501" s="25"/>
      <c r="I1501" s="25"/>
      <c r="J1501" s="25"/>
      <c r="K1501" s="25"/>
      <c r="L1501" s="25"/>
    </row>
    <row r="1502" spans="1:12" s="189" customFormat="1" ht="5.25" customHeight="1" x14ac:dyDescent="0.2">
      <c r="A1502" s="25"/>
      <c r="B1502" s="25"/>
      <c r="C1502" s="25"/>
      <c r="D1502" s="25"/>
      <c r="E1502" s="25"/>
      <c r="F1502" s="25"/>
      <c r="G1502" s="25"/>
      <c r="H1502" s="25"/>
      <c r="I1502" s="25"/>
      <c r="J1502" s="25"/>
      <c r="K1502" s="25"/>
      <c r="L1502" s="25"/>
    </row>
    <row r="1503" spans="1:12" s="189" customFormat="1" ht="5.25" customHeight="1" x14ac:dyDescent="0.2">
      <c r="A1503" s="25"/>
      <c r="B1503" s="25"/>
      <c r="C1503" s="25"/>
      <c r="D1503" s="25"/>
      <c r="E1503" s="25"/>
      <c r="F1503" s="25"/>
      <c r="G1503" s="25"/>
      <c r="H1503" s="25"/>
      <c r="I1503" s="25"/>
      <c r="J1503" s="25"/>
      <c r="K1503" s="25"/>
      <c r="L1503" s="25"/>
    </row>
    <row r="1504" spans="1:12" s="189" customFormat="1" ht="5.25" customHeight="1" x14ac:dyDescent="0.2">
      <c r="A1504" s="25"/>
      <c r="B1504" s="25"/>
      <c r="C1504" s="25"/>
      <c r="D1504" s="25"/>
      <c r="E1504" s="25"/>
      <c r="F1504" s="25"/>
      <c r="G1504" s="25"/>
      <c r="H1504" s="25"/>
      <c r="I1504" s="25"/>
      <c r="J1504" s="25"/>
      <c r="K1504" s="25"/>
      <c r="L1504" s="25"/>
    </row>
    <row r="1505" spans="1:12" s="189" customFormat="1" ht="5.25" customHeight="1" x14ac:dyDescent="0.2">
      <c r="A1505" s="25"/>
      <c r="B1505" s="25"/>
      <c r="C1505" s="25"/>
      <c r="D1505" s="25"/>
      <c r="E1505" s="25"/>
      <c r="F1505" s="25"/>
      <c r="G1505" s="25"/>
      <c r="H1505" s="25"/>
      <c r="I1505" s="25"/>
      <c r="J1505" s="25"/>
      <c r="K1505" s="25"/>
      <c r="L1505" s="25"/>
    </row>
    <row r="1506" spans="1:12" s="189" customFormat="1" ht="5.25" customHeight="1" x14ac:dyDescent="0.2">
      <c r="A1506" s="25"/>
      <c r="B1506" s="25"/>
      <c r="C1506" s="25"/>
      <c r="D1506" s="25"/>
      <c r="E1506" s="25"/>
      <c r="F1506" s="25"/>
      <c r="G1506" s="25"/>
      <c r="H1506" s="25"/>
      <c r="I1506" s="25"/>
      <c r="J1506" s="25"/>
      <c r="K1506" s="25"/>
      <c r="L1506" s="25"/>
    </row>
    <row r="1507" spans="1:12" s="189" customFormat="1" ht="5.25" customHeight="1" x14ac:dyDescent="0.2">
      <c r="A1507" s="25"/>
      <c r="B1507" s="25"/>
      <c r="C1507" s="25"/>
      <c r="D1507" s="25"/>
      <c r="E1507" s="25"/>
      <c r="F1507" s="25"/>
      <c r="G1507" s="25"/>
      <c r="H1507" s="25"/>
      <c r="I1507" s="25"/>
      <c r="J1507" s="25"/>
      <c r="K1507" s="25"/>
      <c r="L1507" s="25"/>
    </row>
    <row r="1508" spans="1:12" s="189" customFormat="1" ht="5.25" customHeight="1" x14ac:dyDescent="0.2">
      <c r="A1508" s="25"/>
      <c r="B1508" s="25"/>
      <c r="C1508" s="25"/>
      <c r="D1508" s="25"/>
      <c r="E1508" s="25"/>
      <c r="F1508" s="25"/>
      <c r="G1508" s="25"/>
      <c r="H1508" s="25"/>
      <c r="I1508" s="25"/>
      <c r="J1508" s="25"/>
      <c r="K1508" s="25"/>
      <c r="L1508" s="25"/>
    </row>
    <row r="1509" spans="1:12" s="189" customFormat="1" ht="5.25" customHeight="1" x14ac:dyDescent="0.2">
      <c r="A1509" s="25"/>
      <c r="B1509" s="25"/>
      <c r="C1509" s="25"/>
      <c r="D1509" s="25"/>
      <c r="E1509" s="25"/>
      <c r="F1509" s="25"/>
      <c r="G1509" s="25"/>
      <c r="H1509" s="25"/>
      <c r="I1509" s="25"/>
      <c r="J1509" s="25"/>
      <c r="K1509" s="25"/>
      <c r="L1509" s="25"/>
    </row>
    <row r="1510" spans="1:12" s="189" customFormat="1" ht="5.25" customHeight="1" x14ac:dyDescent="0.2">
      <c r="A1510" s="25"/>
      <c r="B1510" s="25"/>
      <c r="C1510" s="25"/>
      <c r="D1510" s="25"/>
      <c r="E1510" s="25"/>
      <c r="F1510" s="25"/>
      <c r="G1510" s="25"/>
      <c r="H1510" s="25"/>
      <c r="I1510" s="25"/>
      <c r="J1510" s="25"/>
      <c r="K1510" s="25"/>
      <c r="L1510" s="25"/>
    </row>
    <row r="1511" spans="1:12" s="189" customFormat="1" ht="5.25" customHeight="1" x14ac:dyDescent="0.2">
      <c r="A1511" s="25"/>
      <c r="B1511" s="25"/>
      <c r="C1511" s="25"/>
      <c r="D1511" s="25"/>
      <c r="E1511" s="25"/>
      <c r="F1511" s="25"/>
      <c r="G1511" s="25"/>
      <c r="H1511" s="25"/>
      <c r="I1511" s="25"/>
      <c r="J1511" s="25"/>
      <c r="K1511" s="25"/>
      <c r="L1511" s="25"/>
    </row>
    <row r="1512" spans="1:12" s="189" customFormat="1" ht="5.25" customHeight="1" x14ac:dyDescent="0.2">
      <c r="A1512" s="25"/>
      <c r="B1512" s="25"/>
      <c r="C1512" s="25"/>
      <c r="D1512" s="25"/>
      <c r="E1512" s="25"/>
      <c r="F1512" s="25"/>
      <c r="G1512" s="25"/>
      <c r="H1512" s="25"/>
      <c r="I1512" s="25"/>
      <c r="J1512" s="25"/>
      <c r="K1512" s="25"/>
      <c r="L1512" s="25"/>
    </row>
    <row r="1513" spans="1:12" s="189" customFormat="1" ht="5.25" customHeight="1" x14ac:dyDescent="0.2">
      <c r="A1513" s="25"/>
      <c r="B1513" s="25"/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</row>
    <row r="1514" spans="1:12" s="189" customFormat="1" ht="5.25" customHeight="1" x14ac:dyDescent="0.2">
      <c r="A1514" s="25"/>
      <c r="B1514" s="25"/>
      <c r="C1514" s="25"/>
      <c r="D1514" s="25"/>
      <c r="E1514" s="25"/>
      <c r="F1514" s="25"/>
      <c r="G1514" s="25"/>
      <c r="H1514" s="25"/>
      <c r="I1514" s="25"/>
      <c r="J1514" s="25"/>
      <c r="K1514" s="25"/>
      <c r="L1514" s="25"/>
    </row>
    <row r="1515" spans="1:12" s="189" customFormat="1" ht="5.25" customHeight="1" x14ac:dyDescent="0.2">
      <c r="A1515" s="25"/>
      <c r="B1515" s="25"/>
      <c r="C1515" s="25"/>
      <c r="D1515" s="25"/>
      <c r="E1515" s="25"/>
      <c r="F1515" s="25"/>
      <c r="G1515" s="25"/>
      <c r="H1515" s="25"/>
      <c r="I1515" s="25"/>
      <c r="J1515" s="25"/>
      <c r="K1515" s="25"/>
      <c r="L1515" s="25"/>
    </row>
    <row r="1516" spans="1:12" s="189" customFormat="1" ht="5.25" customHeight="1" x14ac:dyDescent="0.2">
      <c r="A1516" s="25"/>
      <c r="B1516" s="25"/>
      <c r="C1516" s="25"/>
      <c r="D1516" s="25"/>
      <c r="E1516" s="25"/>
      <c r="F1516" s="25"/>
      <c r="G1516" s="25"/>
      <c r="H1516" s="25"/>
      <c r="I1516" s="25"/>
      <c r="J1516" s="25"/>
      <c r="K1516" s="25"/>
      <c r="L1516" s="25"/>
    </row>
    <row r="1517" spans="1:12" s="189" customFormat="1" ht="5.25" customHeight="1" x14ac:dyDescent="0.2">
      <c r="A1517" s="25"/>
      <c r="B1517" s="25"/>
      <c r="C1517" s="25"/>
      <c r="D1517" s="25"/>
      <c r="E1517" s="25"/>
      <c r="F1517" s="25"/>
      <c r="G1517" s="25"/>
      <c r="H1517" s="25"/>
      <c r="I1517" s="25"/>
      <c r="J1517" s="25"/>
      <c r="K1517" s="25"/>
      <c r="L1517" s="25"/>
    </row>
    <row r="1518" spans="1:12" s="189" customFormat="1" ht="5.25" customHeight="1" x14ac:dyDescent="0.2">
      <c r="A1518" s="25"/>
      <c r="B1518" s="25"/>
      <c r="C1518" s="25"/>
      <c r="D1518" s="25"/>
      <c r="E1518" s="25"/>
      <c r="F1518" s="25"/>
      <c r="G1518" s="25"/>
      <c r="H1518" s="25"/>
      <c r="I1518" s="25"/>
      <c r="J1518" s="25"/>
      <c r="K1518" s="25"/>
      <c r="L1518" s="25"/>
    </row>
    <row r="1519" spans="1:12" s="189" customFormat="1" ht="5.25" customHeight="1" x14ac:dyDescent="0.2">
      <c r="A1519" s="25"/>
      <c r="B1519" s="25"/>
      <c r="C1519" s="25"/>
      <c r="D1519" s="25"/>
      <c r="E1519" s="25"/>
      <c r="F1519" s="25"/>
      <c r="G1519" s="25"/>
      <c r="H1519" s="25"/>
      <c r="I1519" s="25"/>
      <c r="J1519" s="25"/>
      <c r="K1519" s="25"/>
      <c r="L1519" s="25"/>
    </row>
    <row r="1520" spans="1:12" s="189" customFormat="1" ht="5.25" customHeight="1" x14ac:dyDescent="0.2">
      <c r="A1520" s="25"/>
      <c r="B1520" s="25"/>
      <c r="C1520" s="25"/>
      <c r="D1520" s="25"/>
      <c r="E1520" s="25"/>
      <c r="F1520" s="25"/>
      <c r="G1520" s="25"/>
      <c r="H1520" s="25"/>
      <c r="I1520" s="25"/>
      <c r="J1520" s="25"/>
      <c r="K1520" s="25"/>
      <c r="L1520" s="25"/>
    </row>
    <row r="1521" spans="1:12" s="189" customFormat="1" ht="5.25" customHeight="1" x14ac:dyDescent="0.2">
      <c r="A1521" s="25"/>
      <c r="B1521" s="25"/>
      <c r="C1521" s="25"/>
      <c r="D1521" s="25"/>
      <c r="E1521" s="25"/>
      <c r="F1521" s="25"/>
      <c r="G1521" s="25"/>
      <c r="H1521" s="25"/>
      <c r="I1521" s="25"/>
      <c r="J1521" s="25"/>
      <c r="K1521" s="25"/>
      <c r="L1521" s="25"/>
    </row>
    <row r="1522" spans="1:12" s="189" customFormat="1" ht="5.25" customHeight="1" x14ac:dyDescent="0.2">
      <c r="A1522" s="25"/>
      <c r="B1522" s="25"/>
      <c r="C1522" s="25"/>
      <c r="D1522" s="25"/>
      <c r="E1522" s="25"/>
      <c r="F1522" s="25"/>
      <c r="G1522" s="25"/>
      <c r="H1522" s="25"/>
      <c r="I1522" s="25"/>
      <c r="J1522" s="25"/>
      <c r="K1522" s="25"/>
      <c r="L1522" s="25"/>
    </row>
    <row r="1523" spans="1:12" s="189" customFormat="1" ht="5.25" customHeight="1" x14ac:dyDescent="0.2">
      <c r="A1523" s="25"/>
      <c r="B1523" s="25"/>
      <c r="C1523" s="25"/>
      <c r="D1523" s="25"/>
      <c r="E1523" s="25"/>
      <c r="F1523" s="25"/>
      <c r="G1523" s="25"/>
      <c r="H1523" s="25"/>
      <c r="I1523" s="25"/>
      <c r="J1523" s="25"/>
      <c r="K1523" s="25"/>
      <c r="L1523" s="25"/>
    </row>
    <row r="1524" spans="1:12" s="189" customFormat="1" ht="5.25" customHeight="1" x14ac:dyDescent="0.2">
      <c r="A1524" s="25"/>
      <c r="B1524" s="25"/>
      <c r="C1524" s="25"/>
      <c r="D1524" s="25"/>
      <c r="E1524" s="25"/>
      <c r="F1524" s="25"/>
      <c r="G1524" s="25"/>
      <c r="H1524" s="25"/>
      <c r="I1524" s="25"/>
      <c r="J1524" s="25"/>
      <c r="K1524" s="25"/>
      <c r="L1524" s="25"/>
    </row>
    <row r="1525" spans="1:12" s="189" customFormat="1" ht="5.25" customHeight="1" x14ac:dyDescent="0.2">
      <c r="A1525" s="25"/>
      <c r="B1525" s="25"/>
      <c r="C1525" s="25"/>
      <c r="D1525" s="25"/>
      <c r="E1525" s="25"/>
      <c r="F1525" s="25"/>
      <c r="G1525" s="25"/>
      <c r="H1525" s="25"/>
      <c r="I1525" s="25"/>
      <c r="J1525" s="25"/>
      <c r="K1525" s="25"/>
      <c r="L1525" s="25"/>
    </row>
    <row r="1526" spans="1:12" s="189" customFormat="1" ht="5.25" customHeight="1" x14ac:dyDescent="0.2">
      <c r="A1526" s="25"/>
      <c r="B1526" s="25"/>
      <c r="C1526" s="25"/>
      <c r="D1526" s="25"/>
      <c r="E1526" s="25"/>
      <c r="F1526" s="25"/>
      <c r="G1526" s="25"/>
      <c r="H1526" s="25"/>
      <c r="I1526" s="25"/>
      <c r="J1526" s="25"/>
      <c r="K1526" s="25"/>
      <c r="L1526" s="25"/>
    </row>
    <row r="1527" spans="1:12" s="189" customFormat="1" ht="5.25" customHeight="1" x14ac:dyDescent="0.2">
      <c r="A1527" s="25"/>
      <c r="B1527" s="25"/>
      <c r="C1527" s="25"/>
      <c r="D1527" s="25"/>
      <c r="E1527" s="25"/>
      <c r="F1527" s="25"/>
      <c r="G1527" s="25"/>
      <c r="H1527" s="25"/>
      <c r="I1527" s="25"/>
      <c r="J1527" s="25"/>
      <c r="K1527" s="25"/>
      <c r="L1527" s="25"/>
    </row>
    <row r="1528" spans="1:12" s="189" customFormat="1" ht="5.25" customHeight="1" x14ac:dyDescent="0.2">
      <c r="A1528" s="25"/>
      <c r="B1528" s="25"/>
      <c r="C1528" s="25"/>
      <c r="D1528" s="25"/>
      <c r="E1528" s="25"/>
      <c r="F1528" s="25"/>
      <c r="G1528" s="25"/>
      <c r="H1528" s="25"/>
      <c r="I1528" s="25"/>
      <c r="J1528" s="25"/>
      <c r="K1528" s="25"/>
      <c r="L1528" s="25"/>
    </row>
    <row r="1529" spans="1:12" s="189" customFormat="1" ht="5.25" customHeight="1" x14ac:dyDescent="0.2">
      <c r="A1529" s="25"/>
      <c r="B1529" s="25"/>
      <c r="C1529" s="25"/>
      <c r="D1529" s="25"/>
      <c r="E1529" s="25"/>
      <c r="F1529" s="25"/>
      <c r="G1529" s="25"/>
      <c r="H1529" s="25"/>
      <c r="I1529" s="25"/>
      <c r="J1529" s="25"/>
      <c r="K1529" s="25"/>
      <c r="L1529" s="25"/>
    </row>
    <row r="1530" spans="1:12" s="189" customFormat="1" ht="5.25" customHeight="1" x14ac:dyDescent="0.2">
      <c r="A1530" s="25"/>
      <c r="B1530" s="25"/>
      <c r="C1530" s="25"/>
      <c r="D1530" s="25"/>
      <c r="E1530" s="25"/>
      <c r="F1530" s="25"/>
      <c r="G1530" s="25"/>
      <c r="H1530" s="25"/>
      <c r="I1530" s="25"/>
      <c r="J1530" s="25"/>
      <c r="K1530" s="25"/>
      <c r="L1530" s="25"/>
    </row>
    <row r="1531" spans="1:12" s="189" customFormat="1" ht="5.25" customHeight="1" x14ac:dyDescent="0.2">
      <c r="A1531" s="25"/>
      <c r="B1531" s="25"/>
      <c r="C1531" s="25"/>
      <c r="D1531" s="25"/>
      <c r="E1531" s="25"/>
      <c r="F1531" s="25"/>
      <c r="G1531" s="25"/>
      <c r="H1531" s="25"/>
      <c r="I1531" s="25"/>
      <c r="J1531" s="25"/>
      <c r="K1531" s="25"/>
      <c r="L1531" s="25"/>
    </row>
    <row r="1532" spans="1:12" s="189" customFormat="1" ht="5.25" customHeight="1" x14ac:dyDescent="0.2">
      <c r="A1532" s="25"/>
      <c r="B1532" s="25"/>
      <c r="C1532" s="25"/>
      <c r="D1532" s="25"/>
      <c r="E1532" s="25"/>
      <c r="F1532" s="25"/>
      <c r="G1532" s="25"/>
      <c r="H1532" s="25"/>
      <c r="I1532" s="25"/>
      <c r="J1532" s="25"/>
      <c r="K1532" s="25"/>
      <c r="L1532" s="25"/>
    </row>
    <row r="1533" spans="1:12" s="189" customFormat="1" ht="5.25" customHeight="1" x14ac:dyDescent="0.2">
      <c r="A1533" s="25"/>
      <c r="B1533" s="25"/>
      <c r="C1533" s="25"/>
      <c r="D1533" s="25"/>
      <c r="E1533" s="25"/>
      <c r="F1533" s="25"/>
      <c r="G1533" s="25"/>
      <c r="H1533" s="25"/>
      <c r="I1533" s="25"/>
      <c r="J1533" s="25"/>
      <c r="K1533" s="25"/>
      <c r="L1533" s="25"/>
    </row>
    <row r="1534" spans="1:12" s="189" customFormat="1" ht="5.25" customHeight="1" x14ac:dyDescent="0.2">
      <c r="A1534" s="25"/>
      <c r="B1534" s="25"/>
      <c r="C1534" s="25"/>
      <c r="D1534" s="25"/>
      <c r="E1534" s="25"/>
      <c r="F1534" s="25"/>
      <c r="G1534" s="25"/>
      <c r="H1534" s="25"/>
      <c r="I1534" s="25"/>
      <c r="J1534" s="25"/>
      <c r="K1534" s="25"/>
      <c r="L1534" s="25"/>
    </row>
    <row r="1535" spans="1:12" s="189" customFormat="1" ht="5.25" customHeight="1" x14ac:dyDescent="0.2">
      <c r="A1535" s="25"/>
      <c r="B1535" s="25"/>
      <c r="C1535" s="25"/>
      <c r="D1535" s="25"/>
      <c r="E1535" s="25"/>
      <c r="F1535" s="25"/>
      <c r="G1535" s="25"/>
      <c r="H1535" s="25"/>
      <c r="I1535" s="25"/>
      <c r="J1535" s="25"/>
      <c r="K1535" s="25"/>
      <c r="L1535" s="25"/>
    </row>
    <row r="1536" spans="1:12" s="189" customFormat="1" ht="5.25" customHeight="1" x14ac:dyDescent="0.2">
      <c r="A1536" s="25"/>
      <c r="B1536" s="25"/>
      <c r="C1536" s="25"/>
      <c r="D1536" s="25"/>
      <c r="E1536" s="25"/>
      <c r="F1536" s="25"/>
      <c r="G1536" s="25"/>
      <c r="H1536" s="25"/>
      <c r="I1536" s="25"/>
      <c r="J1536" s="25"/>
      <c r="K1536" s="25"/>
      <c r="L1536" s="25"/>
    </row>
    <row r="1537" spans="1:12" s="189" customFormat="1" ht="5.25" customHeight="1" x14ac:dyDescent="0.2">
      <c r="A1537" s="25"/>
      <c r="B1537" s="25"/>
      <c r="C1537" s="25"/>
      <c r="D1537" s="25"/>
      <c r="E1537" s="25"/>
      <c r="F1537" s="25"/>
      <c r="G1537" s="25"/>
      <c r="H1537" s="25"/>
      <c r="I1537" s="25"/>
      <c r="J1537" s="25"/>
      <c r="K1537" s="25"/>
      <c r="L1537" s="25"/>
    </row>
    <row r="1538" spans="1:12" s="189" customFormat="1" ht="5.25" customHeight="1" x14ac:dyDescent="0.2">
      <c r="A1538" s="25"/>
      <c r="B1538" s="25"/>
      <c r="C1538" s="25"/>
      <c r="D1538" s="25"/>
      <c r="E1538" s="25"/>
      <c r="F1538" s="25"/>
      <c r="G1538" s="25"/>
      <c r="H1538" s="25"/>
      <c r="I1538" s="25"/>
      <c r="J1538" s="25"/>
      <c r="K1538" s="25"/>
      <c r="L1538" s="25"/>
    </row>
    <row r="1539" spans="1:12" s="189" customFormat="1" ht="5.25" customHeight="1" x14ac:dyDescent="0.2">
      <c r="A1539" s="25"/>
      <c r="B1539" s="25"/>
      <c r="C1539" s="25"/>
      <c r="D1539" s="25"/>
      <c r="E1539" s="25"/>
      <c r="F1539" s="25"/>
      <c r="G1539" s="25"/>
      <c r="H1539" s="25"/>
      <c r="I1539" s="25"/>
      <c r="J1539" s="25"/>
      <c r="K1539" s="25"/>
      <c r="L1539" s="25"/>
    </row>
    <row r="1540" spans="1:12" s="189" customFormat="1" ht="5.25" customHeight="1" x14ac:dyDescent="0.2">
      <c r="A1540" s="25"/>
      <c r="B1540" s="25"/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</row>
    <row r="1541" spans="1:12" s="189" customFormat="1" ht="5.25" customHeight="1" x14ac:dyDescent="0.2">
      <c r="A1541" s="25"/>
      <c r="B1541" s="25"/>
      <c r="C1541" s="25"/>
      <c r="D1541" s="25"/>
      <c r="E1541" s="25"/>
      <c r="F1541" s="25"/>
      <c r="G1541" s="25"/>
      <c r="H1541" s="25"/>
      <c r="I1541" s="25"/>
      <c r="J1541" s="25"/>
      <c r="K1541" s="25"/>
      <c r="L1541" s="25"/>
    </row>
    <row r="1542" spans="1:12" s="189" customFormat="1" ht="5.25" customHeight="1" x14ac:dyDescent="0.2">
      <c r="A1542" s="25"/>
      <c r="B1542" s="25"/>
      <c r="C1542" s="25"/>
      <c r="D1542" s="25"/>
      <c r="E1542" s="25"/>
      <c r="F1542" s="25"/>
      <c r="G1542" s="25"/>
      <c r="H1542" s="25"/>
      <c r="I1542" s="25"/>
      <c r="J1542" s="25"/>
      <c r="K1542" s="25"/>
      <c r="L1542" s="25"/>
    </row>
    <row r="1543" spans="1:12" s="189" customFormat="1" ht="5.25" customHeight="1" x14ac:dyDescent="0.2">
      <c r="A1543" s="25"/>
      <c r="B1543" s="25"/>
      <c r="C1543" s="25"/>
      <c r="D1543" s="25"/>
      <c r="E1543" s="25"/>
      <c r="F1543" s="25"/>
      <c r="G1543" s="25"/>
      <c r="H1543" s="25"/>
      <c r="I1543" s="25"/>
      <c r="J1543" s="25"/>
      <c r="K1543" s="25"/>
      <c r="L1543" s="25"/>
    </row>
    <row r="1544" spans="1:12" s="189" customFormat="1" ht="5.25" customHeight="1" x14ac:dyDescent="0.2">
      <c r="A1544" s="25"/>
      <c r="B1544" s="25"/>
      <c r="C1544" s="25"/>
      <c r="D1544" s="25"/>
      <c r="E1544" s="25"/>
      <c r="F1544" s="25"/>
      <c r="G1544" s="25"/>
      <c r="H1544" s="25"/>
      <c r="I1544" s="25"/>
      <c r="J1544" s="25"/>
      <c r="K1544" s="25"/>
      <c r="L1544" s="25"/>
    </row>
    <row r="1545" spans="1:12" s="189" customFormat="1" ht="5.25" customHeight="1" x14ac:dyDescent="0.2">
      <c r="A1545" s="25"/>
      <c r="B1545" s="25"/>
      <c r="C1545" s="25"/>
      <c r="D1545" s="25"/>
      <c r="E1545" s="25"/>
      <c r="F1545" s="25"/>
      <c r="G1545" s="25"/>
      <c r="H1545" s="25"/>
      <c r="I1545" s="25"/>
      <c r="J1545" s="25"/>
      <c r="K1545" s="25"/>
      <c r="L1545" s="25"/>
    </row>
    <row r="1546" spans="1:12" s="189" customFormat="1" ht="5.25" customHeight="1" x14ac:dyDescent="0.2">
      <c r="A1546" s="25"/>
      <c r="B1546" s="25"/>
      <c r="C1546" s="25"/>
      <c r="D1546" s="25"/>
      <c r="E1546" s="25"/>
      <c r="F1546" s="25"/>
      <c r="G1546" s="25"/>
      <c r="H1546" s="25"/>
      <c r="I1546" s="25"/>
      <c r="J1546" s="25"/>
      <c r="K1546" s="25"/>
      <c r="L1546" s="25"/>
    </row>
    <row r="1547" spans="1:12" s="189" customFormat="1" ht="5.25" customHeight="1" x14ac:dyDescent="0.2">
      <c r="A1547" s="25"/>
      <c r="B1547" s="25"/>
      <c r="C1547" s="25"/>
      <c r="D1547" s="25"/>
      <c r="E1547" s="25"/>
      <c r="F1547" s="25"/>
      <c r="G1547" s="25"/>
      <c r="H1547" s="25"/>
      <c r="I1547" s="25"/>
      <c r="J1547" s="25"/>
      <c r="K1547" s="25"/>
      <c r="L1547" s="25"/>
    </row>
    <row r="1548" spans="1:12" s="189" customFormat="1" ht="5.25" customHeight="1" x14ac:dyDescent="0.2">
      <c r="A1548" s="25"/>
      <c r="B1548" s="25"/>
      <c r="C1548" s="25"/>
      <c r="D1548" s="25"/>
      <c r="E1548" s="25"/>
      <c r="F1548" s="25"/>
      <c r="G1548" s="25"/>
      <c r="H1548" s="25"/>
      <c r="I1548" s="25"/>
      <c r="J1548" s="25"/>
      <c r="K1548" s="25"/>
      <c r="L1548" s="25"/>
    </row>
    <row r="1549" spans="1:12" s="189" customFormat="1" ht="5.25" customHeight="1" x14ac:dyDescent="0.2">
      <c r="A1549" s="25"/>
      <c r="B1549" s="25"/>
      <c r="C1549" s="25"/>
      <c r="D1549" s="25"/>
      <c r="E1549" s="25"/>
      <c r="F1549" s="25"/>
      <c r="G1549" s="25"/>
      <c r="H1549" s="25"/>
      <c r="I1549" s="25"/>
      <c r="J1549" s="25"/>
      <c r="K1549" s="25"/>
      <c r="L1549" s="25"/>
    </row>
    <row r="1550" spans="1:12" s="189" customFormat="1" ht="5.25" customHeight="1" x14ac:dyDescent="0.2">
      <c r="A1550" s="25"/>
      <c r="B1550" s="25"/>
      <c r="C1550" s="25"/>
      <c r="D1550" s="25"/>
      <c r="E1550" s="25"/>
      <c r="F1550" s="25"/>
      <c r="G1550" s="25"/>
      <c r="H1550" s="25"/>
      <c r="I1550" s="25"/>
      <c r="J1550" s="25"/>
      <c r="K1550" s="25"/>
      <c r="L1550" s="25"/>
    </row>
    <row r="1551" spans="1:12" s="189" customFormat="1" ht="5.25" customHeight="1" x14ac:dyDescent="0.2">
      <c r="A1551" s="25"/>
      <c r="B1551" s="25"/>
      <c r="C1551" s="25"/>
      <c r="D1551" s="25"/>
      <c r="E1551" s="25"/>
      <c r="F1551" s="25"/>
      <c r="G1551" s="25"/>
      <c r="H1551" s="25"/>
      <c r="I1551" s="25"/>
      <c r="J1551" s="25"/>
      <c r="K1551" s="25"/>
      <c r="L1551" s="25"/>
    </row>
    <row r="1552" spans="1:12" s="189" customFormat="1" ht="5.25" customHeight="1" x14ac:dyDescent="0.2">
      <c r="A1552" s="25"/>
      <c r="B1552" s="25"/>
      <c r="C1552" s="25"/>
      <c r="D1552" s="25"/>
      <c r="E1552" s="25"/>
      <c r="F1552" s="25"/>
      <c r="G1552" s="25"/>
      <c r="H1552" s="25"/>
      <c r="I1552" s="25"/>
      <c r="J1552" s="25"/>
      <c r="K1552" s="25"/>
      <c r="L1552" s="25"/>
    </row>
    <row r="1553" spans="1:12" s="189" customFormat="1" ht="5.25" customHeight="1" x14ac:dyDescent="0.2">
      <c r="A1553" s="25"/>
      <c r="B1553" s="25"/>
      <c r="C1553" s="25"/>
      <c r="D1553" s="25"/>
      <c r="E1553" s="25"/>
      <c r="F1553" s="25"/>
      <c r="G1553" s="25"/>
      <c r="H1553" s="25"/>
      <c r="I1553" s="25"/>
      <c r="J1553" s="25"/>
      <c r="K1553" s="25"/>
      <c r="L1553" s="25"/>
    </row>
    <row r="1554" spans="1:12" s="189" customFormat="1" ht="5.25" customHeight="1" x14ac:dyDescent="0.2">
      <c r="A1554" s="25"/>
      <c r="B1554" s="25"/>
      <c r="C1554" s="25"/>
      <c r="D1554" s="25"/>
      <c r="E1554" s="25"/>
      <c r="F1554" s="25"/>
      <c r="G1554" s="25"/>
      <c r="H1554" s="25"/>
      <c r="I1554" s="25"/>
      <c r="J1554" s="25"/>
      <c r="K1554" s="25"/>
      <c r="L1554" s="25"/>
    </row>
    <row r="1555" spans="1:12" s="189" customFormat="1" ht="5.25" customHeight="1" x14ac:dyDescent="0.2">
      <c r="A1555" s="25"/>
      <c r="B1555" s="25"/>
      <c r="C1555" s="25"/>
      <c r="D1555" s="25"/>
      <c r="E1555" s="25"/>
      <c r="F1555" s="25"/>
      <c r="G1555" s="25"/>
      <c r="H1555" s="25"/>
      <c r="I1555" s="25"/>
      <c r="J1555" s="25"/>
      <c r="K1555" s="25"/>
      <c r="L1555" s="25"/>
    </row>
    <row r="1556" spans="1:12" s="189" customFormat="1" ht="5.25" customHeight="1" x14ac:dyDescent="0.2">
      <c r="A1556" s="25"/>
      <c r="B1556" s="25"/>
      <c r="C1556" s="25"/>
      <c r="D1556" s="25"/>
      <c r="E1556" s="25"/>
      <c r="F1556" s="25"/>
      <c r="G1556" s="25"/>
      <c r="H1556" s="25"/>
      <c r="I1556" s="25"/>
      <c r="J1556" s="25"/>
      <c r="K1556" s="25"/>
      <c r="L1556" s="25"/>
    </row>
    <row r="1557" spans="1:12" s="189" customFormat="1" ht="5.25" customHeight="1" x14ac:dyDescent="0.2">
      <c r="A1557" s="25"/>
      <c r="B1557" s="25"/>
      <c r="C1557" s="25"/>
      <c r="D1557" s="25"/>
      <c r="E1557" s="25"/>
      <c r="F1557" s="25"/>
      <c r="G1557" s="25"/>
      <c r="H1557" s="25"/>
      <c r="I1557" s="25"/>
      <c r="J1557" s="25"/>
      <c r="K1557" s="25"/>
      <c r="L1557" s="25"/>
    </row>
    <row r="1558" spans="1:12" s="189" customFormat="1" ht="5.25" customHeight="1" x14ac:dyDescent="0.2">
      <c r="A1558" s="25"/>
      <c r="B1558" s="25"/>
      <c r="C1558" s="25"/>
      <c r="D1558" s="25"/>
      <c r="E1558" s="25"/>
      <c r="F1558" s="25"/>
      <c r="G1558" s="25"/>
      <c r="H1558" s="25"/>
      <c r="I1558" s="25"/>
      <c r="J1558" s="25"/>
      <c r="K1558" s="25"/>
      <c r="L1558" s="25"/>
    </row>
    <row r="1559" spans="1:12" s="189" customFormat="1" ht="5.25" customHeight="1" x14ac:dyDescent="0.2">
      <c r="A1559" s="25"/>
      <c r="B1559" s="25"/>
      <c r="C1559" s="25"/>
      <c r="D1559" s="25"/>
      <c r="E1559" s="25"/>
      <c r="F1559" s="25"/>
      <c r="G1559" s="25"/>
      <c r="H1559" s="25"/>
      <c r="I1559" s="25"/>
      <c r="J1559" s="25"/>
      <c r="K1559" s="25"/>
      <c r="L1559" s="25"/>
    </row>
    <row r="1560" spans="1:12" s="189" customFormat="1" ht="5.25" customHeight="1" x14ac:dyDescent="0.2">
      <c r="A1560" s="25"/>
      <c r="B1560" s="25"/>
      <c r="C1560" s="25"/>
      <c r="D1560" s="25"/>
      <c r="E1560" s="25"/>
      <c r="F1560" s="25"/>
      <c r="G1560" s="25"/>
      <c r="H1560" s="25"/>
      <c r="I1560" s="25"/>
      <c r="J1560" s="25"/>
      <c r="K1560" s="25"/>
      <c r="L1560" s="25"/>
    </row>
    <row r="1561" spans="1:12" s="189" customFormat="1" ht="5.25" customHeight="1" x14ac:dyDescent="0.2">
      <c r="A1561" s="25"/>
      <c r="B1561" s="25"/>
      <c r="C1561" s="25"/>
      <c r="D1561" s="25"/>
      <c r="E1561" s="25"/>
      <c r="F1561" s="25"/>
      <c r="G1561" s="25"/>
      <c r="H1561" s="25"/>
      <c r="I1561" s="25"/>
      <c r="J1561" s="25"/>
      <c r="K1561" s="25"/>
      <c r="L1561" s="25"/>
    </row>
    <row r="1562" spans="1:12" s="189" customFormat="1" ht="5.25" customHeight="1" x14ac:dyDescent="0.2">
      <c r="A1562" s="25"/>
      <c r="B1562" s="25"/>
      <c r="C1562" s="25"/>
      <c r="D1562" s="25"/>
      <c r="E1562" s="25"/>
      <c r="F1562" s="25"/>
      <c r="G1562" s="25"/>
      <c r="H1562" s="25"/>
      <c r="I1562" s="25"/>
      <c r="J1562" s="25"/>
      <c r="K1562" s="25"/>
      <c r="L1562" s="25"/>
    </row>
    <row r="1563" spans="1:12" s="189" customFormat="1" ht="5.25" customHeight="1" x14ac:dyDescent="0.2">
      <c r="A1563" s="25"/>
      <c r="B1563" s="25"/>
      <c r="C1563" s="25"/>
      <c r="D1563" s="25"/>
      <c r="E1563" s="25"/>
      <c r="F1563" s="25"/>
      <c r="G1563" s="25"/>
      <c r="H1563" s="25"/>
      <c r="I1563" s="25"/>
      <c r="J1563" s="25"/>
      <c r="K1563" s="25"/>
      <c r="L1563" s="25"/>
    </row>
    <row r="1564" spans="1:12" s="189" customFormat="1" ht="5.25" customHeight="1" x14ac:dyDescent="0.2">
      <c r="A1564" s="25"/>
      <c r="B1564" s="25"/>
      <c r="C1564" s="25"/>
      <c r="D1564" s="25"/>
      <c r="E1564" s="25"/>
      <c r="F1564" s="25"/>
      <c r="G1564" s="25"/>
      <c r="H1564" s="25"/>
      <c r="I1564" s="25"/>
      <c r="J1564" s="25"/>
      <c r="K1564" s="25"/>
      <c r="L1564" s="25"/>
    </row>
    <row r="1565" spans="1:12" s="189" customFormat="1" ht="5.25" customHeight="1" x14ac:dyDescent="0.2">
      <c r="A1565" s="25"/>
      <c r="B1565" s="25"/>
      <c r="C1565" s="25"/>
      <c r="D1565" s="25"/>
      <c r="E1565" s="25"/>
      <c r="F1565" s="25"/>
      <c r="G1565" s="25"/>
      <c r="H1565" s="25"/>
      <c r="I1565" s="25"/>
      <c r="J1565" s="25"/>
      <c r="K1565" s="25"/>
      <c r="L1565" s="25"/>
    </row>
    <row r="1566" spans="1:12" s="189" customFormat="1" ht="5.25" customHeight="1" x14ac:dyDescent="0.2">
      <c r="A1566" s="25"/>
      <c r="B1566" s="25"/>
      <c r="C1566" s="25"/>
      <c r="D1566" s="25"/>
      <c r="E1566" s="25"/>
      <c r="F1566" s="25"/>
      <c r="G1566" s="25"/>
      <c r="H1566" s="25"/>
      <c r="I1566" s="25"/>
      <c r="J1566" s="25"/>
      <c r="K1566" s="25"/>
      <c r="L1566" s="25"/>
    </row>
    <row r="1567" spans="1:12" s="189" customFormat="1" ht="5.25" customHeight="1" x14ac:dyDescent="0.2">
      <c r="A1567" s="25"/>
      <c r="B1567" s="25"/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</row>
    <row r="1568" spans="1:12" s="189" customFormat="1" ht="5.25" customHeight="1" x14ac:dyDescent="0.2">
      <c r="A1568" s="25"/>
      <c r="B1568" s="25"/>
      <c r="C1568" s="25"/>
      <c r="D1568" s="25"/>
      <c r="E1568" s="25"/>
      <c r="F1568" s="25"/>
      <c r="G1568" s="25"/>
      <c r="H1568" s="25"/>
      <c r="I1568" s="25"/>
      <c r="J1568" s="25"/>
      <c r="K1568" s="25"/>
      <c r="L1568" s="25"/>
    </row>
    <row r="1569" spans="1:12" s="189" customFormat="1" ht="5.25" customHeight="1" x14ac:dyDescent="0.2">
      <c r="A1569" s="25"/>
      <c r="B1569" s="25"/>
      <c r="C1569" s="25"/>
      <c r="D1569" s="25"/>
      <c r="E1569" s="25"/>
      <c r="F1569" s="25"/>
      <c r="G1569" s="25"/>
      <c r="H1569" s="25"/>
      <c r="I1569" s="25"/>
      <c r="J1569" s="25"/>
      <c r="K1569" s="25"/>
      <c r="L1569" s="25"/>
    </row>
    <row r="1570" spans="1:12" s="189" customFormat="1" ht="5.25" customHeight="1" x14ac:dyDescent="0.2">
      <c r="A1570" s="25"/>
      <c r="B1570" s="25"/>
      <c r="C1570" s="25"/>
      <c r="D1570" s="25"/>
      <c r="E1570" s="25"/>
      <c r="F1570" s="25"/>
      <c r="G1570" s="25"/>
      <c r="H1570" s="25"/>
      <c r="I1570" s="25"/>
      <c r="J1570" s="25"/>
      <c r="K1570" s="25"/>
      <c r="L1570" s="25"/>
    </row>
    <row r="1571" spans="1:12" s="189" customFormat="1" ht="5.25" customHeight="1" x14ac:dyDescent="0.2">
      <c r="A1571" s="25"/>
      <c r="B1571" s="25"/>
      <c r="C1571" s="25"/>
      <c r="D1571" s="25"/>
      <c r="E1571" s="25"/>
      <c r="F1571" s="25"/>
      <c r="G1571" s="25"/>
      <c r="H1571" s="25"/>
      <c r="I1571" s="25"/>
      <c r="J1571" s="25"/>
      <c r="K1571" s="25"/>
      <c r="L1571" s="25"/>
    </row>
    <row r="1572" spans="1:12" s="189" customFormat="1" ht="5.25" customHeight="1" x14ac:dyDescent="0.2">
      <c r="A1572" s="25"/>
      <c r="B1572" s="25"/>
      <c r="C1572" s="25"/>
      <c r="D1572" s="25"/>
      <c r="E1572" s="25"/>
      <c r="F1572" s="25"/>
      <c r="G1572" s="25"/>
      <c r="H1572" s="25"/>
      <c r="I1572" s="25"/>
      <c r="J1572" s="25"/>
      <c r="K1572" s="25"/>
      <c r="L1572" s="25"/>
    </row>
    <row r="1573" spans="1:12" s="189" customFormat="1" ht="5.25" customHeight="1" x14ac:dyDescent="0.2">
      <c r="A1573" s="25"/>
      <c r="B1573" s="25"/>
      <c r="C1573" s="25"/>
      <c r="D1573" s="25"/>
      <c r="E1573" s="25"/>
      <c r="F1573" s="25"/>
      <c r="G1573" s="25"/>
      <c r="H1573" s="25"/>
      <c r="I1573" s="25"/>
      <c r="J1573" s="25"/>
      <c r="K1573" s="25"/>
      <c r="L1573" s="25"/>
    </row>
    <row r="1574" spans="1:12" s="189" customFormat="1" ht="5.25" customHeight="1" x14ac:dyDescent="0.2">
      <c r="A1574" s="25"/>
      <c r="B1574" s="25"/>
      <c r="C1574" s="25"/>
      <c r="D1574" s="25"/>
      <c r="E1574" s="25"/>
      <c r="F1574" s="25"/>
      <c r="G1574" s="25"/>
      <c r="H1574" s="25"/>
      <c r="I1574" s="25"/>
      <c r="J1574" s="25"/>
      <c r="K1574" s="25"/>
      <c r="L1574" s="25"/>
    </row>
    <row r="1575" spans="1:12" s="189" customFormat="1" ht="5.25" customHeight="1" x14ac:dyDescent="0.2">
      <c r="A1575" s="25"/>
      <c r="B1575" s="25"/>
      <c r="C1575" s="25"/>
      <c r="D1575" s="25"/>
      <c r="E1575" s="25"/>
      <c r="F1575" s="25"/>
      <c r="G1575" s="25"/>
      <c r="H1575" s="25"/>
      <c r="I1575" s="25"/>
      <c r="J1575" s="25"/>
      <c r="K1575" s="25"/>
      <c r="L1575" s="25"/>
    </row>
    <row r="1576" spans="1:12" s="189" customFormat="1" ht="5.25" customHeight="1" x14ac:dyDescent="0.2">
      <c r="A1576" s="25"/>
      <c r="B1576" s="25"/>
      <c r="C1576" s="25"/>
      <c r="D1576" s="25"/>
      <c r="E1576" s="25"/>
      <c r="F1576" s="25"/>
      <c r="G1576" s="25"/>
      <c r="H1576" s="25"/>
      <c r="I1576" s="25"/>
      <c r="J1576" s="25"/>
      <c r="K1576" s="25"/>
      <c r="L1576" s="25"/>
    </row>
    <row r="1577" spans="1:12" s="189" customFormat="1" ht="5.25" customHeight="1" x14ac:dyDescent="0.2">
      <c r="A1577" s="25"/>
      <c r="B1577" s="25"/>
      <c r="C1577" s="25"/>
      <c r="D1577" s="25"/>
      <c r="E1577" s="25"/>
      <c r="F1577" s="25"/>
      <c r="G1577" s="25"/>
      <c r="H1577" s="25"/>
      <c r="I1577" s="25"/>
      <c r="J1577" s="25"/>
      <c r="K1577" s="25"/>
      <c r="L1577" s="25"/>
    </row>
    <row r="1578" spans="1:12" s="189" customFormat="1" ht="5.25" customHeight="1" x14ac:dyDescent="0.2">
      <c r="A1578" s="25"/>
      <c r="B1578" s="25"/>
      <c r="C1578" s="25"/>
      <c r="D1578" s="25"/>
      <c r="E1578" s="25"/>
      <c r="F1578" s="25"/>
      <c r="G1578" s="25"/>
      <c r="H1578" s="25"/>
      <c r="I1578" s="25"/>
      <c r="J1578" s="25"/>
      <c r="K1578" s="25"/>
      <c r="L1578" s="25"/>
    </row>
    <row r="1579" spans="1:12" s="189" customFormat="1" ht="5.25" customHeight="1" x14ac:dyDescent="0.2">
      <c r="A1579" s="25"/>
      <c r="B1579" s="25"/>
      <c r="C1579" s="25"/>
      <c r="D1579" s="25"/>
      <c r="E1579" s="25"/>
      <c r="F1579" s="25"/>
      <c r="G1579" s="25"/>
      <c r="H1579" s="25"/>
      <c r="I1579" s="25"/>
      <c r="J1579" s="25"/>
      <c r="K1579" s="25"/>
      <c r="L1579" s="25"/>
    </row>
    <row r="1580" spans="1:12" s="189" customFormat="1" ht="5.25" customHeight="1" x14ac:dyDescent="0.2">
      <c r="A1580" s="25"/>
      <c r="B1580" s="25"/>
      <c r="C1580" s="25"/>
      <c r="D1580" s="25"/>
      <c r="E1580" s="25"/>
      <c r="F1580" s="25"/>
      <c r="G1580" s="25"/>
      <c r="H1580" s="25"/>
      <c r="I1580" s="25"/>
      <c r="J1580" s="25"/>
      <c r="K1580" s="25"/>
      <c r="L1580" s="25"/>
    </row>
    <row r="1581" spans="1:12" s="189" customFormat="1" ht="5.25" customHeight="1" x14ac:dyDescent="0.2">
      <c r="A1581" s="25"/>
      <c r="B1581" s="25"/>
      <c r="C1581" s="25"/>
      <c r="D1581" s="25"/>
      <c r="E1581" s="25"/>
      <c r="F1581" s="25"/>
      <c r="G1581" s="25"/>
      <c r="H1581" s="25"/>
      <c r="I1581" s="25"/>
      <c r="J1581" s="25"/>
      <c r="K1581" s="25"/>
      <c r="L1581" s="25"/>
    </row>
    <row r="1582" spans="1:12" s="189" customFormat="1" ht="5.25" customHeight="1" x14ac:dyDescent="0.2">
      <c r="A1582" s="25"/>
      <c r="B1582" s="25"/>
      <c r="C1582" s="25"/>
      <c r="D1582" s="25"/>
      <c r="E1582" s="25"/>
      <c r="F1582" s="25"/>
      <c r="G1582" s="25"/>
      <c r="H1582" s="25"/>
      <c r="I1582" s="25"/>
      <c r="J1582" s="25"/>
      <c r="K1582" s="25"/>
      <c r="L1582" s="25"/>
    </row>
    <row r="1583" spans="1:12" s="189" customFormat="1" ht="5.25" customHeight="1" x14ac:dyDescent="0.2">
      <c r="A1583" s="25"/>
      <c r="B1583" s="25"/>
      <c r="C1583" s="25"/>
      <c r="D1583" s="25"/>
      <c r="E1583" s="25"/>
      <c r="F1583" s="25"/>
      <c r="G1583" s="25"/>
      <c r="H1583" s="25"/>
      <c r="I1583" s="25"/>
      <c r="J1583" s="25"/>
      <c r="K1583" s="25"/>
      <c r="L1583" s="25"/>
    </row>
    <row r="1584" spans="1:12" s="189" customFormat="1" ht="5.25" customHeight="1" x14ac:dyDescent="0.2">
      <c r="A1584" s="25"/>
      <c r="B1584" s="25"/>
      <c r="C1584" s="25"/>
      <c r="D1584" s="25"/>
      <c r="E1584" s="25"/>
      <c r="F1584" s="25"/>
      <c r="G1584" s="25"/>
      <c r="H1584" s="25"/>
      <c r="I1584" s="25"/>
      <c r="J1584" s="25"/>
      <c r="K1584" s="25"/>
      <c r="L1584" s="25"/>
    </row>
    <row r="1585" spans="1:12" s="189" customFormat="1" ht="5.25" customHeight="1" x14ac:dyDescent="0.2">
      <c r="A1585" s="25"/>
      <c r="B1585" s="25"/>
      <c r="C1585" s="25"/>
      <c r="D1585" s="25"/>
      <c r="E1585" s="25"/>
      <c r="F1585" s="25"/>
      <c r="G1585" s="25"/>
      <c r="H1585" s="25"/>
      <c r="I1585" s="25"/>
      <c r="J1585" s="25"/>
      <c r="K1585" s="25"/>
      <c r="L1585" s="25"/>
    </row>
    <row r="1586" spans="1:12" s="189" customFormat="1" ht="5.25" customHeight="1" x14ac:dyDescent="0.2">
      <c r="A1586" s="25"/>
      <c r="B1586" s="25"/>
      <c r="C1586" s="25"/>
      <c r="D1586" s="25"/>
      <c r="E1586" s="25"/>
      <c r="F1586" s="25"/>
      <c r="G1586" s="25"/>
      <c r="H1586" s="25"/>
      <c r="I1586" s="25"/>
      <c r="J1586" s="25"/>
      <c r="K1586" s="25"/>
      <c r="L1586" s="25"/>
    </row>
    <row r="1587" spans="1:12" s="189" customFormat="1" ht="5.25" customHeight="1" x14ac:dyDescent="0.2">
      <c r="A1587" s="25"/>
      <c r="B1587" s="25"/>
      <c r="C1587" s="25"/>
      <c r="D1587" s="25"/>
      <c r="E1587" s="25"/>
      <c r="F1587" s="25"/>
      <c r="G1587" s="25"/>
      <c r="H1587" s="25"/>
      <c r="I1587" s="25"/>
      <c r="J1587" s="25"/>
      <c r="K1587" s="25"/>
      <c r="L1587" s="25"/>
    </row>
    <row r="1588" spans="1:12" s="189" customFormat="1" ht="5.25" customHeight="1" x14ac:dyDescent="0.2">
      <c r="A1588" s="25"/>
      <c r="B1588" s="25"/>
      <c r="C1588" s="25"/>
      <c r="D1588" s="25"/>
      <c r="E1588" s="25"/>
      <c r="F1588" s="25"/>
      <c r="G1588" s="25"/>
      <c r="H1588" s="25"/>
      <c r="I1588" s="25"/>
      <c r="J1588" s="25"/>
      <c r="K1588" s="25"/>
      <c r="L1588" s="25"/>
    </row>
    <row r="1589" spans="1:12" s="189" customFormat="1" ht="5.25" customHeight="1" x14ac:dyDescent="0.2">
      <c r="A1589" s="25"/>
      <c r="B1589" s="25"/>
      <c r="C1589" s="25"/>
      <c r="D1589" s="25"/>
      <c r="E1589" s="25"/>
      <c r="F1589" s="25"/>
      <c r="G1589" s="25"/>
      <c r="H1589" s="25"/>
      <c r="I1589" s="25"/>
      <c r="J1589" s="25"/>
      <c r="K1589" s="25"/>
      <c r="L1589" s="25"/>
    </row>
    <row r="1590" spans="1:12" s="189" customFormat="1" ht="5.25" customHeight="1" x14ac:dyDescent="0.2">
      <c r="A1590" s="25"/>
      <c r="B1590" s="25"/>
      <c r="C1590" s="25"/>
      <c r="D1590" s="25"/>
      <c r="E1590" s="25"/>
      <c r="F1590" s="25"/>
      <c r="G1590" s="25"/>
      <c r="H1590" s="25"/>
      <c r="I1590" s="25"/>
      <c r="J1590" s="25"/>
      <c r="K1590" s="25"/>
      <c r="L1590" s="25"/>
    </row>
    <row r="1591" spans="1:12" s="189" customFormat="1" ht="5.25" customHeight="1" x14ac:dyDescent="0.2">
      <c r="A1591" s="25"/>
      <c r="B1591" s="25"/>
      <c r="C1591" s="25"/>
      <c r="D1591" s="25"/>
      <c r="E1591" s="25"/>
      <c r="F1591" s="25"/>
      <c r="G1591" s="25"/>
      <c r="H1591" s="25"/>
      <c r="I1591" s="25"/>
      <c r="J1591" s="25"/>
      <c r="K1591" s="25"/>
      <c r="L1591" s="25"/>
    </row>
    <row r="1592" spans="1:12" s="189" customFormat="1" ht="5.25" customHeight="1" x14ac:dyDescent="0.2">
      <c r="A1592" s="25"/>
      <c r="B1592" s="25"/>
      <c r="C1592" s="25"/>
      <c r="D1592" s="25"/>
      <c r="E1592" s="25"/>
      <c r="F1592" s="25"/>
      <c r="G1592" s="25"/>
      <c r="H1592" s="25"/>
      <c r="I1592" s="25"/>
      <c r="J1592" s="25"/>
      <c r="K1592" s="25"/>
      <c r="L1592" s="25"/>
    </row>
    <row r="1593" spans="1:12" s="189" customFormat="1" ht="5.25" customHeight="1" x14ac:dyDescent="0.2">
      <c r="A1593" s="25"/>
      <c r="B1593" s="25"/>
      <c r="C1593" s="25"/>
      <c r="D1593" s="25"/>
      <c r="E1593" s="25"/>
      <c r="F1593" s="25"/>
      <c r="G1593" s="25"/>
      <c r="H1593" s="25"/>
      <c r="I1593" s="25"/>
      <c r="J1593" s="25"/>
      <c r="K1593" s="25"/>
      <c r="L1593" s="25"/>
    </row>
    <row r="1594" spans="1:12" s="189" customFormat="1" ht="5.25" customHeight="1" x14ac:dyDescent="0.2">
      <c r="A1594" s="25"/>
      <c r="B1594" s="25"/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</row>
    <row r="1595" spans="1:12" s="189" customFormat="1" ht="5.25" customHeight="1" x14ac:dyDescent="0.2">
      <c r="A1595" s="25"/>
      <c r="B1595" s="25"/>
      <c r="C1595" s="25"/>
      <c r="D1595" s="25"/>
      <c r="E1595" s="25"/>
      <c r="F1595" s="25"/>
      <c r="G1595" s="25"/>
      <c r="H1595" s="25"/>
      <c r="I1595" s="25"/>
      <c r="J1595" s="25"/>
      <c r="K1595" s="25"/>
      <c r="L1595" s="25"/>
    </row>
    <row r="1596" spans="1:12" s="189" customFormat="1" ht="5.25" customHeight="1" x14ac:dyDescent="0.2">
      <c r="A1596" s="25"/>
      <c r="B1596" s="25"/>
      <c r="C1596" s="25"/>
      <c r="D1596" s="25"/>
      <c r="E1596" s="25"/>
      <c r="F1596" s="25"/>
      <c r="G1596" s="25"/>
      <c r="H1596" s="25"/>
      <c r="I1596" s="25"/>
      <c r="J1596" s="25"/>
      <c r="K1596" s="25"/>
      <c r="L1596" s="25"/>
    </row>
    <row r="1597" spans="1:12" s="189" customFormat="1" ht="5.25" customHeight="1" x14ac:dyDescent="0.2">
      <c r="A1597" s="25"/>
      <c r="B1597" s="25"/>
      <c r="C1597" s="25"/>
      <c r="D1597" s="25"/>
      <c r="E1597" s="25"/>
      <c r="F1597" s="25"/>
      <c r="G1597" s="25"/>
      <c r="H1597" s="25"/>
      <c r="I1597" s="25"/>
      <c r="J1597" s="25"/>
      <c r="K1597" s="25"/>
      <c r="L1597" s="25"/>
    </row>
    <row r="1598" spans="1:12" s="189" customFormat="1" ht="5.25" customHeight="1" x14ac:dyDescent="0.2">
      <c r="A1598" s="25"/>
      <c r="B1598" s="25"/>
      <c r="C1598" s="25"/>
      <c r="D1598" s="25"/>
      <c r="E1598" s="25"/>
      <c r="F1598" s="25"/>
      <c r="G1598" s="25"/>
      <c r="H1598" s="25"/>
      <c r="I1598" s="25"/>
      <c r="J1598" s="25"/>
      <c r="K1598" s="25"/>
      <c r="L1598" s="25"/>
    </row>
    <row r="1599" spans="1:12" s="189" customFormat="1" ht="5.25" customHeight="1" x14ac:dyDescent="0.2">
      <c r="A1599" s="25"/>
      <c r="B1599" s="25"/>
      <c r="C1599" s="25"/>
      <c r="D1599" s="25"/>
      <c r="E1599" s="25"/>
      <c r="F1599" s="25"/>
      <c r="G1599" s="25"/>
      <c r="H1599" s="25"/>
      <c r="I1599" s="25"/>
      <c r="J1599" s="25"/>
      <c r="K1599" s="25"/>
      <c r="L1599" s="25"/>
    </row>
    <row r="1600" spans="1:12" s="189" customFormat="1" ht="5.25" customHeight="1" x14ac:dyDescent="0.2">
      <c r="A1600" s="25"/>
      <c r="B1600" s="25"/>
      <c r="C1600" s="25"/>
      <c r="D1600" s="25"/>
      <c r="E1600" s="25"/>
      <c r="F1600" s="25"/>
      <c r="G1600" s="25"/>
      <c r="H1600" s="25"/>
      <c r="I1600" s="25"/>
      <c r="J1600" s="25"/>
      <c r="K1600" s="25"/>
      <c r="L1600" s="25"/>
    </row>
    <row r="1601" spans="1:12" s="189" customFormat="1" ht="5.25" customHeight="1" x14ac:dyDescent="0.2">
      <c r="A1601" s="25"/>
      <c r="B1601" s="25"/>
      <c r="C1601" s="25"/>
      <c r="D1601" s="25"/>
      <c r="E1601" s="25"/>
      <c r="F1601" s="25"/>
      <c r="G1601" s="25"/>
      <c r="H1601" s="25"/>
      <c r="I1601" s="25"/>
      <c r="J1601" s="25"/>
      <c r="K1601" s="25"/>
      <c r="L1601" s="25"/>
    </row>
    <row r="1602" spans="1:12" s="189" customFormat="1" ht="5.25" customHeight="1" x14ac:dyDescent="0.2">
      <c r="A1602" s="25"/>
      <c r="B1602" s="25"/>
      <c r="C1602" s="25"/>
      <c r="D1602" s="25"/>
      <c r="E1602" s="25"/>
      <c r="F1602" s="25"/>
      <c r="G1602" s="25"/>
      <c r="H1602" s="25"/>
      <c r="I1602" s="25"/>
      <c r="J1602" s="25"/>
      <c r="K1602" s="25"/>
      <c r="L1602" s="25"/>
    </row>
    <row r="1603" spans="1:12" s="189" customFormat="1" ht="5.25" customHeight="1" x14ac:dyDescent="0.2">
      <c r="A1603" s="25"/>
      <c r="B1603" s="25"/>
      <c r="C1603" s="25"/>
      <c r="D1603" s="25"/>
      <c r="E1603" s="25"/>
      <c r="F1603" s="25"/>
      <c r="G1603" s="25"/>
      <c r="H1603" s="25"/>
      <c r="I1603" s="25"/>
      <c r="J1603" s="25"/>
      <c r="K1603" s="25"/>
      <c r="L1603" s="25"/>
    </row>
    <row r="1604" spans="1:12" s="189" customFormat="1" ht="5.25" customHeight="1" x14ac:dyDescent="0.2">
      <c r="A1604" s="25"/>
      <c r="B1604" s="25"/>
      <c r="C1604" s="25"/>
      <c r="D1604" s="25"/>
      <c r="E1604" s="25"/>
      <c r="F1604" s="25"/>
      <c r="G1604" s="25"/>
      <c r="H1604" s="25"/>
      <c r="I1604" s="25"/>
      <c r="J1604" s="25"/>
      <c r="K1604" s="25"/>
      <c r="L1604" s="25"/>
    </row>
    <row r="1605" spans="1:12" s="189" customFormat="1" ht="5.25" customHeight="1" x14ac:dyDescent="0.2">
      <c r="A1605" s="25"/>
      <c r="B1605" s="25"/>
      <c r="C1605" s="25"/>
      <c r="D1605" s="25"/>
      <c r="E1605" s="25"/>
      <c r="F1605" s="25"/>
      <c r="G1605" s="25"/>
      <c r="H1605" s="25"/>
      <c r="I1605" s="25"/>
      <c r="J1605" s="25"/>
      <c r="K1605" s="25"/>
      <c r="L1605" s="25"/>
    </row>
    <row r="1606" spans="1:12" s="189" customFormat="1" ht="5.25" customHeight="1" x14ac:dyDescent="0.2">
      <c r="A1606" s="25"/>
      <c r="B1606" s="25"/>
      <c r="C1606" s="25"/>
      <c r="D1606" s="25"/>
      <c r="E1606" s="25"/>
      <c r="F1606" s="25"/>
      <c r="G1606" s="25"/>
      <c r="H1606" s="25"/>
      <c r="I1606" s="25"/>
      <c r="J1606" s="25"/>
      <c r="K1606" s="25"/>
      <c r="L1606" s="25"/>
    </row>
    <row r="1607" spans="1:12" s="189" customFormat="1" ht="5.25" customHeight="1" x14ac:dyDescent="0.2">
      <c r="A1607" s="25"/>
      <c r="B1607" s="25"/>
      <c r="C1607" s="25"/>
      <c r="D1607" s="25"/>
      <c r="E1607" s="25"/>
      <c r="F1607" s="25"/>
      <c r="G1607" s="25"/>
      <c r="H1607" s="25"/>
      <c r="I1607" s="25"/>
      <c r="J1607" s="25"/>
      <c r="K1607" s="25"/>
      <c r="L1607" s="25"/>
    </row>
    <row r="1608" spans="1:12" s="189" customFormat="1" ht="5.25" customHeight="1" x14ac:dyDescent="0.2">
      <c r="A1608" s="25"/>
      <c r="B1608" s="25"/>
      <c r="C1608" s="25"/>
      <c r="D1608" s="25"/>
      <c r="E1608" s="25"/>
      <c r="F1608" s="25"/>
      <c r="G1608" s="25"/>
      <c r="H1608" s="25"/>
      <c r="I1608" s="25"/>
      <c r="J1608" s="25"/>
      <c r="K1608" s="25"/>
      <c r="L1608" s="25"/>
    </row>
    <row r="1609" spans="1:12" s="189" customFormat="1" ht="5.25" customHeight="1" x14ac:dyDescent="0.2">
      <c r="A1609" s="25"/>
      <c r="B1609" s="25"/>
      <c r="C1609" s="25"/>
      <c r="D1609" s="25"/>
      <c r="E1609" s="25"/>
      <c r="F1609" s="25"/>
      <c r="G1609" s="25"/>
      <c r="H1609" s="25"/>
      <c r="I1609" s="25"/>
      <c r="J1609" s="25"/>
      <c r="K1609" s="25"/>
      <c r="L1609" s="25"/>
    </row>
    <row r="1610" spans="1:12" s="189" customFormat="1" ht="5.25" customHeight="1" x14ac:dyDescent="0.2">
      <c r="A1610" s="25"/>
      <c r="B1610" s="25"/>
      <c r="C1610" s="25"/>
      <c r="D1610" s="25"/>
      <c r="E1610" s="25"/>
      <c r="F1610" s="25"/>
      <c r="G1610" s="25"/>
      <c r="H1610" s="25"/>
      <c r="I1610" s="25"/>
      <c r="J1610" s="25"/>
      <c r="K1610" s="25"/>
      <c r="L1610" s="25"/>
    </row>
    <row r="1611" spans="1:12" s="189" customFormat="1" ht="5.25" customHeight="1" x14ac:dyDescent="0.2">
      <c r="A1611" s="25"/>
      <c r="B1611" s="25"/>
      <c r="C1611" s="25"/>
      <c r="D1611" s="25"/>
      <c r="E1611" s="25"/>
      <c r="F1611" s="25"/>
      <c r="G1611" s="25"/>
      <c r="H1611" s="25"/>
      <c r="I1611" s="25"/>
      <c r="J1611" s="25"/>
      <c r="K1611" s="25"/>
      <c r="L1611" s="25"/>
    </row>
    <row r="1612" spans="1:12" s="189" customFormat="1" ht="5.25" customHeight="1" x14ac:dyDescent="0.2">
      <c r="A1612" s="25"/>
      <c r="B1612" s="25"/>
      <c r="C1612" s="25"/>
      <c r="D1612" s="25"/>
      <c r="E1612" s="25"/>
      <c r="F1612" s="25"/>
      <c r="G1612" s="25"/>
      <c r="H1612" s="25"/>
      <c r="I1612" s="25"/>
      <c r="J1612" s="25"/>
      <c r="K1612" s="25"/>
      <c r="L1612" s="25"/>
    </row>
    <row r="1613" spans="1:12" s="189" customFormat="1" ht="5.25" customHeight="1" x14ac:dyDescent="0.2">
      <c r="A1613" s="25"/>
      <c r="B1613" s="25"/>
      <c r="C1613" s="25"/>
      <c r="D1613" s="25"/>
      <c r="E1613" s="25"/>
      <c r="F1613" s="25"/>
      <c r="G1613" s="25"/>
      <c r="H1613" s="25"/>
      <c r="I1613" s="25"/>
      <c r="J1613" s="25"/>
      <c r="K1613" s="25"/>
      <c r="L1613" s="25"/>
    </row>
    <row r="1614" spans="1:12" s="189" customFormat="1" ht="5.25" customHeight="1" x14ac:dyDescent="0.2">
      <c r="A1614" s="25"/>
      <c r="B1614" s="25"/>
      <c r="C1614" s="25"/>
      <c r="D1614" s="25"/>
      <c r="E1614" s="25"/>
      <c r="F1614" s="25"/>
      <c r="G1614" s="25"/>
      <c r="H1614" s="25"/>
      <c r="I1614" s="25"/>
      <c r="J1614" s="25"/>
      <c r="K1614" s="25"/>
      <c r="L1614" s="25"/>
    </row>
    <row r="1615" spans="1:12" s="189" customFormat="1" ht="5.25" customHeight="1" x14ac:dyDescent="0.2">
      <c r="A1615" s="25"/>
      <c r="B1615" s="25"/>
      <c r="C1615" s="25"/>
      <c r="D1615" s="25"/>
      <c r="E1615" s="25"/>
      <c r="F1615" s="25"/>
      <c r="G1615" s="25"/>
      <c r="H1615" s="25"/>
      <c r="I1615" s="25"/>
      <c r="J1615" s="25"/>
      <c r="K1615" s="25"/>
      <c r="L1615" s="25"/>
    </row>
    <row r="1616" spans="1:12" s="189" customFormat="1" ht="5.25" customHeight="1" x14ac:dyDescent="0.2">
      <c r="A1616" s="25"/>
      <c r="B1616" s="25"/>
      <c r="C1616" s="25"/>
      <c r="D1616" s="25"/>
      <c r="E1616" s="25"/>
      <c r="F1616" s="25"/>
      <c r="G1616" s="25"/>
      <c r="H1616" s="25"/>
      <c r="I1616" s="25"/>
      <c r="J1616" s="25"/>
      <c r="K1616" s="25"/>
      <c r="L1616" s="25"/>
    </row>
    <row r="1617" spans="1:12" s="189" customFormat="1" ht="5.25" customHeight="1" x14ac:dyDescent="0.2">
      <c r="A1617" s="25"/>
      <c r="B1617" s="25"/>
      <c r="C1617" s="25"/>
      <c r="D1617" s="25"/>
      <c r="E1617" s="25"/>
      <c r="F1617" s="25"/>
      <c r="G1617" s="25"/>
      <c r="H1617" s="25"/>
      <c r="I1617" s="25"/>
      <c r="J1617" s="25"/>
      <c r="K1617" s="25"/>
      <c r="L1617" s="25"/>
    </row>
    <row r="1618" spans="1:12" s="189" customFormat="1" ht="5.25" customHeight="1" x14ac:dyDescent="0.2">
      <c r="A1618" s="25"/>
      <c r="B1618" s="25"/>
      <c r="C1618" s="25"/>
      <c r="D1618" s="25"/>
      <c r="E1618" s="25"/>
      <c r="F1618" s="25"/>
      <c r="G1618" s="25"/>
      <c r="H1618" s="25"/>
      <c r="I1618" s="25"/>
      <c r="J1618" s="25"/>
      <c r="K1618" s="25"/>
      <c r="L1618" s="25"/>
    </row>
    <row r="1619" spans="1:12" s="189" customFormat="1" ht="5.25" customHeight="1" x14ac:dyDescent="0.2">
      <c r="A1619" s="25"/>
      <c r="B1619" s="25"/>
      <c r="C1619" s="25"/>
      <c r="D1619" s="25"/>
      <c r="E1619" s="25"/>
      <c r="F1619" s="25"/>
      <c r="G1619" s="25"/>
      <c r="H1619" s="25"/>
      <c r="I1619" s="25"/>
      <c r="J1619" s="25"/>
      <c r="K1619" s="25"/>
      <c r="L1619" s="25"/>
    </row>
    <row r="1620" spans="1:12" s="189" customFormat="1" ht="5.25" customHeight="1" x14ac:dyDescent="0.2">
      <c r="A1620" s="25"/>
      <c r="B1620" s="25"/>
      <c r="C1620" s="25"/>
      <c r="D1620" s="25"/>
      <c r="E1620" s="25"/>
      <c r="F1620" s="25"/>
      <c r="G1620" s="25"/>
      <c r="H1620" s="25"/>
      <c r="I1620" s="25"/>
      <c r="J1620" s="25"/>
      <c r="K1620" s="25"/>
      <c r="L1620" s="25"/>
    </row>
    <row r="1621" spans="1:12" s="189" customFormat="1" ht="5.25" customHeight="1" x14ac:dyDescent="0.2">
      <c r="A1621" s="25"/>
      <c r="B1621" s="25"/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</row>
    <row r="1622" spans="1:12" s="189" customFormat="1" ht="5.25" customHeight="1" x14ac:dyDescent="0.2">
      <c r="A1622" s="25"/>
      <c r="B1622" s="25"/>
      <c r="C1622" s="25"/>
      <c r="D1622" s="25"/>
      <c r="E1622" s="25"/>
      <c r="F1622" s="25"/>
      <c r="G1622" s="25"/>
      <c r="H1622" s="25"/>
      <c r="I1622" s="25"/>
      <c r="J1622" s="25"/>
      <c r="K1622" s="25"/>
      <c r="L1622" s="25"/>
    </row>
    <row r="1623" spans="1:12" s="189" customFormat="1" ht="5.25" customHeight="1" x14ac:dyDescent="0.2">
      <c r="A1623" s="25"/>
      <c r="B1623" s="25"/>
      <c r="C1623" s="25"/>
      <c r="D1623" s="25"/>
      <c r="E1623" s="25"/>
      <c r="F1623" s="25"/>
      <c r="G1623" s="25"/>
      <c r="H1623" s="25"/>
      <c r="I1623" s="25"/>
      <c r="J1623" s="25"/>
      <c r="K1623" s="25"/>
      <c r="L1623" s="25"/>
    </row>
    <row r="1624" spans="1:12" s="189" customFormat="1" ht="5.25" customHeight="1" x14ac:dyDescent="0.2">
      <c r="A1624" s="25"/>
      <c r="B1624" s="25"/>
      <c r="C1624" s="25"/>
      <c r="D1624" s="25"/>
      <c r="E1624" s="25"/>
      <c r="F1624" s="25"/>
      <c r="G1624" s="25"/>
      <c r="H1624" s="25"/>
      <c r="I1624" s="25"/>
      <c r="J1624" s="25"/>
      <c r="K1624" s="25"/>
      <c r="L1624" s="25"/>
    </row>
    <row r="1625" spans="1:12" s="189" customFormat="1" ht="5.25" customHeight="1" x14ac:dyDescent="0.2">
      <c r="A1625" s="25"/>
      <c r="B1625" s="25"/>
      <c r="C1625" s="25"/>
      <c r="D1625" s="25"/>
      <c r="E1625" s="25"/>
      <c r="F1625" s="25"/>
      <c r="G1625" s="25"/>
      <c r="H1625" s="25"/>
      <c r="I1625" s="25"/>
      <c r="J1625" s="25"/>
      <c r="K1625" s="25"/>
      <c r="L1625" s="25"/>
    </row>
    <row r="1626" spans="1:12" s="189" customFormat="1" ht="5.25" customHeight="1" x14ac:dyDescent="0.2">
      <c r="A1626" s="25"/>
      <c r="B1626" s="25"/>
      <c r="C1626" s="25"/>
      <c r="D1626" s="25"/>
      <c r="E1626" s="25"/>
      <c r="F1626" s="25"/>
      <c r="G1626" s="25"/>
      <c r="H1626" s="25"/>
      <c r="I1626" s="25"/>
      <c r="J1626" s="25"/>
      <c r="K1626" s="25"/>
      <c r="L1626" s="25"/>
    </row>
    <row r="1627" spans="1:12" s="189" customFormat="1" ht="5.25" customHeight="1" x14ac:dyDescent="0.2">
      <c r="A1627" s="25"/>
      <c r="B1627" s="25"/>
      <c r="C1627" s="25"/>
      <c r="D1627" s="25"/>
      <c r="E1627" s="25"/>
      <c r="F1627" s="25"/>
      <c r="G1627" s="25"/>
      <c r="H1627" s="25"/>
      <c r="I1627" s="25"/>
      <c r="J1627" s="25"/>
      <c r="K1627" s="25"/>
      <c r="L1627" s="25"/>
    </row>
    <row r="1628" spans="1:12" s="189" customFormat="1" ht="5.25" customHeight="1" x14ac:dyDescent="0.2">
      <c r="A1628" s="25"/>
      <c r="B1628" s="25"/>
      <c r="C1628" s="25"/>
      <c r="D1628" s="25"/>
      <c r="E1628" s="25"/>
      <c r="F1628" s="25"/>
      <c r="G1628" s="25"/>
      <c r="H1628" s="25"/>
      <c r="I1628" s="25"/>
      <c r="J1628" s="25"/>
      <c r="K1628" s="25"/>
      <c r="L1628" s="25"/>
    </row>
    <row r="1629" spans="1:12" s="189" customFormat="1" ht="5.25" customHeight="1" x14ac:dyDescent="0.2">
      <c r="A1629" s="25"/>
      <c r="B1629" s="25"/>
      <c r="C1629" s="25"/>
      <c r="D1629" s="25"/>
      <c r="E1629" s="25"/>
      <c r="F1629" s="25"/>
      <c r="G1629" s="25"/>
      <c r="H1629" s="25"/>
      <c r="I1629" s="25"/>
      <c r="J1629" s="25"/>
      <c r="K1629" s="25"/>
      <c r="L1629" s="25"/>
    </row>
    <row r="1630" spans="1:12" s="189" customFormat="1" ht="5.25" customHeight="1" x14ac:dyDescent="0.2">
      <c r="A1630" s="25"/>
      <c r="B1630" s="25"/>
      <c r="C1630" s="25"/>
      <c r="D1630" s="25"/>
      <c r="E1630" s="25"/>
      <c r="F1630" s="25"/>
      <c r="G1630" s="25"/>
      <c r="H1630" s="25"/>
      <c r="I1630" s="25"/>
      <c r="J1630" s="25"/>
      <c r="K1630" s="25"/>
      <c r="L1630" s="25"/>
    </row>
    <row r="1631" spans="1:12" s="189" customFormat="1" ht="5.25" customHeight="1" x14ac:dyDescent="0.2">
      <c r="A1631" s="25"/>
      <c r="B1631" s="25"/>
      <c r="C1631" s="25"/>
      <c r="D1631" s="25"/>
      <c r="E1631" s="25"/>
      <c r="F1631" s="25"/>
      <c r="G1631" s="25"/>
      <c r="H1631" s="25"/>
      <c r="I1631" s="25"/>
      <c r="J1631" s="25"/>
      <c r="K1631" s="25"/>
      <c r="L1631" s="25"/>
    </row>
    <row r="1632" spans="1:12" s="189" customFormat="1" ht="5.25" customHeight="1" x14ac:dyDescent="0.2">
      <c r="A1632" s="25"/>
      <c r="B1632" s="25"/>
      <c r="C1632" s="25"/>
      <c r="D1632" s="25"/>
      <c r="E1632" s="25"/>
      <c r="F1632" s="25"/>
      <c r="G1632" s="25"/>
      <c r="H1632" s="25"/>
      <c r="I1632" s="25"/>
      <c r="J1632" s="25"/>
      <c r="K1632" s="25"/>
      <c r="L1632" s="25"/>
    </row>
    <row r="1633" spans="1:12" s="189" customFormat="1" ht="5.25" customHeight="1" x14ac:dyDescent="0.2">
      <c r="A1633" s="25"/>
      <c r="B1633" s="25"/>
      <c r="C1633" s="25"/>
      <c r="D1633" s="25"/>
      <c r="E1633" s="25"/>
      <c r="F1633" s="25"/>
      <c r="G1633" s="25"/>
      <c r="H1633" s="25"/>
      <c r="I1633" s="25"/>
      <c r="J1633" s="25"/>
      <c r="K1633" s="25"/>
      <c r="L1633" s="25"/>
    </row>
    <row r="1634" spans="1:12" s="189" customFormat="1" ht="5.25" customHeight="1" x14ac:dyDescent="0.2">
      <c r="A1634" s="25"/>
      <c r="B1634" s="25"/>
      <c r="C1634" s="25"/>
      <c r="D1634" s="25"/>
      <c r="E1634" s="25"/>
      <c r="F1634" s="25"/>
      <c r="G1634" s="25"/>
      <c r="H1634" s="25"/>
      <c r="I1634" s="25"/>
      <c r="J1634" s="25"/>
      <c r="K1634" s="25"/>
      <c r="L1634" s="25"/>
    </row>
    <row r="1635" spans="1:12" s="189" customFormat="1" ht="5.25" customHeight="1" x14ac:dyDescent="0.2">
      <c r="A1635" s="25"/>
      <c r="B1635" s="25"/>
      <c r="C1635" s="25"/>
      <c r="D1635" s="25"/>
      <c r="E1635" s="25"/>
      <c r="F1635" s="25"/>
      <c r="G1635" s="25"/>
      <c r="H1635" s="25"/>
      <c r="I1635" s="25"/>
      <c r="J1635" s="25"/>
      <c r="K1635" s="25"/>
      <c r="L1635" s="25"/>
    </row>
    <row r="1636" spans="1:12" s="189" customFormat="1" ht="5.25" customHeight="1" x14ac:dyDescent="0.2">
      <c r="A1636" s="25"/>
      <c r="B1636" s="25"/>
      <c r="C1636" s="25"/>
      <c r="D1636" s="25"/>
      <c r="E1636" s="25"/>
      <c r="F1636" s="25"/>
      <c r="G1636" s="25"/>
      <c r="H1636" s="25"/>
      <c r="I1636" s="25"/>
      <c r="J1636" s="25"/>
      <c r="K1636" s="25"/>
      <c r="L1636" s="25"/>
    </row>
    <row r="1637" spans="1:12" s="189" customFormat="1" ht="5.25" customHeight="1" x14ac:dyDescent="0.2">
      <c r="A1637" s="25"/>
      <c r="B1637" s="25"/>
      <c r="C1637" s="25"/>
      <c r="D1637" s="25"/>
      <c r="E1637" s="25"/>
      <c r="F1637" s="25"/>
      <c r="G1637" s="25"/>
      <c r="H1637" s="25"/>
      <c r="I1637" s="25"/>
      <c r="J1637" s="25"/>
      <c r="K1637" s="25"/>
      <c r="L1637" s="25"/>
    </row>
    <row r="1638" spans="1:12" s="189" customFormat="1" ht="5.25" customHeight="1" x14ac:dyDescent="0.2">
      <c r="A1638" s="25"/>
      <c r="B1638" s="25"/>
      <c r="C1638" s="25"/>
      <c r="D1638" s="25"/>
      <c r="E1638" s="25"/>
      <c r="F1638" s="25"/>
      <c r="G1638" s="25"/>
      <c r="H1638" s="25"/>
      <c r="I1638" s="25"/>
      <c r="J1638" s="25"/>
      <c r="K1638" s="25"/>
      <c r="L1638" s="25"/>
    </row>
    <row r="1639" spans="1:12" s="189" customFormat="1" ht="5.25" customHeight="1" x14ac:dyDescent="0.2">
      <c r="A1639" s="25"/>
      <c r="B1639" s="25"/>
      <c r="C1639" s="25"/>
      <c r="D1639" s="25"/>
      <c r="E1639" s="25"/>
      <c r="F1639" s="25"/>
      <c r="G1639" s="25"/>
      <c r="H1639" s="25"/>
      <c r="I1639" s="25"/>
      <c r="J1639" s="25"/>
      <c r="K1639" s="25"/>
      <c r="L1639" s="25"/>
    </row>
    <row r="1640" spans="1:12" s="189" customFormat="1" ht="5.25" customHeight="1" x14ac:dyDescent="0.2">
      <c r="A1640" s="25"/>
      <c r="B1640" s="25"/>
      <c r="C1640" s="25"/>
      <c r="D1640" s="25"/>
      <c r="E1640" s="25"/>
      <c r="F1640" s="25"/>
      <c r="G1640" s="25"/>
      <c r="H1640" s="25"/>
      <c r="I1640" s="25"/>
      <c r="J1640" s="25"/>
      <c r="K1640" s="25"/>
      <c r="L1640" s="25"/>
    </row>
    <row r="1641" spans="1:12" s="189" customFormat="1" ht="5.25" customHeight="1" x14ac:dyDescent="0.2">
      <c r="A1641" s="25"/>
      <c r="B1641" s="25"/>
      <c r="C1641" s="25"/>
      <c r="D1641" s="25"/>
      <c r="E1641" s="25"/>
      <c r="F1641" s="25"/>
      <c r="G1641" s="25"/>
      <c r="H1641" s="25"/>
      <c r="I1641" s="25"/>
      <c r="J1641" s="25"/>
      <c r="K1641" s="25"/>
      <c r="L1641" s="25"/>
    </row>
    <row r="1642" spans="1:12" s="189" customFormat="1" ht="5.25" customHeight="1" x14ac:dyDescent="0.2">
      <c r="A1642" s="25"/>
      <c r="B1642" s="25"/>
      <c r="C1642" s="25"/>
      <c r="D1642" s="25"/>
      <c r="E1642" s="25"/>
      <c r="F1642" s="25"/>
      <c r="G1642" s="25"/>
      <c r="H1642" s="25"/>
      <c r="I1642" s="25"/>
      <c r="J1642" s="25"/>
      <c r="K1642" s="25"/>
      <c r="L1642" s="25"/>
    </row>
    <row r="1643" spans="1:12" s="189" customFormat="1" ht="5.25" customHeight="1" x14ac:dyDescent="0.2">
      <c r="A1643" s="25"/>
      <c r="B1643" s="25"/>
      <c r="C1643" s="25"/>
      <c r="D1643" s="25"/>
      <c r="E1643" s="25"/>
      <c r="F1643" s="25"/>
      <c r="G1643" s="25"/>
      <c r="H1643" s="25"/>
      <c r="I1643" s="25"/>
      <c r="J1643" s="25"/>
      <c r="K1643" s="25"/>
      <c r="L1643" s="25"/>
    </row>
    <row r="1644" spans="1:12" s="189" customFormat="1" ht="5.25" customHeight="1" x14ac:dyDescent="0.2">
      <c r="A1644" s="25"/>
      <c r="B1644" s="25"/>
      <c r="C1644" s="25"/>
      <c r="D1644" s="25"/>
      <c r="E1644" s="25"/>
      <c r="F1644" s="25"/>
      <c r="G1644" s="25"/>
      <c r="H1644" s="25"/>
      <c r="I1644" s="25"/>
      <c r="J1644" s="25"/>
      <c r="K1644" s="25"/>
      <c r="L1644" s="25"/>
    </row>
    <row r="1645" spans="1:12" s="189" customFormat="1" ht="5.25" customHeight="1" x14ac:dyDescent="0.2">
      <c r="A1645" s="25"/>
      <c r="B1645" s="25"/>
      <c r="C1645" s="25"/>
      <c r="D1645" s="25"/>
      <c r="E1645" s="25"/>
      <c r="F1645" s="25"/>
      <c r="G1645" s="25"/>
      <c r="H1645" s="25"/>
      <c r="I1645" s="25"/>
      <c r="J1645" s="25"/>
      <c r="K1645" s="25"/>
      <c r="L1645" s="25"/>
    </row>
    <row r="1646" spans="1:12" s="189" customFormat="1" ht="5.25" customHeight="1" x14ac:dyDescent="0.2">
      <c r="A1646" s="25"/>
      <c r="B1646" s="25"/>
      <c r="C1646" s="25"/>
      <c r="D1646" s="25"/>
      <c r="E1646" s="25"/>
      <c r="F1646" s="25"/>
      <c r="G1646" s="25"/>
      <c r="H1646" s="25"/>
      <c r="I1646" s="25"/>
      <c r="J1646" s="25"/>
      <c r="K1646" s="25"/>
      <c r="L1646" s="25"/>
    </row>
    <row r="1647" spans="1:12" s="189" customFormat="1" ht="5.25" customHeight="1" x14ac:dyDescent="0.2">
      <c r="A1647" s="25"/>
      <c r="B1647" s="25"/>
      <c r="C1647" s="25"/>
      <c r="D1647" s="25"/>
      <c r="E1647" s="25"/>
      <c r="F1647" s="25"/>
      <c r="G1647" s="25"/>
      <c r="H1647" s="25"/>
      <c r="I1647" s="25"/>
      <c r="J1647" s="25"/>
      <c r="K1647" s="25"/>
      <c r="L1647" s="25"/>
    </row>
    <row r="1648" spans="1:12" s="189" customFormat="1" ht="5.25" customHeight="1" x14ac:dyDescent="0.2">
      <c r="A1648" s="25"/>
      <c r="B1648" s="25"/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</row>
    <row r="1649" spans="1:12" s="189" customFormat="1" ht="5.25" customHeight="1" x14ac:dyDescent="0.2">
      <c r="A1649" s="25"/>
      <c r="B1649" s="25"/>
      <c r="C1649" s="25"/>
      <c r="D1649" s="25"/>
      <c r="E1649" s="25"/>
      <c r="F1649" s="25"/>
      <c r="G1649" s="25"/>
      <c r="H1649" s="25"/>
      <c r="I1649" s="25"/>
      <c r="J1649" s="25"/>
      <c r="K1649" s="25"/>
      <c r="L1649" s="25"/>
    </row>
    <row r="1650" spans="1:12" s="189" customFormat="1" ht="5.25" customHeight="1" x14ac:dyDescent="0.2">
      <c r="A1650" s="25"/>
      <c r="B1650" s="25"/>
      <c r="C1650" s="25"/>
      <c r="D1650" s="25"/>
      <c r="E1650" s="25"/>
      <c r="F1650" s="25"/>
      <c r="G1650" s="25"/>
      <c r="H1650" s="25"/>
      <c r="I1650" s="25"/>
      <c r="J1650" s="25"/>
      <c r="K1650" s="25"/>
      <c r="L1650" s="25"/>
    </row>
    <row r="1651" spans="1:12" s="189" customFormat="1" ht="5.25" customHeight="1" x14ac:dyDescent="0.2">
      <c r="A1651" s="25"/>
      <c r="B1651" s="25"/>
      <c r="C1651" s="25"/>
      <c r="D1651" s="25"/>
      <c r="E1651" s="25"/>
      <c r="F1651" s="25"/>
      <c r="G1651" s="25"/>
      <c r="H1651" s="25"/>
      <c r="I1651" s="25"/>
      <c r="J1651" s="25"/>
      <c r="K1651" s="25"/>
      <c r="L1651" s="25"/>
    </row>
    <row r="1652" spans="1:12" s="189" customFormat="1" ht="5.25" customHeight="1" x14ac:dyDescent="0.2">
      <c r="A1652" s="25"/>
      <c r="B1652" s="25"/>
      <c r="C1652" s="25"/>
      <c r="D1652" s="25"/>
      <c r="E1652" s="25"/>
      <c r="F1652" s="25"/>
      <c r="G1652" s="25"/>
      <c r="H1652" s="25"/>
      <c r="I1652" s="25"/>
      <c r="J1652" s="25"/>
      <c r="K1652" s="25"/>
      <c r="L1652" s="25"/>
    </row>
    <row r="1653" spans="1:12" s="189" customFormat="1" ht="5.25" customHeight="1" x14ac:dyDescent="0.2">
      <c r="A1653" s="25"/>
      <c r="B1653" s="25"/>
      <c r="C1653" s="25"/>
      <c r="D1653" s="25"/>
      <c r="E1653" s="25"/>
      <c r="F1653" s="25"/>
      <c r="G1653" s="25"/>
      <c r="H1653" s="25"/>
      <c r="I1653" s="25"/>
      <c r="J1653" s="25"/>
      <c r="K1653" s="25"/>
      <c r="L1653" s="25"/>
    </row>
    <row r="1654" spans="1:12" s="189" customFormat="1" ht="5.25" customHeight="1" x14ac:dyDescent="0.2">
      <c r="A1654" s="25"/>
      <c r="B1654" s="25"/>
      <c r="C1654" s="25"/>
      <c r="D1654" s="25"/>
      <c r="E1654" s="25"/>
      <c r="F1654" s="25"/>
      <c r="G1654" s="25"/>
      <c r="H1654" s="25"/>
      <c r="I1654" s="25"/>
      <c r="J1654" s="25"/>
      <c r="K1654" s="25"/>
      <c r="L1654" s="25"/>
    </row>
    <row r="1655" spans="1:12" s="189" customFormat="1" ht="5.25" customHeight="1" x14ac:dyDescent="0.2">
      <c r="A1655" s="25"/>
      <c r="B1655" s="25"/>
      <c r="C1655" s="25"/>
      <c r="D1655" s="25"/>
      <c r="E1655" s="25"/>
      <c r="F1655" s="25"/>
      <c r="G1655" s="25"/>
      <c r="H1655" s="25"/>
      <c r="I1655" s="25"/>
      <c r="J1655" s="25"/>
      <c r="K1655" s="25"/>
      <c r="L1655" s="25"/>
    </row>
    <row r="1656" spans="1:12" s="189" customFormat="1" ht="5.25" customHeight="1" x14ac:dyDescent="0.2">
      <c r="A1656" s="25"/>
      <c r="B1656" s="25"/>
      <c r="C1656" s="25"/>
      <c r="D1656" s="25"/>
      <c r="E1656" s="25"/>
      <c r="F1656" s="25"/>
      <c r="G1656" s="25"/>
      <c r="H1656" s="25"/>
      <c r="I1656" s="25"/>
      <c r="J1656" s="25"/>
      <c r="K1656" s="25"/>
      <c r="L1656" s="25"/>
    </row>
    <row r="1657" spans="1:12" s="189" customFormat="1" ht="5.25" customHeight="1" x14ac:dyDescent="0.2">
      <c r="A1657" s="25"/>
      <c r="B1657" s="25"/>
      <c r="C1657" s="25"/>
      <c r="D1657" s="25"/>
      <c r="E1657" s="25"/>
      <c r="F1657" s="25"/>
      <c r="G1657" s="25"/>
      <c r="H1657" s="25"/>
      <c r="I1657" s="25"/>
      <c r="J1657" s="25"/>
      <c r="K1657" s="25"/>
      <c r="L1657" s="25"/>
    </row>
    <row r="1658" spans="1:12" s="189" customFormat="1" ht="5.25" customHeight="1" x14ac:dyDescent="0.2">
      <c r="A1658" s="25"/>
      <c r="B1658" s="25"/>
      <c r="C1658" s="25"/>
      <c r="D1658" s="25"/>
      <c r="E1658" s="25"/>
      <c r="F1658" s="25"/>
      <c r="G1658" s="25"/>
      <c r="H1658" s="25"/>
      <c r="I1658" s="25"/>
      <c r="J1658" s="25"/>
      <c r="K1658" s="25"/>
      <c r="L1658" s="25"/>
    </row>
    <row r="1659" spans="1:12" s="189" customFormat="1" ht="5.25" customHeight="1" x14ac:dyDescent="0.2">
      <c r="A1659" s="25"/>
      <c r="B1659" s="25"/>
      <c r="C1659" s="25"/>
      <c r="D1659" s="25"/>
      <c r="E1659" s="25"/>
      <c r="F1659" s="25"/>
      <c r="G1659" s="25"/>
      <c r="H1659" s="25"/>
      <c r="I1659" s="25"/>
      <c r="J1659" s="25"/>
      <c r="K1659" s="25"/>
      <c r="L1659" s="25"/>
    </row>
    <row r="1660" spans="1:12" s="189" customFormat="1" ht="5.25" customHeight="1" x14ac:dyDescent="0.2">
      <c r="A1660" s="25"/>
      <c r="B1660" s="25"/>
      <c r="C1660" s="25"/>
      <c r="D1660" s="25"/>
      <c r="E1660" s="25"/>
      <c r="F1660" s="25"/>
      <c r="G1660" s="25"/>
      <c r="H1660" s="25"/>
      <c r="I1660" s="25"/>
      <c r="J1660" s="25"/>
      <c r="K1660" s="25"/>
      <c r="L1660" s="25"/>
    </row>
    <row r="1661" spans="1:12" s="189" customFormat="1" ht="5.25" customHeight="1" x14ac:dyDescent="0.2">
      <c r="A1661" s="25"/>
      <c r="B1661" s="25"/>
      <c r="C1661" s="25"/>
      <c r="D1661" s="25"/>
      <c r="E1661" s="25"/>
      <c r="F1661" s="25"/>
      <c r="G1661" s="25"/>
      <c r="H1661" s="25"/>
      <c r="I1661" s="25"/>
      <c r="J1661" s="25"/>
      <c r="K1661" s="25"/>
      <c r="L1661" s="25"/>
    </row>
    <row r="1662" spans="1:12" s="189" customFormat="1" ht="5.25" customHeight="1" x14ac:dyDescent="0.2">
      <c r="A1662" s="25"/>
      <c r="B1662" s="25"/>
      <c r="C1662" s="25"/>
      <c r="D1662" s="25"/>
      <c r="E1662" s="25"/>
      <c r="F1662" s="25"/>
      <c r="G1662" s="25"/>
      <c r="H1662" s="25"/>
      <c r="I1662" s="25"/>
      <c r="J1662" s="25"/>
      <c r="K1662" s="25"/>
      <c r="L1662" s="25"/>
    </row>
    <row r="1663" spans="1:12" s="189" customFormat="1" ht="5.25" customHeight="1" x14ac:dyDescent="0.2">
      <c r="A1663" s="25"/>
      <c r="B1663" s="25"/>
      <c r="C1663" s="25"/>
      <c r="D1663" s="25"/>
      <c r="E1663" s="25"/>
      <c r="F1663" s="25"/>
      <c r="G1663" s="25"/>
      <c r="H1663" s="25"/>
      <c r="I1663" s="25"/>
      <c r="J1663" s="25"/>
      <c r="K1663" s="25"/>
      <c r="L1663" s="25"/>
    </row>
    <row r="1664" spans="1:12" s="189" customFormat="1" ht="5.25" customHeight="1" x14ac:dyDescent="0.2">
      <c r="A1664" s="25"/>
      <c r="B1664" s="25"/>
      <c r="C1664" s="25"/>
      <c r="D1664" s="25"/>
      <c r="E1664" s="25"/>
      <c r="F1664" s="25"/>
      <c r="G1664" s="25"/>
      <c r="H1664" s="25"/>
      <c r="I1664" s="25"/>
      <c r="J1664" s="25"/>
      <c r="K1664" s="25"/>
      <c r="L1664" s="25"/>
    </row>
    <row r="1665" spans="1:12" s="189" customFormat="1" ht="5.25" customHeight="1" x14ac:dyDescent="0.2">
      <c r="A1665" s="25"/>
      <c r="B1665" s="25"/>
      <c r="C1665" s="25"/>
      <c r="D1665" s="25"/>
      <c r="E1665" s="25"/>
      <c r="F1665" s="25"/>
      <c r="G1665" s="25"/>
      <c r="H1665" s="25"/>
      <c r="I1665" s="25"/>
      <c r="J1665" s="25"/>
      <c r="K1665" s="25"/>
      <c r="L1665" s="25"/>
    </row>
    <row r="1666" spans="1:12" s="189" customFormat="1" ht="5.25" customHeight="1" x14ac:dyDescent="0.2">
      <c r="A1666" s="25"/>
      <c r="B1666" s="25"/>
      <c r="C1666" s="25"/>
      <c r="D1666" s="25"/>
      <c r="E1666" s="25"/>
      <c r="F1666" s="25"/>
      <c r="G1666" s="25"/>
      <c r="H1666" s="25"/>
      <c r="I1666" s="25"/>
      <c r="J1666" s="25"/>
      <c r="K1666" s="25"/>
      <c r="L1666" s="25"/>
    </row>
    <row r="1667" spans="1:12" s="189" customFormat="1" ht="5.25" customHeight="1" x14ac:dyDescent="0.2">
      <c r="A1667" s="25"/>
      <c r="B1667" s="25"/>
      <c r="C1667" s="25"/>
      <c r="D1667" s="25"/>
      <c r="E1667" s="25"/>
      <c r="F1667" s="25"/>
      <c r="G1667" s="25"/>
      <c r="H1667" s="25"/>
      <c r="I1667" s="25"/>
      <c r="J1667" s="25"/>
      <c r="K1667" s="25"/>
      <c r="L1667" s="25"/>
    </row>
    <row r="1668" spans="1:12" s="189" customFormat="1" ht="5.25" customHeight="1" x14ac:dyDescent="0.2">
      <c r="A1668" s="25"/>
      <c r="B1668" s="25"/>
      <c r="C1668" s="25"/>
      <c r="D1668" s="25"/>
      <c r="E1668" s="25"/>
      <c r="F1668" s="25"/>
      <c r="G1668" s="25"/>
      <c r="H1668" s="25"/>
      <c r="I1668" s="25"/>
      <c r="J1668" s="25"/>
      <c r="K1668" s="25"/>
      <c r="L1668" s="25"/>
    </row>
    <row r="1669" spans="1:12" s="189" customFormat="1" ht="5.25" customHeight="1" x14ac:dyDescent="0.2">
      <c r="A1669" s="25"/>
      <c r="B1669" s="25"/>
      <c r="C1669" s="25"/>
      <c r="D1669" s="25"/>
      <c r="E1669" s="25"/>
      <c r="F1669" s="25"/>
      <c r="G1669" s="25"/>
      <c r="H1669" s="25"/>
      <c r="I1669" s="25"/>
      <c r="J1669" s="25"/>
      <c r="K1669" s="25"/>
      <c r="L1669" s="25"/>
    </row>
    <row r="1670" spans="1:12" s="189" customFormat="1" ht="5.25" customHeight="1" x14ac:dyDescent="0.2">
      <c r="A1670" s="25"/>
      <c r="B1670" s="25"/>
      <c r="C1670" s="25"/>
      <c r="D1670" s="25"/>
      <c r="E1670" s="25"/>
      <c r="F1670" s="25"/>
      <c r="G1670" s="25"/>
      <c r="H1670" s="25"/>
      <c r="I1670" s="25"/>
      <c r="J1670" s="25"/>
      <c r="K1670" s="25"/>
      <c r="L1670" s="25"/>
    </row>
    <row r="1671" spans="1:12" s="189" customFormat="1" ht="5.25" customHeight="1" x14ac:dyDescent="0.2">
      <c r="A1671" s="25"/>
      <c r="B1671" s="25"/>
      <c r="C1671" s="25"/>
      <c r="D1671" s="25"/>
      <c r="E1671" s="25"/>
      <c r="F1671" s="25"/>
      <c r="G1671" s="25"/>
      <c r="H1671" s="25"/>
      <c r="I1671" s="25"/>
      <c r="J1671" s="25"/>
      <c r="K1671" s="25"/>
      <c r="L1671" s="25"/>
    </row>
    <row r="1672" spans="1:12" s="189" customFormat="1" ht="5.25" customHeight="1" x14ac:dyDescent="0.2">
      <c r="A1672" s="25"/>
      <c r="B1672" s="25"/>
      <c r="C1672" s="25"/>
      <c r="D1672" s="25"/>
      <c r="E1672" s="25"/>
      <c r="F1672" s="25"/>
      <c r="G1672" s="25"/>
      <c r="H1672" s="25"/>
      <c r="I1672" s="25"/>
      <c r="J1672" s="25"/>
      <c r="K1672" s="25"/>
      <c r="L1672" s="25"/>
    </row>
    <row r="1673" spans="1:12" s="189" customFormat="1" ht="5.25" customHeight="1" x14ac:dyDescent="0.2">
      <c r="A1673" s="25"/>
      <c r="B1673" s="25"/>
      <c r="C1673" s="25"/>
      <c r="D1673" s="25"/>
      <c r="E1673" s="25"/>
      <c r="F1673" s="25"/>
      <c r="G1673" s="25"/>
      <c r="H1673" s="25"/>
      <c r="I1673" s="25"/>
      <c r="J1673" s="25"/>
      <c r="K1673" s="25"/>
      <c r="L1673" s="25"/>
    </row>
    <row r="1674" spans="1:12" s="189" customFormat="1" ht="5.25" customHeight="1" x14ac:dyDescent="0.2">
      <c r="A1674" s="25"/>
      <c r="B1674" s="25"/>
      <c r="C1674" s="25"/>
      <c r="D1674" s="25"/>
      <c r="E1674" s="25"/>
      <c r="F1674" s="25"/>
      <c r="G1674" s="25"/>
      <c r="H1674" s="25"/>
      <c r="I1674" s="25"/>
      <c r="J1674" s="25"/>
      <c r="K1674" s="25"/>
      <c r="L1674" s="25"/>
    </row>
    <row r="1675" spans="1:12" s="189" customFormat="1" ht="5.25" customHeight="1" x14ac:dyDescent="0.2">
      <c r="A1675" s="25"/>
      <c r="B1675" s="25"/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</row>
    <row r="1676" spans="1:12" s="189" customFormat="1" ht="5.25" customHeight="1" x14ac:dyDescent="0.2">
      <c r="A1676" s="25"/>
      <c r="B1676" s="25"/>
      <c r="C1676" s="25"/>
      <c r="D1676" s="25"/>
      <c r="E1676" s="25"/>
      <c r="F1676" s="25"/>
      <c r="G1676" s="25"/>
      <c r="H1676" s="25"/>
      <c r="I1676" s="25"/>
      <c r="J1676" s="25"/>
      <c r="K1676" s="25"/>
      <c r="L1676" s="25"/>
    </row>
    <row r="1677" spans="1:12" s="189" customFormat="1" ht="5.25" customHeight="1" x14ac:dyDescent="0.2">
      <c r="A1677" s="25"/>
      <c r="B1677" s="25"/>
      <c r="C1677" s="25"/>
      <c r="D1677" s="25"/>
      <c r="E1677" s="25"/>
      <c r="F1677" s="25"/>
      <c r="G1677" s="25"/>
      <c r="H1677" s="25"/>
      <c r="I1677" s="25"/>
      <c r="J1677" s="25"/>
      <c r="K1677" s="25"/>
      <c r="L1677" s="25"/>
    </row>
    <row r="1678" spans="1:12" s="189" customFormat="1" ht="5.25" customHeight="1" x14ac:dyDescent="0.2">
      <c r="A1678" s="25"/>
      <c r="B1678" s="25"/>
      <c r="C1678" s="25"/>
      <c r="D1678" s="25"/>
      <c r="E1678" s="25"/>
      <c r="F1678" s="25"/>
      <c r="G1678" s="25"/>
      <c r="H1678" s="25"/>
      <c r="I1678" s="25"/>
      <c r="J1678" s="25"/>
      <c r="K1678" s="25"/>
      <c r="L1678" s="25"/>
    </row>
    <row r="1679" spans="1:12" s="189" customFormat="1" ht="5.25" customHeight="1" x14ac:dyDescent="0.2">
      <c r="A1679" s="25"/>
      <c r="B1679" s="25"/>
      <c r="C1679" s="25"/>
      <c r="D1679" s="25"/>
      <c r="E1679" s="25"/>
      <c r="F1679" s="25"/>
      <c r="G1679" s="25"/>
      <c r="H1679" s="25"/>
      <c r="I1679" s="25"/>
      <c r="J1679" s="25"/>
      <c r="K1679" s="25"/>
      <c r="L1679" s="25"/>
    </row>
    <row r="1680" spans="1:12" s="189" customFormat="1" ht="5.25" customHeight="1" x14ac:dyDescent="0.2">
      <c r="A1680" s="25"/>
      <c r="B1680" s="25"/>
      <c r="C1680" s="25"/>
      <c r="D1680" s="25"/>
      <c r="E1680" s="25"/>
      <c r="F1680" s="25"/>
      <c r="G1680" s="25"/>
      <c r="H1680" s="25"/>
      <c r="I1680" s="25"/>
      <c r="J1680" s="25"/>
      <c r="K1680" s="25"/>
      <c r="L1680" s="25"/>
    </row>
    <row r="1681" spans="1:12" s="189" customFormat="1" ht="5.25" customHeight="1" x14ac:dyDescent="0.2">
      <c r="A1681" s="25"/>
      <c r="B1681" s="25"/>
      <c r="C1681" s="25"/>
      <c r="D1681" s="25"/>
      <c r="E1681" s="25"/>
      <c r="F1681" s="25"/>
      <c r="G1681" s="25"/>
      <c r="H1681" s="25"/>
      <c r="I1681" s="25"/>
      <c r="J1681" s="25"/>
      <c r="K1681" s="25"/>
      <c r="L1681" s="25"/>
    </row>
    <row r="1682" spans="1:12" s="189" customFormat="1" ht="5.25" customHeight="1" x14ac:dyDescent="0.2">
      <c r="A1682" s="25"/>
      <c r="B1682" s="25"/>
      <c r="C1682" s="25"/>
      <c r="D1682" s="25"/>
      <c r="E1682" s="25"/>
      <c r="F1682" s="25"/>
      <c r="G1682" s="25"/>
      <c r="H1682" s="25"/>
      <c r="I1682" s="25"/>
      <c r="J1682" s="25"/>
      <c r="K1682" s="25"/>
      <c r="L1682" s="25"/>
    </row>
    <row r="1683" spans="1:12" s="189" customFormat="1" ht="5.25" customHeight="1" x14ac:dyDescent="0.2">
      <c r="A1683" s="25"/>
      <c r="B1683" s="25"/>
      <c r="C1683" s="25"/>
      <c r="D1683" s="25"/>
      <c r="E1683" s="25"/>
      <c r="F1683" s="25"/>
      <c r="G1683" s="25"/>
      <c r="H1683" s="25"/>
      <c r="I1683" s="25"/>
      <c r="J1683" s="25"/>
      <c r="K1683" s="25"/>
      <c r="L1683" s="25"/>
    </row>
    <row r="1684" spans="1:12" s="189" customFormat="1" ht="5.25" customHeight="1" x14ac:dyDescent="0.2">
      <c r="A1684" s="25"/>
      <c r="B1684" s="25"/>
      <c r="C1684" s="25"/>
      <c r="D1684" s="25"/>
      <c r="E1684" s="25"/>
      <c r="F1684" s="25"/>
      <c r="G1684" s="25"/>
      <c r="H1684" s="25"/>
      <c r="I1684" s="25"/>
      <c r="J1684" s="25"/>
      <c r="K1684" s="25"/>
      <c r="L1684" s="25"/>
    </row>
    <row r="1685" spans="1:12" s="189" customFormat="1" ht="5.25" customHeight="1" x14ac:dyDescent="0.2">
      <c r="A1685" s="25"/>
      <c r="B1685" s="25"/>
      <c r="C1685" s="25"/>
      <c r="D1685" s="25"/>
      <c r="E1685" s="25"/>
      <c r="F1685" s="25"/>
      <c r="G1685" s="25"/>
      <c r="H1685" s="25"/>
      <c r="I1685" s="25"/>
      <c r="J1685" s="25"/>
      <c r="K1685" s="25"/>
      <c r="L1685" s="25"/>
    </row>
    <row r="1686" spans="1:12" s="189" customFormat="1" ht="5.25" customHeight="1" x14ac:dyDescent="0.2">
      <c r="A1686" s="25"/>
      <c r="B1686" s="25"/>
      <c r="C1686" s="25"/>
      <c r="D1686" s="25"/>
      <c r="E1686" s="25"/>
      <c r="F1686" s="25"/>
      <c r="G1686" s="25"/>
      <c r="H1686" s="25"/>
      <c r="I1686" s="25"/>
      <c r="J1686" s="25"/>
      <c r="K1686" s="25"/>
      <c r="L1686" s="25"/>
    </row>
    <row r="1687" spans="1:12" s="189" customFormat="1" ht="5.25" customHeight="1" x14ac:dyDescent="0.2">
      <c r="A1687" s="25"/>
      <c r="B1687" s="25"/>
      <c r="C1687" s="25"/>
      <c r="D1687" s="25"/>
      <c r="E1687" s="25"/>
      <c r="F1687" s="25"/>
      <c r="G1687" s="25"/>
      <c r="H1687" s="25"/>
      <c r="I1687" s="25"/>
      <c r="J1687" s="25"/>
      <c r="K1687" s="25"/>
      <c r="L1687" s="25"/>
    </row>
    <row r="1688" spans="1:12" s="189" customFormat="1" ht="5.25" customHeight="1" x14ac:dyDescent="0.2">
      <c r="A1688" s="25"/>
      <c r="B1688" s="25"/>
      <c r="C1688" s="25"/>
      <c r="D1688" s="25"/>
      <c r="E1688" s="25"/>
      <c r="F1688" s="25"/>
      <c r="G1688" s="25"/>
      <c r="H1688" s="25"/>
      <c r="I1688" s="25"/>
      <c r="J1688" s="25"/>
      <c r="K1688" s="25"/>
      <c r="L1688" s="25"/>
    </row>
    <row r="1689" spans="1:12" s="189" customFormat="1" ht="5.25" customHeight="1" x14ac:dyDescent="0.2">
      <c r="A1689" s="25"/>
      <c r="B1689" s="25"/>
      <c r="C1689" s="25"/>
      <c r="D1689" s="25"/>
      <c r="E1689" s="25"/>
      <c r="F1689" s="25"/>
      <c r="G1689" s="25"/>
      <c r="H1689" s="25"/>
      <c r="I1689" s="25"/>
      <c r="J1689" s="25"/>
      <c r="K1689" s="25"/>
      <c r="L1689" s="25"/>
    </row>
    <row r="1690" spans="1:12" s="189" customFormat="1" ht="5.25" customHeight="1" x14ac:dyDescent="0.2">
      <c r="A1690" s="25"/>
      <c r="B1690" s="25"/>
      <c r="C1690" s="25"/>
      <c r="D1690" s="25"/>
      <c r="E1690" s="25"/>
      <c r="F1690" s="25"/>
      <c r="G1690" s="25"/>
      <c r="H1690" s="25"/>
      <c r="I1690" s="25"/>
      <c r="J1690" s="25"/>
      <c r="K1690" s="25"/>
      <c r="L1690" s="25"/>
    </row>
    <row r="1691" spans="1:12" s="189" customFormat="1" ht="5.25" customHeight="1" x14ac:dyDescent="0.2">
      <c r="A1691" s="25"/>
      <c r="B1691" s="25"/>
      <c r="C1691" s="25"/>
      <c r="D1691" s="25"/>
      <c r="E1691" s="25"/>
      <c r="F1691" s="25"/>
      <c r="G1691" s="25"/>
      <c r="H1691" s="25"/>
      <c r="I1691" s="25"/>
      <c r="J1691" s="25"/>
      <c r="K1691" s="25"/>
      <c r="L1691" s="25"/>
    </row>
    <row r="1692" spans="1:12" s="189" customFormat="1" ht="5.25" customHeight="1" x14ac:dyDescent="0.2">
      <c r="A1692" s="25"/>
      <c r="B1692" s="25"/>
      <c r="C1692" s="25"/>
      <c r="D1692" s="25"/>
      <c r="E1692" s="25"/>
      <c r="F1692" s="25"/>
      <c r="G1692" s="25"/>
      <c r="H1692" s="25"/>
      <c r="I1692" s="25"/>
      <c r="J1692" s="25"/>
      <c r="K1692" s="25"/>
      <c r="L1692" s="25"/>
    </row>
    <row r="1693" spans="1:12" s="189" customFormat="1" ht="5.25" customHeight="1" x14ac:dyDescent="0.2">
      <c r="A1693" s="25"/>
      <c r="B1693" s="25"/>
      <c r="C1693" s="25"/>
      <c r="D1693" s="25"/>
      <c r="E1693" s="25"/>
      <c r="F1693" s="25"/>
      <c r="G1693" s="25"/>
      <c r="H1693" s="25"/>
      <c r="I1693" s="25"/>
      <c r="J1693" s="25"/>
      <c r="K1693" s="25"/>
      <c r="L1693" s="25"/>
    </row>
    <row r="1694" spans="1:12" s="189" customFormat="1" ht="5.25" customHeight="1" x14ac:dyDescent="0.2">
      <c r="A1694" s="25"/>
      <c r="B1694" s="25"/>
      <c r="C1694" s="25"/>
      <c r="D1694" s="25"/>
      <c r="E1694" s="25"/>
      <c r="F1694" s="25"/>
      <c r="G1694" s="25"/>
      <c r="H1694" s="25"/>
      <c r="I1694" s="25"/>
      <c r="J1694" s="25"/>
      <c r="K1694" s="25"/>
      <c r="L1694" s="25"/>
    </row>
    <row r="1695" spans="1:12" s="189" customFormat="1" ht="5.25" customHeight="1" x14ac:dyDescent="0.2">
      <c r="A1695" s="25"/>
      <c r="B1695" s="25"/>
      <c r="C1695" s="25"/>
      <c r="D1695" s="25"/>
      <c r="E1695" s="25"/>
      <c r="F1695" s="25"/>
      <c r="G1695" s="25"/>
      <c r="H1695" s="25"/>
      <c r="I1695" s="25"/>
      <c r="J1695" s="25"/>
      <c r="K1695" s="25"/>
      <c r="L1695" s="25"/>
    </row>
    <row r="1696" spans="1:12" s="189" customFormat="1" ht="5.25" customHeight="1" x14ac:dyDescent="0.2">
      <c r="A1696" s="25"/>
      <c r="B1696" s="25"/>
      <c r="C1696" s="25"/>
      <c r="D1696" s="25"/>
      <c r="E1696" s="25"/>
      <c r="F1696" s="25"/>
      <c r="G1696" s="25"/>
      <c r="H1696" s="25"/>
      <c r="I1696" s="25"/>
      <c r="J1696" s="25"/>
      <c r="K1696" s="25"/>
      <c r="L1696" s="25"/>
    </row>
    <row r="1697" spans="1:12" s="189" customFormat="1" ht="5.25" customHeight="1" x14ac:dyDescent="0.2">
      <c r="A1697" s="25"/>
      <c r="B1697" s="25"/>
      <c r="C1697" s="25"/>
      <c r="D1697" s="25"/>
      <c r="E1697" s="25"/>
      <c r="F1697" s="25"/>
      <c r="G1697" s="25"/>
      <c r="H1697" s="25"/>
      <c r="I1697" s="25"/>
      <c r="J1697" s="25"/>
      <c r="K1697" s="25"/>
      <c r="L1697" s="25"/>
    </row>
    <row r="1698" spans="1:12" s="189" customFormat="1" ht="5.25" customHeight="1" x14ac:dyDescent="0.2">
      <c r="A1698" s="25"/>
      <c r="B1698" s="25"/>
      <c r="C1698" s="25"/>
      <c r="D1698" s="25"/>
      <c r="E1698" s="25"/>
      <c r="F1698" s="25"/>
      <c r="G1698" s="25"/>
      <c r="H1698" s="25"/>
      <c r="I1698" s="25"/>
      <c r="J1698" s="25"/>
      <c r="K1698" s="25"/>
      <c r="L1698" s="25"/>
    </row>
    <row r="1699" spans="1:12" s="189" customFormat="1" ht="5.25" customHeight="1" x14ac:dyDescent="0.2">
      <c r="A1699" s="25"/>
      <c r="B1699" s="25"/>
      <c r="C1699" s="25"/>
      <c r="D1699" s="25"/>
      <c r="E1699" s="25"/>
      <c r="F1699" s="25"/>
      <c r="G1699" s="25"/>
      <c r="H1699" s="25"/>
      <c r="I1699" s="25"/>
      <c r="J1699" s="25"/>
      <c r="K1699" s="25"/>
      <c r="L1699" s="25"/>
    </row>
    <row r="1700" spans="1:12" s="189" customFormat="1" ht="5.25" customHeight="1" x14ac:dyDescent="0.2">
      <c r="A1700" s="25"/>
      <c r="B1700" s="25"/>
      <c r="C1700" s="25"/>
      <c r="D1700" s="25"/>
      <c r="E1700" s="25"/>
      <c r="F1700" s="25"/>
      <c r="G1700" s="25"/>
      <c r="H1700" s="25"/>
      <c r="I1700" s="25"/>
      <c r="J1700" s="25"/>
      <c r="K1700" s="25"/>
      <c r="L1700" s="25"/>
    </row>
    <row r="1701" spans="1:12" s="189" customFormat="1" ht="5.25" customHeight="1" x14ac:dyDescent="0.2">
      <c r="A1701" s="25"/>
      <c r="B1701" s="25"/>
      <c r="C1701" s="25"/>
      <c r="D1701" s="25"/>
      <c r="E1701" s="25"/>
      <c r="F1701" s="25"/>
      <c r="G1701" s="25"/>
      <c r="H1701" s="25"/>
      <c r="I1701" s="25"/>
      <c r="J1701" s="25"/>
      <c r="K1701" s="25"/>
      <c r="L1701" s="25"/>
    </row>
    <row r="1702" spans="1:12" s="189" customFormat="1" ht="5.25" customHeight="1" x14ac:dyDescent="0.2">
      <c r="A1702" s="25"/>
      <c r="B1702" s="25"/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</row>
    <row r="1703" spans="1:12" s="189" customFormat="1" ht="5.25" customHeight="1" x14ac:dyDescent="0.2">
      <c r="A1703" s="25"/>
      <c r="B1703" s="25"/>
      <c r="C1703" s="25"/>
      <c r="D1703" s="25"/>
      <c r="E1703" s="25"/>
      <c r="F1703" s="25"/>
      <c r="G1703" s="25"/>
      <c r="H1703" s="25"/>
      <c r="I1703" s="25"/>
      <c r="J1703" s="25"/>
      <c r="K1703" s="25"/>
      <c r="L1703" s="25"/>
    </row>
    <row r="1704" spans="1:12" s="189" customFormat="1" ht="5.25" customHeight="1" x14ac:dyDescent="0.2">
      <c r="A1704" s="25"/>
      <c r="B1704" s="25"/>
      <c r="C1704" s="25"/>
      <c r="D1704" s="25"/>
      <c r="E1704" s="25"/>
      <c r="F1704" s="25"/>
      <c r="G1704" s="25"/>
      <c r="H1704" s="25"/>
      <c r="I1704" s="25"/>
      <c r="J1704" s="25"/>
      <c r="K1704" s="25"/>
      <c r="L1704" s="25"/>
    </row>
    <row r="1705" spans="1:12" s="189" customFormat="1" ht="5.25" customHeight="1" x14ac:dyDescent="0.2">
      <c r="A1705" s="25"/>
      <c r="B1705" s="25"/>
      <c r="C1705" s="25"/>
      <c r="D1705" s="25"/>
      <c r="E1705" s="25"/>
      <c r="F1705" s="25"/>
      <c r="G1705" s="25"/>
      <c r="H1705" s="25"/>
      <c r="I1705" s="25"/>
      <c r="J1705" s="25"/>
      <c r="K1705" s="25"/>
      <c r="L1705" s="25"/>
    </row>
    <row r="1706" spans="1:12" s="189" customFormat="1" ht="5.25" customHeight="1" x14ac:dyDescent="0.2">
      <c r="A1706" s="25"/>
      <c r="B1706" s="25"/>
      <c r="C1706" s="25"/>
      <c r="D1706" s="25"/>
      <c r="E1706" s="25"/>
      <c r="F1706" s="25"/>
      <c r="G1706" s="25"/>
      <c r="H1706" s="25"/>
      <c r="I1706" s="25"/>
      <c r="J1706" s="25"/>
      <c r="K1706" s="25"/>
      <c r="L1706" s="25"/>
    </row>
    <row r="1707" spans="1:12" s="189" customFormat="1" ht="5.25" customHeight="1" x14ac:dyDescent="0.2">
      <c r="A1707" s="25"/>
      <c r="B1707" s="25"/>
      <c r="C1707" s="25"/>
      <c r="D1707" s="25"/>
      <c r="E1707" s="25"/>
      <c r="F1707" s="25"/>
      <c r="G1707" s="25"/>
      <c r="H1707" s="25"/>
      <c r="I1707" s="25"/>
      <c r="J1707" s="25"/>
      <c r="K1707" s="25"/>
      <c r="L1707" s="25"/>
    </row>
    <row r="1708" spans="1:12" s="189" customFormat="1" ht="5.25" customHeight="1" x14ac:dyDescent="0.2">
      <c r="A1708" s="25"/>
      <c r="B1708" s="25"/>
      <c r="C1708" s="25"/>
      <c r="D1708" s="25"/>
      <c r="E1708" s="25"/>
      <c r="F1708" s="25"/>
      <c r="G1708" s="25"/>
      <c r="H1708" s="25"/>
      <c r="I1708" s="25"/>
      <c r="J1708" s="25"/>
      <c r="K1708" s="25"/>
      <c r="L1708" s="25"/>
    </row>
    <row r="1709" spans="1:12" s="189" customFormat="1" ht="5.25" customHeight="1" x14ac:dyDescent="0.2">
      <c r="A1709" s="25"/>
      <c r="B1709" s="25"/>
      <c r="C1709" s="25"/>
      <c r="D1709" s="25"/>
      <c r="E1709" s="25"/>
      <c r="F1709" s="25"/>
      <c r="G1709" s="25"/>
      <c r="H1709" s="25"/>
      <c r="I1709" s="25"/>
      <c r="J1709" s="25"/>
      <c r="K1709" s="25"/>
      <c r="L1709" s="25"/>
    </row>
    <row r="1710" spans="1:12" s="189" customFormat="1" ht="5.25" customHeight="1" x14ac:dyDescent="0.2">
      <c r="A1710" s="25"/>
      <c r="B1710" s="25"/>
      <c r="C1710" s="25"/>
      <c r="D1710" s="25"/>
      <c r="E1710" s="25"/>
      <c r="F1710" s="25"/>
      <c r="G1710" s="25"/>
      <c r="H1710" s="25"/>
      <c r="I1710" s="25"/>
      <c r="J1710" s="25"/>
      <c r="K1710" s="25"/>
      <c r="L1710" s="25"/>
    </row>
    <row r="1711" spans="1:12" s="189" customFormat="1" ht="5.25" customHeight="1" x14ac:dyDescent="0.2">
      <c r="A1711" s="25"/>
      <c r="B1711" s="25"/>
      <c r="C1711" s="25"/>
      <c r="D1711" s="25"/>
      <c r="E1711" s="25"/>
      <c r="F1711" s="25"/>
      <c r="G1711" s="25"/>
      <c r="H1711" s="25"/>
      <c r="I1711" s="25"/>
      <c r="J1711" s="25"/>
      <c r="K1711" s="25"/>
      <c r="L1711" s="25"/>
    </row>
    <row r="1712" spans="1:12" s="189" customFormat="1" ht="5.25" customHeight="1" x14ac:dyDescent="0.2">
      <c r="A1712" s="25"/>
      <c r="B1712" s="25"/>
      <c r="C1712" s="25"/>
      <c r="D1712" s="25"/>
      <c r="E1712" s="25"/>
      <c r="F1712" s="25"/>
      <c r="G1712" s="25"/>
      <c r="H1712" s="25"/>
      <c r="I1712" s="25"/>
      <c r="J1712" s="25"/>
      <c r="K1712" s="25"/>
      <c r="L1712" s="25"/>
    </row>
    <row r="1713" spans="1:12" s="189" customFormat="1" ht="5.25" customHeight="1" x14ac:dyDescent="0.2">
      <c r="A1713" s="25"/>
      <c r="B1713" s="25"/>
      <c r="C1713" s="25"/>
      <c r="D1713" s="25"/>
      <c r="E1713" s="25"/>
      <c r="F1713" s="25"/>
      <c r="G1713" s="25"/>
      <c r="H1713" s="25"/>
      <c r="I1713" s="25"/>
      <c r="J1713" s="25"/>
      <c r="K1713" s="25"/>
      <c r="L1713" s="25"/>
    </row>
    <row r="1714" spans="1:12" s="189" customFormat="1" ht="5.25" customHeight="1" x14ac:dyDescent="0.2">
      <c r="A1714" s="25"/>
      <c r="B1714" s="25"/>
      <c r="C1714" s="25"/>
      <c r="D1714" s="25"/>
      <c r="E1714" s="25"/>
      <c r="F1714" s="25"/>
      <c r="G1714" s="25"/>
      <c r="H1714" s="25"/>
      <c r="I1714" s="25"/>
      <c r="J1714" s="25"/>
      <c r="K1714" s="25"/>
      <c r="L1714" s="25"/>
    </row>
    <row r="1715" spans="1:12" s="189" customFormat="1" ht="5.25" customHeight="1" x14ac:dyDescent="0.2">
      <c r="A1715" s="25"/>
      <c r="B1715" s="25"/>
      <c r="C1715" s="25"/>
      <c r="D1715" s="25"/>
      <c r="E1715" s="25"/>
      <c r="F1715" s="25"/>
      <c r="G1715" s="25"/>
      <c r="H1715" s="25"/>
      <c r="I1715" s="25"/>
      <c r="J1715" s="25"/>
      <c r="K1715" s="25"/>
      <c r="L1715" s="25"/>
    </row>
    <row r="1716" spans="1:12" s="189" customFormat="1" ht="5.25" customHeight="1" x14ac:dyDescent="0.2">
      <c r="A1716" s="25"/>
      <c r="B1716" s="25"/>
      <c r="C1716" s="25"/>
      <c r="D1716" s="25"/>
      <c r="E1716" s="25"/>
      <c r="F1716" s="25"/>
      <c r="G1716" s="25"/>
      <c r="H1716" s="25"/>
      <c r="I1716" s="25"/>
      <c r="J1716" s="25"/>
      <c r="K1716" s="25"/>
      <c r="L1716" s="25"/>
    </row>
    <row r="1717" spans="1:12" s="189" customFormat="1" ht="5.25" customHeight="1" x14ac:dyDescent="0.2">
      <c r="A1717" s="25"/>
      <c r="B1717" s="25"/>
      <c r="C1717" s="25"/>
      <c r="D1717" s="25"/>
      <c r="E1717" s="25"/>
      <c r="F1717" s="25"/>
      <c r="G1717" s="25"/>
      <c r="H1717" s="25"/>
      <c r="I1717" s="25"/>
      <c r="J1717" s="25"/>
      <c r="K1717" s="25"/>
      <c r="L1717" s="25"/>
    </row>
    <row r="1718" spans="1:12" s="189" customFormat="1" ht="5.25" customHeight="1" x14ac:dyDescent="0.2">
      <c r="A1718" s="25"/>
      <c r="B1718" s="25"/>
      <c r="C1718" s="25"/>
      <c r="D1718" s="25"/>
      <c r="E1718" s="25"/>
      <c r="F1718" s="25"/>
      <c r="G1718" s="25"/>
      <c r="H1718" s="25"/>
      <c r="I1718" s="25"/>
      <c r="J1718" s="25"/>
      <c r="K1718" s="25"/>
      <c r="L1718" s="25"/>
    </row>
    <row r="1719" spans="1:12" s="189" customFormat="1" ht="5.25" customHeight="1" x14ac:dyDescent="0.2">
      <c r="A1719" s="25"/>
      <c r="B1719" s="25"/>
      <c r="C1719" s="25"/>
      <c r="D1719" s="25"/>
      <c r="E1719" s="25"/>
      <c r="F1719" s="25"/>
      <c r="G1719" s="25"/>
      <c r="H1719" s="25"/>
      <c r="I1719" s="25"/>
      <c r="J1719" s="25"/>
      <c r="K1719" s="25"/>
      <c r="L1719" s="25"/>
    </row>
    <row r="1720" spans="1:12" s="189" customFormat="1" ht="5.25" customHeight="1" x14ac:dyDescent="0.2">
      <c r="A1720" s="25"/>
      <c r="B1720" s="25"/>
      <c r="C1720" s="25"/>
      <c r="D1720" s="25"/>
      <c r="E1720" s="25"/>
      <c r="F1720" s="25"/>
      <c r="G1720" s="25"/>
      <c r="H1720" s="25"/>
      <c r="I1720" s="25"/>
      <c r="J1720" s="25"/>
      <c r="K1720" s="25"/>
      <c r="L1720" s="25"/>
    </row>
    <row r="1721" spans="1:12" s="189" customFormat="1" ht="5.25" customHeight="1" x14ac:dyDescent="0.2">
      <c r="A1721" s="25"/>
      <c r="B1721" s="25"/>
      <c r="C1721" s="25"/>
      <c r="D1721" s="25"/>
      <c r="E1721" s="25"/>
      <c r="F1721" s="25"/>
      <c r="G1721" s="25"/>
      <c r="H1721" s="25"/>
      <c r="I1721" s="25"/>
      <c r="J1721" s="25"/>
      <c r="K1721" s="25"/>
      <c r="L1721" s="25"/>
    </row>
    <row r="1722" spans="1:12" s="189" customFormat="1" ht="5.25" customHeight="1" x14ac:dyDescent="0.2">
      <c r="A1722" s="25"/>
      <c r="B1722" s="25"/>
      <c r="C1722" s="25"/>
      <c r="D1722" s="25"/>
      <c r="E1722" s="25"/>
      <c r="F1722" s="25"/>
      <c r="G1722" s="25"/>
      <c r="H1722" s="25"/>
      <c r="I1722" s="25"/>
      <c r="J1722" s="25"/>
      <c r="K1722" s="25"/>
      <c r="L1722" s="25"/>
    </row>
    <row r="1723" spans="1:12" s="189" customFormat="1" ht="5.25" customHeight="1" x14ac:dyDescent="0.2">
      <c r="A1723" s="25"/>
      <c r="B1723" s="25"/>
      <c r="C1723" s="25"/>
      <c r="D1723" s="25"/>
      <c r="E1723" s="25"/>
      <c r="F1723" s="25"/>
      <c r="G1723" s="25"/>
      <c r="H1723" s="25"/>
      <c r="I1723" s="25"/>
      <c r="J1723" s="25"/>
      <c r="K1723" s="25"/>
      <c r="L1723" s="25"/>
    </row>
    <row r="1724" spans="1:12" s="189" customFormat="1" ht="5.25" customHeight="1" x14ac:dyDescent="0.2">
      <c r="A1724" s="25"/>
      <c r="B1724" s="25"/>
      <c r="C1724" s="25"/>
      <c r="D1724" s="25"/>
      <c r="E1724" s="25"/>
      <c r="F1724" s="25"/>
      <c r="G1724" s="25"/>
      <c r="H1724" s="25"/>
      <c r="I1724" s="25"/>
      <c r="J1724" s="25"/>
      <c r="K1724" s="25"/>
      <c r="L1724" s="25"/>
    </row>
    <row r="1725" spans="1:12" s="189" customFormat="1" ht="5.25" customHeight="1" x14ac:dyDescent="0.2">
      <c r="A1725" s="25"/>
      <c r="B1725" s="25"/>
      <c r="C1725" s="25"/>
      <c r="D1725" s="25"/>
      <c r="E1725" s="25"/>
      <c r="F1725" s="25"/>
      <c r="G1725" s="25"/>
      <c r="H1725" s="25"/>
      <c r="I1725" s="25"/>
      <c r="J1725" s="25"/>
      <c r="K1725" s="25"/>
      <c r="L1725" s="25"/>
    </row>
    <row r="1726" spans="1:12" s="189" customFormat="1" ht="5.25" customHeight="1" x14ac:dyDescent="0.2">
      <c r="A1726" s="25"/>
      <c r="B1726" s="25"/>
      <c r="C1726" s="25"/>
      <c r="D1726" s="25"/>
      <c r="E1726" s="25"/>
      <c r="F1726" s="25"/>
      <c r="G1726" s="25"/>
      <c r="H1726" s="25"/>
      <c r="I1726" s="25"/>
      <c r="J1726" s="25"/>
      <c r="K1726" s="25"/>
      <c r="L1726" s="25"/>
    </row>
    <row r="1727" spans="1:12" s="189" customFormat="1" ht="5.25" customHeight="1" x14ac:dyDescent="0.2">
      <c r="A1727" s="25"/>
      <c r="B1727" s="25"/>
      <c r="C1727" s="25"/>
      <c r="D1727" s="25"/>
      <c r="E1727" s="25"/>
      <c r="F1727" s="25"/>
      <c r="G1727" s="25"/>
      <c r="H1727" s="25"/>
      <c r="I1727" s="25"/>
      <c r="J1727" s="25"/>
      <c r="K1727" s="25"/>
      <c r="L1727" s="25"/>
    </row>
    <row r="1728" spans="1:12" s="189" customFormat="1" ht="5.25" customHeight="1" x14ac:dyDescent="0.2">
      <c r="A1728" s="25"/>
      <c r="B1728" s="25"/>
      <c r="C1728" s="25"/>
      <c r="D1728" s="25"/>
      <c r="E1728" s="25"/>
      <c r="F1728" s="25"/>
      <c r="G1728" s="25"/>
      <c r="H1728" s="25"/>
      <c r="I1728" s="25"/>
      <c r="J1728" s="25"/>
      <c r="K1728" s="25"/>
      <c r="L1728" s="25"/>
    </row>
    <row r="1729" spans="1:12" s="189" customFormat="1" ht="5.25" customHeight="1" x14ac:dyDescent="0.2">
      <c r="A1729" s="25"/>
      <c r="B1729" s="25"/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</row>
    <row r="1730" spans="1:12" s="189" customFormat="1" ht="5.25" customHeight="1" x14ac:dyDescent="0.2">
      <c r="A1730" s="25"/>
      <c r="B1730" s="25"/>
      <c r="C1730" s="25"/>
      <c r="D1730" s="25"/>
      <c r="E1730" s="25"/>
      <c r="F1730" s="25"/>
      <c r="G1730" s="25"/>
      <c r="H1730" s="25"/>
      <c r="I1730" s="25"/>
      <c r="J1730" s="25"/>
      <c r="K1730" s="25"/>
      <c r="L1730" s="25"/>
    </row>
    <row r="1731" spans="1:12" s="189" customFormat="1" ht="5.25" customHeight="1" x14ac:dyDescent="0.2">
      <c r="A1731" s="25"/>
      <c r="B1731" s="25"/>
      <c r="C1731" s="25"/>
      <c r="D1731" s="25"/>
      <c r="E1731" s="25"/>
      <c r="F1731" s="25"/>
      <c r="G1731" s="25"/>
      <c r="H1731" s="25"/>
      <c r="I1731" s="25"/>
      <c r="J1731" s="25"/>
      <c r="K1731" s="25"/>
      <c r="L1731" s="25"/>
    </row>
    <row r="1732" spans="1:12" s="189" customFormat="1" ht="5.25" customHeight="1" x14ac:dyDescent="0.2">
      <c r="A1732" s="25"/>
      <c r="B1732" s="25"/>
      <c r="C1732" s="25"/>
      <c r="D1732" s="25"/>
      <c r="E1732" s="25"/>
      <c r="F1732" s="25"/>
      <c r="G1732" s="25"/>
      <c r="H1732" s="25"/>
      <c r="I1732" s="25"/>
      <c r="J1732" s="25"/>
      <c r="K1732" s="25"/>
      <c r="L1732" s="25"/>
    </row>
    <row r="1733" spans="1:12" s="189" customFormat="1" ht="5.25" customHeight="1" x14ac:dyDescent="0.2">
      <c r="A1733" s="25"/>
      <c r="B1733" s="25"/>
      <c r="C1733" s="25"/>
      <c r="D1733" s="25"/>
      <c r="E1733" s="25"/>
      <c r="F1733" s="25"/>
      <c r="G1733" s="25"/>
      <c r="H1733" s="25"/>
      <c r="I1733" s="25"/>
      <c r="J1733" s="25"/>
      <c r="K1733" s="25"/>
      <c r="L1733" s="25"/>
    </row>
    <row r="1734" spans="1:12" s="189" customFormat="1" ht="5.25" customHeight="1" x14ac:dyDescent="0.2">
      <c r="A1734" s="25"/>
      <c r="B1734" s="25"/>
      <c r="C1734" s="25"/>
      <c r="D1734" s="25"/>
      <c r="E1734" s="25"/>
      <c r="F1734" s="25"/>
      <c r="G1734" s="25"/>
      <c r="H1734" s="25"/>
      <c r="I1734" s="25"/>
      <c r="J1734" s="25"/>
      <c r="K1734" s="25"/>
      <c r="L1734" s="25"/>
    </row>
    <row r="1735" spans="1:12" s="189" customFormat="1" ht="5.25" customHeight="1" x14ac:dyDescent="0.2">
      <c r="A1735" s="25"/>
      <c r="B1735" s="25"/>
      <c r="C1735" s="25"/>
      <c r="D1735" s="25"/>
      <c r="E1735" s="25"/>
      <c r="F1735" s="25"/>
      <c r="G1735" s="25"/>
      <c r="H1735" s="25"/>
      <c r="I1735" s="25"/>
      <c r="J1735" s="25"/>
      <c r="K1735" s="25"/>
      <c r="L1735" s="25"/>
    </row>
    <row r="1736" spans="1:12" s="189" customFormat="1" ht="5.25" customHeight="1" x14ac:dyDescent="0.2">
      <c r="A1736" s="25"/>
      <c r="B1736" s="25"/>
      <c r="C1736" s="25"/>
      <c r="D1736" s="25"/>
      <c r="E1736" s="25"/>
      <c r="F1736" s="25"/>
      <c r="G1736" s="25"/>
      <c r="H1736" s="25"/>
      <c r="I1736" s="25"/>
      <c r="J1736" s="25"/>
      <c r="K1736" s="25"/>
      <c r="L1736" s="25"/>
    </row>
    <row r="1737" spans="1:12" s="189" customFormat="1" ht="5.25" customHeight="1" x14ac:dyDescent="0.2">
      <c r="A1737" s="25"/>
      <c r="B1737" s="25"/>
      <c r="C1737" s="25"/>
      <c r="D1737" s="25"/>
      <c r="E1737" s="25"/>
      <c r="F1737" s="25"/>
      <c r="G1737" s="25"/>
      <c r="H1737" s="25"/>
      <c r="I1737" s="25"/>
      <c r="J1737" s="25"/>
      <c r="K1737" s="25"/>
      <c r="L1737" s="25"/>
    </row>
    <row r="1738" spans="1:12" s="189" customFormat="1" ht="5.25" customHeight="1" x14ac:dyDescent="0.2">
      <c r="A1738" s="25"/>
      <c r="B1738" s="25"/>
      <c r="C1738" s="25"/>
      <c r="D1738" s="25"/>
      <c r="E1738" s="25"/>
      <c r="F1738" s="25"/>
      <c r="G1738" s="25"/>
      <c r="H1738" s="25"/>
      <c r="I1738" s="25"/>
      <c r="J1738" s="25"/>
      <c r="K1738" s="25"/>
      <c r="L1738" s="25"/>
    </row>
    <row r="1739" spans="1:12" s="189" customFormat="1" ht="5.25" customHeight="1" x14ac:dyDescent="0.2">
      <c r="A1739" s="25"/>
      <c r="B1739" s="25"/>
      <c r="C1739" s="25"/>
      <c r="D1739" s="25"/>
      <c r="E1739" s="25"/>
      <c r="F1739" s="25"/>
      <c r="G1739" s="25"/>
      <c r="H1739" s="25"/>
      <c r="I1739" s="25"/>
      <c r="J1739" s="25"/>
      <c r="K1739" s="25"/>
      <c r="L1739" s="25"/>
    </row>
    <row r="1740" spans="1:12" s="189" customFormat="1" ht="5.25" customHeight="1" x14ac:dyDescent="0.2">
      <c r="A1740" s="25"/>
      <c r="B1740" s="25"/>
      <c r="C1740" s="25"/>
      <c r="D1740" s="25"/>
      <c r="E1740" s="25"/>
      <c r="F1740" s="25"/>
      <c r="G1740" s="25"/>
      <c r="H1740" s="25"/>
      <c r="I1740" s="25"/>
      <c r="J1740" s="25"/>
      <c r="K1740" s="25"/>
      <c r="L1740" s="25"/>
    </row>
    <row r="1741" spans="1:12" s="189" customFormat="1" ht="5.25" customHeight="1" x14ac:dyDescent="0.2">
      <c r="A1741" s="25"/>
      <c r="B1741" s="25"/>
      <c r="C1741" s="25"/>
      <c r="D1741" s="25"/>
      <c r="E1741" s="25"/>
      <c r="F1741" s="25"/>
      <c r="G1741" s="25"/>
      <c r="H1741" s="25"/>
      <c r="I1741" s="25"/>
      <c r="J1741" s="25"/>
      <c r="K1741" s="25"/>
      <c r="L1741" s="25"/>
    </row>
    <row r="1742" spans="1:12" s="189" customFormat="1" ht="5.25" customHeight="1" x14ac:dyDescent="0.2">
      <c r="A1742" s="25"/>
      <c r="B1742" s="25"/>
      <c r="C1742" s="25"/>
      <c r="D1742" s="25"/>
      <c r="E1742" s="25"/>
      <c r="F1742" s="25"/>
      <c r="G1742" s="25"/>
      <c r="H1742" s="25"/>
      <c r="I1742" s="25"/>
      <c r="J1742" s="25"/>
      <c r="K1742" s="25"/>
      <c r="L1742" s="25"/>
    </row>
    <row r="1743" spans="1:12" s="189" customFormat="1" ht="5.25" customHeight="1" x14ac:dyDescent="0.2">
      <c r="A1743" s="25"/>
      <c r="B1743" s="25"/>
      <c r="C1743" s="25"/>
      <c r="D1743" s="25"/>
      <c r="E1743" s="25"/>
      <c r="F1743" s="25"/>
      <c r="G1743" s="25"/>
      <c r="H1743" s="25"/>
      <c r="I1743" s="25"/>
      <c r="J1743" s="25"/>
      <c r="K1743" s="25"/>
      <c r="L1743" s="25"/>
    </row>
    <row r="1744" spans="1:12" s="189" customFormat="1" ht="5.25" customHeight="1" x14ac:dyDescent="0.2">
      <c r="A1744" s="25"/>
      <c r="B1744" s="25"/>
      <c r="C1744" s="25"/>
      <c r="D1744" s="25"/>
      <c r="E1744" s="25"/>
      <c r="F1744" s="25"/>
      <c r="G1744" s="25"/>
      <c r="H1744" s="25"/>
      <c r="I1744" s="25"/>
      <c r="J1744" s="25"/>
      <c r="K1744" s="25"/>
      <c r="L1744" s="25"/>
    </row>
    <row r="1745" spans="1:12" s="189" customFormat="1" ht="5.25" customHeight="1" x14ac:dyDescent="0.2">
      <c r="A1745" s="25"/>
      <c r="B1745" s="25"/>
      <c r="C1745" s="25"/>
      <c r="D1745" s="25"/>
      <c r="E1745" s="25"/>
      <c r="F1745" s="25"/>
      <c r="G1745" s="25"/>
      <c r="H1745" s="25"/>
      <c r="I1745" s="25"/>
      <c r="J1745" s="25"/>
      <c r="K1745" s="25"/>
      <c r="L1745" s="25"/>
    </row>
    <row r="1746" spans="1:12" s="189" customFormat="1" ht="5.25" customHeight="1" x14ac:dyDescent="0.2">
      <c r="A1746" s="25"/>
      <c r="B1746" s="25"/>
      <c r="C1746" s="25"/>
      <c r="D1746" s="25"/>
      <c r="E1746" s="25"/>
      <c r="F1746" s="25"/>
      <c r="G1746" s="25"/>
      <c r="H1746" s="25"/>
      <c r="I1746" s="25"/>
      <c r="J1746" s="25"/>
      <c r="K1746" s="25"/>
      <c r="L1746" s="25"/>
    </row>
    <row r="1747" spans="1:12" s="189" customFormat="1" ht="5.25" customHeight="1" x14ac:dyDescent="0.2">
      <c r="A1747" s="25"/>
      <c r="B1747" s="25"/>
      <c r="C1747" s="25"/>
      <c r="D1747" s="25"/>
      <c r="E1747" s="25"/>
      <c r="F1747" s="25"/>
      <c r="G1747" s="25"/>
      <c r="H1747" s="25"/>
      <c r="I1747" s="25"/>
      <c r="J1747" s="25"/>
      <c r="K1747" s="25"/>
      <c r="L1747" s="25"/>
    </row>
    <row r="1748" spans="1:12" s="189" customFormat="1" ht="5.25" customHeight="1" x14ac:dyDescent="0.2">
      <c r="A1748" s="25"/>
      <c r="B1748" s="25"/>
      <c r="C1748" s="25"/>
      <c r="D1748" s="25"/>
      <c r="E1748" s="25"/>
      <c r="F1748" s="25"/>
      <c r="G1748" s="25"/>
      <c r="H1748" s="25"/>
      <c r="I1748" s="25"/>
      <c r="J1748" s="25"/>
      <c r="K1748" s="25"/>
      <c r="L1748" s="25"/>
    </row>
    <row r="1749" spans="1:12" s="189" customFormat="1" ht="5.25" customHeight="1" x14ac:dyDescent="0.2">
      <c r="A1749" s="25"/>
      <c r="B1749" s="25"/>
      <c r="C1749" s="25"/>
      <c r="D1749" s="25"/>
      <c r="E1749" s="25"/>
      <c r="F1749" s="25"/>
      <c r="G1749" s="25"/>
      <c r="H1749" s="25"/>
      <c r="I1749" s="25"/>
      <c r="J1749" s="25"/>
      <c r="K1749" s="25"/>
      <c r="L1749" s="25"/>
    </row>
    <row r="1750" spans="1:12" s="189" customFormat="1" ht="5.25" customHeight="1" x14ac:dyDescent="0.2">
      <c r="A1750" s="25"/>
      <c r="B1750" s="25"/>
      <c r="C1750" s="25"/>
      <c r="D1750" s="25"/>
      <c r="E1750" s="25"/>
      <c r="F1750" s="25"/>
      <c r="G1750" s="25"/>
      <c r="H1750" s="25"/>
      <c r="I1750" s="25"/>
      <c r="J1750" s="25"/>
      <c r="K1750" s="25"/>
      <c r="L1750" s="25"/>
    </row>
    <row r="1751" spans="1:12" s="189" customFormat="1" ht="5.25" customHeight="1" x14ac:dyDescent="0.2">
      <c r="A1751" s="25"/>
      <c r="B1751" s="25"/>
      <c r="C1751" s="25"/>
      <c r="D1751" s="25"/>
      <c r="E1751" s="25"/>
      <c r="F1751" s="25"/>
      <c r="G1751" s="25"/>
      <c r="H1751" s="25"/>
      <c r="I1751" s="25"/>
      <c r="J1751" s="25"/>
      <c r="K1751" s="25"/>
      <c r="L1751" s="25"/>
    </row>
    <row r="1752" spans="1:12" s="189" customFormat="1" ht="5.25" customHeight="1" x14ac:dyDescent="0.2">
      <c r="A1752" s="25"/>
      <c r="B1752" s="25"/>
      <c r="C1752" s="25"/>
      <c r="D1752" s="25"/>
      <c r="E1752" s="25"/>
      <c r="F1752" s="25"/>
      <c r="G1752" s="25"/>
      <c r="H1752" s="25"/>
      <c r="I1752" s="25"/>
      <c r="J1752" s="25"/>
      <c r="K1752" s="25"/>
      <c r="L1752" s="25"/>
    </row>
    <row r="1753" spans="1:12" s="189" customFormat="1" ht="5.25" customHeight="1" x14ac:dyDescent="0.2">
      <c r="A1753" s="25"/>
      <c r="B1753" s="25"/>
      <c r="C1753" s="25"/>
      <c r="D1753" s="25"/>
      <c r="E1753" s="25"/>
      <c r="F1753" s="25"/>
      <c r="G1753" s="25"/>
      <c r="H1753" s="25"/>
      <c r="I1753" s="25"/>
      <c r="J1753" s="25"/>
      <c r="K1753" s="25"/>
      <c r="L1753" s="25"/>
    </row>
    <row r="1754" spans="1:12" s="189" customFormat="1" ht="5.25" customHeight="1" x14ac:dyDescent="0.2">
      <c r="A1754" s="25"/>
      <c r="B1754" s="25"/>
      <c r="C1754" s="25"/>
      <c r="D1754" s="25"/>
      <c r="E1754" s="25"/>
      <c r="F1754" s="25"/>
      <c r="G1754" s="25"/>
      <c r="H1754" s="25"/>
      <c r="I1754" s="25"/>
      <c r="J1754" s="25"/>
      <c r="K1754" s="25"/>
      <c r="L1754" s="25"/>
    </row>
    <row r="1755" spans="1:12" s="189" customFormat="1" ht="5.25" customHeight="1" x14ac:dyDescent="0.2">
      <c r="A1755" s="25"/>
      <c r="B1755" s="25"/>
      <c r="C1755" s="25"/>
      <c r="D1755" s="25"/>
      <c r="E1755" s="25"/>
      <c r="F1755" s="25"/>
      <c r="G1755" s="25"/>
      <c r="H1755" s="25"/>
      <c r="I1755" s="25"/>
      <c r="J1755" s="25"/>
      <c r="K1755" s="25"/>
      <c r="L1755" s="25"/>
    </row>
    <row r="1756" spans="1:12" s="189" customFormat="1" ht="5.25" customHeight="1" x14ac:dyDescent="0.2">
      <c r="A1756" s="25"/>
      <c r="B1756" s="25"/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</row>
    <row r="1757" spans="1:12" s="189" customFormat="1" ht="5.25" customHeight="1" x14ac:dyDescent="0.2">
      <c r="A1757" s="25"/>
      <c r="B1757" s="25"/>
      <c r="C1757" s="25"/>
      <c r="D1757" s="25"/>
      <c r="E1757" s="25"/>
      <c r="F1757" s="25"/>
      <c r="G1757" s="25"/>
      <c r="H1757" s="25"/>
      <c r="I1757" s="25"/>
      <c r="J1757" s="25"/>
      <c r="K1757" s="25"/>
      <c r="L1757" s="25"/>
    </row>
    <row r="1758" spans="1:12" s="189" customFormat="1" ht="5.25" customHeight="1" x14ac:dyDescent="0.2">
      <c r="A1758" s="25"/>
      <c r="B1758" s="25"/>
      <c r="C1758" s="25"/>
      <c r="D1758" s="25"/>
      <c r="E1758" s="25"/>
      <c r="F1758" s="25"/>
      <c r="G1758" s="25"/>
      <c r="H1758" s="25"/>
      <c r="I1758" s="25"/>
      <c r="J1758" s="25"/>
      <c r="K1758" s="25"/>
      <c r="L1758" s="25"/>
    </row>
    <row r="1759" spans="1:12" s="189" customFormat="1" ht="5.25" customHeight="1" x14ac:dyDescent="0.2">
      <c r="A1759" s="25"/>
      <c r="B1759" s="25"/>
      <c r="C1759" s="25"/>
      <c r="D1759" s="25"/>
      <c r="E1759" s="25"/>
      <c r="F1759" s="25"/>
      <c r="G1759" s="25"/>
      <c r="H1759" s="25"/>
      <c r="I1759" s="25"/>
      <c r="J1759" s="25"/>
      <c r="K1759" s="25"/>
      <c r="L1759" s="25"/>
    </row>
    <row r="1760" spans="1:12" s="189" customFormat="1" ht="5.25" customHeight="1" x14ac:dyDescent="0.2">
      <c r="A1760" s="25"/>
      <c r="B1760" s="25"/>
      <c r="C1760" s="25"/>
      <c r="D1760" s="25"/>
      <c r="E1760" s="25"/>
      <c r="F1760" s="25"/>
      <c r="G1760" s="25"/>
      <c r="H1760" s="25"/>
      <c r="I1760" s="25"/>
      <c r="J1760" s="25"/>
      <c r="K1760" s="25"/>
      <c r="L1760" s="25"/>
    </row>
    <row r="1761" spans="1:12" s="189" customFormat="1" ht="5.25" customHeight="1" x14ac:dyDescent="0.2">
      <c r="A1761" s="25"/>
      <c r="B1761" s="25"/>
      <c r="C1761" s="25"/>
      <c r="D1761" s="25"/>
      <c r="E1761" s="25"/>
      <c r="F1761" s="25"/>
      <c r="G1761" s="25"/>
      <c r="H1761" s="25"/>
      <c r="I1761" s="25"/>
      <c r="J1761" s="25"/>
      <c r="K1761" s="25"/>
      <c r="L1761" s="25"/>
    </row>
    <row r="1762" spans="1:12" s="189" customFormat="1" ht="5.25" customHeight="1" x14ac:dyDescent="0.2">
      <c r="A1762" s="25"/>
      <c r="B1762" s="25"/>
      <c r="C1762" s="25"/>
      <c r="D1762" s="25"/>
      <c r="E1762" s="25"/>
      <c r="F1762" s="25"/>
      <c r="G1762" s="25"/>
      <c r="H1762" s="25"/>
      <c r="I1762" s="25"/>
      <c r="J1762" s="25"/>
      <c r="K1762" s="25"/>
      <c r="L1762" s="25"/>
    </row>
    <row r="1763" spans="1:12" s="189" customFormat="1" ht="5.25" customHeight="1" x14ac:dyDescent="0.2">
      <c r="A1763" s="25"/>
      <c r="B1763" s="25"/>
      <c r="C1763" s="25"/>
      <c r="D1763" s="25"/>
      <c r="E1763" s="25"/>
      <c r="F1763" s="25"/>
      <c r="G1763" s="25"/>
      <c r="H1763" s="25"/>
      <c r="I1763" s="25"/>
      <c r="J1763" s="25"/>
      <c r="K1763" s="25"/>
      <c r="L1763" s="25"/>
    </row>
    <row r="1764" spans="1:12" s="189" customFormat="1" ht="5.25" customHeight="1" x14ac:dyDescent="0.2">
      <c r="A1764" s="25"/>
      <c r="B1764" s="25"/>
      <c r="C1764" s="25"/>
      <c r="D1764" s="25"/>
      <c r="E1764" s="25"/>
      <c r="F1764" s="25"/>
      <c r="G1764" s="25"/>
      <c r="H1764" s="25"/>
      <c r="I1764" s="25"/>
      <c r="J1764" s="25"/>
      <c r="K1764" s="25"/>
      <c r="L1764" s="25"/>
    </row>
    <row r="1765" spans="1:12" s="189" customFormat="1" ht="5.25" customHeight="1" x14ac:dyDescent="0.2">
      <c r="A1765" s="25"/>
      <c r="B1765" s="25"/>
      <c r="C1765" s="25"/>
      <c r="D1765" s="25"/>
      <c r="E1765" s="25"/>
      <c r="F1765" s="25"/>
      <c r="G1765" s="25"/>
      <c r="H1765" s="25"/>
      <c r="I1765" s="25"/>
      <c r="J1765" s="25"/>
      <c r="K1765" s="25"/>
      <c r="L1765" s="25"/>
    </row>
    <row r="1766" spans="1:12" s="189" customFormat="1" ht="5.25" customHeight="1" x14ac:dyDescent="0.2">
      <c r="A1766" s="25"/>
      <c r="B1766" s="25"/>
      <c r="C1766" s="25"/>
      <c r="D1766" s="25"/>
      <c r="E1766" s="25"/>
      <c r="F1766" s="25"/>
      <c r="G1766" s="25"/>
      <c r="H1766" s="25"/>
      <c r="I1766" s="25"/>
      <c r="J1766" s="25"/>
      <c r="K1766" s="25"/>
      <c r="L1766" s="25"/>
    </row>
    <row r="1767" spans="1:12" s="189" customFormat="1" ht="5.25" customHeight="1" x14ac:dyDescent="0.2">
      <c r="A1767" s="25"/>
      <c r="B1767" s="25"/>
      <c r="C1767" s="25"/>
      <c r="D1767" s="25"/>
      <c r="E1767" s="25"/>
      <c r="F1767" s="25"/>
      <c r="G1767" s="25"/>
      <c r="H1767" s="25"/>
      <c r="I1767" s="25"/>
      <c r="J1767" s="25"/>
      <c r="K1767" s="25"/>
      <c r="L1767" s="25"/>
    </row>
    <row r="1768" spans="1:12" s="189" customFormat="1" ht="5.25" customHeight="1" x14ac:dyDescent="0.2">
      <c r="A1768" s="25"/>
      <c r="B1768" s="25"/>
      <c r="C1768" s="25"/>
      <c r="D1768" s="25"/>
      <c r="E1768" s="25"/>
      <c r="F1768" s="25"/>
      <c r="G1768" s="25"/>
      <c r="H1768" s="25"/>
      <c r="I1768" s="25"/>
      <c r="J1768" s="25"/>
      <c r="K1768" s="25"/>
      <c r="L1768" s="25"/>
    </row>
    <row r="1769" spans="1:12" s="189" customFormat="1" ht="5.25" customHeight="1" x14ac:dyDescent="0.2">
      <c r="A1769" s="25"/>
      <c r="B1769" s="25"/>
      <c r="C1769" s="25"/>
      <c r="D1769" s="25"/>
      <c r="E1769" s="25"/>
      <c r="F1769" s="25"/>
      <c r="G1769" s="25"/>
      <c r="H1769" s="25"/>
      <c r="I1769" s="25"/>
      <c r="J1769" s="25"/>
      <c r="K1769" s="25"/>
      <c r="L1769" s="25"/>
    </row>
    <row r="1770" spans="1:12" s="189" customFormat="1" ht="5.25" customHeight="1" x14ac:dyDescent="0.2">
      <c r="A1770" s="25"/>
      <c r="B1770" s="25"/>
      <c r="C1770" s="25"/>
      <c r="D1770" s="25"/>
      <c r="E1770" s="25"/>
      <c r="F1770" s="25"/>
      <c r="G1770" s="25"/>
      <c r="H1770" s="25"/>
      <c r="I1770" s="25"/>
      <c r="J1770" s="25"/>
      <c r="K1770" s="25"/>
      <c r="L1770" s="25"/>
    </row>
    <row r="1771" spans="1:12" s="189" customFormat="1" ht="5.25" customHeight="1" x14ac:dyDescent="0.2">
      <c r="A1771" s="25"/>
      <c r="B1771" s="25"/>
      <c r="C1771" s="25"/>
      <c r="D1771" s="25"/>
      <c r="E1771" s="25"/>
      <c r="F1771" s="25"/>
      <c r="G1771" s="25"/>
      <c r="H1771" s="25"/>
      <c r="I1771" s="25"/>
      <c r="J1771" s="25"/>
      <c r="K1771" s="25"/>
      <c r="L1771" s="25"/>
    </row>
    <row r="1772" spans="1:12" s="189" customFormat="1" ht="5.25" customHeight="1" x14ac:dyDescent="0.2">
      <c r="A1772" s="25"/>
      <c r="B1772" s="25"/>
      <c r="C1772" s="25"/>
      <c r="D1772" s="25"/>
      <c r="E1772" s="25"/>
      <c r="F1772" s="25"/>
      <c r="G1772" s="25"/>
      <c r="H1772" s="25"/>
      <c r="I1772" s="25"/>
      <c r="J1772" s="25"/>
      <c r="K1772" s="25"/>
      <c r="L1772" s="25"/>
    </row>
    <row r="1773" spans="1:12" s="189" customFormat="1" ht="5.25" customHeight="1" x14ac:dyDescent="0.2">
      <c r="A1773" s="25"/>
      <c r="B1773" s="25"/>
      <c r="C1773" s="25"/>
      <c r="D1773" s="25"/>
      <c r="E1773" s="25"/>
      <c r="F1773" s="25"/>
      <c r="G1773" s="25"/>
      <c r="H1773" s="25"/>
      <c r="I1773" s="25"/>
      <c r="J1773" s="25"/>
      <c r="K1773" s="25"/>
      <c r="L1773" s="25"/>
    </row>
    <row r="1774" spans="1:12" s="189" customFormat="1" ht="5.25" customHeight="1" x14ac:dyDescent="0.2">
      <c r="A1774" s="25"/>
      <c r="B1774" s="25"/>
      <c r="C1774" s="25"/>
      <c r="D1774" s="25"/>
      <c r="E1774" s="25"/>
      <c r="F1774" s="25"/>
      <c r="G1774" s="25"/>
      <c r="H1774" s="25"/>
      <c r="I1774" s="25"/>
      <c r="J1774" s="25"/>
      <c r="K1774" s="25"/>
      <c r="L1774" s="25"/>
    </row>
    <row r="1775" spans="1:12" s="189" customFormat="1" ht="5.25" customHeight="1" x14ac:dyDescent="0.2">
      <c r="A1775" s="25"/>
      <c r="B1775" s="25"/>
      <c r="C1775" s="25"/>
      <c r="D1775" s="25"/>
      <c r="E1775" s="25"/>
      <c r="F1775" s="25"/>
      <c r="G1775" s="25"/>
      <c r="H1775" s="25"/>
      <c r="I1775" s="25"/>
      <c r="J1775" s="25"/>
      <c r="K1775" s="25"/>
      <c r="L1775" s="25"/>
    </row>
    <row r="1776" spans="1:12" s="189" customFormat="1" ht="5.25" customHeight="1" x14ac:dyDescent="0.2">
      <c r="A1776" s="25"/>
      <c r="B1776" s="25"/>
      <c r="C1776" s="25"/>
      <c r="D1776" s="25"/>
      <c r="E1776" s="25"/>
      <c r="F1776" s="25"/>
      <c r="G1776" s="25"/>
      <c r="H1776" s="25"/>
      <c r="I1776" s="25"/>
      <c r="J1776" s="25"/>
      <c r="K1776" s="25"/>
      <c r="L1776" s="25"/>
    </row>
    <row r="1777" spans="1:12" s="189" customFormat="1" ht="5.25" customHeight="1" x14ac:dyDescent="0.2">
      <c r="A1777" s="25"/>
      <c r="B1777" s="25"/>
      <c r="C1777" s="25"/>
      <c r="D1777" s="25"/>
      <c r="E1777" s="25"/>
      <c r="F1777" s="25"/>
      <c r="G1777" s="25"/>
      <c r="H1777" s="25"/>
      <c r="I1777" s="25"/>
      <c r="J1777" s="25"/>
      <c r="K1777" s="25"/>
      <c r="L1777" s="25"/>
    </row>
    <row r="1778" spans="1:12" s="189" customFormat="1" ht="5.25" customHeight="1" x14ac:dyDescent="0.2">
      <c r="A1778" s="25"/>
      <c r="B1778" s="25"/>
      <c r="C1778" s="25"/>
      <c r="D1778" s="25"/>
      <c r="E1778" s="25"/>
      <c r="F1778" s="25"/>
      <c r="G1778" s="25"/>
      <c r="H1778" s="25"/>
      <c r="I1778" s="25"/>
      <c r="J1778" s="25"/>
      <c r="K1778" s="25"/>
      <c r="L1778" s="25"/>
    </row>
    <row r="1779" spans="1:12" s="189" customFormat="1" ht="5.25" customHeight="1" x14ac:dyDescent="0.2">
      <c r="A1779" s="25"/>
      <c r="B1779" s="25"/>
      <c r="C1779" s="25"/>
      <c r="D1779" s="25"/>
      <c r="E1779" s="25"/>
      <c r="F1779" s="25"/>
      <c r="G1779" s="25"/>
      <c r="H1779" s="25"/>
      <c r="I1779" s="25"/>
      <c r="J1779" s="25"/>
      <c r="K1779" s="25"/>
      <c r="L1779" s="25"/>
    </row>
    <row r="1780" spans="1:12" s="189" customFormat="1" ht="5.25" customHeight="1" x14ac:dyDescent="0.2">
      <c r="A1780" s="25"/>
      <c r="B1780" s="25"/>
      <c r="C1780" s="25"/>
      <c r="D1780" s="25"/>
      <c r="E1780" s="25"/>
      <c r="F1780" s="25"/>
      <c r="G1780" s="25"/>
      <c r="H1780" s="25"/>
      <c r="I1780" s="25"/>
      <c r="J1780" s="25"/>
      <c r="K1780" s="25"/>
      <c r="L1780" s="25"/>
    </row>
    <row r="1781" spans="1:12" s="189" customFormat="1" ht="5.25" customHeight="1" x14ac:dyDescent="0.2">
      <c r="A1781" s="25"/>
      <c r="B1781" s="25"/>
      <c r="C1781" s="25"/>
      <c r="D1781" s="25"/>
      <c r="E1781" s="25"/>
      <c r="F1781" s="25"/>
      <c r="G1781" s="25"/>
      <c r="H1781" s="25"/>
      <c r="I1781" s="25"/>
      <c r="J1781" s="25"/>
      <c r="K1781" s="25"/>
      <c r="L1781" s="25"/>
    </row>
    <row r="1782" spans="1:12" s="189" customFormat="1" ht="5.25" customHeight="1" x14ac:dyDescent="0.2">
      <c r="A1782" s="25"/>
      <c r="B1782" s="25"/>
      <c r="C1782" s="25"/>
      <c r="D1782" s="25"/>
      <c r="E1782" s="25"/>
      <c r="F1782" s="25"/>
      <c r="G1782" s="25"/>
      <c r="H1782" s="25"/>
      <c r="I1782" s="25"/>
      <c r="J1782" s="25"/>
      <c r="K1782" s="25"/>
      <c r="L1782" s="25"/>
    </row>
    <row r="1783" spans="1:12" s="189" customFormat="1" ht="5.25" customHeight="1" x14ac:dyDescent="0.2">
      <c r="A1783" s="25"/>
      <c r="B1783" s="25"/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</row>
    <row r="1784" spans="1:12" s="189" customFormat="1" ht="5.25" customHeight="1" x14ac:dyDescent="0.2">
      <c r="A1784" s="25"/>
      <c r="B1784" s="25"/>
      <c r="C1784" s="25"/>
      <c r="D1784" s="25"/>
      <c r="E1784" s="25"/>
      <c r="F1784" s="25"/>
      <c r="G1784" s="25"/>
      <c r="H1784" s="25"/>
      <c r="I1784" s="25"/>
      <c r="J1784" s="25"/>
      <c r="K1784" s="25"/>
      <c r="L1784" s="25"/>
    </row>
    <row r="1785" spans="1:12" s="189" customFormat="1" ht="5.25" customHeight="1" x14ac:dyDescent="0.2">
      <c r="A1785" s="25"/>
      <c r="B1785" s="25"/>
      <c r="C1785" s="25"/>
      <c r="D1785" s="25"/>
      <c r="E1785" s="25"/>
      <c r="F1785" s="25"/>
      <c r="G1785" s="25"/>
      <c r="H1785" s="25"/>
      <c r="I1785" s="25"/>
      <c r="J1785" s="25"/>
      <c r="K1785" s="25"/>
      <c r="L1785" s="25"/>
    </row>
    <row r="1786" spans="1:12" s="189" customFormat="1" ht="5.25" customHeight="1" x14ac:dyDescent="0.2">
      <c r="A1786" s="25"/>
      <c r="B1786" s="25"/>
      <c r="C1786" s="25"/>
      <c r="D1786" s="25"/>
      <c r="E1786" s="25"/>
      <c r="F1786" s="25"/>
      <c r="G1786" s="25"/>
      <c r="H1786" s="25"/>
      <c r="I1786" s="25"/>
      <c r="J1786" s="25"/>
      <c r="K1786" s="25"/>
      <c r="L1786" s="25"/>
    </row>
    <row r="1787" spans="1:12" s="189" customFormat="1" ht="5.25" customHeight="1" x14ac:dyDescent="0.2">
      <c r="A1787" s="25"/>
      <c r="B1787" s="25"/>
      <c r="C1787" s="25"/>
      <c r="D1787" s="25"/>
      <c r="E1787" s="25"/>
      <c r="F1787" s="25"/>
      <c r="G1787" s="25"/>
      <c r="H1787" s="25"/>
      <c r="I1787" s="25"/>
      <c r="J1787" s="25"/>
      <c r="K1787" s="25"/>
      <c r="L1787" s="25"/>
    </row>
    <row r="1788" spans="1:12" s="189" customFormat="1" ht="5.25" customHeight="1" x14ac:dyDescent="0.2">
      <c r="A1788" s="25"/>
      <c r="B1788" s="25"/>
      <c r="C1788" s="25"/>
      <c r="D1788" s="25"/>
      <c r="E1788" s="25"/>
      <c r="F1788" s="25"/>
      <c r="G1788" s="25"/>
      <c r="H1788" s="25"/>
      <c r="I1788" s="25"/>
      <c r="J1788" s="25"/>
      <c r="K1788" s="25"/>
      <c r="L1788" s="25"/>
    </row>
    <row r="1789" spans="1:12" s="189" customFormat="1" ht="5.25" customHeight="1" x14ac:dyDescent="0.2">
      <c r="A1789" s="25"/>
      <c r="B1789" s="25"/>
      <c r="C1789" s="25"/>
      <c r="D1789" s="25"/>
      <c r="E1789" s="25"/>
      <c r="F1789" s="25"/>
      <c r="G1789" s="25"/>
      <c r="H1789" s="25"/>
      <c r="I1789" s="25"/>
      <c r="J1789" s="25"/>
      <c r="K1789" s="25"/>
      <c r="L1789" s="25"/>
    </row>
    <row r="1790" spans="1:12" s="189" customFormat="1" ht="5.25" customHeight="1" x14ac:dyDescent="0.2">
      <c r="A1790" s="25"/>
      <c r="B1790" s="25"/>
      <c r="C1790" s="25"/>
      <c r="D1790" s="25"/>
      <c r="E1790" s="25"/>
      <c r="F1790" s="25"/>
      <c r="G1790" s="25"/>
      <c r="H1790" s="25"/>
      <c r="I1790" s="25"/>
      <c r="J1790" s="25"/>
      <c r="K1790" s="25"/>
      <c r="L1790" s="25"/>
    </row>
    <row r="1791" spans="1:12" s="189" customFormat="1" ht="5.25" customHeight="1" x14ac:dyDescent="0.2">
      <c r="A1791" s="25"/>
      <c r="B1791" s="25"/>
      <c r="C1791" s="25"/>
      <c r="D1791" s="25"/>
      <c r="E1791" s="25"/>
      <c r="F1791" s="25"/>
      <c r="G1791" s="25"/>
      <c r="H1791" s="25"/>
      <c r="I1791" s="25"/>
      <c r="J1791" s="25"/>
      <c r="K1791" s="25"/>
      <c r="L1791" s="25"/>
    </row>
    <row r="1792" spans="1:12" s="189" customFormat="1" ht="5.25" customHeight="1" x14ac:dyDescent="0.2">
      <c r="A1792" s="25"/>
      <c r="B1792" s="25"/>
      <c r="C1792" s="25"/>
      <c r="D1792" s="25"/>
      <c r="E1792" s="25"/>
      <c r="F1792" s="25"/>
      <c r="G1792" s="25"/>
      <c r="H1792" s="25"/>
      <c r="I1792" s="25"/>
      <c r="J1792" s="25"/>
      <c r="K1792" s="25"/>
      <c r="L1792" s="25"/>
    </row>
    <row r="1793" spans="1:12" s="189" customFormat="1" ht="5.25" customHeight="1" x14ac:dyDescent="0.2">
      <c r="A1793" s="25"/>
      <c r="B1793" s="25"/>
      <c r="C1793" s="25"/>
      <c r="D1793" s="25"/>
      <c r="E1793" s="25"/>
      <c r="F1793" s="25"/>
      <c r="G1793" s="25"/>
      <c r="H1793" s="25"/>
      <c r="I1793" s="25"/>
      <c r="J1793" s="25"/>
      <c r="K1793" s="25"/>
      <c r="L1793" s="25"/>
    </row>
    <row r="1794" spans="1:12" s="189" customFormat="1" ht="5.25" customHeight="1" x14ac:dyDescent="0.2">
      <c r="A1794" s="25"/>
      <c r="B1794" s="25"/>
      <c r="C1794" s="25"/>
      <c r="D1794" s="25"/>
      <c r="E1794" s="25"/>
      <c r="F1794" s="25"/>
      <c r="G1794" s="25"/>
      <c r="H1794" s="25"/>
      <c r="I1794" s="25"/>
      <c r="J1794" s="25"/>
      <c r="K1794" s="25"/>
      <c r="L1794" s="25"/>
    </row>
    <row r="1795" spans="1:12" s="189" customFormat="1" ht="5.25" customHeight="1" x14ac:dyDescent="0.2">
      <c r="A1795" s="25"/>
      <c r="B1795" s="25"/>
      <c r="C1795" s="25"/>
      <c r="D1795" s="25"/>
      <c r="E1795" s="25"/>
      <c r="F1795" s="25"/>
      <c r="G1795" s="25"/>
      <c r="H1795" s="25"/>
      <c r="I1795" s="25"/>
      <c r="J1795" s="25"/>
      <c r="K1795" s="25"/>
      <c r="L1795" s="25"/>
    </row>
    <row r="1796" spans="1:12" s="189" customFormat="1" ht="5.25" customHeight="1" x14ac:dyDescent="0.2">
      <c r="A1796" s="25"/>
      <c r="B1796" s="25"/>
      <c r="C1796" s="25"/>
      <c r="D1796" s="25"/>
      <c r="E1796" s="25"/>
      <c r="F1796" s="25"/>
      <c r="G1796" s="25"/>
      <c r="H1796" s="25"/>
      <c r="I1796" s="25"/>
      <c r="J1796" s="25"/>
      <c r="K1796" s="25"/>
      <c r="L1796" s="25"/>
    </row>
    <row r="1797" spans="1:12" s="189" customFormat="1" ht="5.25" customHeight="1" x14ac:dyDescent="0.2">
      <c r="A1797" s="25"/>
      <c r="B1797" s="25"/>
      <c r="C1797" s="25"/>
      <c r="D1797" s="25"/>
      <c r="E1797" s="25"/>
      <c r="F1797" s="25"/>
      <c r="G1797" s="25"/>
      <c r="H1797" s="25"/>
      <c r="I1797" s="25"/>
      <c r="J1797" s="25"/>
      <c r="K1797" s="25"/>
      <c r="L1797" s="25"/>
    </row>
    <row r="1798" spans="1:12" s="189" customFormat="1" ht="5.25" customHeight="1" x14ac:dyDescent="0.2">
      <c r="A1798" s="25"/>
      <c r="B1798" s="25"/>
      <c r="C1798" s="25"/>
      <c r="D1798" s="25"/>
      <c r="E1798" s="25"/>
      <c r="F1798" s="25"/>
      <c r="G1798" s="25"/>
      <c r="H1798" s="25"/>
      <c r="I1798" s="25"/>
      <c r="J1798" s="25"/>
      <c r="K1798" s="25"/>
      <c r="L1798" s="25"/>
    </row>
    <row r="1799" spans="1:12" s="189" customFormat="1" ht="5.25" customHeight="1" x14ac:dyDescent="0.2">
      <c r="A1799" s="25"/>
      <c r="B1799" s="25"/>
      <c r="C1799" s="25"/>
      <c r="D1799" s="25"/>
      <c r="E1799" s="25"/>
      <c r="F1799" s="25"/>
      <c r="G1799" s="25"/>
      <c r="H1799" s="25"/>
      <c r="I1799" s="25"/>
      <c r="J1799" s="25"/>
      <c r="K1799" s="25"/>
      <c r="L1799" s="25"/>
    </row>
    <row r="1800" spans="1:12" s="189" customFormat="1" ht="5.25" customHeight="1" x14ac:dyDescent="0.2">
      <c r="A1800" s="25"/>
      <c r="B1800" s="25"/>
      <c r="C1800" s="25"/>
      <c r="D1800" s="25"/>
      <c r="E1800" s="25"/>
      <c r="F1800" s="25"/>
      <c r="G1800" s="25"/>
      <c r="H1800" s="25"/>
      <c r="I1800" s="25"/>
      <c r="J1800" s="25"/>
      <c r="K1800" s="25"/>
      <c r="L1800" s="25"/>
    </row>
    <row r="1801" spans="1:12" s="189" customFormat="1" ht="5.25" customHeight="1" x14ac:dyDescent="0.2">
      <c r="A1801" s="25"/>
      <c r="B1801" s="25"/>
      <c r="C1801" s="25"/>
      <c r="D1801" s="25"/>
      <c r="E1801" s="25"/>
      <c r="F1801" s="25"/>
      <c r="G1801" s="25"/>
      <c r="H1801" s="25"/>
      <c r="I1801" s="25"/>
      <c r="J1801" s="25"/>
      <c r="K1801" s="25"/>
      <c r="L1801" s="25"/>
    </row>
    <row r="1802" spans="1:12" s="189" customFormat="1" ht="5.25" customHeight="1" x14ac:dyDescent="0.2">
      <c r="A1802" s="25"/>
      <c r="B1802" s="25"/>
      <c r="C1802" s="25"/>
      <c r="D1802" s="25"/>
      <c r="E1802" s="25"/>
      <c r="F1802" s="25"/>
      <c r="G1802" s="25"/>
      <c r="H1802" s="25"/>
      <c r="I1802" s="25"/>
      <c r="J1802" s="25"/>
      <c r="K1802" s="25"/>
      <c r="L1802" s="25"/>
    </row>
    <row r="1803" spans="1:12" s="189" customFormat="1" ht="5.25" customHeight="1" x14ac:dyDescent="0.2">
      <c r="A1803" s="25"/>
      <c r="B1803" s="25"/>
      <c r="C1803" s="25"/>
      <c r="D1803" s="25"/>
      <c r="E1803" s="25"/>
      <c r="F1803" s="25"/>
      <c r="G1803" s="25"/>
      <c r="H1803" s="25"/>
      <c r="I1803" s="25"/>
      <c r="J1803" s="25"/>
      <c r="K1803" s="25"/>
      <c r="L1803" s="25"/>
    </row>
    <row r="1804" spans="1:12" s="189" customFormat="1" ht="5.25" customHeight="1" x14ac:dyDescent="0.2">
      <c r="A1804" s="25"/>
      <c r="B1804" s="25"/>
      <c r="C1804" s="25"/>
      <c r="D1804" s="25"/>
      <c r="E1804" s="25"/>
      <c r="F1804" s="25"/>
      <c r="G1804" s="25"/>
      <c r="H1804" s="25"/>
      <c r="I1804" s="25"/>
      <c r="J1804" s="25"/>
      <c r="K1804" s="25"/>
      <c r="L1804" s="25"/>
    </row>
    <row r="1805" spans="1:12" s="189" customFormat="1" ht="5.25" customHeight="1" x14ac:dyDescent="0.2">
      <c r="A1805" s="25"/>
      <c r="B1805" s="25"/>
      <c r="C1805" s="25"/>
      <c r="D1805" s="25"/>
      <c r="E1805" s="25"/>
      <c r="F1805" s="25"/>
      <c r="G1805" s="25"/>
      <c r="H1805" s="25"/>
      <c r="I1805" s="25"/>
      <c r="J1805" s="25"/>
      <c r="K1805" s="25"/>
      <c r="L1805" s="25"/>
    </row>
    <row r="1806" spans="1:12" s="189" customFormat="1" ht="5.25" customHeight="1" x14ac:dyDescent="0.2">
      <c r="A1806" s="25"/>
      <c r="B1806" s="25"/>
      <c r="C1806" s="25"/>
      <c r="D1806" s="25"/>
      <c r="E1806" s="25"/>
      <c r="F1806" s="25"/>
      <c r="G1806" s="25"/>
      <c r="H1806" s="25"/>
      <c r="I1806" s="25"/>
      <c r="J1806" s="25"/>
      <c r="K1806" s="25"/>
      <c r="L1806" s="25"/>
    </row>
    <row r="1807" spans="1:12" s="189" customFormat="1" ht="5.25" customHeight="1" x14ac:dyDescent="0.2">
      <c r="A1807" s="25"/>
      <c r="B1807" s="25"/>
      <c r="C1807" s="25"/>
      <c r="D1807" s="25"/>
      <c r="E1807" s="25"/>
      <c r="F1807" s="25"/>
      <c r="G1807" s="25"/>
      <c r="H1807" s="25"/>
      <c r="I1807" s="25"/>
      <c r="J1807" s="25"/>
      <c r="K1807" s="25"/>
      <c r="L1807" s="25"/>
    </row>
    <row r="1808" spans="1:12" s="189" customFormat="1" ht="5.25" customHeight="1" x14ac:dyDescent="0.2">
      <c r="A1808" s="25"/>
      <c r="B1808" s="25"/>
      <c r="C1808" s="25"/>
      <c r="D1808" s="25"/>
      <c r="E1808" s="25"/>
      <c r="F1808" s="25"/>
      <c r="G1808" s="25"/>
      <c r="H1808" s="25"/>
      <c r="I1808" s="25"/>
      <c r="J1808" s="25"/>
      <c r="K1808" s="25"/>
      <c r="L1808" s="25"/>
    </row>
    <row r="1809" spans="1:12" s="189" customFormat="1" ht="5.25" customHeight="1" x14ac:dyDescent="0.2">
      <c r="A1809" s="25"/>
      <c r="B1809" s="25"/>
      <c r="C1809" s="25"/>
      <c r="D1809" s="25"/>
      <c r="E1809" s="25"/>
      <c r="F1809" s="25"/>
      <c r="G1809" s="25"/>
      <c r="H1809" s="25"/>
      <c r="I1809" s="25"/>
      <c r="J1809" s="25"/>
      <c r="K1809" s="25"/>
      <c r="L1809" s="25"/>
    </row>
    <row r="1810" spans="1:12" s="189" customFormat="1" ht="5.25" customHeight="1" x14ac:dyDescent="0.2">
      <c r="A1810" s="25"/>
      <c r="B1810" s="25"/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</row>
    <row r="1811" spans="1:12" s="189" customFormat="1" ht="5.25" customHeight="1" x14ac:dyDescent="0.2">
      <c r="A1811" s="25"/>
      <c r="B1811" s="25"/>
      <c r="C1811" s="25"/>
      <c r="D1811" s="25"/>
      <c r="E1811" s="25"/>
      <c r="F1811" s="25"/>
      <c r="G1811" s="25"/>
      <c r="H1811" s="25"/>
      <c r="I1811" s="25"/>
      <c r="J1811" s="25"/>
      <c r="K1811" s="25"/>
      <c r="L1811" s="25"/>
    </row>
    <row r="1812" spans="1:12" s="189" customFormat="1" ht="5.25" customHeight="1" x14ac:dyDescent="0.2">
      <c r="A1812" s="25"/>
      <c r="B1812" s="25"/>
      <c r="C1812" s="25"/>
      <c r="D1812" s="25"/>
      <c r="E1812" s="25"/>
      <c r="F1812" s="25"/>
      <c r="G1812" s="25"/>
      <c r="H1812" s="25"/>
      <c r="I1812" s="25"/>
      <c r="J1812" s="25"/>
      <c r="K1812" s="25"/>
      <c r="L1812" s="25"/>
    </row>
    <row r="1813" spans="1:12" s="189" customFormat="1" ht="5.25" customHeight="1" x14ac:dyDescent="0.2">
      <c r="A1813" s="25"/>
      <c r="B1813" s="25"/>
      <c r="C1813" s="25"/>
      <c r="D1813" s="25"/>
      <c r="E1813" s="25"/>
      <c r="F1813" s="25"/>
      <c r="G1813" s="25"/>
      <c r="H1813" s="25"/>
      <c r="I1813" s="25"/>
      <c r="J1813" s="25"/>
      <c r="K1813" s="25"/>
      <c r="L1813" s="25"/>
    </row>
    <row r="1814" spans="1:12" s="189" customFormat="1" ht="5.25" customHeight="1" x14ac:dyDescent="0.2">
      <c r="A1814" s="25"/>
      <c r="B1814" s="25"/>
      <c r="C1814" s="25"/>
      <c r="D1814" s="25"/>
      <c r="E1814" s="25"/>
      <c r="F1814" s="25"/>
      <c r="G1814" s="25"/>
      <c r="H1814" s="25"/>
      <c r="I1814" s="25"/>
      <c r="J1814" s="25"/>
      <c r="K1814" s="25"/>
      <c r="L1814" s="25"/>
    </row>
    <row r="1815" spans="1:12" s="189" customFormat="1" ht="5.25" customHeight="1" x14ac:dyDescent="0.2">
      <c r="A1815" s="25"/>
      <c r="B1815" s="25"/>
      <c r="C1815" s="25"/>
      <c r="D1815" s="25"/>
      <c r="E1815" s="25"/>
      <c r="F1815" s="25"/>
      <c r="G1815" s="25"/>
      <c r="H1815" s="25"/>
      <c r="I1815" s="25"/>
      <c r="J1815" s="25"/>
      <c r="K1815" s="25"/>
      <c r="L1815" s="25"/>
    </row>
    <row r="1816" spans="1:12" s="189" customFormat="1" ht="5.25" customHeight="1" x14ac:dyDescent="0.2">
      <c r="A1816" s="25"/>
      <c r="B1816" s="25"/>
      <c r="C1816" s="25"/>
      <c r="D1816" s="25"/>
      <c r="E1816" s="25"/>
      <c r="F1816" s="25"/>
      <c r="G1816" s="25"/>
      <c r="H1816" s="25"/>
      <c r="I1816" s="25"/>
      <c r="J1816" s="25"/>
      <c r="K1816" s="25"/>
      <c r="L1816" s="25"/>
    </row>
    <row r="1817" spans="1:12" s="189" customFormat="1" ht="5.25" customHeight="1" x14ac:dyDescent="0.2">
      <c r="A1817" s="25"/>
      <c r="B1817" s="25"/>
      <c r="C1817" s="25"/>
      <c r="D1817" s="25"/>
      <c r="E1817" s="25"/>
      <c r="F1817" s="25"/>
      <c r="G1817" s="25"/>
      <c r="H1817" s="25"/>
      <c r="I1817" s="25"/>
      <c r="J1817" s="25"/>
      <c r="K1817" s="25"/>
      <c r="L1817" s="25"/>
    </row>
    <row r="1818" spans="1:12" s="189" customFormat="1" ht="5.25" customHeight="1" x14ac:dyDescent="0.2">
      <c r="A1818" s="25"/>
      <c r="B1818" s="25"/>
      <c r="C1818" s="25"/>
      <c r="D1818" s="25"/>
      <c r="E1818" s="25"/>
      <c r="F1818" s="25"/>
      <c r="G1818" s="25"/>
      <c r="H1818" s="25"/>
      <c r="I1818" s="25"/>
      <c r="J1818" s="25"/>
      <c r="K1818" s="25"/>
      <c r="L1818" s="25"/>
    </row>
    <row r="1819" spans="1:12" s="189" customFormat="1" ht="5.25" customHeight="1" x14ac:dyDescent="0.2">
      <c r="A1819" s="25"/>
      <c r="B1819" s="25"/>
      <c r="C1819" s="25"/>
      <c r="D1819" s="25"/>
      <c r="E1819" s="25"/>
      <c r="F1819" s="25"/>
      <c r="G1819" s="25"/>
      <c r="H1819" s="25"/>
      <c r="I1819" s="25"/>
      <c r="J1819" s="25"/>
      <c r="K1819" s="25"/>
      <c r="L1819" s="25"/>
    </row>
    <row r="1820" spans="1:12" s="189" customFormat="1" ht="5.25" customHeight="1" x14ac:dyDescent="0.2">
      <c r="A1820" s="25"/>
      <c r="B1820" s="25"/>
      <c r="C1820" s="25"/>
      <c r="D1820" s="25"/>
      <c r="E1820" s="25"/>
      <c r="F1820" s="25"/>
      <c r="G1820" s="25"/>
      <c r="H1820" s="25"/>
      <c r="I1820" s="25"/>
      <c r="J1820" s="25"/>
      <c r="K1820" s="25"/>
      <c r="L1820" s="25"/>
    </row>
    <row r="1821" spans="1:12" s="189" customFormat="1" ht="5.25" customHeight="1" x14ac:dyDescent="0.2">
      <c r="A1821" s="25"/>
      <c r="B1821" s="25"/>
      <c r="C1821" s="25"/>
      <c r="D1821" s="25"/>
      <c r="E1821" s="25"/>
      <c r="F1821" s="25"/>
      <c r="G1821" s="25"/>
      <c r="H1821" s="25"/>
      <c r="I1821" s="25"/>
      <c r="J1821" s="25"/>
      <c r="K1821" s="25"/>
      <c r="L1821" s="25"/>
    </row>
    <row r="1822" spans="1:12" s="189" customFormat="1" ht="5.25" customHeight="1" x14ac:dyDescent="0.2">
      <c r="A1822" s="25"/>
      <c r="B1822" s="25"/>
      <c r="C1822" s="25"/>
      <c r="D1822" s="25"/>
      <c r="E1822" s="25"/>
      <c r="F1822" s="25"/>
      <c r="G1822" s="25"/>
      <c r="H1822" s="25"/>
      <c r="I1822" s="25"/>
      <c r="J1822" s="25"/>
      <c r="K1822" s="25"/>
      <c r="L1822" s="25"/>
    </row>
    <row r="1823" spans="1:12" s="189" customFormat="1" ht="5.25" customHeight="1" x14ac:dyDescent="0.2">
      <c r="A1823" s="25"/>
      <c r="B1823" s="25"/>
      <c r="C1823" s="25"/>
      <c r="D1823" s="25"/>
      <c r="E1823" s="25"/>
      <c r="F1823" s="25"/>
      <c r="G1823" s="25"/>
      <c r="H1823" s="25"/>
      <c r="I1823" s="25"/>
      <c r="J1823" s="25"/>
      <c r="K1823" s="25"/>
      <c r="L1823" s="25"/>
    </row>
    <row r="1824" spans="1:12" s="189" customFormat="1" ht="5.25" customHeight="1" x14ac:dyDescent="0.2">
      <c r="A1824" s="25"/>
      <c r="B1824" s="25"/>
      <c r="C1824" s="25"/>
      <c r="D1824" s="25"/>
      <c r="E1824" s="25"/>
      <c r="F1824" s="25"/>
      <c r="G1824" s="25"/>
      <c r="H1824" s="25"/>
      <c r="I1824" s="25"/>
      <c r="J1824" s="25"/>
      <c r="K1824" s="25"/>
      <c r="L1824" s="25"/>
    </row>
    <row r="1825" spans="1:12" s="189" customFormat="1" ht="5.25" customHeight="1" x14ac:dyDescent="0.2">
      <c r="A1825" s="25"/>
      <c r="B1825" s="25"/>
      <c r="C1825" s="25"/>
      <c r="D1825" s="25"/>
      <c r="E1825" s="25"/>
      <c r="F1825" s="25"/>
      <c r="G1825" s="25"/>
      <c r="H1825" s="25"/>
      <c r="I1825" s="25"/>
      <c r="J1825" s="25"/>
      <c r="K1825" s="25"/>
      <c r="L1825" s="25"/>
    </row>
    <row r="1826" spans="1:12" s="189" customFormat="1" ht="5.25" customHeight="1" x14ac:dyDescent="0.2">
      <c r="A1826" s="25"/>
      <c r="B1826" s="25"/>
      <c r="C1826" s="25"/>
      <c r="D1826" s="25"/>
      <c r="E1826" s="25"/>
      <c r="F1826" s="25"/>
      <c r="G1826" s="25"/>
      <c r="H1826" s="25"/>
      <c r="I1826" s="25"/>
      <c r="J1826" s="25"/>
      <c r="K1826" s="25"/>
      <c r="L1826" s="25"/>
    </row>
    <row r="1827" spans="1:12" s="189" customFormat="1" ht="5.25" customHeight="1" x14ac:dyDescent="0.2">
      <c r="A1827" s="25"/>
      <c r="B1827" s="25"/>
      <c r="C1827" s="25"/>
      <c r="D1827" s="25"/>
      <c r="E1827" s="25"/>
      <c r="F1827" s="25"/>
      <c r="G1827" s="25"/>
      <c r="H1827" s="25"/>
      <c r="I1827" s="25"/>
      <c r="J1827" s="25"/>
      <c r="K1827" s="25"/>
      <c r="L1827" s="25"/>
    </row>
    <row r="1828" spans="1:12" s="189" customFormat="1" ht="5.25" customHeight="1" x14ac:dyDescent="0.2">
      <c r="A1828" s="25"/>
      <c r="B1828" s="25"/>
      <c r="C1828" s="25"/>
      <c r="D1828" s="25"/>
      <c r="E1828" s="25"/>
      <c r="F1828" s="25"/>
      <c r="G1828" s="25"/>
      <c r="H1828" s="25"/>
      <c r="I1828" s="25"/>
      <c r="J1828" s="25"/>
      <c r="K1828" s="25"/>
      <c r="L1828" s="25"/>
    </row>
    <row r="1829" spans="1:12" s="189" customFormat="1" ht="5.25" customHeight="1" x14ac:dyDescent="0.2">
      <c r="A1829" s="25"/>
      <c r="B1829" s="25"/>
      <c r="C1829" s="25"/>
      <c r="D1829" s="25"/>
      <c r="E1829" s="25"/>
      <c r="F1829" s="25"/>
      <c r="G1829" s="25"/>
      <c r="H1829" s="25"/>
      <c r="I1829" s="25"/>
      <c r="J1829" s="25"/>
      <c r="K1829" s="25"/>
      <c r="L1829" s="25"/>
    </row>
    <row r="1830" spans="1:12" s="189" customFormat="1" ht="5.25" customHeight="1" x14ac:dyDescent="0.2">
      <c r="A1830" s="25"/>
      <c r="B1830" s="25"/>
      <c r="C1830" s="25"/>
      <c r="D1830" s="25"/>
      <c r="E1830" s="25"/>
      <c r="F1830" s="25"/>
      <c r="G1830" s="25"/>
      <c r="H1830" s="25"/>
      <c r="I1830" s="25"/>
      <c r="J1830" s="25"/>
      <c r="K1830" s="25"/>
      <c r="L1830" s="25"/>
    </row>
    <row r="1831" spans="1:12" s="189" customFormat="1" ht="5.25" customHeight="1" x14ac:dyDescent="0.2">
      <c r="A1831" s="25"/>
      <c r="B1831" s="25"/>
      <c r="C1831" s="25"/>
      <c r="D1831" s="25"/>
      <c r="E1831" s="25"/>
      <c r="F1831" s="25"/>
      <c r="G1831" s="25"/>
      <c r="H1831" s="25"/>
      <c r="I1831" s="25"/>
      <c r="J1831" s="25"/>
      <c r="K1831" s="25"/>
      <c r="L1831" s="25"/>
    </row>
    <row r="1832" spans="1:12" s="189" customFormat="1" ht="5.25" customHeight="1" x14ac:dyDescent="0.2">
      <c r="A1832" s="25"/>
      <c r="B1832" s="25"/>
      <c r="C1832" s="25"/>
      <c r="D1832" s="25"/>
      <c r="E1832" s="25"/>
      <c r="F1832" s="25"/>
      <c r="G1832" s="25"/>
      <c r="H1832" s="25"/>
      <c r="I1832" s="25"/>
      <c r="J1832" s="25"/>
      <c r="K1832" s="25"/>
      <c r="L1832" s="25"/>
    </row>
    <row r="1833" spans="1:12" s="189" customFormat="1" ht="5.25" customHeight="1" x14ac:dyDescent="0.2">
      <c r="A1833" s="25"/>
      <c r="B1833" s="25"/>
      <c r="C1833" s="25"/>
      <c r="D1833" s="25"/>
      <c r="E1833" s="25"/>
      <c r="F1833" s="25"/>
      <c r="G1833" s="25"/>
      <c r="H1833" s="25"/>
      <c r="I1833" s="25"/>
      <c r="J1833" s="25"/>
      <c r="K1833" s="25"/>
      <c r="L1833" s="25"/>
    </row>
    <row r="1834" spans="1:12" s="189" customFormat="1" ht="5.25" customHeight="1" x14ac:dyDescent="0.2">
      <c r="A1834" s="25"/>
      <c r="B1834" s="25"/>
      <c r="C1834" s="25"/>
      <c r="D1834" s="25"/>
      <c r="E1834" s="25"/>
      <c r="F1834" s="25"/>
      <c r="G1834" s="25"/>
      <c r="H1834" s="25"/>
      <c r="I1834" s="25"/>
      <c r="J1834" s="25"/>
      <c r="K1834" s="25"/>
      <c r="L1834" s="25"/>
    </row>
    <row r="1835" spans="1:12" s="189" customFormat="1" ht="5.25" customHeight="1" x14ac:dyDescent="0.2">
      <c r="A1835" s="25"/>
      <c r="B1835" s="25"/>
      <c r="C1835" s="25"/>
      <c r="D1835" s="25"/>
      <c r="E1835" s="25"/>
      <c r="F1835" s="25"/>
      <c r="G1835" s="25"/>
      <c r="H1835" s="25"/>
      <c r="I1835" s="25"/>
      <c r="J1835" s="25"/>
      <c r="K1835" s="25"/>
      <c r="L1835" s="25"/>
    </row>
    <row r="1836" spans="1:12" s="189" customFormat="1" ht="5.25" customHeight="1" x14ac:dyDescent="0.2">
      <c r="A1836" s="25"/>
      <c r="B1836" s="25"/>
      <c r="C1836" s="25"/>
      <c r="D1836" s="25"/>
      <c r="E1836" s="25"/>
      <c r="F1836" s="25"/>
      <c r="G1836" s="25"/>
      <c r="H1836" s="25"/>
      <c r="I1836" s="25"/>
      <c r="J1836" s="25"/>
      <c r="K1836" s="25"/>
      <c r="L1836" s="25"/>
    </row>
    <row r="1837" spans="1:12" s="189" customFormat="1" ht="5.25" customHeight="1" x14ac:dyDescent="0.2">
      <c r="A1837" s="25"/>
      <c r="B1837" s="25"/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</row>
    <row r="1838" spans="1:12" s="189" customFormat="1" ht="5.25" customHeight="1" x14ac:dyDescent="0.2">
      <c r="A1838" s="25"/>
      <c r="B1838" s="25"/>
      <c r="C1838" s="25"/>
      <c r="D1838" s="25"/>
      <c r="E1838" s="25"/>
      <c r="F1838" s="25"/>
      <c r="G1838" s="25"/>
      <c r="H1838" s="25"/>
      <c r="I1838" s="25"/>
      <c r="J1838" s="25"/>
      <c r="K1838" s="25"/>
      <c r="L1838" s="25"/>
    </row>
    <row r="1839" spans="1:12" s="189" customFormat="1" ht="5.25" customHeight="1" x14ac:dyDescent="0.2">
      <c r="A1839" s="25"/>
      <c r="B1839" s="25"/>
      <c r="C1839" s="25"/>
      <c r="D1839" s="25"/>
      <c r="E1839" s="25"/>
      <c r="F1839" s="25"/>
      <c r="G1839" s="25"/>
      <c r="H1839" s="25"/>
      <c r="I1839" s="25"/>
      <c r="J1839" s="25"/>
      <c r="K1839" s="25"/>
      <c r="L1839" s="25"/>
    </row>
    <row r="1840" spans="1:12" s="189" customFormat="1" ht="5.25" customHeight="1" x14ac:dyDescent="0.2">
      <c r="A1840" s="25"/>
      <c r="B1840" s="25"/>
      <c r="C1840" s="25"/>
      <c r="D1840" s="25"/>
      <c r="E1840" s="25"/>
      <c r="F1840" s="25"/>
      <c r="G1840" s="25"/>
      <c r="H1840" s="25"/>
      <c r="I1840" s="25"/>
      <c r="J1840" s="25"/>
      <c r="K1840" s="25"/>
      <c r="L1840" s="25"/>
    </row>
    <row r="1841" spans="1:12" s="189" customFormat="1" ht="5.25" customHeight="1" x14ac:dyDescent="0.2">
      <c r="A1841" s="25"/>
      <c r="B1841" s="25"/>
      <c r="C1841" s="25"/>
      <c r="D1841" s="25"/>
      <c r="E1841" s="25"/>
      <c r="F1841" s="25"/>
      <c r="G1841" s="25"/>
      <c r="H1841" s="25"/>
      <c r="I1841" s="25"/>
      <c r="J1841" s="25"/>
      <c r="K1841" s="25"/>
      <c r="L1841" s="25"/>
    </row>
    <row r="1842" spans="1:12" s="189" customFormat="1" ht="5.25" customHeight="1" x14ac:dyDescent="0.2">
      <c r="A1842" s="25"/>
      <c r="B1842" s="25"/>
      <c r="C1842" s="25"/>
      <c r="D1842" s="25"/>
      <c r="E1842" s="25"/>
      <c r="F1842" s="25"/>
      <c r="G1842" s="25"/>
      <c r="H1842" s="25"/>
      <c r="I1842" s="25"/>
      <c r="J1842" s="25"/>
      <c r="K1842" s="25"/>
      <c r="L1842" s="25"/>
    </row>
    <row r="1843" spans="1:12" s="189" customFormat="1" ht="5.25" customHeight="1" x14ac:dyDescent="0.2">
      <c r="A1843" s="25"/>
      <c r="B1843" s="25"/>
      <c r="C1843" s="25"/>
      <c r="D1843" s="25"/>
      <c r="E1843" s="25"/>
      <c r="F1843" s="25"/>
      <c r="G1843" s="25"/>
      <c r="H1843" s="25"/>
      <c r="I1843" s="25"/>
      <c r="J1843" s="25"/>
      <c r="K1843" s="25"/>
      <c r="L1843" s="25"/>
    </row>
    <row r="1844" spans="1:12" s="189" customFormat="1" ht="5.25" customHeight="1" x14ac:dyDescent="0.2">
      <c r="A1844" s="25"/>
      <c r="B1844" s="25"/>
      <c r="C1844" s="25"/>
      <c r="D1844" s="25"/>
      <c r="E1844" s="25"/>
      <c r="F1844" s="25"/>
      <c r="G1844" s="25"/>
      <c r="H1844" s="25"/>
      <c r="I1844" s="25"/>
      <c r="J1844" s="25"/>
      <c r="K1844" s="25"/>
      <c r="L1844" s="25"/>
    </row>
    <row r="1845" spans="1:12" s="189" customFormat="1" ht="5.25" customHeight="1" x14ac:dyDescent="0.2">
      <c r="A1845" s="25"/>
      <c r="B1845" s="25"/>
      <c r="C1845" s="25"/>
      <c r="D1845" s="25"/>
      <c r="E1845" s="25"/>
      <c r="F1845" s="25"/>
      <c r="G1845" s="25"/>
      <c r="H1845" s="25"/>
      <c r="I1845" s="25"/>
      <c r="J1845" s="25"/>
      <c r="K1845" s="25"/>
      <c r="L1845" s="25"/>
    </row>
    <row r="1846" spans="1:12" s="189" customFormat="1" ht="5.25" customHeight="1" x14ac:dyDescent="0.2">
      <c r="A1846" s="25"/>
      <c r="B1846" s="25"/>
      <c r="C1846" s="25"/>
      <c r="D1846" s="25"/>
      <c r="E1846" s="25"/>
      <c r="F1846" s="25"/>
      <c r="G1846" s="25"/>
      <c r="H1846" s="25"/>
      <c r="I1846" s="25"/>
      <c r="J1846" s="25"/>
      <c r="K1846" s="25"/>
      <c r="L1846" s="25"/>
    </row>
    <row r="1847" spans="1:12" s="189" customFormat="1" ht="5.25" customHeight="1" x14ac:dyDescent="0.2">
      <c r="A1847" s="25"/>
      <c r="B1847" s="25"/>
      <c r="C1847" s="25"/>
      <c r="D1847" s="25"/>
      <c r="E1847" s="25"/>
      <c r="F1847" s="25"/>
      <c r="G1847" s="25"/>
      <c r="H1847" s="25"/>
      <c r="I1847" s="25"/>
      <c r="J1847" s="25"/>
      <c r="K1847" s="25"/>
      <c r="L1847" s="25"/>
    </row>
    <row r="1848" spans="1:12" s="189" customFormat="1" ht="5.25" customHeight="1" x14ac:dyDescent="0.2">
      <c r="A1848" s="25"/>
      <c r="B1848" s="25"/>
      <c r="C1848" s="25"/>
      <c r="D1848" s="25"/>
      <c r="E1848" s="25"/>
      <c r="F1848" s="25"/>
      <c r="G1848" s="25"/>
      <c r="H1848" s="25"/>
      <c r="I1848" s="25"/>
      <c r="J1848" s="25"/>
      <c r="K1848" s="25"/>
      <c r="L1848" s="25"/>
    </row>
    <row r="1849" spans="1:12" s="189" customFormat="1" ht="5.25" customHeight="1" x14ac:dyDescent="0.2">
      <c r="A1849" s="25"/>
      <c r="B1849" s="25"/>
      <c r="C1849" s="25"/>
      <c r="D1849" s="25"/>
      <c r="E1849" s="25"/>
      <c r="F1849" s="25"/>
      <c r="G1849" s="25"/>
      <c r="H1849" s="25"/>
      <c r="I1849" s="25"/>
      <c r="J1849" s="25"/>
      <c r="K1849" s="25"/>
      <c r="L1849" s="25"/>
    </row>
    <row r="1850" spans="1:12" s="189" customFormat="1" ht="5.25" customHeight="1" x14ac:dyDescent="0.2">
      <c r="A1850" s="25"/>
      <c r="B1850" s="25"/>
      <c r="C1850" s="25"/>
      <c r="D1850" s="25"/>
      <c r="E1850" s="25"/>
      <c r="F1850" s="25"/>
      <c r="G1850" s="25"/>
      <c r="H1850" s="25"/>
      <c r="I1850" s="25"/>
      <c r="J1850" s="25"/>
      <c r="K1850" s="25"/>
      <c r="L1850" s="25"/>
    </row>
    <row r="1851" spans="1:12" s="189" customFormat="1" ht="5.25" customHeight="1" x14ac:dyDescent="0.2">
      <c r="A1851" s="25"/>
      <c r="B1851" s="25"/>
      <c r="C1851" s="25"/>
      <c r="D1851" s="25"/>
      <c r="E1851" s="25"/>
      <c r="F1851" s="25"/>
      <c r="G1851" s="25"/>
      <c r="H1851" s="25"/>
      <c r="I1851" s="25"/>
      <c r="J1851" s="25"/>
      <c r="K1851" s="25"/>
      <c r="L1851" s="25"/>
    </row>
    <row r="1852" spans="1:12" s="189" customFormat="1" ht="5.25" customHeight="1" x14ac:dyDescent="0.2">
      <c r="A1852" s="25"/>
      <c r="B1852" s="25"/>
      <c r="C1852" s="25"/>
      <c r="D1852" s="25"/>
      <c r="E1852" s="25"/>
      <c r="F1852" s="25"/>
      <c r="G1852" s="25"/>
      <c r="H1852" s="25"/>
      <c r="I1852" s="25"/>
      <c r="J1852" s="25"/>
      <c r="K1852" s="25"/>
      <c r="L1852" s="25"/>
    </row>
    <row r="1853" spans="1:12" s="189" customFormat="1" ht="5.25" customHeight="1" x14ac:dyDescent="0.2">
      <c r="A1853" s="25"/>
      <c r="B1853" s="25"/>
      <c r="C1853" s="25"/>
      <c r="D1853" s="25"/>
      <c r="E1853" s="25"/>
      <c r="F1853" s="25"/>
      <c r="G1853" s="25"/>
      <c r="H1853" s="25"/>
      <c r="I1853" s="25"/>
      <c r="J1853" s="25"/>
      <c r="K1853" s="25"/>
      <c r="L1853" s="25"/>
    </row>
    <row r="1854" spans="1:12" s="189" customFormat="1" ht="5.25" customHeight="1" x14ac:dyDescent="0.2">
      <c r="A1854" s="25"/>
      <c r="B1854" s="25"/>
      <c r="C1854" s="25"/>
      <c r="D1854" s="25"/>
      <c r="E1854" s="25"/>
      <c r="F1854" s="25"/>
      <c r="G1854" s="25"/>
      <c r="H1854" s="25"/>
      <c r="I1854" s="25"/>
      <c r="J1854" s="25"/>
      <c r="K1854" s="25"/>
      <c r="L1854" s="25"/>
    </row>
    <row r="1855" spans="1:12" s="189" customFormat="1" ht="5.25" customHeight="1" x14ac:dyDescent="0.2">
      <c r="A1855" s="25"/>
      <c r="B1855" s="25"/>
      <c r="C1855" s="25"/>
      <c r="D1855" s="25"/>
      <c r="E1855" s="25"/>
      <c r="F1855" s="25"/>
      <c r="G1855" s="25"/>
      <c r="H1855" s="25"/>
      <c r="I1855" s="25"/>
      <c r="J1855" s="25"/>
      <c r="K1855" s="25"/>
      <c r="L1855" s="25"/>
    </row>
    <row r="1856" spans="1:12" s="189" customFormat="1" ht="5.25" customHeight="1" x14ac:dyDescent="0.2">
      <c r="A1856" s="25"/>
      <c r="B1856" s="25"/>
      <c r="C1856" s="25"/>
      <c r="D1856" s="25"/>
      <c r="E1856" s="25"/>
      <c r="F1856" s="25"/>
      <c r="G1856" s="25"/>
      <c r="H1856" s="25"/>
      <c r="I1856" s="25"/>
      <c r="J1856" s="25"/>
      <c r="K1856" s="25"/>
      <c r="L1856" s="25"/>
    </row>
    <row r="1857" spans="1:12" s="189" customFormat="1" ht="5.25" customHeight="1" x14ac:dyDescent="0.2">
      <c r="A1857" s="25"/>
      <c r="B1857" s="25"/>
      <c r="C1857" s="25"/>
      <c r="D1857" s="25"/>
      <c r="E1857" s="25"/>
      <c r="F1857" s="25"/>
      <c r="G1857" s="25"/>
      <c r="H1857" s="25"/>
      <c r="I1857" s="25"/>
      <c r="J1857" s="25"/>
      <c r="K1857" s="25"/>
      <c r="L1857" s="25"/>
    </row>
    <row r="1858" spans="1:12" s="189" customFormat="1" ht="5.25" customHeight="1" x14ac:dyDescent="0.2">
      <c r="A1858" s="25"/>
      <c r="B1858" s="25"/>
      <c r="C1858" s="25"/>
      <c r="D1858" s="25"/>
      <c r="E1858" s="25"/>
      <c r="F1858" s="25"/>
      <c r="G1858" s="25"/>
      <c r="H1858" s="25"/>
      <c r="I1858" s="25"/>
      <c r="J1858" s="25"/>
      <c r="K1858" s="25"/>
      <c r="L1858" s="25"/>
    </row>
    <row r="1859" spans="1:12" s="189" customFormat="1" ht="5.25" customHeight="1" x14ac:dyDescent="0.2">
      <c r="A1859" s="25"/>
      <c r="B1859" s="25"/>
      <c r="C1859" s="25"/>
      <c r="D1859" s="25"/>
      <c r="E1859" s="25"/>
      <c r="F1859" s="25"/>
      <c r="G1859" s="25"/>
      <c r="H1859" s="25"/>
      <c r="I1859" s="25"/>
      <c r="J1859" s="25"/>
      <c r="K1859" s="25"/>
      <c r="L1859" s="25"/>
    </row>
    <row r="1860" spans="1:12" s="189" customFormat="1" ht="5.25" customHeight="1" x14ac:dyDescent="0.2">
      <c r="A1860" s="25"/>
      <c r="B1860" s="25"/>
      <c r="C1860" s="25"/>
      <c r="D1860" s="25"/>
      <c r="E1860" s="25"/>
      <c r="F1860" s="25"/>
      <c r="G1860" s="25"/>
      <c r="H1860" s="25"/>
      <c r="I1860" s="25"/>
      <c r="J1860" s="25"/>
      <c r="K1860" s="25"/>
      <c r="L1860" s="25"/>
    </row>
    <row r="1861" spans="1:12" s="189" customFormat="1" ht="5.25" customHeight="1" x14ac:dyDescent="0.2">
      <c r="A1861" s="25"/>
      <c r="B1861" s="25"/>
      <c r="C1861" s="25"/>
      <c r="D1861" s="25"/>
      <c r="E1861" s="25"/>
      <c r="F1861" s="25"/>
      <c r="G1861" s="25"/>
      <c r="H1861" s="25"/>
      <c r="I1861" s="25"/>
      <c r="J1861" s="25"/>
      <c r="K1861" s="25"/>
      <c r="L1861" s="25"/>
    </row>
    <row r="1862" spans="1:12" s="189" customFormat="1" ht="5.25" customHeight="1" x14ac:dyDescent="0.2">
      <c r="A1862" s="25"/>
      <c r="B1862" s="25"/>
      <c r="C1862" s="25"/>
      <c r="D1862" s="25"/>
      <c r="E1862" s="25"/>
      <c r="F1862" s="25"/>
      <c r="G1862" s="25"/>
      <c r="H1862" s="25"/>
      <c r="I1862" s="25"/>
      <c r="J1862" s="25"/>
      <c r="K1862" s="25"/>
      <c r="L1862" s="25"/>
    </row>
    <row r="1863" spans="1:12" s="189" customFormat="1" ht="5.25" customHeight="1" x14ac:dyDescent="0.2">
      <c r="A1863" s="25"/>
      <c r="B1863" s="25"/>
      <c r="C1863" s="25"/>
      <c r="D1863" s="25"/>
      <c r="E1863" s="25"/>
      <c r="F1863" s="25"/>
      <c r="G1863" s="25"/>
      <c r="H1863" s="25"/>
      <c r="I1863" s="25"/>
      <c r="J1863" s="25"/>
      <c r="K1863" s="25"/>
      <c r="L1863" s="25"/>
    </row>
    <row r="1864" spans="1:12" s="189" customFormat="1" ht="5.25" customHeight="1" x14ac:dyDescent="0.2">
      <c r="A1864" s="25"/>
      <c r="B1864" s="25"/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</row>
    <row r="1865" spans="1:12" s="189" customFormat="1" ht="5.25" customHeight="1" x14ac:dyDescent="0.2">
      <c r="A1865" s="25"/>
      <c r="B1865" s="25"/>
      <c r="C1865" s="25"/>
      <c r="D1865" s="25"/>
      <c r="E1865" s="25"/>
      <c r="F1865" s="25"/>
      <c r="G1865" s="25"/>
      <c r="H1865" s="25"/>
      <c r="I1865" s="25"/>
      <c r="J1865" s="25"/>
      <c r="K1865" s="25"/>
      <c r="L1865" s="25"/>
    </row>
    <row r="1866" spans="1:12" s="189" customFormat="1" ht="5.25" customHeight="1" x14ac:dyDescent="0.2">
      <c r="A1866" s="25"/>
      <c r="B1866" s="25"/>
      <c r="C1866" s="25"/>
      <c r="D1866" s="25"/>
      <c r="E1866" s="25"/>
      <c r="F1866" s="25"/>
      <c r="G1866" s="25"/>
      <c r="H1866" s="25"/>
      <c r="I1866" s="25"/>
      <c r="J1866" s="25"/>
      <c r="K1866" s="25"/>
      <c r="L1866" s="25"/>
    </row>
    <row r="1867" spans="1:12" s="189" customFormat="1" ht="5.25" customHeight="1" x14ac:dyDescent="0.2">
      <c r="A1867" s="25"/>
      <c r="B1867" s="25"/>
      <c r="C1867" s="25"/>
      <c r="D1867" s="25"/>
      <c r="E1867" s="25"/>
      <c r="F1867" s="25"/>
      <c r="G1867" s="25"/>
      <c r="H1867" s="25"/>
      <c r="I1867" s="25"/>
      <c r="J1867" s="25"/>
      <c r="K1867" s="25"/>
      <c r="L1867" s="25"/>
    </row>
    <row r="1868" spans="1:12" s="189" customFormat="1" ht="5.25" customHeight="1" x14ac:dyDescent="0.2">
      <c r="A1868" s="25"/>
      <c r="B1868" s="25"/>
      <c r="C1868" s="25"/>
      <c r="D1868" s="25"/>
      <c r="E1868" s="25"/>
      <c r="F1868" s="25"/>
      <c r="G1868" s="25"/>
      <c r="H1868" s="25"/>
      <c r="I1868" s="25"/>
      <c r="J1868" s="25"/>
      <c r="K1868" s="25"/>
      <c r="L1868" s="25"/>
    </row>
    <row r="1869" spans="1:12" s="189" customFormat="1" ht="5.25" customHeight="1" x14ac:dyDescent="0.2">
      <c r="A1869" s="25"/>
      <c r="B1869" s="25"/>
      <c r="C1869" s="25"/>
      <c r="D1869" s="25"/>
      <c r="E1869" s="25"/>
      <c r="F1869" s="25"/>
      <c r="G1869" s="25"/>
      <c r="H1869" s="25"/>
      <c r="I1869" s="25"/>
      <c r="J1869" s="25"/>
      <c r="K1869" s="25"/>
      <c r="L1869" s="25"/>
    </row>
    <row r="1870" spans="1:12" s="189" customFormat="1" ht="5.25" customHeight="1" x14ac:dyDescent="0.2">
      <c r="A1870" s="25"/>
      <c r="B1870" s="25"/>
      <c r="C1870" s="25"/>
      <c r="D1870" s="25"/>
      <c r="E1870" s="25"/>
      <c r="F1870" s="25"/>
      <c r="G1870" s="25"/>
      <c r="H1870" s="25"/>
      <c r="I1870" s="25"/>
      <c r="J1870" s="25"/>
      <c r="K1870" s="25"/>
      <c r="L1870" s="25"/>
    </row>
    <row r="1871" spans="1:12" s="189" customFormat="1" ht="5.25" customHeight="1" x14ac:dyDescent="0.2">
      <c r="A1871" s="25"/>
      <c r="B1871" s="25"/>
      <c r="C1871" s="25"/>
      <c r="D1871" s="25"/>
      <c r="E1871" s="25"/>
      <c r="F1871" s="25"/>
      <c r="G1871" s="25"/>
      <c r="H1871" s="25"/>
      <c r="I1871" s="25"/>
      <c r="J1871" s="25"/>
      <c r="K1871" s="25"/>
      <c r="L1871" s="25"/>
    </row>
    <row r="1872" spans="1:12" s="189" customFormat="1" ht="5.25" customHeight="1" x14ac:dyDescent="0.2">
      <c r="A1872" s="25"/>
      <c r="B1872" s="25"/>
      <c r="C1872" s="25"/>
      <c r="D1872" s="25"/>
      <c r="E1872" s="25"/>
      <c r="F1872" s="25"/>
      <c r="G1872" s="25"/>
      <c r="H1872" s="25"/>
      <c r="I1872" s="25"/>
      <c r="J1872" s="25"/>
      <c r="K1872" s="25"/>
      <c r="L1872" s="25"/>
    </row>
    <row r="1873" spans="1:12" s="189" customFormat="1" ht="5.25" customHeight="1" x14ac:dyDescent="0.2">
      <c r="A1873" s="25"/>
      <c r="B1873" s="25"/>
      <c r="C1873" s="25"/>
      <c r="D1873" s="25"/>
      <c r="E1873" s="25"/>
      <c r="F1873" s="25"/>
      <c r="G1873" s="25"/>
      <c r="H1873" s="25"/>
      <c r="I1873" s="25"/>
      <c r="J1873" s="25"/>
      <c r="K1873" s="25"/>
      <c r="L1873" s="25"/>
    </row>
    <row r="1874" spans="1:12" s="189" customFormat="1" ht="5.25" customHeight="1" x14ac:dyDescent="0.2">
      <c r="A1874" s="25"/>
      <c r="B1874" s="25"/>
      <c r="C1874" s="25"/>
      <c r="D1874" s="25"/>
      <c r="E1874" s="25"/>
      <c r="F1874" s="25"/>
      <c r="G1874" s="25"/>
      <c r="H1874" s="25"/>
      <c r="I1874" s="25"/>
      <c r="J1874" s="25"/>
      <c r="K1874" s="25"/>
      <c r="L1874" s="25"/>
    </row>
    <row r="1875" spans="1:12" s="189" customFormat="1" ht="5.25" customHeight="1" x14ac:dyDescent="0.2">
      <c r="A1875" s="25"/>
      <c r="B1875" s="25"/>
      <c r="C1875" s="25"/>
      <c r="D1875" s="25"/>
      <c r="E1875" s="25"/>
      <c r="F1875" s="25"/>
      <c r="G1875" s="25"/>
      <c r="H1875" s="25"/>
      <c r="I1875" s="25"/>
      <c r="J1875" s="25"/>
      <c r="K1875" s="25"/>
      <c r="L1875" s="25"/>
    </row>
    <row r="1876" spans="1:12" s="189" customFormat="1" ht="5.25" customHeight="1" x14ac:dyDescent="0.2">
      <c r="A1876" s="25"/>
      <c r="B1876" s="25"/>
      <c r="C1876" s="25"/>
      <c r="D1876" s="25"/>
      <c r="E1876" s="25"/>
      <c r="F1876" s="25"/>
      <c r="G1876" s="25"/>
      <c r="H1876" s="25"/>
      <c r="I1876" s="25"/>
      <c r="J1876" s="25"/>
      <c r="K1876" s="25"/>
      <c r="L1876" s="25"/>
    </row>
    <row r="1877" spans="1:12" s="189" customFormat="1" ht="5.25" customHeight="1" x14ac:dyDescent="0.2">
      <c r="A1877" s="25"/>
      <c r="B1877" s="25"/>
      <c r="C1877" s="25"/>
      <c r="D1877" s="25"/>
      <c r="E1877" s="25"/>
      <c r="F1877" s="25"/>
      <c r="G1877" s="25"/>
      <c r="H1877" s="25"/>
      <c r="I1877" s="25"/>
      <c r="J1877" s="25"/>
      <c r="K1877" s="25"/>
      <c r="L1877" s="25"/>
    </row>
    <row r="1878" spans="1:12" s="189" customFormat="1" ht="5.25" customHeight="1" x14ac:dyDescent="0.2">
      <c r="A1878" s="25"/>
      <c r="B1878" s="25"/>
      <c r="C1878" s="25"/>
      <c r="D1878" s="25"/>
      <c r="E1878" s="25"/>
      <c r="F1878" s="25"/>
      <c r="G1878" s="25"/>
      <c r="H1878" s="25"/>
      <c r="I1878" s="25"/>
      <c r="J1878" s="25"/>
      <c r="K1878" s="25"/>
      <c r="L1878" s="25"/>
    </row>
    <row r="1879" spans="1:12" s="189" customFormat="1" ht="5.25" customHeight="1" x14ac:dyDescent="0.2">
      <c r="A1879" s="25"/>
      <c r="B1879" s="25"/>
      <c r="C1879" s="25"/>
      <c r="D1879" s="25"/>
      <c r="E1879" s="25"/>
      <c r="F1879" s="25"/>
      <c r="G1879" s="25"/>
      <c r="H1879" s="25"/>
      <c r="I1879" s="25"/>
      <c r="J1879" s="25"/>
      <c r="K1879" s="25"/>
      <c r="L1879" s="25"/>
    </row>
    <row r="1880" spans="1:12" s="189" customFormat="1" ht="5.25" customHeight="1" x14ac:dyDescent="0.2">
      <c r="A1880" s="25"/>
      <c r="B1880" s="25"/>
      <c r="C1880" s="25"/>
      <c r="D1880" s="25"/>
      <c r="E1880" s="25"/>
      <c r="F1880" s="25"/>
      <c r="G1880" s="25"/>
      <c r="H1880" s="25"/>
      <c r="I1880" s="25"/>
      <c r="J1880" s="25"/>
      <c r="K1880" s="25"/>
      <c r="L1880" s="25"/>
    </row>
    <row r="1881" spans="1:12" s="189" customFormat="1" ht="5.25" customHeight="1" x14ac:dyDescent="0.2">
      <c r="A1881" s="25"/>
      <c r="B1881" s="25"/>
      <c r="C1881" s="25"/>
      <c r="D1881" s="25"/>
      <c r="E1881" s="25"/>
      <c r="F1881" s="25"/>
      <c r="G1881" s="25"/>
      <c r="H1881" s="25"/>
      <c r="I1881" s="25"/>
      <c r="J1881" s="25"/>
      <c r="K1881" s="25"/>
      <c r="L1881" s="25"/>
    </row>
    <row r="1882" spans="1:12" s="189" customFormat="1" ht="5.25" customHeight="1" x14ac:dyDescent="0.2">
      <c r="A1882" s="25"/>
      <c r="B1882" s="25"/>
      <c r="C1882" s="25"/>
      <c r="D1882" s="25"/>
      <c r="E1882" s="25"/>
      <c r="F1882" s="25"/>
      <c r="G1882" s="25"/>
      <c r="H1882" s="25"/>
      <c r="I1882" s="25"/>
      <c r="J1882" s="25"/>
      <c r="K1882" s="25"/>
      <c r="L1882" s="25"/>
    </row>
    <row r="1883" spans="1:12" s="189" customFormat="1" ht="5.25" customHeight="1" x14ac:dyDescent="0.2">
      <c r="A1883" s="25"/>
      <c r="B1883" s="25"/>
      <c r="C1883" s="25"/>
      <c r="D1883" s="25"/>
      <c r="E1883" s="25"/>
      <c r="F1883" s="25"/>
      <c r="G1883" s="25"/>
      <c r="H1883" s="25"/>
      <c r="I1883" s="25"/>
      <c r="J1883" s="25"/>
      <c r="K1883" s="25"/>
      <c r="L1883" s="25"/>
    </row>
    <row r="1884" spans="1:12" s="189" customFormat="1" ht="5.25" customHeight="1" x14ac:dyDescent="0.2">
      <c r="A1884" s="25"/>
      <c r="B1884" s="25"/>
      <c r="C1884" s="25"/>
      <c r="D1884" s="25"/>
      <c r="E1884" s="25"/>
      <c r="F1884" s="25"/>
      <c r="G1884" s="25"/>
      <c r="H1884" s="25"/>
      <c r="I1884" s="25"/>
      <c r="J1884" s="25"/>
      <c r="K1884" s="25"/>
      <c r="L1884" s="25"/>
    </row>
    <row r="1885" spans="1:12" s="189" customFormat="1" ht="5.25" customHeight="1" x14ac:dyDescent="0.2">
      <c r="A1885" s="25"/>
      <c r="B1885" s="25"/>
      <c r="C1885" s="25"/>
      <c r="D1885" s="25"/>
      <c r="E1885" s="25"/>
      <c r="F1885" s="25"/>
      <c r="G1885" s="25"/>
      <c r="H1885" s="25"/>
      <c r="I1885" s="25"/>
      <c r="J1885" s="25"/>
      <c r="K1885" s="25"/>
      <c r="L1885" s="25"/>
    </row>
    <row r="1886" spans="1:12" s="189" customFormat="1" ht="5.25" customHeight="1" x14ac:dyDescent="0.2">
      <c r="A1886" s="25"/>
      <c r="B1886" s="25"/>
      <c r="C1886" s="25"/>
      <c r="D1886" s="25"/>
      <c r="E1886" s="25"/>
      <c r="F1886" s="25"/>
      <c r="G1886" s="25"/>
      <c r="H1886" s="25"/>
      <c r="I1886" s="25"/>
      <c r="J1886" s="25"/>
      <c r="K1886" s="25"/>
      <c r="L1886" s="25"/>
    </row>
    <row r="1887" spans="1:12" s="189" customFormat="1" ht="5.25" customHeight="1" x14ac:dyDescent="0.2">
      <c r="A1887" s="25"/>
      <c r="B1887" s="25"/>
      <c r="C1887" s="25"/>
      <c r="D1887" s="25"/>
      <c r="E1887" s="25"/>
      <c r="F1887" s="25"/>
      <c r="G1887" s="25"/>
      <c r="H1887" s="25"/>
      <c r="I1887" s="25"/>
      <c r="J1887" s="25"/>
      <c r="K1887" s="25"/>
      <c r="L1887" s="25"/>
    </row>
    <row r="1888" spans="1:12" s="189" customFormat="1" ht="5.25" customHeight="1" x14ac:dyDescent="0.2">
      <c r="A1888" s="25"/>
      <c r="B1888" s="25"/>
      <c r="C1888" s="25"/>
      <c r="D1888" s="25"/>
      <c r="E1888" s="25"/>
      <c r="F1888" s="25"/>
      <c r="G1888" s="25"/>
      <c r="H1888" s="25"/>
      <c r="I1888" s="25"/>
      <c r="J1888" s="25"/>
      <c r="K1888" s="25"/>
      <c r="L1888" s="25"/>
    </row>
    <row r="1889" spans="1:12" s="189" customFormat="1" ht="5.25" customHeight="1" x14ac:dyDescent="0.2">
      <c r="A1889" s="25"/>
      <c r="B1889" s="25"/>
      <c r="C1889" s="25"/>
      <c r="D1889" s="25"/>
      <c r="E1889" s="25"/>
      <c r="F1889" s="25"/>
      <c r="G1889" s="25"/>
      <c r="H1889" s="25"/>
      <c r="I1889" s="25"/>
      <c r="J1889" s="25"/>
      <c r="K1889" s="25"/>
      <c r="L1889" s="25"/>
    </row>
    <row r="1890" spans="1:12" s="189" customFormat="1" ht="5.25" customHeight="1" x14ac:dyDescent="0.2">
      <c r="A1890" s="25"/>
      <c r="B1890" s="25"/>
      <c r="C1890" s="25"/>
      <c r="D1890" s="25"/>
      <c r="E1890" s="25"/>
      <c r="F1890" s="25"/>
      <c r="G1890" s="25"/>
      <c r="H1890" s="25"/>
      <c r="I1890" s="25"/>
      <c r="J1890" s="25"/>
      <c r="K1890" s="25"/>
      <c r="L1890" s="25"/>
    </row>
    <row r="1891" spans="1:12" s="189" customFormat="1" ht="5.25" customHeight="1" x14ac:dyDescent="0.2">
      <c r="A1891" s="25"/>
      <c r="B1891" s="25"/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</row>
    <row r="1892" spans="1:12" s="189" customFormat="1" ht="5.25" customHeight="1" x14ac:dyDescent="0.2">
      <c r="A1892" s="25"/>
      <c r="B1892" s="25"/>
      <c r="C1892" s="25"/>
      <c r="D1892" s="25"/>
      <c r="E1892" s="25"/>
      <c r="F1892" s="25"/>
      <c r="G1892" s="25"/>
      <c r="H1892" s="25"/>
      <c r="I1892" s="25"/>
      <c r="J1892" s="25"/>
      <c r="K1892" s="25"/>
      <c r="L1892" s="25"/>
    </row>
    <row r="1893" spans="1:12" s="189" customFormat="1" ht="5.25" customHeight="1" x14ac:dyDescent="0.2">
      <c r="A1893" s="25"/>
      <c r="B1893" s="25"/>
      <c r="C1893" s="25"/>
      <c r="D1893" s="25"/>
      <c r="E1893" s="25"/>
      <c r="F1893" s="25"/>
      <c r="G1893" s="25"/>
      <c r="H1893" s="25"/>
      <c r="I1893" s="25"/>
      <c r="J1893" s="25"/>
      <c r="K1893" s="25"/>
      <c r="L1893" s="25"/>
    </row>
    <row r="1894" spans="1:12" s="189" customFormat="1" ht="5.25" customHeight="1" x14ac:dyDescent="0.2">
      <c r="A1894" s="25"/>
      <c r="B1894" s="25"/>
      <c r="C1894" s="25"/>
      <c r="D1894" s="25"/>
      <c r="E1894" s="25"/>
      <c r="F1894" s="25"/>
      <c r="G1894" s="25"/>
      <c r="H1894" s="25"/>
      <c r="I1894" s="25"/>
      <c r="J1894" s="25"/>
      <c r="K1894" s="25"/>
      <c r="L1894" s="25"/>
    </row>
    <row r="1895" spans="1:12" s="189" customFormat="1" ht="5.25" customHeight="1" x14ac:dyDescent="0.2">
      <c r="A1895" s="25"/>
      <c r="B1895" s="25"/>
      <c r="C1895" s="25"/>
      <c r="D1895" s="25"/>
      <c r="E1895" s="25"/>
      <c r="F1895" s="25"/>
      <c r="G1895" s="25"/>
      <c r="H1895" s="25"/>
      <c r="I1895" s="25"/>
      <c r="J1895" s="25"/>
      <c r="K1895" s="25"/>
      <c r="L1895" s="25"/>
    </row>
    <row r="1896" spans="1:12" s="189" customFormat="1" ht="5.25" customHeight="1" x14ac:dyDescent="0.2">
      <c r="A1896" s="25"/>
      <c r="B1896" s="25"/>
      <c r="C1896" s="25"/>
      <c r="D1896" s="25"/>
      <c r="E1896" s="25"/>
      <c r="F1896" s="25"/>
      <c r="G1896" s="25"/>
      <c r="H1896" s="25"/>
      <c r="I1896" s="25"/>
      <c r="J1896" s="25"/>
      <c r="K1896" s="25"/>
      <c r="L1896" s="25"/>
    </row>
    <row r="1897" spans="1:12" s="189" customFormat="1" ht="5.25" customHeight="1" x14ac:dyDescent="0.2">
      <c r="A1897" s="25"/>
      <c r="B1897" s="25"/>
      <c r="C1897" s="25"/>
      <c r="D1897" s="25"/>
      <c r="E1897" s="25"/>
      <c r="F1897" s="25"/>
      <c r="G1897" s="25"/>
      <c r="H1897" s="25"/>
      <c r="I1897" s="25"/>
      <c r="J1897" s="25"/>
      <c r="K1897" s="25"/>
      <c r="L1897" s="25"/>
    </row>
    <row r="1898" spans="1:12" s="189" customFormat="1" ht="5.25" customHeight="1" x14ac:dyDescent="0.2">
      <c r="A1898" s="25"/>
      <c r="B1898" s="25"/>
      <c r="C1898" s="25"/>
      <c r="D1898" s="25"/>
      <c r="E1898" s="25"/>
      <c r="F1898" s="25"/>
      <c r="G1898" s="25"/>
      <c r="H1898" s="25"/>
      <c r="I1898" s="25"/>
      <c r="J1898" s="25"/>
      <c r="K1898" s="25"/>
      <c r="L1898" s="25"/>
    </row>
    <row r="1899" spans="1:12" s="189" customFormat="1" ht="5.25" customHeight="1" x14ac:dyDescent="0.2">
      <c r="A1899" s="25"/>
      <c r="B1899" s="25"/>
      <c r="C1899" s="25"/>
      <c r="D1899" s="25"/>
      <c r="E1899" s="25"/>
      <c r="F1899" s="25"/>
      <c r="G1899" s="25"/>
      <c r="H1899" s="25"/>
      <c r="I1899" s="25"/>
      <c r="J1899" s="25"/>
      <c r="K1899" s="25"/>
      <c r="L1899" s="25"/>
    </row>
    <row r="1900" spans="1:12" s="189" customFormat="1" ht="5.25" customHeight="1" x14ac:dyDescent="0.2">
      <c r="A1900" s="25"/>
      <c r="B1900" s="25"/>
      <c r="C1900" s="25"/>
      <c r="D1900" s="25"/>
      <c r="E1900" s="25"/>
      <c r="F1900" s="25"/>
      <c r="G1900" s="25"/>
      <c r="H1900" s="25"/>
      <c r="I1900" s="25"/>
      <c r="J1900" s="25"/>
      <c r="K1900" s="25"/>
      <c r="L1900" s="25"/>
    </row>
    <row r="1901" spans="1:12" s="189" customFormat="1" ht="5.25" customHeight="1" x14ac:dyDescent="0.2">
      <c r="A1901" s="25"/>
      <c r="B1901" s="25"/>
      <c r="C1901" s="25"/>
      <c r="D1901" s="25"/>
      <c r="E1901" s="25"/>
      <c r="F1901" s="25"/>
      <c r="G1901" s="25"/>
      <c r="H1901" s="25"/>
      <c r="I1901" s="25"/>
      <c r="J1901" s="25"/>
      <c r="K1901" s="25"/>
      <c r="L1901" s="25"/>
    </row>
    <row r="1902" spans="1:12" s="189" customFormat="1" ht="5.25" customHeight="1" x14ac:dyDescent="0.2">
      <c r="A1902" s="25"/>
      <c r="B1902" s="25"/>
      <c r="C1902" s="25"/>
      <c r="D1902" s="25"/>
      <c r="E1902" s="25"/>
      <c r="F1902" s="25"/>
      <c r="G1902" s="25"/>
      <c r="H1902" s="25"/>
      <c r="I1902" s="25"/>
      <c r="J1902" s="25"/>
      <c r="K1902" s="25"/>
      <c r="L1902" s="25"/>
    </row>
    <row r="1903" spans="1:12" s="189" customFormat="1" ht="5.25" customHeight="1" x14ac:dyDescent="0.2">
      <c r="A1903" s="25"/>
      <c r="B1903" s="25"/>
      <c r="C1903" s="25"/>
      <c r="D1903" s="25"/>
      <c r="E1903" s="25"/>
      <c r="F1903" s="25"/>
      <c r="G1903" s="25"/>
      <c r="H1903" s="25"/>
      <c r="I1903" s="25"/>
      <c r="J1903" s="25"/>
      <c r="K1903" s="25"/>
      <c r="L1903" s="25"/>
    </row>
    <row r="1904" spans="1:12" s="189" customFormat="1" ht="5.25" customHeight="1" x14ac:dyDescent="0.2">
      <c r="A1904" s="25"/>
      <c r="B1904" s="25"/>
      <c r="C1904" s="25"/>
      <c r="D1904" s="25"/>
      <c r="E1904" s="25"/>
      <c r="F1904" s="25"/>
      <c r="G1904" s="25"/>
      <c r="H1904" s="25"/>
      <c r="I1904" s="25"/>
      <c r="J1904" s="25"/>
      <c r="K1904" s="25"/>
      <c r="L1904" s="25"/>
    </row>
  </sheetData>
  <mergeCells count="1">
    <mergeCell ref="A6:L6"/>
  </mergeCells>
  <phoneticPr fontId="2" type="noConversion"/>
  <printOptions horizontalCentered="1"/>
  <pageMargins left="0.78740157480314965" right="0.78740157480314965" top="1.1811023622047245" bottom="0.55118110236220474" header="0.51181102362204722" footer="0.23622047244094491"/>
  <pageSetup paperSize="9" orientation="landscape" horizontalDpi="0" verticalDpi="0" r:id="rId1"/>
  <headerFooter alignWithMargins="0">
    <oddFooter>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Q20"/>
  <sheetViews>
    <sheetView workbookViewId="0"/>
  </sheetViews>
  <sheetFormatPr defaultRowHeight="12.75" x14ac:dyDescent="0.2"/>
  <cols>
    <col min="1" max="1" width="7.85546875" customWidth="1"/>
    <col min="2" max="2" width="9" customWidth="1"/>
    <col min="3" max="3" width="7.42578125" customWidth="1"/>
    <col min="4" max="4" width="5.42578125" customWidth="1"/>
    <col min="5" max="5" width="7.5703125" customWidth="1"/>
    <col min="6" max="6" width="9.85546875" customWidth="1"/>
    <col min="7" max="7" width="8.7109375" customWidth="1"/>
    <col min="10" max="10" width="10.140625" style="223" customWidth="1"/>
    <col min="12" max="12" width="10.28515625" customWidth="1"/>
  </cols>
  <sheetData>
    <row r="2" spans="1:17" ht="40.5" customHeight="1" x14ac:dyDescent="0.2">
      <c r="A2" s="442" t="s">
        <v>174</v>
      </c>
      <c r="B2" s="464" t="s">
        <v>177</v>
      </c>
      <c r="C2" s="465"/>
      <c r="D2" s="454" t="s">
        <v>175</v>
      </c>
      <c r="E2" s="442" t="s">
        <v>176</v>
      </c>
      <c r="F2" s="442" t="s">
        <v>223</v>
      </c>
      <c r="G2" s="442"/>
      <c r="J2" s="442" t="s">
        <v>188</v>
      </c>
      <c r="K2" s="442" t="s">
        <v>189</v>
      </c>
      <c r="L2" s="442" t="s">
        <v>223</v>
      </c>
      <c r="M2" s="442"/>
    </row>
    <row r="3" spans="1:17" ht="34.5" customHeight="1" x14ac:dyDescent="0.2">
      <c r="A3" s="442"/>
      <c r="B3" s="245" t="s">
        <v>179</v>
      </c>
      <c r="C3" s="245" t="s">
        <v>178</v>
      </c>
      <c r="D3" s="454"/>
      <c r="E3" s="442"/>
      <c r="F3" s="245" t="s">
        <v>187</v>
      </c>
      <c r="G3" s="245" t="s">
        <v>19</v>
      </c>
      <c r="J3" s="442"/>
      <c r="K3" s="442"/>
      <c r="L3" s="245" t="s">
        <v>187</v>
      </c>
      <c r="M3" s="245" t="s">
        <v>19</v>
      </c>
      <c r="Q3" s="252"/>
    </row>
    <row r="4" spans="1:17" ht="12.75" customHeight="1" x14ac:dyDescent="0.2">
      <c r="A4" s="248">
        <v>40725</v>
      </c>
      <c r="B4" s="249">
        <f>'Anexo 3 Dif Sal'!E26</f>
        <v>1472.7927260000001</v>
      </c>
      <c r="C4" s="249">
        <f>B4/2</f>
        <v>736.39636300000006</v>
      </c>
      <c r="D4" s="250">
        <v>3</v>
      </c>
      <c r="E4" s="249">
        <f>C4*D4</f>
        <v>2209.1890890000004</v>
      </c>
      <c r="F4" s="262">
        <f>'Anexo 8 Tabela TRT'!J61</f>
        <v>1.0096310239032649</v>
      </c>
      <c r="G4" s="249">
        <f>E4*F4</f>
        <v>2230.4658419229913</v>
      </c>
      <c r="J4" s="263">
        <v>41365</v>
      </c>
      <c r="K4" s="249">
        <v>10000</v>
      </c>
      <c r="L4" s="262">
        <f>'Anexo 8 Tabela TRT'!L58</f>
        <v>1.0014155316004576</v>
      </c>
      <c r="M4" s="249">
        <f>K4*L4</f>
        <v>10014.155316004577</v>
      </c>
      <c r="Q4" s="253"/>
    </row>
    <row r="5" spans="1:17" ht="12.75" customHeight="1" x14ac:dyDescent="0.2">
      <c r="A5" s="466" t="s">
        <v>116</v>
      </c>
      <c r="B5" s="467"/>
      <c r="C5" s="467"/>
      <c r="D5" s="467"/>
      <c r="E5" s="467"/>
      <c r="F5" s="468"/>
      <c r="G5" s="251">
        <f>SUM(G4:G4)</f>
        <v>2230.4658419229913</v>
      </c>
      <c r="J5" s="453" t="s">
        <v>116</v>
      </c>
      <c r="K5" s="453"/>
      <c r="L5" s="453"/>
      <c r="M5" s="251">
        <f>M4</f>
        <v>10014.155316004577</v>
      </c>
      <c r="Q5" s="253"/>
    </row>
    <row r="6" spans="1:17" ht="12.75" customHeight="1" x14ac:dyDescent="0.2"/>
    <row r="7" spans="1:17" ht="12.75" customHeight="1" x14ac:dyDescent="0.2"/>
    <row r="8" spans="1:17" ht="12.75" customHeight="1" x14ac:dyDescent="0.2"/>
    <row r="9" spans="1:17" ht="12.75" customHeight="1" x14ac:dyDescent="0.2">
      <c r="A9" s="455" t="s">
        <v>242</v>
      </c>
      <c r="B9" s="456"/>
      <c r="C9" s="456"/>
      <c r="D9" s="456"/>
      <c r="E9" s="456"/>
      <c r="F9" s="456"/>
      <c r="G9" s="456"/>
      <c r="H9" s="457"/>
    </row>
    <row r="10" spans="1:17" ht="12.75" customHeight="1" x14ac:dyDescent="0.2">
      <c r="A10" s="458"/>
      <c r="B10" s="459"/>
      <c r="C10" s="459"/>
      <c r="D10" s="459"/>
      <c r="E10" s="459"/>
      <c r="F10" s="459"/>
      <c r="G10" s="459"/>
      <c r="H10" s="460"/>
    </row>
    <row r="11" spans="1:17" ht="12.75" customHeight="1" x14ac:dyDescent="0.2">
      <c r="A11" s="458"/>
      <c r="B11" s="459"/>
      <c r="C11" s="459"/>
      <c r="D11" s="459"/>
      <c r="E11" s="459"/>
      <c r="F11" s="459"/>
      <c r="G11" s="459"/>
      <c r="H11" s="460"/>
    </row>
    <row r="12" spans="1:17" ht="12.75" customHeight="1" x14ac:dyDescent="0.2">
      <c r="A12" s="458"/>
      <c r="B12" s="459"/>
      <c r="C12" s="459"/>
      <c r="D12" s="459"/>
      <c r="E12" s="459"/>
      <c r="F12" s="459"/>
      <c r="G12" s="459"/>
      <c r="H12" s="460"/>
    </row>
    <row r="13" spans="1:17" ht="12.75" customHeight="1" x14ac:dyDescent="0.2">
      <c r="A13" s="458"/>
      <c r="B13" s="459"/>
      <c r="C13" s="459"/>
      <c r="D13" s="459"/>
      <c r="E13" s="459"/>
      <c r="F13" s="459"/>
      <c r="G13" s="459"/>
      <c r="H13" s="460"/>
    </row>
    <row r="14" spans="1:17" ht="12.75" customHeight="1" x14ac:dyDescent="0.2">
      <c r="A14" s="458"/>
      <c r="B14" s="459"/>
      <c r="C14" s="459"/>
      <c r="D14" s="459"/>
      <c r="E14" s="459"/>
      <c r="F14" s="459"/>
      <c r="G14" s="459"/>
      <c r="H14" s="460"/>
    </row>
    <row r="15" spans="1:17" x14ac:dyDescent="0.2">
      <c r="A15" s="458"/>
      <c r="B15" s="459"/>
      <c r="C15" s="459"/>
      <c r="D15" s="459"/>
      <c r="E15" s="459"/>
      <c r="F15" s="459"/>
      <c r="G15" s="459"/>
      <c r="H15" s="460"/>
    </row>
    <row r="16" spans="1:17" x14ac:dyDescent="0.2">
      <c r="A16" s="458"/>
      <c r="B16" s="459"/>
      <c r="C16" s="459"/>
      <c r="D16" s="459"/>
      <c r="E16" s="459"/>
      <c r="F16" s="459"/>
      <c r="G16" s="459"/>
      <c r="H16" s="460"/>
    </row>
    <row r="17" spans="1:8" x14ac:dyDescent="0.2">
      <c r="A17" s="458"/>
      <c r="B17" s="459"/>
      <c r="C17" s="459"/>
      <c r="D17" s="459"/>
      <c r="E17" s="459"/>
      <c r="F17" s="459"/>
      <c r="G17" s="459"/>
      <c r="H17" s="460"/>
    </row>
    <row r="18" spans="1:8" x14ac:dyDescent="0.2">
      <c r="A18" s="458"/>
      <c r="B18" s="459"/>
      <c r="C18" s="459"/>
      <c r="D18" s="459"/>
      <c r="E18" s="459"/>
      <c r="F18" s="459"/>
      <c r="G18" s="459"/>
      <c r="H18" s="460"/>
    </row>
    <row r="19" spans="1:8" x14ac:dyDescent="0.2">
      <c r="A19" s="458"/>
      <c r="B19" s="459"/>
      <c r="C19" s="459"/>
      <c r="D19" s="459"/>
      <c r="E19" s="459"/>
      <c r="F19" s="459"/>
      <c r="G19" s="459"/>
      <c r="H19" s="460"/>
    </row>
    <row r="20" spans="1:8" x14ac:dyDescent="0.2">
      <c r="A20" s="461"/>
      <c r="B20" s="462"/>
      <c r="C20" s="462"/>
      <c r="D20" s="462"/>
      <c r="E20" s="462"/>
      <c r="F20" s="462"/>
      <c r="G20" s="462"/>
      <c r="H20" s="463"/>
    </row>
  </sheetData>
  <mergeCells count="11">
    <mergeCell ref="A9:H20"/>
    <mergeCell ref="B2:C2"/>
    <mergeCell ref="A5:F5"/>
    <mergeCell ref="J2:J3"/>
    <mergeCell ref="K2:K3"/>
    <mergeCell ref="L2:M2"/>
    <mergeCell ref="J5:L5"/>
    <mergeCell ref="A2:A3"/>
    <mergeCell ref="D2:D3"/>
    <mergeCell ref="E2:E3"/>
    <mergeCell ref="F2:G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6</vt:i4>
      </vt:variant>
    </vt:vector>
  </HeadingPairs>
  <TitlesOfParts>
    <vt:vector size="18" baseType="lpstr">
      <vt:lpstr>Anexos</vt:lpstr>
      <vt:lpstr>Anexo 1 PROV</vt:lpstr>
      <vt:lpstr>Anexo 2 RESUMO</vt:lpstr>
      <vt:lpstr>Anexo 3 Dif Sal</vt:lpstr>
      <vt:lpstr>Anexo 4 HE</vt:lpstr>
      <vt:lpstr>Anexo 5 Tiquete</vt:lpstr>
      <vt:lpstr>Anexo 6 INSS</vt:lpstr>
      <vt:lpstr>Multa INSS</vt:lpstr>
      <vt:lpstr>Anexo 7 IRRF</vt:lpstr>
      <vt:lpstr>Plan Aux IR</vt:lpstr>
      <vt:lpstr>Anexo 8 Tabela TRT</vt:lpstr>
      <vt:lpstr>Outros</vt:lpstr>
      <vt:lpstr>'Anexo 1 PROV'!Area_de_impressao</vt:lpstr>
      <vt:lpstr>'Anexo 2 RESUMO'!Area_de_impressao</vt:lpstr>
      <vt:lpstr>'Anexo 7 IRRF'!Area_de_impressao</vt:lpstr>
      <vt:lpstr>'Anexo 4 HE'!Titulos_de_impressao</vt:lpstr>
      <vt:lpstr>'Anexo 6 INSS'!Titulos_de_impressao</vt:lpstr>
      <vt:lpstr>'Multa INSS'!Titulos_de_impressao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Normelia</dc:creator>
  <cp:lastModifiedBy>user</cp:lastModifiedBy>
  <cp:lastPrinted>2013-09-30T19:31:52Z</cp:lastPrinted>
  <dcterms:created xsi:type="dcterms:W3CDTF">2005-06-27T01:26:10Z</dcterms:created>
  <dcterms:modified xsi:type="dcterms:W3CDTF">2018-03-01T19:34:36Z</dcterms:modified>
</cp:coreProperties>
</file>