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Y:\Produtos\Planilhas\Controle de Comissões de Vendas\"/>
    </mc:Choice>
  </mc:AlternateContent>
  <bookViews>
    <workbookView xWindow="0" yWindow="60" windowWidth="19440" windowHeight="11700" tabRatio="500"/>
  </bookViews>
  <sheets>
    <sheet name="Início" sheetId="8" r:id="rId1"/>
    <sheet name="Cadastro" sheetId="4" r:id="rId2"/>
    <sheet name="Resumo" sheetId="7" r:id="rId3"/>
    <sheet name="Gráficos" sheetId="6" r:id="rId4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6" i="7" l="1"/>
  <c r="D10" i="4"/>
  <c r="E10" i="4"/>
  <c r="F10" i="4"/>
  <c r="B6" i="7"/>
  <c r="D12" i="4"/>
  <c r="E12" i="4"/>
  <c r="F12" i="4"/>
  <c r="C6" i="7"/>
  <c r="D23" i="4"/>
  <c r="E23" i="4"/>
  <c r="F23" i="4"/>
  <c r="D6" i="7"/>
  <c r="D30" i="4"/>
  <c r="E30" i="4"/>
  <c r="F30" i="4"/>
  <c r="E6" i="7"/>
  <c r="D37" i="4"/>
  <c r="E37" i="4"/>
  <c r="F37" i="4"/>
  <c r="F6" i="7"/>
  <c r="G6" i="7"/>
  <c r="H6" i="7"/>
  <c r="I6" i="7"/>
  <c r="A7" i="7"/>
  <c r="B7" i="7"/>
  <c r="D17" i="4"/>
  <c r="E17" i="4"/>
  <c r="F17" i="4"/>
  <c r="C7" i="7"/>
  <c r="D24" i="4"/>
  <c r="E24" i="4"/>
  <c r="F24" i="4"/>
  <c r="D7" i="7"/>
  <c r="D31" i="4"/>
  <c r="E31" i="4"/>
  <c r="F31" i="4"/>
  <c r="E7" i="7"/>
  <c r="D40" i="4"/>
  <c r="E40" i="4"/>
  <c r="F40" i="4"/>
  <c r="F7" i="7"/>
  <c r="G7" i="7"/>
  <c r="H7" i="7"/>
  <c r="I7" i="7"/>
  <c r="A8" i="7"/>
  <c r="D4" i="4"/>
  <c r="E4" i="4"/>
  <c r="F4" i="4"/>
  <c r="B8" i="7"/>
  <c r="C8" i="7"/>
  <c r="D8" i="7"/>
  <c r="D34" i="4"/>
  <c r="E34" i="4"/>
  <c r="F34" i="4"/>
  <c r="E8" i="7"/>
  <c r="D39" i="4"/>
  <c r="E39" i="4"/>
  <c r="F39" i="4"/>
  <c r="F8" i="7"/>
  <c r="G8" i="7"/>
  <c r="H8" i="7"/>
  <c r="I8" i="7"/>
  <c r="A9" i="7"/>
  <c r="B9" i="7"/>
  <c r="D15" i="4"/>
  <c r="E15" i="4"/>
  <c r="F15" i="4"/>
  <c r="C9" i="7"/>
  <c r="D26" i="4"/>
  <c r="E26" i="4"/>
  <c r="F26" i="4"/>
  <c r="D9" i="7"/>
  <c r="D29" i="4"/>
  <c r="E29" i="4"/>
  <c r="F29" i="4"/>
  <c r="E9" i="7"/>
  <c r="D38" i="4"/>
  <c r="E38" i="4"/>
  <c r="F38" i="4"/>
  <c r="F9" i="7"/>
  <c r="G9" i="7"/>
  <c r="H9" i="7"/>
  <c r="I9" i="7"/>
  <c r="A10" i="7"/>
  <c r="B10" i="7"/>
  <c r="D16" i="4"/>
  <c r="E16" i="4"/>
  <c r="F16" i="4"/>
  <c r="C10" i="7"/>
  <c r="D21" i="4"/>
  <c r="E21" i="4"/>
  <c r="F21" i="4"/>
  <c r="D10" i="7"/>
  <c r="D35" i="4"/>
  <c r="E35" i="4"/>
  <c r="F35" i="4"/>
  <c r="E10" i="7"/>
  <c r="F10" i="7"/>
  <c r="G10" i="7"/>
  <c r="H10" i="7"/>
  <c r="I10" i="7"/>
  <c r="A11" i="7"/>
  <c r="D11" i="4"/>
  <c r="E11" i="4"/>
  <c r="F11" i="4"/>
  <c r="B11" i="7"/>
  <c r="D18" i="4"/>
  <c r="E18" i="4"/>
  <c r="F18" i="4"/>
  <c r="C11" i="7"/>
  <c r="D11" i="7"/>
  <c r="D27" i="4"/>
  <c r="E27" i="4"/>
  <c r="F27" i="4"/>
  <c r="E11" i="7"/>
  <c r="F11" i="7"/>
  <c r="G11" i="7"/>
  <c r="H11" i="7"/>
  <c r="I11" i="7"/>
  <c r="A12" i="7"/>
  <c r="D8" i="4"/>
  <c r="E8" i="4"/>
  <c r="F8" i="4"/>
  <c r="B12" i="7"/>
  <c r="C12" i="7"/>
  <c r="D22" i="4"/>
  <c r="E22" i="4"/>
  <c r="F22" i="4"/>
  <c r="D12" i="7"/>
  <c r="D33" i="4"/>
  <c r="E33" i="4"/>
  <c r="F33" i="4"/>
  <c r="E12" i="7"/>
  <c r="D41" i="4"/>
  <c r="E41" i="4"/>
  <c r="F41" i="4"/>
  <c r="F12" i="7"/>
  <c r="G12" i="7"/>
  <c r="H12" i="7"/>
  <c r="I12" i="7"/>
  <c r="A13" i="7"/>
  <c r="D9" i="4"/>
  <c r="E9" i="4"/>
  <c r="F9" i="4"/>
  <c r="B13" i="7"/>
  <c r="C13" i="7"/>
  <c r="D25" i="4"/>
  <c r="E25" i="4"/>
  <c r="F25" i="4"/>
  <c r="D13" i="7"/>
  <c r="D32" i="4"/>
  <c r="E32" i="4"/>
  <c r="F32" i="4"/>
  <c r="E13" i="7"/>
  <c r="D43" i="4"/>
  <c r="E43" i="4"/>
  <c r="F43" i="4"/>
  <c r="F13" i="7"/>
  <c r="G13" i="7"/>
  <c r="H13" i="7"/>
  <c r="I13" i="7"/>
  <c r="A14" i="7"/>
  <c r="D7" i="4"/>
  <c r="E7" i="4"/>
  <c r="F7" i="4"/>
  <c r="B14" i="7"/>
  <c r="D14" i="4"/>
  <c r="E14" i="4"/>
  <c r="F14" i="4"/>
  <c r="C14" i="7"/>
  <c r="D14" i="7"/>
  <c r="D36" i="4"/>
  <c r="E36" i="4"/>
  <c r="F36" i="4"/>
  <c r="E14" i="7"/>
  <c r="D42" i="4"/>
  <c r="E42" i="4"/>
  <c r="F42" i="4"/>
  <c r="F14" i="7"/>
  <c r="G14" i="7"/>
  <c r="H14" i="7"/>
  <c r="I14" i="7"/>
  <c r="A15" i="7"/>
  <c r="D6" i="4"/>
  <c r="E6" i="4"/>
  <c r="F6" i="4"/>
  <c r="B15" i="7"/>
  <c r="C15" i="7"/>
  <c r="D20" i="4"/>
  <c r="E20" i="4"/>
  <c r="F20" i="4"/>
  <c r="D15" i="7"/>
  <c r="D28" i="4"/>
  <c r="E28" i="4"/>
  <c r="F28" i="4"/>
  <c r="E15" i="7"/>
  <c r="F15" i="7"/>
  <c r="G15" i="7"/>
  <c r="H15" i="7"/>
  <c r="I15" i="7"/>
  <c r="A16" i="7"/>
  <c r="D5" i="4"/>
  <c r="E5" i="4"/>
  <c r="F5" i="4"/>
  <c r="B16" i="7"/>
  <c r="D13" i="4"/>
  <c r="E13" i="4"/>
  <c r="F13" i="4"/>
  <c r="C16" i="7"/>
  <c r="D19" i="4"/>
  <c r="E19" i="4"/>
  <c r="F19" i="4"/>
  <c r="D16" i="7"/>
  <c r="E16" i="7"/>
  <c r="F16" i="7"/>
  <c r="G16" i="7"/>
  <c r="H16" i="7"/>
  <c r="I16" i="7"/>
  <c r="A17" i="7"/>
  <c r="B17" i="7"/>
  <c r="C17" i="7"/>
  <c r="D17" i="7"/>
  <c r="E17" i="7"/>
  <c r="F17" i="7"/>
  <c r="G17" i="7"/>
  <c r="H17" i="7"/>
  <c r="I17" i="7"/>
  <c r="A18" i="7"/>
  <c r="B18" i="7"/>
  <c r="C18" i="7"/>
  <c r="D18" i="7"/>
  <c r="E18" i="7"/>
  <c r="F18" i="7"/>
  <c r="G18" i="7"/>
  <c r="H18" i="7"/>
  <c r="I18" i="7"/>
  <c r="A19" i="7"/>
  <c r="B19" i="7"/>
  <c r="C19" i="7"/>
  <c r="D19" i="7"/>
  <c r="E19" i="7"/>
  <c r="F19" i="7"/>
  <c r="G19" i="7"/>
  <c r="H19" i="7"/>
  <c r="I19" i="7"/>
  <c r="A20" i="7"/>
  <c r="B20" i="7"/>
  <c r="C20" i="7"/>
  <c r="D20" i="7"/>
  <c r="E20" i="7"/>
  <c r="F20" i="7"/>
  <c r="G20" i="7"/>
  <c r="H20" i="7"/>
  <c r="I20" i="7"/>
  <c r="A21" i="7"/>
  <c r="B21" i="7"/>
  <c r="C21" i="7"/>
  <c r="D21" i="7"/>
  <c r="E21" i="7"/>
  <c r="F21" i="7"/>
  <c r="G21" i="7"/>
  <c r="H21" i="7"/>
  <c r="I21" i="7"/>
  <c r="A22" i="7"/>
  <c r="B22" i="7"/>
  <c r="C22" i="7"/>
  <c r="D22" i="7"/>
  <c r="E22" i="7"/>
  <c r="F22" i="7"/>
  <c r="G22" i="7"/>
  <c r="H22" i="7"/>
  <c r="I22" i="7"/>
  <c r="A23" i="7"/>
  <c r="B23" i="7"/>
  <c r="C23" i="7"/>
  <c r="D23" i="7"/>
  <c r="E23" i="7"/>
  <c r="F23" i="7"/>
  <c r="G23" i="7"/>
  <c r="H23" i="7"/>
  <c r="I23" i="7"/>
  <c r="A24" i="7"/>
  <c r="B24" i="7"/>
  <c r="C24" i="7"/>
  <c r="D24" i="7"/>
  <c r="E24" i="7"/>
  <c r="F24" i="7"/>
  <c r="G24" i="7"/>
  <c r="H24" i="7"/>
  <c r="I24" i="7"/>
  <c r="A25" i="7"/>
  <c r="B25" i="7"/>
  <c r="C25" i="7"/>
  <c r="D25" i="7"/>
  <c r="E25" i="7"/>
  <c r="F25" i="7"/>
  <c r="G25" i="7"/>
  <c r="H25" i="7"/>
  <c r="I25" i="7"/>
  <c r="I26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B26" i="7"/>
  <c r="C26" i="7"/>
  <c r="D26" i="7"/>
  <c r="E26" i="7"/>
  <c r="F26" i="7"/>
  <c r="G26" i="7"/>
  <c r="H26" i="7"/>
  <c r="N26" i="7"/>
  <c r="B28" i="7"/>
  <c r="D115" i="6"/>
  <c r="C117" i="6"/>
  <c r="E28" i="7"/>
  <c r="D117" i="6"/>
  <c r="C118" i="6"/>
  <c r="D118" i="6"/>
  <c r="C119" i="6"/>
  <c r="D119" i="6"/>
  <c r="C120" i="6"/>
  <c r="D120" i="6"/>
  <c r="C121" i="6"/>
  <c r="D121" i="6"/>
  <c r="C122" i="6"/>
  <c r="D122" i="6"/>
  <c r="C123" i="6"/>
  <c r="D123" i="6"/>
  <c r="C124" i="6"/>
  <c r="D124" i="6"/>
  <c r="C125" i="6"/>
  <c r="D125" i="6"/>
  <c r="C126" i="6"/>
  <c r="D126" i="6"/>
  <c r="C127" i="6"/>
  <c r="D127" i="6"/>
  <c r="C128" i="6"/>
  <c r="D128" i="6"/>
  <c r="C129" i="6"/>
  <c r="D129" i="6"/>
  <c r="C130" i="6"/>
  <c r="D130" i="6"/>
  <c r="C131" i="6"/>
  <c r="D131" i="6"/>
  <c r="C132" i="6"/>
  <c r="D132" i="6"/>
  <c r="C133" i="6"/>
  <c r="D133" i="6"/>
  <c r="C134" i="6"/>
  <c r="D134" i="6"/>
  <c r="C135" i="6"/>
  <c r="D135" i="6"/>
  <c r="C116" i="6"/>
  <c r="D116" i="6"/>
  <c r="C28" i="7"/>
  <c r="D28" i="7"/>
  <c r="F28" i="7"/>
  <c r="G28" i="7"/>
  <c r="H28" i="7"/>
  <c r="I28" i="7"/>
  <c r="J28" i="7"/>
  <c r="K28" i="7"/>
  <c r="L28" i="7"/>
  <c r="M28" i="7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B4" i="7"/>
  <c r="B27" i="7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G4" i="7"/>
  <c r="H4" i="7"/>
  <c r="I4" i="7"/>
  <c r="J4" i="7"/>
  <c r="K4" i="7"/>
  <c r="L4" i="7"/>
  <c r="M4" i="7"/>
  <c r="C4" i="7"/>
  <c r="D4" i="7"/>
  <c r="E4" i="7"/>
  <c r="F4" i="7"/>
  <c r="C27" i="7"/>
  <c r="D27" i="7"/>
  <c r="E27" i="7"/>
  <c r="F27" i="7"/>
  <c r="G27" i="7"/>
  <c r="H27" i="7"/>
  <c r="I27" i="7"/>
  <c r="J27" i="7"/>
  <c r="K27" i="7"/>
  <c r="L27" i="7"/>
  <c r="M27" i="7"/>
  <c r="N4" i="7"/>
  <c r="N27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6" i="7"/>
</calcChain>
</file>

<file path=xl/sharedStrings.xml><?xml version="1.0" encoding="utf-8"?>
<sst xmlns="http://schemas.openxmlformats.org/spreadsheetml/2006/main" count="51" uniqueCount="36">
  <si>
    <t>VENDEDOR</t>
  </si>
  <si>
    <t>MÊS</t>
  </si>
  <si>
    <t>VENDAS</t>
  </si>
  <si>
    <t>COMISSÃO(R$)</t>
  </si>
  <si>
    <t>COMISSÃO FIXA (% DAS VENDAS)</t>
  </si>
  <si>
    <t>TAXA DE COMISSÃO FIXA (%)</t>
  </si>
  <si>
    <t>TAXA DE COMISSÃO VARIÁVEL (%)</t>
  </si>
  <si>
    <t>POLÍTICA DE COMISSÃO VARIÁVEL</t>
  </si>
  <si>
    <t>RECEITA DE VENDA</t>
  </si>
  <si>
    <t>TAXA DE COMISSÃO ADICIONAL (%)</t>
  </si>
  <si>
    <t>DE</t>
  </si>
  <si>
    <t>ATÉ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</si>
  <si>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</si>
  <si>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</si>
  <si>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</si>
  <si>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</si>
  <si>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</si>
  <si>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</si>
  <si>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</si>
  <si>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</si>
  <si>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</si>
  <si>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</si>
  <si>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</si>
  <si>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</si>
  <si>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</si>
  <si>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COMISSÃO POR VENDEDOR</t>
  </si>
  <si>
    <t>RECEITA DE VENDAS</t>
  </si>
  <si>
    <t>ACUMULADO</t>
  </si>
  <si>
    <t>TOTAL PAGO DE COMISSÃO</t>
  </si>
  <si>
    <t>RECEITA DE VENDAS- COMISSÃO</t>
  </si>
  <si>
    <t>COMISSÃO/VENDEDOR MÊS DE:</t>
  </si>
  <si>
    <r>
      <rPr>
        <b/>
        <i/>
        <sz val="18"/>
        <color theme="0"/>
        <rFont val="Calibri"/>
        <family val="2"/>
        <scheme val="minor"/>
      </rPr>
      <t xml:space="preserve">CONTROLE DE COMISSÕES DE VENDAS </t>
    </r>
    <r>
      <rPr>
        <i/>
        <sz val="16"/>
        <color theme="0"/>
        <rFont val="Calibri"/>
        <family val="2"/>
        <scheme val="minor"/>
      </rPr>
      <t>- INÍCIO</t>
    </r>
  </si>
  <si>
    <r>
      <rPr>
        <b/>
        <i/>
        <sz val="18"/>
        <color theme="0"/>
        <rFont val="Calibri"/>
        <family val="2"/>
        <scheme val="minor"/>
      </rPr>
      <t xml:space="preserve">CONTROLE DE COMISSÕES DE VENDAS </t>
    </r>
    <r>
      <rPr>
        <i/>
        <sz val="16"/>
        <color theme="0"/>
        <rFont val="Calibri"/>
        <family val="2"/>
        <scheme val="minor"/>
      </rPr>
      <t>- CADASTRO</t>
    </r>
  </si>
  <si>
    <r>
      <rPr>
        <b/>
        <i/>
        <sz val="18"/>
        <color theme="0"/>
        <rFont val="Calibri"/>
        <family val="2"/>
        <scheme val="minor"/>
      </rPr>
      <t xml:space="preserve">CONTROLE DE COMISSÕES DE VENDAS </t>
    </r>
    <r>
      <rPr>
        <i/>
        <sz val="16"/>
        <color theme="0"/>
        <rFont val="Calibri"/>
        <family val="2"/>
        <scheme val="minor"/>
      </rPr>
      <t>- RESUMO</t>
    </r>
  </si>
  <si>
    <r>
      <rPr>
        <b/>
        <i/>
        <sz val="18"/>
        <color theme="0"/>
        <rFont val="Calibri"/>
        <family val="2"/>
        <scheme val="minor"/>
      </rPr>
      <t xml:space="preserve">CONTROLE DE COMISSÕES DE VENDAS </t>
    </r>
    <r>
      <rPr>
        <i/>
        <sz val="16"/>
        <color theme="0"/>
        <rFont val="Calibri"/>
        <family val="2"/>
        <scheme val="minor"/>
      </rPr>
      <t>- GRÁFICOS</t>
    </r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</si>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</sst>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R$&quot;* #,##0.00_);_(&quot;R$&quot;* \(#,##0.00\);_(&quot;R$&quot;* &quot;-&quot;??_);_(@_)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80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</borders>
  <cellStyleXfs count="15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7">
    <xf numFmtId="0" fontId="0" fillId="0" borderId="0" xfId="0"/>
    <xf numFmtId="0" fontId="5" fillId="0" borderId="0" xfId="0" applyFont="1" applyAlignment="1">
      <alignment horizontal="center" vertical="center"/>
    </xf>
    <xf numFmtId="9" fontId="5" fillId="0" borderId="0" xfId="2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164" fontId="5" fillId="0" borderId="0" xfId="1" applyFont="1" applyFill="1" applyAlignment="1">
      <alignment horizontal="center" vertical="center"/>
    </xf>
    <xf numFmtId="9" fontId="5" fillId="0" borderId="0" xfId="2" applyFont="1" applyFill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1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4" fillId="0" borderId="0" xfId="1" applyFont="1" applyFill="1" applyBorder="1" applyAlignment="1">
      <alignment vertical="center"/>
    </xf>
    <xf numFmtId="0" fontId="0" fillId="0" borderId="0" xfId="0" applyAlignment="1">
      <alignment horizontal="left" vertical="top" wrapText="1" indent="2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/>
    </xf>
    <xf numFmtId="10" fontId="4" fillId="2" borderId="1" xfId="2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2" applyNumberFormat="1" applyFont="1" applyBorder="1" applyAlignment="1">
      <alignment horizontal="center" vertical="center"/>
    </xf>
    <xf numFmtId="164" fontId="5" fillId="0" borderId="1" xfId="1" applyFont="1" applyBorder="1" applyAlignment="1">
      <alignment horizontal="center" vertical="center"/>
    </xf>
    <xf numFmtId="10" fontId="4" fillId="2" borderId="1" xfId="2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horizontal="center" vertical="center" wrapText="1"/>
    </xf>
    <xf numFmtId="9" fontId="4" fillId="2" borderId="1" xfId="2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indent="1"/>
    </xf>
    <xf numFmtId="164" fontId="5" fillId="0" borderId="1" xfId="1" applyFont="1" applyFill="1" applyBorder="1" applyAlignment="1">
      <alignment horizontal="center" vertical="center"/>
    </xf>
    <xf numFmtId="10" fontId="5" fillId="3" borderId="1" xfId="2" applyNumberFormat="1" applyFont="1" applyFill="1" applyBorder="1" applyAlignment="1">
      <alignment horizontal="center" vertical="center"/>
    </xf>
    <xf numFmtId="164" fontId="5" fillId="3" borderId="1" xfId="1" applyFont="1" applyFill="1" applyBorder="1" applyAlignment="1">
      <alignment horizontal="center" vertical="center"/>
    </xf>
    <xf numFmtId="9" fontId="5" fillId="3" borderId="1" xfId="2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6" xfId="0" applyFont="1" applyBorder="1"/>
    <xf numFmtId="0" fontId="9" fillId="0" borderId="0" xfId="0" applyFont="1"/>
    <xf numFmtId="0" fontId="9" fillId="0" borderId="0" xfId="0" applyFont="1" applyFill="1"/>
    <xf numFmtId="0" fontId="9" fillId="0" borderId="0" xfId="0" applyFont="1" applyFill="1" applyBorder="1"/>
    <xf numFmtId="164" fontId="9" fillId="0" borderId="0" xfId="1" applyFont="1" applyFill="1" applyBorder="1"/>
    <xf numFmtId="164" fontId="9" fillId="0" borderId="0" xfId="1" applyFont="1"/>
    <xf numFmtId="0" fontId="0" fillId="0" borderId="0" xfId="0" applyBorder="1"/>
    <xf numFmtId="0" fontId="8" fillId="5" borderId="6" xfId="0" applyFont="1" applyFill="1" applyBorder="1"/>
    <xf numFmtId="0" fontId="5" fillId="6" borderId="1" xfId="0" applyFont="1" applyFill="1" applyBorder="1" applyAlignment="1">
      <alignment horizontal="left" vertical="center" indent="1"/>
    </xf>
    <xf numFmtId="164" fontId="5" fillId="6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6" fillId="4" borderId="1" xfId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vertical="center"/>
    </xf>
    <xf numFmtId="0" fontId="10" fillId="7" borderId="9" xfId="0" applyFont="1" applyFill="1" applyBorder="1"/>
    <xf numFmtId="0" fontId="11" fillId="7" borderId="8" xfId="0" applyFont="1" applyFill="1" applyBorder="1" applyAlignment="1">
      <alignment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10" fontId="4" fillId="2" borderId="1" xfId="2" applyNumberFormat="1" applyFont="1" applyFill="1" applyBorder="1" applyAlignment="1">
      <alignment horizontal="center" vertical="center"/>
    </xf>
    <xf numFmtId="10" fontId="4" fillId="2" borderId="4" xfId="2" applyNumberFormat="1" applyFont="1" applyFill="1" applyBorder="1" applyAlignment="1">
      <alignment horizontal="center" vertical="center"/>
    </xf>
    <xf numFmtId="10" fontId="4" fillId="2" borderId="5" xfId="2" applyNumberFormat="1" applyFont="1" applyFill="1" applyBorder="1" applyAlignment="1">
      <alignment horizontal="center" vertical="center"/>
    </xf>
    <xf numFmtId="10" fontId="4" fillId="2" borderId="2" xfId="2" applyNumberFormat="1" applyFont="1" applyFill="1" applyBorder="1" applyAlignment="1">
      <alignment horizontal="center" vertical="center" wrapText="1"/>
    </xf>
    <xf numFmtId="10" fontId="4" fillId="2" borderId="3" xfId="2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</cellXfs>
  <cellStyles count="157"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45" builtinId="8" hidden="1"/>
    <cellStyle name="Hiperlink" xfId="47" builtinId="8" hidden="1"/>
    <cellStyle name="Hiperlink" xfId="49" builtinId="8" hidden="1"/>
    <cellStyle name="Hiperlink" xfId="51" builtinId="8" hidden="1"/>
    <cellStyle name="Hiperlink" xfId="53" builtinId="8" hidden="1"/>
    <cellStyle name="Hiperlink" xfId="55" builtinId="8" hidden="1"/>
    <cellStyle name="Hiperlink" xfId="57" builtinId="8" hidden="1"/>
    <cellStyle name="Hiperlink" xfId="59" builtinId="8" hidden="1"/>
    <cellStyle name="Hiperlink" xfId="61" builtinId="8" hidden="1"/>
    <cellStyle name="Hiperlink" xfId="63" builtinId="8" hidden="1"/>
    <cellStyle name="Hiperlink" xfId="65" builtinId="8" hidden="1"/>
    <cellStyle name="Hiperlink" xfId="67" builtinId="8" hidden="1"/>
    <cellStyle name="Hiperlink" xfId="69" builtinId="8" hidden="1"/>
    <cellStyle name="Hiperlink" xfId="71" builtinId="8" hidden="1"/>
    <cellStyle name="Hiperlink" xfId="73" builtinId="8" hidden="1"/>
    <cellStyle name="Hiperlink" xfId="75" builtinId="8" hidden="1"/>
    <cellStyle name="Hiperlink" xfId="77" builtinId="8" hidden="1"/>
    <cellStyle name="Hiperlink" xfId="79" builtinId="8" hidden="1"/>
    <cellStyle name="Hiperlink" xfId="81" builtinId="8" hidden="1"/>
    <cellStyle name="Hiperlink" xfId="83" builtinId="8" hidden="1"/>
    <cellStyle name="Hiperlink" xfId="85" builtinId="8" hidden="1"/>
    <cellStyle name="Hiperlink" xfId="87" builtinId="8" hidden="1"/>
    <cellStyle name="Hiperlink" xfId="89" builtinId="8" hidden="1"/>
    <cellStyle name="Hiperlink" xfId="91" builtinId="8" hidden="1"/>
    <cellStyle name="Hiperlink" xfId="93" builtinId="8" hidden="1"/>
    <cellStyle name="Hiperlink" xfId="95" builtinId="8" hidden="1"/>
    <cellStyle name="Hiperlink" xfId="97" builtinId="8" hidden="1"/>
    <cellStyle name="Hiperlink" xfId="99" builtinId="8" hidden="1"/>
    <cellStyle name="Hiperlink" xfId="101" builtinId="8" hidden="1"/>
    <cellStyle name="Hiperlink" xfId="103" builtinId="8" hidden="1"/>
    <cellStyle name="Hiperlink" xfId="105" builtinId="8" hidden="1"/>
    <cellStyle name="Hiperlink" xfId="107" builtinId="8" hidden="1"/>
    <cellStyle name="Hiperlink" xfId="109" builtinId="8" hidden="1"/>
    <cellStyle name="Hiperlink" xfId="111" builtinId="8" hidden="1"/>
    <cellStyle name="Hiperlink" xfId="113" builtinId="8" hidden="1"/>
    <cellStyle name="Hiperlink" xfId="115" builtinId="8" hidden="1"/>
    <cellStyle name="Hiperlink" xfId="117" builtinId="8" hidden="1"/>
    <cellStyle name="Hiperlink" xfId="119" builtinId="8" hidden="1"/>
    <cellStyle name="Hiperlink" xfId="121" builtinId="8" hidden="1"/>
    <cellStyle name="Hiperlink" xfId="123" builtinId="8" hidden="1"/>
    <cellStyle name="Hiperlink" xfId="125" builtinId="8" hidden="1"/>
    <cellStyle name="Hiperlink" xfId="127" builtinId="8" hidden="1"/>
    <cellStyle name="Hiperlink" xfId="129" builtinId="8" hidden="1"/>
    <cellStyle name="Hiperlink" xfId="131" builtinId="8" hidden="1"/>
    <cellStyle name="Hiperlink" xfId="133" builtinId="8" hidden="1"/>
    <cellStyle name="Hiperlink" xfId="135" builtinId="8" hidden="1"/>
    <cellStyle name="Hiperlink" xfId="137" builtinId="8" hidden="1"/>
    <cellStyle name="Hiperlink" xfId="139" builtinId="8" hidden="1"/>
    <cellStyle name="Hiperlink" xfId="141" builtinId="8" hidden="1"/>
    <cellStyle name="Hiperlink" xfId="143" builtinId="8" hidden="1"/>
    <cellStyle name="Hiperlink" xfId="145" builtinId="8" hidden="1"/>
    <cellStyle name="Hiperlink" xfId="147" builtinId="8" hidden="1"/>
    <cellStyle name="Hiperlink" xfId="149" builtinId="8" hidden="1"/>
    <cellStyle name="Hiperlink" xfId="151" builtinId="8" hidden="1"/>
    <cellStyle name="Hiperlink" xfId="153" builtinId="8" hidden="1"/>
    <cellStyle name="Hiperlink" xfId="155" builtinId="8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56" builtinId="9" hidden="1"/>
    <cellStyle name="Hiperlink Visitado" xfId="58" builtinId="9" hidden="1"/>
    <cellStyle name="Hiperlink Visitado" xfId="60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68" builtinId="9" hidden="1"/>
    <cellStyle name="Hiperlink Visitado" xfId="70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78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6" builtinId="9" hidden="1"/>
    <cellStyle name="Hiperlink Visitado" xfId="88" builtinId="9" hidden="1"/>
    <cellStyle name="Hiperlink Visitado" xfId="90" builtinId="9" hidden="1"/>
    <cellStyle name="Hiperlink Visitado" xfId="92" builtinId="9" hidden="1"/>
    <cellStyle name="Hiperlink Visitado" xfId="94" builtinId="9" hidden="1"/>
    <cellStyle name="Hiperlink Visitado" xfId="96" builtinId="9" hidden="1"/>
    <cellStyle name="Hiperlink Visitado" xfId="98" builtinId="9" hidden="1"/>
    <cellStyle name="Hiperlink Visitado" xfId="100" builtinId="9" hidden="1"/>
    <cellStyle name="Hiperlink Visitado" xfId="102" builtinId="9" hidden="1"/>
    <cellStyle name="Hiperlink Visitado" xfId="104" builtinId="9" hidden="1"/>
    <cellStyle name="Hiperlink Visitado" xfId="106" builtinId="9" hidden="1"/>
    <cellStyle name="Hiperlink Visitado" xfId="108" builtinId="9" hidden="1"/>
    <cellStyle name="Hiperlink Visitado" xfId="110" builtinId="9" hidden="1"/>
    <cellStyle name="Hiperlink Visitado" xfId="112" builtinId="9" hidden="1"/>
    <cellStyle name="Hiperlink Visitado" xfId="114" builtinId="9" hidden="1"/>
    <cellStyle name="Hiperlink Visitado" xfId="116" builtinId="9" hidden="1"/>
    <cellStyle name="Hiperlink Visitado" xfId="118" builtinId="9" hidden="1"/>
    <cellStyle name="Hiperlink Visitado" xfId="120" builtinId="9" hidden="1"/>
    <cellStyle name="Hiperlink Visitado" xfId="122" builtinId="9" hidden="1"/>
    <cellStyle name="Hiperlink Visitado" xfId="124" builtinId="9" hidden="1"/>
    <cellStyle name="Hiperlink Visitado" xfId="126" builtinId="9" hidden="1"/>
    <cellStyle name="Hiperlink Visitado" xfId="128" builtinId="9" hidden="1"/>
    <cellStyle name="Hiperlink Visitado" xfId="130" builtinId="9" hidden="1"/>
    <cellStyle name="Hiperlink Visitado" xfId="132" builtinId="9" hidden="1"/>
    <cellStyle name="Hiperlink Visitado" xfId="134" builtinId="9" hidden="1"/>
    <cellStyle name="Hiperlink Visitado" xfId="136" builtinId="9" hidden="1"/>
    <cellStyle name="Hiperlink Visitado" xfId="138" builtinId="9" hidden="1"/>
    <cellStyle name="Hiperlink Visitado" xfId="140" builtinId="9" hidden="1"/>
    <cellStyle name="Hiperlink Visitado" xfId="142" builtinId="9" hidden="1"/>
    <cellStyle name="Hiperlink Visitado" xfId="144" builtinId="9" hidden="1"/>
    <cellStyle name="Hiperlink Visitado" xfId="146" builtinId="9" hidden="1"/>
    <cellStyle name="Hiperlink Visitado" xfId="148" builtinId="9" hidden="1"/>
    <cellStyle name="Hiperlink Visitado" xfId="150" builtinId="9" hidden="1"/>
    <cellStyle name="Hiperlink Visitado" xfId="152" builtinId="9" hidden="1"/>
    <cellStyle name="Hiperlink Visitado" xfId="154" builtinId="9" hidden="1"/>
    <cellStyle name="Hiperlink Visitado" xfId="156" builtinId="9" hidden="1"/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Receita e Comissão/mês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3"/>
          <c:order val="0"/>
          <c:tx>
            <c:v>Comissão por mês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Resumo!$B$3:$M$3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Resumo!$B$26:$M$26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0"/>
          <c:order val="1"/>
          <c:tx>
            <c:v>RECEITA DE VENDAS</c:v>
          </c:tx>
          <c:invertIfNegative val="0"/>
          <c:dLbls>
            <c:dLbl>
              <c:idx val="0"/>
              <c:layout>
                <c:manualLayout>
                  <c:x val="0"/>
                  <c:y val="3.65025511070920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0035842180613076E-3"/>
                  <c:y val="-1.71277904599278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-5.91816436617532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3.67976629058394E-17"/>
                  <c:y val="3.0814716491444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1.0035842180613076E-3"/>
                  <c:y val="-3.65392863145127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Resumo!$B$4:$M$4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53848960"/>
        <c:axId val="253849520"/>
      </c:barChart>
      <c:catAx>
        <c:axId val="2538489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53849520"/>
        <c:crosses val="autoZero"/>
        <c:auto val="1"/>
        <c:lblAlgn val="ctr"/>
        <c:lblOffset val="100"/>
        <c:noMultiLvlLbl val="0"/>
      </c:catAx>
      <c:valAx>
        <c:axId val="253849520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one"/>
        <c:crossAx val="25384896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1" l="0.75000000000000044" r="0.75000000000000044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en-US" sz="2400"/>
              <a:t>Comparativo</a:t>
            </a:r>
            <a:r>
              <a:rPr lang="en-US" sz="2400" baseline="0"/>
              <a:t> da Receita de Vendas e Comissão</a:t>
            </a:r>
            <a:endParaRPr lang="en-US" sz="2400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800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Resumo!$A$26:$A$27</c:f>
              <c:strCache>
                <c:ptCount val="2"/>
                <c:pt idx="0">
                  <c:v>TOTAL PAGO DE COMISSÃO</c:v>
                </c:pt>
                <c:pt idx="1">
                  <c:v>RECEITA DE VENDAS- COMISSÃO</c:v>
                </c:pt>
              </c:strCache>
            </c:strRef>
          </c:cat>
          <c:val>
            <c:numRef>
              <c:f>Resumo!$N$26:$N$27</c:f>
              <c:numCache>
                <c:formatCode>_("R$"* #,##0.00_);_("R$"* \(#,##0.00\);_("R$"*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layout/>
      <c:overlay val="0"/>
      <c:txPr>
        <a:bodyPr/>
        <a:lstStyle/>
        <a:p>
          <a:pPr>
            <a:defRPr sz="1600"/>
          </a:pPr>
          <a:endParaRPr lang="pt-BR"/>
        </a:p>
      </c:txPr>
    </c:legend>
    <c:plotVisOnly val="1"/>
    <c:dispBlanksAs val="zero"/>
    <c:showDLblsOverMax val="0"/>
  </c:chart>
  <c:spPr>
    <a:ln>
      <a:solidFill>
        <a:schemeClr val="accent2">
          <a:shade val="95000"/>
          <a:satMod val="105000"/>
        </a:schemeClr>
      </a:solidFill>
    </a:ln>
  </c:spPr>
  <c:printSettings>
    <c:headerFooter/>
    <c:pageMargins b="1" l="0.75000000000000044" r="0.75000000000000044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2800"/>
            </a:pPr>
            <a:r>
              <a:rPr lang="en-US" sz="2800"/>
              <a:t>Total de Comissão recebida/Vendedor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JANEIRO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/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Resumo!$N$6:$N$25</c:f>
              <c:numCache>
                <c:formatCode>_("R$"* #,##0.00_);_("R$"* \(#,##0.00\);_("R$"* "-"??_);_(@_)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Resumo!$A$6:$A$25</c15:sqref>
                        </c15:formulaRef>
                      </c:ext>
                    </c:extLst>
                  </c:strRef>
                </c15:cat>
              </c15:filteredCategoryTitle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solidFill>
        <a:schemeClr val="accent2">
          <a:shade val="95000"/>
          <a:satMod val="105000"/>
        </a:schemeClr>
      </a:solidFill>
    </a:ln>
  </c:spPr>
  <c:printSettings>
    <c:headerFooter/>
    <c:pageMargins b="1" l="0.75000000000000044" r="0.75000000000000044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Gráficos!$D$115</c:f>
              <c:strCache>
                <c:ptCount val="1"/>
                <c:pt idx="0">
                  <c:v>TOTAL DE COMISSÃO NO MÊS DE ABRIL</c:v>
                </c:pt>
              </c:strCache>
            </c:strRef>
          </c:tx>
          <c:dLbls>
            <c:dLbl>
              <c:idx val="10"/>
              <c:layout>
                <c:manualLayout>
                  <c:x val="6.5252171870829309E-2"/>
                  <c:y val="1.188599789719928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0"/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Gráficos!$D$116:$D$135</c:f>
              <c:numCache>
                <c:formatCode>_("R$"* #,##0.00_);_("R$"* \(#,##0.00\);_("R$"* "-"??_);_(@_)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Gráficos!$C$116:$C$135</c15:sqref>
                        </c15:formulaRef>
                      </c:ext>
                    </c:extLst>
                  </c:strRef>
                </c15:cat>
              </c15:filteredCategoryTitle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solidFill>
        <a:schemeClr val="accent2">
          <a:shade val="95000"/>
          <a:satMod val="105000"/>
        </a:schemeClr>
      </a:solidFill>
    </a:ln>
  </c:sp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Gr&#225;ficos!A1"/><Relationship Id="rId3" Type="http://schemas.openxmlformats.org/officeDocument/2006/relationships/hyperlink" Target="#An&#225;lise!A1"/><Relationship Id="rId7" Type="http://schemas.openxmlformats.org/officeDocument/2006/relationships/hyperlink" Target="#Resum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6" Type="http://schemas.openxmlformats.org/officeDocument/2006/relationships/hyperlink" Target="#'Fatores Internos'!A1"/><Relationship Id="rId5" Type="http://schemas.openxmlformats.org/officeDocument/2006/relationships/hyperlink" Target="#Cadastro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hyperlink" Target="#In&#237;cio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hyperlink" Target="http://www.acelere.vc" TargetMode="Externa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628650</xdr:colOff>
      <xdr:row>0</xdr:row>
      <xdr:rowOff>0</xdr:rowOff>
    </xdr:from>
    <xdr:to>
      <xdr:col>17</xdr:col>
      <xdr:colOff>457200</xdr:colOff>
      <xdr:row>1</xdr:row>
      <xdr:rowOff>28575</xdr:rowOff>
    </xdr:to>
    <xdr:pic>
      <xdr:nvPicPr>
        <xdr:cNvPr id="6" name="Imagem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200150" cy="485775"/>
        </a:xfrm>
        <a:prstGeom prst="rect">
          <a:avLst/>
        </a:prstGeom>
      </xdr:spPr>
    </xdr:pic>
    <xdr:clientData/>
  </xdr:twoCellAnchor>
  <xdr:twoCellAnchor>
    <xdr:from>
      <xdr:col>2</xdr:col>
      <xdr:colOff>466725</xdr:colOff>
      <xdr:row>5</xdr:row>
      <xdr:rowOff>133350</xdr:rowOff>
    </xdr:from>
    <xdr:to>
      <xdr:col>5</xdr:col>
      <xdr:colOff>304800</xdr:colOff>
      <xdr:row>8</xdr:row>
      <xdr:rowOff>72313</xdr:rowOff>
    </xdr:to>
    <xdr:grpSp>
      <xdr:nvGrpSpPr>
        <xdr:cNvPr id="7" name="Grupo 6">
          <a:hlinkClick xmlns:r="http://schemas.openxmlformats.org/officeDocument/2006/relationships" r:id="rId3"/>
        </xdr:cNvPr>
        <xdr:cNvGrpSpPr/>
      </xdr:nvGrpSpPr>
      <xdr:grpSpPr>
        <a:xfrm>
          <a:off x="1838325" y="1390650"/>
          <a:ext cx="1895475" cy="539038"/>
          <a:chOff x="285750" y="2400300"/>
          <a:chExt cx="1895475" cy="539038"/>
        </a:xfrm>
      </xdr:grpSpPr>
      <xdr:pic>
        <xdr:nvPicPr>
          <xdr:cNvPr id="8" name="Imagem 7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" name="CaixaDeTexto 8">
            <a:hlinkClick xmlns:r="http://schemas.openxmlformats.org/officeDocument/2006/relationships" r:id="rId5"/>
          </xdr:cNvPr>
          <xdr:cNvSpPr txBox="1"/>
        </xdr:nvSpPr>
        <xdr:spPr>
          <a:xfrm>
            <a:off x="542925" y="2524125"/>
            <a:ext cx="139064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CADASTRO</a:t>
            </a:r>
          </a:p>
        </xdr:txBody>
      </xdr:sp>
    </xdr:grpSp>
    <xdr:clientData/>
  </xdr:twoCellAnchor>
  <xdr:twoCellAnchor>
    <xdr:from>
      <xdr:col>7</xdr:col>
      <xdr:colOff>561975</xdr:colOff>
      <xdr:row>5</xdr:row>
      <xdr:rowOff>133350</xdr:rowOff>
    </xdr:from>
    <xdr:to>
      <xdr:col>10</xdr:col>
      <xdr:colOff>400050</xdr:colOff>
      <xdr:row>8</xdr:row>
      <xdr:rowOff>72313</xdr:rowOff>
    </xdr:to>
    <xdr:grpSp>
      <xdr:nvGrpSpPr>
        <xdr:cNvPr id="10" name="Grupo 9">
          <a:hlinkClick xmlns:r="http://schemas.openxmlformats.org/officeDocument/2006/relationships" r:id="rId6"/>
        </xdr:cNvPr>
        <xdr:cNvGrpSpPr/>
      </xdr:nvGrpSpPr>
      <xdr:grpSpPr>
        <a:xfrm>
          <a:off x="5362575" y="1390650"/>
          <a:ext cx="1895475" cy="539038"/>
          <a:chOff x="285750" y="2400300"/>
          <a:chExt cx="1895475" cy="539038"/>
        </a:xfrm>
      </xdr:grpSpPr>
      <xdr:pic>
        <xdr:nvPicPr>
          <xdr:cNvPr id="11" name="Imagem 10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2" name="CaixaDeTexto 11">
            <a:hlinkClick xmlns:r="http://schemas.openxmlformats.org/officeDocument/2006/relationships" r:id="rId7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RESUMO</a:t>
            </a:r>
          </a:p>
        </xdr:txBody>
      </xdr:sp>
    </xdr:grpSp>
    <xdr:clientData/>
  </xdr:twoCellAnchor>
  <xdr:twoCellAnchor>
    <xdr:from>
      <xdr:col>13</xdr:col>
      <xdr:colOff>0</xdr:colOff>
      <xdr:row>5</xdr:row>
      <xdr:rowOff>133350</xdr:rowOff>
    </xdr:from>
    <xdr:to>
      <xdr:col>15</xdr:col>
      <xdr:colOff>523875</xdr:colOff>
      <xdr:row>8</xdr:row>
      <xdr:rowOff>72313</xdr:rowOff>
    </xdr:to>
    <xdr:grpSp>
      <xdr:nvGrpSpPr>
        <xdr:cNvPr id="13" name="Grupo 12">
          <a:hlinkClick xmlns:r="http://schemas.openxmlformats.org/officeDocument/2006/relationships" r:id="rId3"/>
        </xdr:cNvPr>
        <xdr:cNvGrpSpPr/>
      </xdr:nvGrpSpPr>
      <xdr:grpSpPr>
        <a:xfrm>
          <a:off x="8915400" y="1390650"/>
          <a:ext cx="1895475" cy="539038"/>
          <a:chOff x="285750" y="2400300"/>
          <a:chExt cx="1895475" cy="539038"/>
        </a:xfrm>
      </xdr:grpSpPr>
      <xdr:pic>
        <xdr:nvPicPr>
          <xdr:cNvPr id="14" name="Imagem 13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5" name="CaixaDeTexto 14">
            <a:hlinkClick xmlns:r="http://schemas.openxmlformats.org/officeDocument/2006/relationships" r:id="rId8"/>
          </xdr:cNvPr>
          <xdr:cNvSpPr txBox="1"/>
        </xdr:nvSpPr>
        <xdr:spPr>
          <a:xfrm>
            <a:off x="400050" y="2524125"/>
            <a:ext cx="16859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GRÁFICOS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1619250</xdr:colOff>
      <xdr:row>0</xdr:row>
      <xdr:rowOff>0</xdr:rowOff>
    </xdr:from>
    <xdr:to>
      <xdr:col>10</xdr:col>
      <xdr:colOff>571500</xdr:colOff>
      <xdr:row>1</xdr:row>
      <xdr:rowOff>19050</xdr:rowOff>
    </xdr:to>
    <xdr:pic>
      <xdr:nvPicPr>
        <xdr:cNvPr id="5" name="Imagem 4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0"/>
          <a:ext cx="12001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647700</xdr:colOff>
      <xdr:row>0</xdr:row>
      <xdr:rowOff>396724</xdr:rowOff>
    </xdr:to>
    <xdr:pic>
      <xdr:nvPicPr>
        <xdr:cNvPr id="6" name="Imagem 5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</xdr:colOff>
      <xdr:row>0</xdr:row>
      <xdr:rowOff>1</xdr:rowOff>
    </xdr:from>
    <xdr:to>
      <xdr:col>10</xdr:col>
      <xdr:colOff>457200</xdr:colOff>
      <xdr:row>1</xdr:row>
      <xdr:rowOff>19051</xdr:rowOff>
    </xdr:to>
    <xdr:pic>
      <xdr:nvPicPr>
        <xdr:cNvPr id="5" name="Imagem 4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6600" y="1"/>
          <a:ext cx="12001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66675</xdr:rowOff>
    </xdr:from>
    <xdr:to>
      <xdr:col>0</xdr:col>
      <xdr:colOff>609600</xdr:colOff>
      <xdr:row>0</xdr:row>
      <xdr:rowOff>396724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54429</xdr:colOff>
      <xdr:row>1</xdr:row>
      <xdr:rowOff>148771</xdr:rowOff>
    </xdr:from>
    <xdr:to>
      <xdr:col>14</xdr:col>
      <xdr:colOff>149679</xdr:colOff>
      <xdr:row>26</xdr:row>
      <xdr:rowOff>161688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1289843</xdr:colOff>
      <xdr:row>31</xdr:row>
      <xdr:rowOff>39686</xdr:rowOff>
    </xdr:from>
    <xdr:to>
      <xdr:col>12</xdr:col>
      <xdr:colOff>691593</xdr:colOff>
      <xdr:row>63</xdr:row>
      <xdr:rowOff>63686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1258093</xdr:colOff>
      <xdr:row>66</xdr:row>
      <xdr:rowOff>107153</xdr:rowOff>
    </xdr:from>
    <xdr:to>
      <xdr:col>12</xdr:col>
      <xdr:colOff>659843</xdr:colOff>
      <xdr:row>98</xdr:row>
      <xdr:rowOff>131153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1283493</xdr:colOff>
      <xdr:row>107</xdr:row>
      <xdr:rowOff>4575</xdr:rowOff>
    </xdr:from>
    <xdr:to>
      <xdr:col>12</xdr:col>
      <xdr:colOff>653493</xdr:colOff>
      <xdr:row>138</xdr:row>
      <xdr:rowOff>171450</xdr:rowOff>
    </xdr:to>
    <xdr:graphicFrame macro="">
      <xdr:nvGraphicFramePr>
        <xdr:cNvPr id="34" name="Gráfico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714375</xdr:colOff>
      <xdr:row>0</xdr:row>
      <xdr:rowOff>2</xdr:rowOff>
    </xdr:from>
    <xdr:to>
      <xdr:col>11</xdr:col>
      <xdr:colOff>238125</xdr:colOff>
      <xdr:row>1</xdr:row>
      <xdr:rowOff>28576</xdr:rowOff>
    </xdr:to>
    <xdr:pic>
      <xdr:nvPicPr>
        <xdr:cNvPr id="9" name="Imagem 8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5175" y="2"/>
          <a:ext cx="1200150" cy="48577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66675</xdr:rowOff>
    </xdr:from>
    <xdr:to>
      <xdr:col>0</xdr:col>
      <xdr:colOff>609600</xdr:colOff>
      <xdr:row>0</xdr:row>
      <xdr:rowOff>396724</xdr:rowOff>
    </xdr:to>
    <xdr:pic>
      <xdr:nvPicPr>
        <xdr:cNvPr id="11" name="Imagem 10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"/>
          <a:ext cx="561975" cy="33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showGridLines="0" tabSelected="1" workbookViewId="0">
      <selection activeCell="I15" sqref="I15"/>
    </sheetView>
  </sheetViews>
  <sheetFormatPr defaultColWidth="9" defaultRowHeight="15.75" customHeight="1" x14ac:dyDescent="0.25"/>
  <cols>
    <col min="1" max="10" width="9" customWidth="1"/>
  </cols>
  <sheetData>
    <row r="1" spans="1:25" s="47" customFormat="1" ht="36" customHeight="1" x14ac:dyDescent="0.25">
      <c r="A1" s="49" t="s">
        <v>31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48"/>
      <c r="T1" s="48"/>
      <c r="U1" s="46"/>
      <c r="V1" s="46"/>
      <c r="W1" s="46"/>
      <c r="X1" s="46"/>
      <c r="Y1" s="46"/>
    </row>
    <row r="2" spans="1:25" x14ac:dyDescent="0.25">
      <c r="A2" s="37"/>
    </row>
  </sheetData>
  <mergeCells count="1">
    <mergeCell ref="A1:R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0"/>
  <sheetViews>
    <sheetView showGridLines="0" zoomScaleNormal="100" workbookViewId="0">
      <selection sqref="A1:K1"/>
    </sheetView>
  </sheetViews>
  <sheetFormatPr defaultColWidth="11" defaultRowHeight="15.75" x14ac:dyDescent="0.25"/>
  <cols>
    <col min="1" max="1" width="10.125" style="3" bestFit="1" customWidth="1"/>
    <col min="2" max="2" width="12.375" style="4" customWidth="1"/>
    <col min="3" max="3" width="13.375" style="4" bestFit="1" customWidth="1"/>
    <col min="4" max="4" width="18.875" style="5" customWidth="1"/>
    <col min="5" max="5" width="19.125" style="5" customWidth="1"/>
    <col min="6" max="6" width="13.625" style="5" bestFit="1" customWidth="1"/>
    <col min="7" max="7" width="3.75" style="8" customWidth="1"/>
    <col min="8" max="8" width="13.875" style="2" customWidth="1"/>
    <col min="9" max="9" width="16.125" style="6" customWidth="1"/>
    <col min="10" max="10" width="29.5" style="1" customWidth="1"/>
    <col min="11" max="11" width="12.625" style="1" customWidth="1"/>
    <col min="12" max="12" width="29.625" style="1" customWidth="1"/>
    <col min="13" max="16384" width="11" style="1"/>
  </cols>
  <sheetData>
    <row r="1" spans="1:25" s="47" customFormat="1" ht="36" customHeight="1" x14ac:dyDescent="0.25">
      <c r="A1" s="49" t="s">
        <v>32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48"/>
      <c r="M1" s="48"/>
      <c r="N1" s="48"/>
      <c r="O1" s="48"/>
      <c r="P1" s="48"/>
      <c r="Q1" s="48"/>
      <c r="R1" s="48"/>
      <c r="S1" s="48"/>
      <c r="T1" s="48"/>
      <c r="U1" s="46"/>
      <c r="V1" s="46"/>
      <c r="W1" s="46"/>
      <c r="X1" s="46"/>
      <c r="Y1" s="46"/>
    </row>
    <row r="3" spans="1:25" s="7" customFormat="1" ht="31.5" x14ac:dyDescent="0.25">
      <c r="A3" s="22" t="s">
        <v>1</v>
      </c>
      <c r="B3" s="23" t="s">
        <v>0</v>
      </c>
      <c r="C3" s="23" t="s">
        <v>2</v>
      </c>
      <c r="D3" s="24" t="s">
        <v>5</v>
      </c>
      <c r="E3" s="24" t="s">
        <v>6</v>
      </c>
      <c r="F3" s="22" t="s">
        <v>3</v>
      </c>
      <c r="G3" s="8"/>
      <c r="H3" s="51" t="s">
        <v>7</v>
      </c>
      <c r="I3" s="51"/>
      <c r="J3" s="51"/>
    </row>
    <row r="4" spans="1:25" ht="31.5" customHeight="1" x14ac:dyDescent="0.25">
      <c r="A4" s="25"/>
      <c r="B4" s="26"/>
      <c r="C4" s="26"/>
      <c r="D4" s="27" t="str">
        <f t="shared" ref="D4:D35" si="0">IF(B4&lt;&gt;"",VLOOKUP(B4,$I:$J,2,FALSE),"")</f>
        <v/>
      </c>
      <c r="E4" s="27" t="b">
        <f t="shared" ref="E4:E67" si="1">IF(C4&lt;&gt;"",IF(C4&lt;$I$6,$J$6,IF(AND(C4&gt;=$H$7,C4&lt;$I$7),$J$7,IF(AND(C4&gt;=$H$8,C4&lt;$I$8),$J$8,IF(AND(C4&gt;=$H$9,C4&lt;$I$9),$J$9,IF(AND(C4&gt;=$H$10,C4&lt;$I$10),$J$10,IF(AND(C4&gt;=$H$11,C4&lt;$I$11),$J$11,IF(AND(C4&gt;=$H$12,C4&lt;$I$12),$J$12,IF(AND(C4&gt;=$H$13,C4&lt;$I$13),$J$13,IF(C4&gt;=$H$14,$J$14,""))))))))))</f>
        <v>0</v>
      </c>
      <c r="F4" s="28" t="str">
        <f>IF(AND(C4&lt;&gt;"",B4&lt;&gt;""),C4*D4+C4*E4,"")</f>
        <v/>
      </c>
      <c r="H4" s="52" t="s">
        <v>8</v>
      </c>
      <c r="I4" s="53"/>
      <c r="J4" s="54" t="s">
        <v>9</v>
      </c>
    </row>
    <row r="5" spans="1:25" x14ac:dyDescent="0.25">
      <c r="A5" s="25"/>
      <c r="B5" s="26"/>
      <c r="C5" s="26"/>
      <c r="D5" s="27" t="str">
        <f t="shared" si="0"/>
        <v/>
      </c>
      <c r="E5" s="27" t="b">
        <f t="shared" si="1"/>
        <v>0</v>
      </c>
      <c r="F5" s="28" t="str">
        <f t="shared" ref="F5:F68" si="2">IF(AND(C5&lt;&gt;"",B5&lt;&gt;""),C5*D5+C5*E5,"")</f>
        <v/>
      </c>
      <c r="H5" s="17" t="s">
        <v>10</v>
      </c>
      <c r="I5" s="17" t="s">
        <v>11</v>
      </c>
      <c r="J5" s="55"/>
    </row>
    <row r="6" spans="1:25" x14ac:dyDescent="0.25">
      <c r="A6" s="25"/>
      <c r="B6" s="26"/>
      <c r="C6" s="26"/>
      <c r="D6" s="27" t="str">
        <f t="shared" si="0"/>
        <v/>
      </c>
      <c r="E6" s="27" t="b">
        <f t="shared" si="1"/>
        <v>0</v>
      </c>
      <c r="F6" s="28" t="str">
        <f t="shared" si="2"/>
        <v/>
      </c>
      <c r="H6" s="20"/>
      <c r="I6" s="20"/>
      <c r="J6" s="19"/>
    </row>
    <row r="7" spans="1:25" x14ac:dyDescent="0.25">
      <c r="A7" s="25"/>
      <c r="B7" s="26"/>
      <c r="C7" s="26"/>
      <c r="D7" s="27" t="str">
        <f t="shared" si="0"/>
        <v/>
      </c>
      <c r="E7" s="27" t="b">
        <f t="shared" si="1"/>
        <v>0</v>
      </c>
      <c r="F7" s="28" t="str">
        <f t="shared" si="2"/>
        <v/>
      </c>
      <c r="H7" s="20"/>
      <c r="I7" s="20"/>
      <c r="J7" s="19"/>
    </row>
    <row r="8" spans="1:25" x14ac:dyDescent="0.25">
      <c r="A8" s="25"/>
      <c r="B8" s="26"/>
      <c r="C8" s="26"/>
      <c r="D8" s="27" t="str">
        <f t="shared" si="0"/>
        <v/>
      </c>
      <c r="E8" s="27" t="b">
        <f t="shared" si="1"/>
        <v>0</v>
      </c>
      <c r="F8" s="28" t="str">
        <f t="shared" si="2"/>
        <v/>
      </c>
      <c r="H8" s="20"/>
      <c r="I8" s="20"/>
      <c r="J8" s="19"/>
    </row>
    <row r="9" spans="1:25" x14ac:dyDescent="0.25">
      <c r="A9" s="25"/>
      <c r="B9" s="26"/>
      <c r="C9" s="26"/>
      <c r="D9" s="27" t="str">
        <f t="shared" si="0"/>
        <v/>
      </c>
      <c r="E9" s="27" t="b">
        <f t="shared" si="1"/>
        <v>0</v>
      </c>
      <c r="F9" s="28" t="str">
        <f t="shared" si="2"/>
        <v/>
      </c>
      <c r="H9" s="20"/>
      <c r="I9" s="20"/>
      <c r="J9" s="19"/>
    </row>
    <row r="10" spans="1:25" x14ac:dyDescent="0.25">
      <c r="A10" s="25"/>
      <c r="B10" s="26"/>
      <c r="C10" s="26"/>
      <c r="D10" s="27" t="str">
        <f t="shared" si="0"/>
        <v/>
      </c>
      <c r="E10" s="27" t="b">
        <f t="shared" si="1"/>
        <v>0</v>
      </c>
      <c r="F10" s="28" t="str">
        <f t="shared" si="2"/>
        <v/>
      </c>
      <c r="H10" s="20"/>
      <c r="I10" s="20"/>
      <c r="J10" s="19"/>
    </row>
    <row r="11" spans="1:25" x14ac:dyDescent="0.25">
      <c r="A11" s="25"/>
      <c r="B11" s="26"/>
      <c r="C11" s="26"/>
      <c r="D11" s="27" t="str">
        <f t="shared" si="0"/>
        <v/>
      </c>
      <c r="E11" s="27" t="b">
        <f t="shared" si="1"/>
        <v>0</v>
      </c>
      <c r="F11" s="28" t="str">
        <f t="shared" si="2"/>
        <v/>
      </c>
      <c r="H11" s="20"/>
      <c r="I11" s="20"/>
      <c r="J11" s="19"/>
    </row>
    <row r="12" spans="1:25" x14ac:dyDescent="0.25">
      <c r="A12" s="25"/>
      <c r="B12" s="26"/>
      <c r="C12" s="26"/>
      <c r="D12" s="29" t="str">
        <f t="shared" si="0"/>
        <v/>
      </c>
      <c r="E12" s="27" t="b">
        <f t="shared" si="1"/>
        <v>0</v>
      </c>
      <c r="F12" s="28" t="str">
        <f t="shared" si="2"/>
        <v/>
      </c>
      <c r="H12" s="20"/>
      <c r="I12" s="20"/>
      <c r="J12" s="19"/>
    </row>
    <row r="13" spans="1:25" x14ac:dyDescent="0.25">
      <c r="A13" s="25"/>
      <c r="B13" s="26"/>
      <c r="C13" s="26"/>
      <c r="D13" s="29" t="str">
        <f t="shared" si="0"/>
        <v/>
      </c>
      <c r="E13" s="27" t="b">
        <f t="shared" si="1"/>
        <v>0</v>
      </c>
      <c r="F13" s="28" t="str">
        <f t="shared" si="2"/>
        <v/>
      </c>
      <c r="H13" s="20"/>
      <c r="I13" s="20"/>
      <c r="J13" s="19"/>
    </row>
    <row r="14" spans="1:25" x14ac:dyDescent="0.25">
      <c r="A14" s="25"/>
      <c r="B14" s="26"/>
      <c r="C14" s="26"/>
      <c r="D14" s="29" t="str">
        <f t="shared" si="0"/>
        <v/>
      </c>
      <c r="E14" s="27" t="b">
        <f t="shared" si="1"/>
        <v>0</v>
      </c>
      <c r="F14" s="28" t="str">
        <f t="shared" si="2"/>
        <v/>
      </c>
      <c r="H14" s="20"/>
      <c r="I14" s="20"/>
      <c r="J14" s="19"/>
    </row>
    <row r="15" spans="1:25" x14ac:dyDescent="0.25">
      <c r="A15" s="25"/>
      <c r="B15" s="26"/>
      <c r="C15" s="26"/>
      <c r="D15" s="29" t="str">
        <f t="shared" si="0"/>
        <v/>
      </c>
      <c r="E15" s="27" t="b">
        <f t="shared" si="1"/>
        <v>0</v>
      </c>
      <c r="F15" s="28" t="str">
        <f t="shared" si="2"/>
        <v/>
      </c>
      <c r="H15" s="1"/>
      <c r="I15" s="1"/>
    </row>
    <row r="16" spans="1:25" x14ac:dyDescent="0.25">
      <c r="A16" s="25"/>
      <c r="B16" s="26"/>
      <c r="C16" s="26"/>
      <c r="D16" s="29" t="str">
        <f t="shared" si="0"/>
        <v/>
      </c>
      <c r="E16" s="27" t="b">
        <f t="shared" si="1"/>
        <v>0</v>
      </c>
      <c r="F16" s="28" t="str">
        <f t="shared" si="2"/>
        <v/>
      </c>
      <c r="H16" s="1"/>
      <c r="I16" s="1"/>
    </row>
    <row r="17" spans="1:10" x14ac:dyDescent="0.25">
      <c r="A17" s="25"/>
      <c r="B17" s="26"/>
      <c r="C17" s="26"/>
      <c r="D17" s="29" t="str">
        <f t="shared" si="0"/>
        <v/>
      </c>
      <c r="E17" s="27" t="b">
        <f t="shared" si="1"/>
        <v>0</v>
      </c>
      <c r="F17" s="28" t="str">
        <f t="shared" si="2"/>
        <v/>
      </c>
    </row>
    <row r="18" spans="1:10" ht="17.25" customHeight="1" x14ac:dyDescent="0.25">
      <c r="A18" s="25"/>
      <c r="B18" s="26"/>
      <c r="C18" s="26"/>
      <c r="D18" s="29" t="str">
        <f t="shared" si="0"/>
        <v/>
      </c>
      <c r="E18" s="27" t="b">
        <f t="shared" si="1"/>
        <v>0</v>
      </c>
      <c r="F18" s="28" t="str">
        <f t="shared" si="2"/>
        <v/>
      </c>
      <c r="I18" s="16" t="s">
        <v>0</v>
      </c>
      <c r="J18" s="21" t="s">
        <v>4</v>
      </c>
    </row>
    <row r="19" spans="1:10" x14ac:dyDescent="0.25">
      <c r="A19" s="25"/>
      <c r="B19" s="26"/>
      <c r="C19" s="26"/>
      <c r="D19" s="29" t="str">
        <f t="shared" si="0"/>
        <v/>
      </c>
      <c r="E19" s="27" t="b">
        <f t="shared" si="1"/>
        <v>0</v>
      </c>
      <c r="F19" s="28" t="str">
        <f t="shared" si="2"/>
        <v/>
      </c>
      <c r="I19" s="18"/>
      <c r="J19" s="19"/>
    </row>
    <row r="20" spans="1:10" x14ac:dyDescent="0.25">
      <c r="A20" s="25"/>
      <c r="B20" s="26"/>
      <c r="C20" s="26"/>
      <c r="D20" s="29" t="str">
        <f t="shared" si="0"/>
        <v/>
      </c>
      <c r="E20" s="27" t="b">
        <f t="shared" si="1"/>
        <v>0</v>
      </c>
      <c r="F20" s="28" t="str">
        <f t="shared" si="2"/>
        <v/>
      </c>
      <c r="I20" s="18"/>
      <c r="J20" s="19"/>
    </row>
    <row r="21" spans="1:10" x14ac:dyDescent="0.25">
      <c r="A21" s="25"/>
      <c r="B21" s="26"/>
      <c r="C21" s="26"/>
      <c r="D21" s="29" t="str">
        <f t="shared" si="0"/>
        <v/>
      </c>
      <c r="E21" s="27" t="b">
        <f t="shared" si="1"/>
        <v>0</v>
      </c>
      <c r="F21" s="28" t="str">
        <f t="shared" si="2"/>
        <v/>
      </c>
      <c r="I21" s="18"/>
      <c r="J21" s="19"/>
    </row>
    <row r="22" spans="1:10" x14ac:dyDescent="0.25">
      <c r="A22" s="25"/>
      <c r="B22" s="26"/>
      <c r="C22" s="26"/>
      <c r="D22" s="29" t="str">
        <f t="shared" si="0"/>
        <v/>
      </c>
      <c r="E22" s="27" t="b">
        <f t="shared" si="1"/>
        <v>0</v>
      </c>
      <c r="F22" s="28" t="str">
        <f t="shared" si="2"/>
        <v/>
      </c>
      <c r="I22" s="18"/>
      <c r="J22" s="19"/>
    </row>
    <row r="23" spans="1:10" x14ac:dyDescent="0.25">
      <c r="A23" s="25"/>
      <c r="B23" s="26"/>
      <c r="C23" s="26"/>
      <c r="D23" s="29" t="str">
        <f t="shared" si="0"/>
        <v/>
      </c>
      <c r="E23" s="27" t="b">
        <f t="shared" si="1"/>
        <v>0</v>
      </c>
      <c r="F23" s="28" t="str">
        <f t="shared" si="2"/>
        <v/>
      </c>
      <c r="I23" s="18"/>
      <c r="J23" s="19"/>
    </row>
    <row r="24" spans="1:10" x14ac:dyDescent="0.25">
      <c r="A24" s="25"/>
      <c r="B24" s="26"/>
      <c r="C24" s="26"/>
      <c r="D24" s="29" t="str">
        <f t="shared" si="0"/>
        <v/>
      </c>
      <c r="E24" s="27" t="b">
        <f t="shared" si="1"/>
        <v>0</v>
      </c>
      <c r="F24" s="28" t="str">
        <f t="shared" si="2"/>
        <v/>
      </c>
      <c r="I24" s="18"/>
      <c r="J24" s="19"/>
    </row>
    <row r="25" spans="1:10" x14ac:dyDescent="0.25">
      <c r="A25" s="25"/>
      <c r="B25" s="26"/>
      <c r="C25" s="26"/>
      <c r="D25" s="29" t="str">
        <f t="shared" si="0"/>
        <v/>
      </c>
      <c r="E25" s="27" t="b">
        <f t="shared" si="1"/>
        <v>0</v>
      </c>
      <c r="F25" s="28" t="str">
        <f t="shared" si="2"/>
        <v/>
      </c>
      <c r="I25" s="20"/>
      <c r="J25" s="19"/>
    </row>
    <row r="26" spans="1:10" x14ac:dyDescent="0.25">
      <c r="A26" s="25"/>
      <c r="B26" s="26"/>
      <c r="C26" s="26"/>
      <c r="D26" s="29" t="str">
        <f t="shared" si="0"/>
        <v/>
      </c>
      <c r="E26" s="27" t="b">
        <f t="shared" si="1"/>
        <v>0</v>
      </c>
      <c r="F26" s="28" t="str">
        <f t="shared" si="2"/>
        <v/>
      </c>
      <c r="I26" s="20"/>
      <c r="J26" s="19"/>
    </row>
    <row r="27" spans="1:10" x14ac:dyDescent="0.25">
      <c r="A27" s="25"/>
      <c r="B27" s="26"/>
      <c r="C27" s="26"/>
      <c r="D27" s="29" t="str">
        <f t="shared" si="0"/>
        <v/>
      </c>
      <c r="E27" s="27" t="b">
        <f t="shared" si="1"/>
        <v>0</v>
      </c>
      <c r="F27" s="28" t="str">
        <f t="shared" si="2"/>
        <v/>
      </c>
      <c r="I27" s="20"/>
      <c r="J27" s="19"/>
    </row>
    <row r="28" spans="1:10" x14ac:dyDescent="0.25">
      <c r="A28" s="25"/>
      <c r="B28" s="26"/>
      <c r="C28" s="26"/>
      <c r="D28" s="29" t="str">
        <f t="shared" si="0"/>
        <v/>
      </c>
      <c r="E28" s="27" t="b">
        <f t="shared" si="1"/>
        <v>0</v>
      </c>
      <c r="F28" s="28" t="str">
        <f t="shared" si="2"/>
        <v/>
      </c>
      <c r="I28" s="20"/>
      <c r="J28" s="19"/>
    </row>
    <row r="29" spans="1:10" x14ac:dyDescent="0.25">
      <c r="A29" s="25"/>
      <c r="B29" s="26"/>
      <c r="C29" s="26"/>
      <c r="D29" s="29" t="str">
        <f t="shared" si="0"/>
        <v/>
      </c>
      <c r="E29" s="27" t="b">
        <f t="shared" si="1"/>
        <v>0</v>
      </c>
      <c r="F29" s="28" t="str">
        <f t="shared" si="2"/>
        <v/>
      </c>
      <c r="I29" s="20"/>
      <c r="J29" s="19"/>
    </row>
    <row r="30" spans="1:10" x14ac:dyDescent="0.25">
      <c r="A30" s="25"/>
      <c r="B30" s="26"/>
      <c r="C30" s="26"/>
      <c r="D30" s="29" t="str">
        <f t="shared" si="0"/>
        <v/>
      </c>
      <c r="E30" s="27" t="b">
        <f t="shared" si="1"/>
        <v>0</v>
      </c>
      <c r="F30" s="28" t="str">
        <f t="shared" si="2"/>
        <v/>
      </c>
      <c r="I30" s="20"/>
      <c r="J30" s="19"/>
    </row>
    <row r="31" spans="1:10" x14ac:dyDescent="0.25">
      <c r="A31" s="25"/>
      <c r="B31" s="26"/>
      <c r="C31" s="26"/>
      <c r="D31" s="29" t="str">
        <f t="shared" si="0"/>
        <v/>
      </c>
      <c r="E31" s="27" t="b">
        <f t="shared" si="1"/>
        <v>0</v>
      </c>
      <c r="F31" s="28" t="str">
        <f t="shared" si="2"/>
        <v/>
      </c>
      <c r="I31" s="20"/>
      <c r="J31" s="19"/>
    </row>
    <row r="32" spans="1:10" x14ac:dyDescent="0.25">
      <c r="A32" s="25"/>
      <c r="B32" s="26"/>
      <c r="C32" s="26"/>
      <c r="D32" s="29" t="str">
        <f t="shared" si="0"/>
        <v/>
      </c>
      <c r="E32" s="27" t="b">
        <f t="shared" si="1"/>
        <v>0</v>
      </c>
      <c r="F32" s="28" t="str">
        <f t="shared" si="2"/>
        <v/>
      </c>
      <c r="I32" s="20"/>
      <c r="J32" s="19"/>
    </row>
    <row r="33" spans="1:10" x14ac:dyDescent="0.25">
      <c r="A33" s="25"/>
      <c r="B33" s="26"/>
      <c r="C33" s="26"/>
      <c r="D33" s="29" t="str">
        <f t="shared" si="0"/>
        <v/>
      </c>
      <c r="E33" s="27" t="b">
        <f t="shared" si="1"/>
        <v>0</v>
      </c>
      <c r="F33" s="28" t="str">
        <f t="shared" si="2"/>
        <v/>
      </c>
      <c r="I33" s="20"/>
      <c r="J33" s="19"/>
    </row>
    <row r="34" spans="1:10" x14ac:dyDescent="0.25">
      <c r="A34" s="25"/>
      <c r="B34" s="26"/>
      <c r="C34" s="26"/>
      <c r="D34" s="29" t="str">
        <f t="shared" si="0"/>
        <v/>
      </c>
      <c r="E34" s="27" t="b">
        <f t="shared" si="1"/>
        <v>0</v>
      </c>
      <c r="F34" s="28" t="str">
        <f t="shared" si="2"/>
        <v/>
      </c>
      <c r="I34" s="20"/>
      <c r="J34" s="19"/>
    </row>
    <row r="35" spans="1:10" x14ac:dyDescent="0.25">
      <c r="A35" s="25"/>
      <c r="B35" s="26"/>
      <c r="C35" s="26"/>
      <c r="D35" s="29" t="str">
        <f t="shared" si="0"/>
        <v/>
      </c>
      <c r="E35" s="27" t="b">
        <f t="shared" si="1"/>
        <v>0</v>
      </c>
      <c r="F35" s="28" t="str">
        <f t="shared" si="2"/>
        <v/>
      </c>
      <c r="I35" s="20"/>
      <c r="J35" s="19"/>
    </row>
    <row r="36" spans="1:10" x14ac:dyDescent="0.25">
      <c r="A36" s="25"/>
      <c r="B36" s="26"/>
      <c r="C36" s="26"/>
      <c r="D36" s="29" t="str">
        <f t="shared" ref="D36:D99" si="3">IF(B36&lt;&gt;"",VLOOKUP(B36,$I:$J,2,FALSE),"")</f>
        <v/>
      </c>
      <c r="E36" s="27" t="b">
        <f t="shared" si="1"/>
        <v>0</v>
      </c>
      <c r="F36" s="28" t="str">
        <f t="shared" si="2"/>
        <v/>
      </c>
      <c r="I36" s="20"/>
      <c r="J36" s="19"/>
    </row>
    <row r="37" spans="1:10" x14ac:dyDescent="0.25">
      <c r="A37" s="25"/>
      <c r="B37" s="26"/>
      <c r="C37" s="26"/>
      <c r="D37" s="29" t="str">
        <f t="shared" si="3"/>
        <v/>
      </c>
      <c r="E37" s="27" t="b">
        <f t="shared" si="1"/>
        <v>0</v>
      </c>
      <c r="F37" s="28" t="str">
        <f t="shared" si="2"/>
        <v/>
      </c>
      <c r="I37" s="20"/>
      <c r="J37" s="19"/>
    </row>
    <row r="38" spans="1:10" x14ac:dyDescent="0.25">
      <c r="A38" s="25"/>
      <c r="B38" s="26"/>
      <c r="C38" s="26"/>
      <c r="D38" s="29" t="str">
        <f t="shared" si="3"/>
        <v/>
      </c>
      <c r="E38" s="27" t="b">
        <f t="shared" si="1"/>
        <v>0</v>
      </c>
      <c r="F38" s="28" t="str">
        <f t="shared" si="2"/>
        <v/>
      </c>
      <c r="I38" s="20"/>
      <c r="J38" s="19"/>
    </row>
    <row r="39" spans="1:10" x14ac:dyDescent="0.25">
      <c r="A39" s="25"/>
      <c r="B39" s="26"/>
      <c r="C39" s="26"/>
      <c r="D39" s="29" t="str">
        <f t="shared" si="3"/>
        <v/>
      </c>
      <c r="E39" s="27" t="b">
        <f t="shared" si="1"/>
        <v>0</v>
      </c>
      <c r="F39" s="28" t="str">
        <f t="shared" si="2"/>
        <v/>
      </c>
      <c r="I39" s="20"/>
      <c r="J39" s="19"/>
    </row>
    <row r="40" spans="1:10" x14ac:dyDescent="0.25">
      <c r="A40" s="25"/>
      <c r="B40" s="26"/>
      <c r="C40" s="26"/>
      <c r="D40" s="29" t="str">
        <f t="shared" si="3"/>
        <v/>
      </c>
      <c r="E40" s="27" t="b">
        <f t="shared" si="1"/>
        <v>0</v>
      </c>
      <c r="F40" s="28" t="str">
        <f t="shared" si="2"/>
        <v/>
      </c>
      <c r="I40" s="20"/>
      <c r="J40" s="19"/>
    </row>
    <row r="41" spans="1:10" x14ac:dyDescent="0.25">
      <c r="A41" s="25"/>
      <c r="B41" s="26"/>
      <c r="C41" s="26"/>
      <c r="D41" s="29" t="str">
        <f t="shared" si="3"/>
        <v/>
      </c>
      <c r="E41" s="27" t="b">
        <f t="shared" si="1"/>
        <v>0</v>
      </c>
      <c r="F41" s="28" t="str">
        <f t="shared" si="2"/>
        <v/>
      </c>
      <c r="I41" s="20"/>
      <c r="J41" s="19"/>
    </row>
    <row r="42" spans="1:10" x14ac:dyDescent="0.25">
      <c r="A42" s="25"/>
      <c r="B42" s="26"/>
      <c r="C42" s="26"/>
      <c r="D42" s="29" t="str">
        <f t="shared" si="3"/>
        <v/>
      </c>
      <c r="E42" s="27" t="b">
        <f t="shared" si="1"/>
        <v>0</v>
      </c>
      <c r="F42" s="28" t="str">
        <f t="shared" si="2"/>
        <v/>
      </c>
      <c r="I42" s="20"/>
      <c r="J42" s="19"/>
    </row>
    <row r="43" spans="1:10" x14ac:dyDescent="0.25">
      <c r="A43" s="25"/>
      <c r="B43" s="26"/>
      <c r="C43" s="26"/>
      <c r="D43" s="29" t="str">
        <f t="shared" si="3"/>
        <v/>
      </c>
      <c r="E43" s="27" t="b">
        <f t="shared" si="1"/>
        <v>0</v>
      </c>
      <c r="F43" s="28" t="str">
        <f t="shared" si="2"/>
        <v/>
      </c>
      <c r="I43" s="20"/>
      <c r="J43" s="19"/>
    </row>
    <row r="44" spans="1:10" x14ac:dyDescent="0.25">
      <c r="A44" s="25"/>
      <c r="B44" s="26"/>
      <c r="C44" s="26"/>
      <c r="D44" s="29" t="str">
        <f t="shared" si="3"/>
        <v/>
      </c>
      <c r="E44" s="27" t="b">
        <f t="shared" si="1"/>
        <v>0</v>
      </c>
      <c r="F44" s="28" t="str">
        <f t="shared" si="2"/>
        <v/>
      </c>
      <c r="I44" s="20"/>
      <c r="J44" s="19"/>
    </row>
    <row r="45" spans="1:10" x14ac:dyDescent="0.25">
      <c r="A45" s="25"/>
      <c r="B45" s="26"/>
      <c r="C45" s="26"/>
      <c r="D45" s="29" t="str">
        <f t="shared" si="3"/>
        <v/>
      </c>
      <c r="E45" s="27" t="b">
        <f t="shared" si="1"/>
        <v>0</v>
      </c>
      <c r="F45" s="28" t="str">
        <f t="shared" si="2"/>
        <v/>
      </c>
      <c r="I45" s="20"/>
      <c r="J45" s="19"/>
    </row>
    <row r="46" spans="1:10" x14ac:dyDescent="0.25">
      <c r="A46" s="25"/>
      <c r="B46" s="26"/>
      <c r="C46" s="26"/>
      <c r="D46" s="29" t="str">
        <f t="shared" si="3"/>
        <v/>
      </c>
      <c r="E46" s="27" t="b">
        <f t="shared" si="1"/>
        <v>0</v>
      </c>
      <c r="F46" s="28" t="str">
        <f t="shared" si="2"/>
        <v/>
      </c>
      <c r="I46" s="20"/>
      <c r="J46" s="19"/>
    </row>
    <row r="47" spans="1:10" x14ac:dyDescent="0.25">
      <c r="A47" s="25"/>
      <c r="B47" s="26"/>
      <c r="C47" s="26"/>
      <c r="D47" s="29" t="str">
        <f t="shared" si="3"/>
        <v/>
      </c>
      <c r="E47" s="27" t="b">
        <f t="shared" si="1"/>
        <v>0</v>
      </c>
      <c r="F47" s="28" t="str">
        <f t="shared" si="2"/>
        <v/>
      </c>
      <c r="I47" s="20"/>
      <c r="J47" s="19"/>
    </row>
    <row r="48" spans="1:10" x14ac:dyDescent="0.25">
      <c r="A48" s="25"/>
      <c r="B48" s="26"/>
      <c r="C48" s="26"/>
      <c r="D48" s="29" t="str">
        <f t="shared" si="3"/>
        <v/>
      </c>
      <c r="E48" s="27" t="b">
        <f t="shared" si="1"/>
        <v>0</v>
      </c>
      <c r="F48" s="28" t="str">
        <f t="shared" si="2"/>
        <v/>
      </c>
      <c r="I48" s="20"/>
      <c r="J48" s="19"/>
    </row>
    <row r="49" spans="1:10" x14ac:dyDescent="0.25">
      <c r="A49" s="25"/>
      <c r="B49" s="26"/>
      <c r="C49" s="26"/>
      <c r="D49" s="29" t="str">
        <f t="shared" si="3"/>
        <v/>
      </c>
      <c r="E49" s="27" t="b">
        <f t="shared" si="1"/>
        <v>0</v>
      </c>
      <c r="F49" s="28" t="str">
        <f t="shared" si="2"/>
        <v/>
      </c>
      <c r="I49" s="20"/>
      <c r="J49" s="19"/>
    </row>
    <row r="50" spans="1:10" x14ac:dyDescent="0.25">
      <c r="A50" s="25"/>
      <c r="B50" s="26"/>
      <c r="C50" s="26"/>
      <c r="D50" s="29" t="str">
        <f t="shared" si="3"/>
        <v/>
      </c>
      <c r="E50" s="27" t="b">
        <f t="shared" si="1"/>
        <v>0</v>
      </c>
      <c r="F50" s="28" t="str">
        <f t="shared" si="2"/>
        <v/>
      </c>
      <c r="I50" s="20"/>
      <c r="J50" s="19"/>
    </row>
    <row r="51" spans="1:10" x14ac:dyDescent="0.25">
      <c r="A51" s="25"/>
      <c r="B51" s="26"/>
      <c r="C51" s="26"/>
      <c r="D51" s="29" t="str">
        <f t="shared" si="3"/>
        <v/>
      </c>
      <c r="E51" s="27" t="b">
        <f t="shared" si="1"/>
        <v>0</v>
      </c>
      <c r="F51" s="28" t="str">
        <f t="shared" si="2"/>
        <v/>
      </c>
      <c r="I51" s="20"/>
      <c r="J51" s="19"/>
    </row>
    <row r="52" spans="1:10" x14ac:dyDescent="0.25">
      <c r="A52" s="25"/>
      <c r="B52" s="26"/>
      <c r="C52" s="26"/>
      <c r="D52" s="29" t="str">
        <f t="shared" si="3"/>
        <v/>
      </c>
      <c r="E52" s="27" t="b">
        <f t="shared" si="1"/>
        <v>0</v>
      </c>
      <c r="F52" s="28" t="str">
        <f t="shared" si="2"/>
        <v/>
      </c>
      <c r="I52" s="20"/>
      <c r="J52" s="19"/>
    </row>
    <row r="53" spans="1:10" x14ac:dyDescent="0.25">
      <c r="A53" s="25"/>
      <c r="B53" s="26"/>
      <c r="C53" s="26"/>
      <c r="D53" s="29" t="str">
        <f t="shared" si="3"/>
        <v/>
      </c>
      <c r="E53" s="27" t="b">
        <f t="shared" si="1"/>
        <v>0</v>
      </c>
      <c r="F53" s="28" t="str">
        <f t="shared" si="2"/>
        <v/>
      </c>
      <c r="I53" s="20"/>
      <c r="J53" s="19"/>
    </row>
    <row r="54" spans="1:10" x14ac:dyDescent="0.25">
      <c r="A54" s="25"/>
      <c r="B54" s="26"/>
      <c r="C54" s="26"/>
      <c r="D54" s="29" t="str">
        <f t="shared" si="3"/>
        <v/>
      </c>
      <c r="E54" s="27" t="b">
        <f t="shared" si="1"/>
        <v>0</v>
      </c>
      <c r="F54" s="28" t="str">
        <f t="shared" si="2"/>
        <v/>
      </c>
      <c r="I54" s="20"/>
      <c r="J54" s="19"/>
    </row>
    <row r="55" spans="1:10" x14ac:dyDescent="0.25">
      <c r="A55" s="25"/>
      <c r="B55" s="26"/>
      <c r="C55" s="26"/>
      <c r="D55" s="29" t="str">
        <f t="shared" si="3"/>
        <v/>
      </c>
      <c r="E55" s="27" t="b">
        <f t="shared" si="1"/>
        <v>0</v>
      </c>
      <c r="F55" s="28" t="str">
        <f t="shared" si="2"/>
        <v/>
      </c>
      <c r="I55" s="20"/>
      <c r="J55" s="19"/>
    </row>
    <row r="56" spans="1:10" x14ac:dyDescent="0.25">
      <c r="A56" s="25"/>
      <c r="B56" s="26"/>
      <c r="C56" s="26"/>
      <c r="D56" s="29" t="str">
        <f t="shared" si="3"/>
        <v/>
      </c>
      <c r="E56" s="27" t="b">
        <f t="shared" si="1"/>
        <v>0</v>
      </c>
      <c r="F56" s="28" t="str">
        <f t="shared" si="2"/>
        <v/>
      </c>
      <c r="I56" s="20"/>
      <c r="J56" s="19"/>
    </row>
    <row r="57" spans="1:10" x14ac:dyDescent="0.25">
      <c r="A57" s="25"/>
      <c r="B57" s="26"/>
      <c r="C57" s="26"/>
      <c r="D57" s="29" t="str">
        <f t="shared" si="3"/>
        <v/>
      </c>
      <c r="E57" s="27" t="b">
        <f t="shared" si="1"/>
        <v>0</v>
      </c>
      <c r="F57" s="28" t="str">
        <f t="shared" si="2"/>
        <v/>
      </c>
      <c r="I57" s="20"/>
      <c r="J57" s="19"/>
    </row>
    <row r="58" spans="1:10" x14ac:dyDescent="0.25">
      <c r="A58" s="25"/>
      <c r="B58" s="26"/>
      <c r="C58" s="26"/>
      <c r="D58" s="29" t="str">
        <f t="shared" si="3"/>
        <v/>
      </c>
      <c r="E58" s="27" t="b">
        <f t="shared" si="1"/>
        <v>0</v>
      </c>
      <c r="F58" s="28" t="str">
        <f t="shared" si="2"/>
        <v/>
      </c>
      <c r="I58" s="20"/>
      <c r="J58" s="19"/>
    </row>
    <row r="59" spans="1:10" x14ac:dyDescent="0.25">
      <c r="A59" s="25"/>
      <c r="B59" s="26"/>
      <c r="C59" s="26"/>
      <c r="D59" s="29" t="str">
        <f t="shared" si="3"/>
        <v/>
      </c>
      <c r="E59" s="27" t="b">
        <f t="shared" si="1"/>
        <v>0</v>
      </c>
      <c r="F59" s="28" t="str">
        <f t="shared" si="2"/>
        <v/>
      </c>
      <c r="I59" s="20"/>
      <c r="J59" s="19"/>
    </row>
    <row r="60" spans="1:10" x14ac:dyDescent="0.25">
      <c r="A60" s="25"/>
      <c r="B60" s="26"/>
      <c r="C60" s="26"/>
      <c r="D60" s="29" t="str">
        <f t="shared" si="3"/>
        <v/>
      </c>
      <c r="E60" s="27" t="b">
        <f t="shared" si="1"/>
        <v>0</v>
      </c>
      <c r="F60" s="28" t="str">
        <f t="shared" si="2"/>
        <v/>
      </c>
      <c r="I60" s="20"/>
      <c r="J60" s="19"/>
    </row>
    <row r="61" spans="1:10" x14ac:dyDescent="0.25">
      <c r="A61" s="25"/>
      <c r="B61" s="26"/>
      <c r="C61" s="26"/>
      <c r="D61" s="29" t="str">
        <f t="shared" si="3"/>
        <v/>
      </c>
      <c r="E61" s="27" t="b">
        <f t="shared" si="1"/>
        <v>0</v>
      </c>
      <c r="F61" s="28" t="str">
        <f t="shared" si="2"/>
        <v/>
      </c>
      <c r="I61" s="20"/>
      <c r="J61" s="19"/>
    </row>
    <row r="62" spans="1:10" x14ac:dyDescent="0.25">
      <c r="A62" s="25"/>
      <c r="B62" s="26"/>
      <c r="C62" s="26"/>
      <c r="D62" s="29" t="str">
        <f t="shared" si="3"/>
        <v/>
      </c>
      <c r="E62" s="27" t="b">
        <f t="shared" si="1"/>
        <v>0</v>
      </c>
      <c r="F62" s="28" t="str">
        <f t="shared" si="2"/>
        <v/>
      </c>
      <c r="I62" s="20"/>
      <c r="J62" s="19"/>
    </row>
    <row r="63" spans="1:10" x14ac:dyDescent="0.25">
      <c r="A63" s="25"/>
      <c r="B63" s="26"/>
      <c r="C63" s="26"/>
      <c r="D63" s="29" t="str">
        <f t="shared" si="3"/>
        <v/>
      </c>
      <c r="E63" s="27" t="b">
        <f t="shared" si="1"/>
        <v>0</v>
      </c>
      <c r="F63" s="28" t="str">
        <f t="shared" si="2"/>
        <v/>
      </c>
      <c r="I63" s="20"/>
      <c r="J63" s="19"/>
    </row>
    <row r="64" spans="1:10" x14ac:dyDescent="0.25">
      <c r="A64" s="25"/>
      <c r="B64" s="26"/>
      <c r="C64" s="26"/>
      <c r="D64" s="29" t="str">
        <f t="shared" si="3"/>
        <v/>
      </c>
      <c r="E64" s="27" t="b">
        <f t="shared" si="1"/>
        <v>0</v>
      </c>
      <c r="F64" s="28" t="str">
        <f t="shared" si="2"/>
        <v/>
      </c>
      <c r="I64" s="20"/>
      <c r="J64" s="19"/>
    </row>
    <row r="65" spans="1:10" x14ac:dyDescent="0.25">
      <c r="A65" s="25"/>
      <c r="B65" s="26"/>
      <c r="C65" s="26"/>
      <c r="D65" s="29" t="str">
        <f t="shared" si="3"/>
        <v/>
      </c>
      <c r="E65" s="27" t="b">
        <f t="shared" si="1"/>
        <v>0</v>
      </c>
      <c r="F65" s="28" t="str">
        <f t="shared" si="2"/>
        <v/>
      </c>
      <c r="I65" s="20"/>
      <c r="J65" s="19"/>
    </row>
    <row r="66" spans="1:10" x14ac:dyDescent="0.25">
      <c r="A66" s="25"/>
      <c r="B66" s="26"/>
      <c r="C66" s="26"/>
      <c r="D66" s="29" t="str">
        <f t="shared" si="3"/>
        <v/>
      </c>
      <c r="E66" s="27" t="b">
        <f t="shared" si="1"/>
        <v>0</v>
      </c>
      <c r="F66" s="28" t="str">
        <f t="shared" si="2"/>
        <v/>
      </c>
      <c r="I66" s="20"/>
      <c r="J66" s="19"/>
    </row>
    <row r="67" spans="1:10" x14ac:dyDescent="0.25">
      <c r="A67" s="25"/>
      <c r="B67" s="26"/>
      <c r="C67" s="26"/>
      <c r="D67" s="29" t="str">
        <f t="shared" si="3"/>
        <v/>
      </c>
      <c r="E67" s="27" t="b">
        <f t="shared" si="1"/>
        <v>0</v>
      </c>
      <c r="F67" s="28" t="str">
        <f t="shared" si="2"/>
        <v/>
      </c>
      <c r="I67" s="20"/>
      <c r="J67" s="19"/>
    </row>
    <row r="68" spans="1:10" x14ac:dyDescent="0.25">
      <c r="A68" s="25"/>
      <c r="B68" s="26"/>
      <c r="C68" s="26"/>
      <c r="D68" s="29" t="str">
        <f t="shared" si="3"/>
        <v/>
      </c>
      <c r="E68" s="27" t="b">
        <f t="shared" ref="E68:E131" si="4">IF(C68&lt;&gt;"",IF(C68&lt;$I$6,$J$6,IF(AND(C68&gt;=$H$7,C68&lt;$I$7),$J$7,IF(AND(C68&gt;=$H$8,C68&lt;$I$8),$J$8,IF(AND(C68&gt;=$H$9,C68&lt;$I$9),$J$9,IF(AND(C68&gt;=$H$10,C68&lt;$I$10),$J$10,IF(AND(C68&gt;=$H$11,C68&lt;$I$11),$J$11,IF(AND(C68&gt;=$H$12,C68&lt;$I$12),$J$12,IF(AND(C68&gt;=$H$13,C68&lt;$I$13),$J$13,IF(C68&gt;=$H$14,$J$14,""))))))))))</f>
        <v>0</v>
      </c>
      <c r="F68" s="28" t="str">
        <f t="shared" si="2"/>
        <v/>
      </c>
      <c r="I68" s="20"/>
      <c r="J68" s="19"/>
    </row>
    <row r="69" spans="1:10" x14ac:dyDescent="0.25">
      <c r="A69" s="25"/>
      <c r="B69" s="26"/>
      <c r="C69" s="26"/>
      <c r="D69" s="29" t="str">
        <f t="shared" si="3"/>
        <v/>
      </c>
      <c r="E69" s="27" t="b">
        <f t="shared" si="4"/>
        <v>0</v>
      </c>
      <c r="F69" s="28" t="str">
        <f t="shared" ref="F69:F132" si="5">IF(AND(C69&lt;&gt;"",B69&lt;&gt;""),C69*D69+C69*E69,"")</f>
        <v/>
      </c>
      <c r="I69" s="20"/>
      <c r="J69" s="19"/>
    </row>
    <row r="70" spans="1:10" x14ac:dyDescent="0.25">
      <c r="A70" s="25"/>
      <c r="B70" s="26"/>
      <c r="C70" s="26"/>
      <c r="D70" s="29" t="str">
        <f t="shared" si="3"/>
        <v/>
      </c>
      <c r="E70" s="27" t="b">
        <f t="shared" si="4"/>
        <v>0</v>
      </c>
      <c r="F70" s="28" t="str">
        <f t="shared" si="5"/>
        <v/>
      </c>
      <c r="I70" s="20"/>
      <c r="J70" s="19"/>
    </row>
    <row r="71" spans="1:10" x14ac:dyDescent="0.25">
      <c r="A71" s="25"/>
      <c r="B71" s="26"/>
      <c r="C71" s="26"/>
      <c r="D71" s="29" t="str">
        <f t="shared" si="3"/>
        <v/>
      </c>
      <c r="E71" s="27" t="b">
        <f t="shared" si="4"/>
        <v>0</v>
      </c>
      <c r="F71" s="28" t="str">
        <f t="shared" si="5"/>
        <v/>
      </c>
      <c r="I71" s="20"/>
      <c r="J71" s="19"/>
    </row>
    <row r="72" spans="1:10" x14ac:dyDescent="0.25">
      <c r="A72" s="25"/>
      <c r="B72" s="26"/>
      <c r="C72" s="26"/>
      <c r="D72" s="29" t="str">
        <f t="shared" si="3"/>
        <v/>
      </c>
      <c r="E72" s="27" t="b">
        <f t="shared" si="4"/>
        <v>0</v>
      </c>
      <c r="F72" s="28" t="str">
        <f t="shared" si="5"/>
        <v/>
      </c>
      <c r="I72" s="20"/>
      <c r="J72" s="19"/>
    </row>
    <row r="73" spans="1:10" x14ac:dyDescent="0.25">
      <c r="A73" s="25"/>
      <c r="B73" s="26"/>
      <c r="C73" s="26"/>
      <c r="D73" s="29" t="str">
        <f t="shared" si="3"/>
        <v/>
      </c>
      <c r="E73" s="27" t="b">
        <f t="shared" si="4"/>
        <v>0</v>
      </c>
      <c r="F73" s="28" t="str">
        <f t="shared" si="5"/>
        <v/>
      </c>
      <c r="I73" s="20"/>
      <c r="J73" s="19"/>
    </row>
    <row r="74" spans="1:10" x14ac:dyDescent="0.25">
      <c r="A74" s="25"/>
      <c r="B74" s="26"/>
      <c r="C74" s="26"/>
      <c r="D74" s="29" t="str">
        <f t="shared" si="3"/>
        <v/>
      </c>
      <c r="E74" s="27" t="b">
        <f t="shared" si="4"/>
        <v>0</v>
      </c>
      <c r="F74" s="28" t="str">
        <f t="shared" si="5"/>
        <v/>
      </c>
      <c r="I74" s="20"/>
      <c r="J74" s="19"/>
    </row>
    <row r="75" spans="1:10" x14ac:dyDescent="0.25">
      <c r="A75" s="25"/>
      <c r="B75" s="26"/>
      <c r="C75" s="26"/>
      <c r="D75" s="29" t="str">
        <f t="shared" si="3"/>
        <v/>
      </c>
      <c r="E75" s="27" t="b">
        <f t="shared" si="4"/>
        <v>0</v>
      </c>
      <c r="F75" s="28" t="str">
        <f t="shared" si="5"/>
        <v/>
      </c>
      <c r="I75" s="20"/>
      <c r="J75" s="19"/>
    </row>
    <row r="76" spans="1:10" x14ac:dyDescent="0.25">
      <c r="A76" s="25"/>
      <c r="B76" s="26"/>
      <c r="C76" s="26"/>
      <c r="D76" s="29" t="str">
        <f t="shared" si="3"/>
        <v/>
      </c>
      <c r="E76" s="27" t="b">
        <f t="shared" si="4"/>
        <v>0</v>
      </c>
      <c r="F76" s="28" t="str">
        <f t="shared" si="5"/>
        <v/>
      </c>
      <c r="I76" s="20"/>
      <c r="J76" s="19"/>
    </row>
    <row r="77" spans="1:10" x14ac:dyDescent="0.25">
      <c r="A77" s="25"/>
      <c r="B77" s="26"/>
      <c r="C77" s="26"/>
      <c r="D77" s="29" t="str">
        <f t="shared" si="3"/>
        <v/>
      </c>
      <c r="E77" s="27" t="b">
        <f t="shared" si="4"/>
        <v>0</v>
      </c>
      <c r="F77" s="28" t="str">
        <f t="shared" si="5"/>
        <v/>
      </c>
      <c r="I77" s="20"/>
      <c r="J77" s="19"/>
    </row>
    <row r="78" spans="1:10" x14ac:dyDescent="0.25">
      <c r="A78" s="25"/>
      <c r="B78" s="26"/>
      <c r="C78" s="26"/>
      <c r="D78" s="29" t="str">
        <f t="shared" si="3"/>
        <v/>
      </c>
      <c r="E78" s="27" t="b">
        <f t="shared" si="4"/>
        <v>0</v>
      </c>
      <c r="F78" s="28" t="str">
        <f t="shared" si="5"/>
        <v/>
      </c>
      <c r="I78" s="20"/>
      <c r="J78" s="19"/>
    </row>
    <row r="79" spans="1:10" x14ac:dyDescent="0.25">
      <c r="A79" s="25"/>
      <c r="B79" s="26"/>
      <c r="C79" s="26"/>
      <c r="D79" s="29" t="str">
        <f t="shared" si="3"/>
        <v/>
      </c>
      <c r="E79" s="27" t="b">
        <f t="shared" si="4"/>
        <v>0</v>
      </c>
      <c r="F79" s="28" t="str">
        <f t="shared" si="5"/>
        <v/>
      </c>
      <c r="I79" s="20"/>
      <c r="J79" s="19"/>
    </row>
    <row r="80" spans="1:10" x14ac:dyDescent="0.25">
      <c r="A80" s="25"/>
      <c r="B80" s="26"/>
      <c r="C80" s="26"/>
      <c r="D80" s="29" t="str">
        <f t="shared" si="3"/>
        <v/>
      </c>
      <c r="E80" s="27" t="b">
        <f t="shared" si="4"/>
        <v>0</v>
      </c>
      <c r="F80" s="28" t="str">
        <f t="shared" si="5"/>
        <v/>
      </c>
      <c r="I80" s="20"/>
      <c r="J80" s="19"/>
    </row>
    <row r="81" spans="1:10" x14ac:dyDescent="0.25">
      <c r="A81" s="25"/>
      <c r="B81" s="26"/>
      <c r="C81" s="26"/>
      <c r="D81" s="29" t="str">
        <f t="shared" si="3"/>
        <v/>
      </c>
      <c r="E81" s="27" t="b">
        <f t="shared" si="4"/>
        <v>0</v>
      </c>
      <c r="F81" s="28" t="str">
        <f t="shared" si="5"/>
        <v/>
      </c>
      <c r="I81" s="20"/>
      <c r="J81" s="19"/>
    </row>
    <row r="82" spans="1:10" x14ac:dyDescent="0.25">
      <c r="A82" s="25"/>
      <c r="B82" s="26"/>
      <c r="C82" s="26"/>
      <c r="D82" s="29" t="str">
        <f t="shared" si="3"/>
        <v/>
      </c>
      <c r="E82" s="27" t="b">
        <f t="shared" si="4"/>
        <v>0</v>
      </c>
      <c r="F82" s="28" t="str">
        <f t="shared" si="5"/>
        <v/>
      </c>
      <c r="I82" s="20"/>
      <c r="J82" s="19"/>
    </row>
    <row r="83" spans="1:10" x14ac:dyDescent="0.25">
      <c r="A83" s="25"/>
      <c r="B83" s="26"/>
      <c r="C83" s="26"/>
      <c r="D83" s="29" t="str">
        <f t="shared" si="3"/>
        <v/>
      </c>
      <c r="E83" s="27" t="b">
        <f t="shared" si="4"/>
        <v>0</v>
      </c>
      <c r="F83" s="28" t="str">
        <f t="shared" si="5"/>
        <v/>
      </c>
      <c r="I83" s="20"/>
      <c r="J83" s="19"/>
    </row>
    <row r="84" spans="1:10" x14ac:dyDescent="0.25">
      <c r="A84" s="25"/>
      <c r="B84" s="26"/>
      <c r="C84" s="26"/>
      <c r="D84" s="29" t="str">
        <f t="shared" si="3"/>
        <v/>
      </c>
      <c r="E84" s="27" t="b">
        <f t="shared" si="4"/>
        <v>0</v>
      </c>
      <c r="F84" s="28" t="str">
        <f t="shared" si="5"/>
        <v/>
      </c>
      <c r="I84" s="20"/>
      <c r="J84" s="19"/>
    </row>
    <row r="85" spans="1:10" x14ac:dyDescent="0.25">
      <c r="A85" s="25"/>
      <c r="B85" s="26"/>
      <c r="C85" s="26"/>
      <c r="D85" s="29" t="str">
        <f t="shared" si="3"/>
        <v/>
      </c>
      <c r="E85" s="27" t="b">
        <f t="shared" si="4"/>
        <v>0</v>
      </c>
      <c r="F85" s="28" t="str">
        <f t="shared" si="5"/>
        <v/>
      </c>
      <c r="I85" s="20"/>
      <c r="J85" s="19"/>
    </row>
    <row r="86" spans="1:10" x14ac:dyDescent="0.25">
      <c r="A86" s="25"/>
      <c r="B86" s="26"/>
      <c r="C86" s="26"/>
      <c r="D86" s="29" t="str">
        <f t="shared" si="3"/>
        <v/>
      </c>
      <c r="E86" s="27" t="b">
        <f t="shared" si="4"/>
        <v>0</v>
      </c>
      <c r="F86" s="28" t="str">
        <f t="shared" si="5"/>
        <v/>
      </c>
      <c r="I86" s="20"/>
      <c r="J86" s="19"/>
    </row>
    <row r="87" spans="1:10" x14ac:dyDescent="0.25">
      <c r="A87" s="25"/>
      <c r="B87" s="26"/>
      <c r="C87" s="26"/>
      <c r="D87" s="29" t="str">
        <f t="shared" si="3"/>
        <v/>
      </c>
      <c r="E87" s="27" t="b">
        <f t="shared" si="4"/>
        <v>0</v>
      </c>
      <c r="F87" s="28" t="str">
        <f t="shared" si="5"/>
        <v/>
      </c>
      <c r="I87" s="20"/>
      <c r="J87" s="19"/>
    </row>
    <row r="88" spans="1:10" x14ac:dyDescent="0.25">
      <c r="A88" s="25"/>
      <c r="B88" s="26"/>
      <c r="C88" s="26"/>
      <c r="D88" s="29" t="str">
        <f t="shared" si="3"/>
        <v/>
      </c>
      <c r="E88" s="27" t="b">
        <f t="shared" si="4"/>
        <v>0</v>
      </c>
      <c r="F88" s="28" t="str">
        <f t="shared" si="5"/>
        <v/>
      </c>
      <c r="I88" s="20"/>
      <c r="J88" s="19"/>
    </row>
    <row r="89" spans="1:10" x14ac:dyDescent="0.25">
      <c r="A89" s="25"/>
      <c r="B89" s="26"/>
      <c r="C89" s="26"/>
      <c r="D89" s="29" t="str">
        <f t="shared" si="3"/>
        <v/>
      </c>
      <c r="E89" s="27" t="b">
        <f t="shared" si="4"/>
        <v>0</v>
      </c>
      <c r="F89" s="28" t="str">
        <f t="shared" si="5"/>
        <v/>
      </c>
      <c r="I89" s="20"/>
      <c r="J89" s="19"/>
    </row>
    <row r="90" spans="1:10" x14ac:dyDescent="0.25">
      <c r="A90" s="25"/>
      <c r="B90" s="26"/>
      <c r="C90" s="26"/>
      <c r="D90" s="29" t="str">
        <f t="shared" si="3"/>
        <v/>
      </c>
      <c r="E90" s="27" t="b">
        <f t="shared" si="4"/>
        <v>0</v>
      </c>
      <c r="F90" s="28" t="str">
        <f t="shared" si="5"/>
        <v/>
      </c>
      <c r="I90" s="20"/>
      <c r="J90" s="19"/>
    </row>
    <row r="91" spans="1:10" x14ac:dyDescent="0.25">
      <c r="A91" s="25"/>
      <c r="B91" s="26"/>
      <c r="C91" s="26"/>
      <c r="D91" s="29" t="str">
        <f t="shared" si="3"/>
        <v/>
      </c>
      <c r="E91" s="27" t="b">
        <f t="shared" si="4"/>
        <v>0</v>
      </c>
      <c r="F91" s="28" t="str">
        <f t="shared" si="5"/>
        <v/>
      </c>
      <c r="I91" s="20"/>
      <c r="J91" s="19"/>
    </row>
    <row r="92" spans="1:10" x14ac:dyDescent="0.25">
      <c r="A92" s="25"/>
      <c r="B92" s="26"/>
      <c r="C92" s="26"/>
      <c r="D92" s="29" t="str">
        <f t="shared" si="3"/>
        <v/>
      </c>
      <c r="E92" s="27" t="b">
        <f t="shared" si="4"/>
        <v>0</v>
      </c>
      <c r="F92" s="28" t="str">
        <f t="shared" si="5"/>
        <v/>
      </c>
      <c r="I92" s="20"/>
      <c r="J92" s="19"/>
    </row>
    <row r="93" spans="1:10" x14ac:dyDescent="0.25">
      <c r="A93" s="25"/>
      <c r="B93" s="26"/>
      <c r="C93" s="26"/>
      <c r="D93" s="29" t="str">
        <f t="shared" si="3"/>
        <v/>
      </c>
      <c r="E93" s="27" t="b">
        <f t="shared" si="4"/>
        <v>0</v>
      </c>
      <c r="F93" s="28" t="str">
        <f t="shared" si="5"/>
        <v/>
      </c>
      <c r="I93" s="20"/>
      <c r="J93" s="19"/>
    </row>
    <row r="94" spans="1:10" x14ac:dyDescent="0.25">
      <c r="A94" s="25"/>
      <c r="B94" s="26"/>
      <c r="C94" s="26"/>
      <c r="D94" s="29" t="str">
        <f t="shared" si="3"/>
        <v/>
      </c>
      <c r="E94" s="27" t="b">
        <f t="shared" si="4"/>
        <v>0</v>
      </c>
      <c r="F94" s="28" t="str">
        <f t="shared" si="5"/>
        <v/>
      </c>
      <c r="I94" s="20"/>
      <c r="J94" s="19"/>
    </row>
    <row r="95" spans="1:10" x14ac:dyDescent="0.25">
      <c r="A95" s="25"/>
      <c r="B95" s="26"/>
      <c r="C95" s="26"/>
      <c r="D95" s="29" t="str">
        <f t="shared" si="3"/>
        <v/>
      </c>
      <c r="E95" s="27" t="b">
        <f t="shared" si="4"/>
        <v>0</v>
      </c>
      <c r="F95" s="28" t="str">
        <f t="shared" si="5"/>
        <v/>
      </c>
      <c r="I95" s="20"/>
      <c r="J95" s="19"/>
    </row>
    <row r="96" spans="1:10" x14ac:dyDescent="0.25">
      <c r="A96" s="25"/>
      <c r="B96" s="26"/>
      <c r="C96" s="26"/>
      <c r="D96" s="29" t="str">
        <f t="shared" si="3"/>
        <v/>
      </c>
      <c r="E96" s="27" t="b">
        <f t="shared" si="4"/>
        <v>0</v>
      </c>
      <c r="F96" s="28" t="str">
        <f t="shared" si="5"/>
        <v/>
      </c>
      <c r="I96" s="20"/>
      <c r="J96" s="19"/>
    </row>
    <row r="97" spans="1:10" x14ac:dyDescent="0.25">
      <c r="A97" s="25"/>
      <c r="B97" s="26"/>
      <c r="C97" s="26"/>
      <c r="D97" s="29" t="str">
        <f t="shared" si="3"/>
        <v/>
      </c>
      <c r="E97" s="27" t="b">
        <f t="shared" si="4"/>
        <v>0</v>
      </c>
      <c r="F97" s="28" t="str">
        <f t="shared" si="5"/>
        <v/>
      </c>
      <c r="I97" s="20"/>
      <c r="J97" s="19"/>
    </row>
    <row r="98" spans="1:10" x14ac:dyDescent="0.25">
      <c r="A98" s="25"/>
      <c r="B98" s="26"/>
      <c r="C98" s="26"/>
      <c r="D98" s="29" t="str">
        <f t="shared" si="3"/>
        <v/>
      </c>
      <c r="E98" s="27" t="b">
        <f t="shared" si="4"/>
        <v>0</v>
      </c>
      <c r="F98" s="28" t="str">
        <f t="shared" si="5"/>
        <v/>
      </c>
      <c r="I98" s="20"/>
      <c r="J98" s="19"/>
    </row>
    <row r="99" spans="1:10" x14ac:dyDescent="0.25">
      <c r="A99" s="25"/>
      <c r="B99" s="26"/>
      <c r="C99" s="26"/>
      <c r="D99" s="29" t="str">
        <f t="shared" si="3"/>
        <v/>
      </c>
      <c r="E99" s="27" t="b">
        <f t="shared" si="4"/>
        <v>0</v>
      </c>
      <c r="F99" s="28" t="str">
        <f t="shared" si="5"/>
        <v/>
      </c>
      <c r="I99" s="20"/>
      <c r="J99" s="19"/>
    </row>
    <row r="100" spans="1:10" x14ac:dyDescent="0.25">
      <c r="A100" s="25"/>
      <c r="B100" s="26"/>
      <c r="C100" s="26"/>
      <c r="D100" s="29" t="str">
        <f t="shared" ref="D100:D163" si="6">IF(B100&lt;&gt;"",VLOOKUP(B100,$I:$J,2,FALSE),"")</f>
        <v/>
      </c>
      <c r="E100" s="27" t="b">
        <f t="shared" si="4"/>
        <v>0</v>
      </c>
      <c r="F100" s="28" t="str">
        <f t="shared" si="5"/>
        <v/>
      </c>
      <c r="I100" s="20"/>
      <c r="J100" s="19"/>
    </row>
    <row r="101" spans="1:10" x14ac:dyDescent="0.25">
      <c r="A101" s="25"/>
      <c r="B101" s="26"/>
      <c r="C101" s="26"/>
      <c r="D101" s="29" t="str">
        <f t="shared" si="6"/>
        <v/>
      </c>
      <c r="E101" s="27" t="b">
        <f t="shared" si="4"/>
        <v>0</v>
      </c>
      <c r="F101" s="28" t="str">
        <f t="shared" si="5"/>
        <v/>
      </c>
      <c r="I101" s="20"/>
      <c r="J101" s="19"/>
    </row>
    <row r="102" spans="1:10" x14ac:dyDescent="0.25">
      <c r="A102" s="25"/>
      <c r="B102" s="26"/>
      <c r="C102" s="26"/>
      <c r="D102" s="29" t="str">
        <f t="shared" si="6"/>
        <v/>
      </c>
      <c r="E102" s="27" t="b">
        <f t="shared" si="4"/>
        <v>0</v>
      </c>
      <c r="F102" s="28" t="str">
        <f t="shared" si="5"/>
        <v/>
      </c>
      <c r="I102" s="20"/>
      <c r="J102" s="19"/>
    </row>
    <row r="103" spans="1:10" x14ac:dyDescent="0.25">
      <c r="A103" s="25"/>
      <c r="B103" s="26"/>
      <c r="C103" s="26"/>
      <c r="D103" s="29" t="str">
        <f t="shared" si="6"/>
        <v/>
      </c>
      <c r="E103" s="27" t="b">
        <f t="shared" si="4"/>
        <v>0</v>
      </c>
      <c r="F103" s="28" t="str">
        <f t="shared" si="5"/>
        <v/>
      </c>
      <c r="I103" s="20"/>
      <c r="J103" s="19"/>
    </row>
    <row r="104" spans="1:10" x14ac:dyDescent="0.25">
      <c r="A104" s="25"/>
      <c r="B104" s="26"/>
      <c r="C104" s="26"/>
      <c r="D104" s="29" t="str">
        <f t="shared" si="6"/>
        <v/>
      </c>
      <c r="E104" s="27" t="b">
        <f t="shared" si="4"/>
        <v>0</v>
      </c>
      <c r="F104" s="28" t="str">
        <f t="shared" si="5"/>
        <v/>
      </c>
      <c r="I104" s="20"/>
      <c r="J104" s="19"/>
    </row>
    <row r="105" spans="1:10" x14ac:dyDescent="0.25">
      <c r="A105" s="25"/>
      <c r="B105" s="26"/>
      <c r="C105" s="26"/>
      <c r="D105" s="29" t="str">
        <f t="shared" si="6"/>
        <v/>
      </c>
      <c r="E105" s="27" t="b">
        <f t="shared" si="4"/>
        <v>0</v>
      </c>
      <c r="F105" s="28" t="str">
        <f t="shared" si="5"/>
        <v/>
      </c>
      <c r="I105" s="20"/>
      <c r="J105" s="19"/>
    </row>
    <row r="106" spans="1:10" x14ac:dyDescent="0.25">
      <c r="A106" s="25"/>
      <c r="B106" s="26"/>
      <c r="C106" s="26"/>
      <c r="D106" s="29" t="str">
        <f t="shared" si="6"/>
        <v/>
      </c>
      <c r="E106" s="27" t="b">
        <f t="shared" si="4"/>
        <v>0</v>
      </c>
      <c r="F106" s="28" t="str">
        <f t="shared" si="5"/>
        <v/>
      </c>
      <c r="I106" s="20"/>
      <c r="J106" s="19"/>
    </row>
    <row r="107" spans="1:10" x14ac:dyDescent="0.25">
      <c r="A107" s="25"/>
      <c r="B107" s="26"/>
      <c r="C107" s="26"/>
      <c r="D107" s="29" t="str">
        <f t="shared" si="6"/>
        <v/>
      </c>
      <c r="E107" s="27" t="b">
        <f t="shared" si="4"/>
        <v>0</v>
      </c>
      <c r="F107" s="28" t="str">
        <f t="shared" si="5"/>
        <v/>
      </c>
      <c r="I107" s="20"/>
      <c r="J107" s="19"/>
    </row>
    <row r="108" spans="1:10" x14ac:dyDescent="0.25">
      <c r="A108" s="25"/>
      <c r="B108" s="26"/>
      <c r="C108" s="26"/>
      <c r="D108" s="29" t="str">
        <f t="shared" si="6"/>
        <v/>
      </c>
      <c r="E108" s="27" t="b">
        <f t="shared" si="4"/>
        <v>0</v>
      </c>
      <c r="F108" s="28" t="str">
        <f t="shared" si="5"/>
        <v/>
      </c>
      <c r="I108" s="20"/>
      <c r="J108" s="19"/>
    </row>
    <row r="109" spans="1:10" x14ac:dyDescent="0.25">
      <c r="A109" s="25"/>
      <c r="B109" s="26"/>
      <c r="C109" s="26"/>
      <c r="D109" s="29" t="str">
        <f t="shared" si="6"/>
        <v/>
      </c>
      <c r="E109" s="27" t="b">
        <f t="shared" si="4"/>
        <v>0</v>
      </c>
      <c r="F109" s="28" t="str">
        <f t="shared" si="5"/>
        <v/>
      </c>
      <c r="I109" s="20"/>
      <c r="J109" s="19"/>
    </row>
    <row r="110" spans="1:10" x14ac:dyDescent="0.25">
      <c r="A110" s="25"/>
      <c r="B110" s="26"/>
      <c r="C110" s="26"/>
      <c r="D110" s="29" t="str">
        <f t="shared" si="6"/>
        <v/>
      </c>
      <c r="E110" s="27" t="b">
        <f t="shared" si="4"/>
        <v>0</v>
      </c>
      <c r="F110" s="28" t="str">
        <f t="shared" si="5"/>
        <v/>
      </c>
      <c r="I110" s="20"/>
      <c r="J110" s="19"/>
    </row>
    <row r="111" spans="1:10" x14ac:dyDescent="0.25">
      <c r="A111" s="25"/>
      <c r="B111" s="26"/>
      <c r="C111" s="26"/>
      <c r="D111" s="29" t="str">
        <f t="shared" si="6"/>
        <v/>
      </c>
      <c r="E111" s="27" t="b">
        <f t="shared" si="4"/>
        <v>0</v>
      </c>
      <c r="F111" s="28" t="str">
        <f t="shared" si="5"/>
        <v/>
      </c>
      <c r="I111" s="20"/>
      <c r="J111" s="19"/>
    </row>
    <row r="112" spans="1:10" x14ac:dyDescent="0.25">
      <c r="A112" s="25"/>
      <c r="B112" s="26"/>
      <c r="C112" s="26"/>
      <c r="D112" s="29" t="str">
        <f t="shared" si="6"/>
        <v/>
      </c>
      <c r="E112" s="27" t="b">
        <f t="shared" si="4"/>
        <v>0</v>
      </c>
      <c r="F112" s="28" t="str">
        <f t="shared" si="5"/>
        <v/>
      </c>
      <c r="I112" s="20"/>
      <c r="J112" s="19"/>
    </row>
    <row r="113" spans="1:10" x14ac:dyDescent="0.25">
      <c r="A113" s="25"/>
      <c r="B113" s="26"/>
      <c r="C113" s="26"/>
      <c r="D113" s="29" t="str">
        <f t="shared" si="6"/>
        <v/>
      </c>
      <c r="E113" s="27" t="b">
        <f t="shared" si="4"/>
        <v>0</v>
      </c>
      <c r="F113" s="28" t="str">
        <f t="shared" si="5"/>
        <v/>
      </c>
      <c r="I113" s="20"/>
      <c r="J113" s="19"/>
    </row>
    <row r="114" spans="1:10" x14ac:dyDescent="0.25">
      <c r="A114" s="25"/>
      <c r="B114" s="26"/>
      <c r="C114" s="26"/>
      <c r="D114" s="29" t="str">
        <f t="shared" si="6"/>
        <v/>
      </c>
      <c r="E114" s="27" t="b">
        <f t="shared" si="4"/>
        <v>0</v>
      </c>
      <c r="F114" s="28" t="str">
        <f t="shared" si="5"/>
        <v/>
      </c>
      <c r="I114" s="20"/>
      <c r="J114" s="19"/>
    </row>
    <row r="115" spans="1:10" x14ac:dyDescent="0.25">
      <c r="A115" s="25"/>
      <c r="B115" s="26"/>
      <c r="C115" s="26"/>
      <c r="D115" s="29" t="str">
        <f t="shared" si="6"/>
        <v/>
      </c>
      <c r="E115" s="27" t="b">
        <f t="shared" si="4"/>
        <v>0</v>
      </c>
      <c r="F115" s="28" t="str">
        <f t="shared" si="5"/>
        <v/>
      </c>
      <c r="I115" s="20"/>
      <c r="J115" s="19"/>
    </row>
    <row r="116" spans="1:10" x14ac:dyDescent="0.25">
      <c r="A116" s="25"/>
      <c r="B116" s="26"/>
      <c r="C116" s="26"/>
      <c r="D116" s="29" t="str">
        <f t="shared" si="6"/>
        <v/>
      </c>
      <c r="E116" s="27" t="b">
        <f t="shared" si="4"/>
        <v>0</v>
      </c>
      <c r="F116" s="28" t="str">
        <f t="shared" si="5"/>
        <v/>
      </c>
      <c r="I116" s="20"/>
      <c r="J116" s="19"/>
    </row>
    <row r="117" spans="1:10" x14ac:dyDescent="0.25">
      <c r="A117" s="25"/>
      <c r="B117" s="26"/>
      <c r="C117" s="26"/>
      <c r="D117" s="29" t="str">
        <f t="shared" si="6"/>
        <v/>
      </c>
      <c r="E117" s="27" t="b">
        <f t="shared" si="4"/>
        <v>0</v>
      </c>
      <c r="F117" s="28" t="str">
        <f t="shared" si="5"/>
        <v/>
      </c>
      <c r="I117" s="20"/>
      <c r="J117" s="19"/>
    </row>
    <row r="118" spans="1:10" x14ac:dyDescent="0.25">
      <c r="A118" s="25"/>
      <c r="B118" s="26"/>
      <c r="C118" s="26"/>
      <c r="D118" s="29" t="str">
        <f t="shared" si="6"/>
        <v/>
      </c>
      <c r="E118" s="27" t="b">
        <f t="shared" si="4"/>
        <v>0</v>
      </c>
      <c r="F118" s="28" t="str">
        <f t="shared" si="5"/>
        <v/>
      </c>
      <c r="I118" s="20"/>
      <c r="J118" s="19"/>
    </row>
    <row r="119" spans="1:10" x14ac:dyDescent="0.25">
      <c r="A119" s="25"/>
      <c r="B119" s="26"/>
      <c r="C119" s="26"/>
      <c r="D119" s="29" t="str">
        <f t="shared" si="6"/>
        <v/>
      </c>
      <c r="E119" s="27" t="b">
        <f t="shared" si="4"/>
        <v>0</v>
      </c>
      <c r="F119" s="28" t="str">
        <f t="shared" si="5"/>
        <v/>
      </c>
      <c r="I119" s="20"/>
      <c r="J119" s="19"/>
    </row>
    <row r="120" spans="1:10" x14ac:dyDescent="0.25">
      <c r="A120" s="25"/>
      <c r="B120" s="26"/>
      <c r="C120" s="26"/>
      <c r="D120" s="29" t="str">
        <f t="shared" si="6"/>
        <v/>
      </c>
      <c r="E120" s="27" t="b">
        <f t="shared" si="4"/>
        <v>0</v>
      </c>
      <c r="F120" s="28" t="str">
        <f t="shared" si="5"/>
        <v/>
      </c>
      <c r="I120" s="20"/>
      <c r="J120" s="19"/>
    </row>
    <row r="121" spans="1:10" x14ac:dyDescent="0.25">
      <c r="A121" s="25"/>
      <c r="B121" s="26"/>
      <c r="C121" s="26"/>
      <c r="D121" s="29" t="str">
        <f t="shared" si="6"/>
        <v/>
      </c>
      <c r="E121" s="27" t="b">
        <f t="shared" si="4"/>
        <v>0</v>
      </c>
      <c r="F121" s="28" t="str">
        <f t="shared" si="5"/>
        <v/>
      </c>
      <c r="I121" s="20"/>
      <c r="J121" s="19"/>
    </row>
    <row r="122" spans="1:10" x14ac:dyDescent="0.25">
      <c r="A122" s="25"/>
      <c r="B122" s="26"/>
      <c r="C122" s="26"/>
      <c r="D122" s="29" t="str">
        <f t="shared" si="6"/>
        <v/>
      </c>
      <c r="E122" s="27" t="b">
        <f t="shared" si="4"/>
        <v>0</v>
      </c>
      <c r="F122" s="28" t="str">
        <f t="shared" si="5"/>
        <v/>
      </c>
      <c r="I122" s="20"/>
      <c r="J122" s="19"/>
    </row>
    <row r="123" spans="1:10" x14ac:dyDescent="0.25">
      <c r="A123" s="25"/>
      <c r="B123" s="26"/>
      <c r="C123" s="26"/>
      <c r="D123" s="29" t="str">
        <f t="shared" si="6"/>
        <v/>
      </c>
      <c r="E123" s="27" t="b">
        <f t="shared" si="4"/>
        <v>0</v>
      </c>
      <c r="F123" s="28" t="str">
        <f t="shared" si="5"/>
        <v/>
      </c>
      <c r="I123" s="20"/>
      <c r="J123" s="19"/>
    </row>
    <row r="124" spans="1:10" x14ac:dyDescent="0.25">
      <c r="A124" s="25"/>
      <c r="B124" s="26"/>
      <c r="C124" s="26"/>
      <c r="D124" s="29" t="str">
        <f t="shared" si="6"/>
        <v/>
      </c>
      <c r="E124" s="27" t="b">
        <f t="shared" si="4"/>
        <v>0</v>
      </c>
      <c r="F124" s="28" t="str">
        <f t="shared" si="5"/>
        <v/>
      </c>
      <c r="I124" s="20"/>
      <c r="J124" s="19"/>
    </row>
    <row r="125" spans="1:10" x14ac:dyDescent="0.25">
      <c r="A125" s="25"/>
      <c r="B125" s="26"/>
      <c r="C125" s="26"/>
      <c r="D125" s="29" t="str">
        <f t="shared" si="6"/>
        <v/>
      </c>
      <c r="E125" s="27" t="b">
        <f t="shared" si="4"/>
        <v>0</v>
      </c>
      <c r="F125" s="28" t="str">
        <f t="shared" si="5"/>
        <v/>
      </c>
      <c r="I125" s="20"/>
      <c r="J125" s="19"/>
    </row>
    <row r="126" spans="1:10" x14ac:dyDescent="0.25">
      <c r="A126" s="25"/>
      <c r="B126" s="26"/>
      <c r="C126" s="26"/>
      <c r="D126" s="29" t="str">
        <f t="shared" si="6"/>
        <v/>
      </c>
      <c r="E126" s="27" t="b">
        <f t="shared" si="4"/>
        <v>0</v>
      </c>
      <c r="F126" s="28" t="str">
        <f t="shared" si="5"/>
        <v/>
      </c>
      <c r="I126" s="20"/>
      <c r="J126" s="19"/>
    </row>
    <row r="127" spans="1:10" x14ac:dyDescent="0.25">
      <c r="A127" s="25"/>
      <c r="B127" s="26"/>
      <c r="C127" s="26"/>
      <c r="D127" s="29" t="str">
        <f t="shared" si="6"/>
        <v/>
      </c>
      <c r="E127" s="27" t="b">
        <f t="shared" si="4"/>
        <v>0</v>
      </c>
      <c r="F127" s="28" t="str">
        <f t="shared" si="5"/>
        <v/>
      </c>
      <c r="I127" s="20"/>
      <c r="J127" s="19"/>
    </row>
    <row r="128" spans="1:10" x14ac:dyDescent="0.25">
      <c r="A128" s="25"/>
      <c r="B128" s="26"/>
      <c r="C128" s="26"/>
      <c r="D128" s="29" t="str">
        <f t="shared" si="6"/>
        <v/>
      </c>
      <c r="E128" s="27" t="b">
        <f t="shared" si="4"/>
        <v>0</v>
      </c>
      <c r="F128" s="28" t="str">
        <f t="shared" si="5"/>
        <v/>
      </c>
      <c r="I128" s="20"/>
      <c r="J128" s="19"/>
    </row>
    <row r="129" spans="1:10" x14ac:dyDescent="0.25">
      <c r="A129" s="25"/>
      <c r="B129" s="26"/>
      <c r="C129" s="26"/>
      <c r="D129" s="29" t="str">
        <f t="shared" si="6"/>
        <v/>
      </c>
      <c r="E129" s="27" t="b">
        <f t="shared" si="4"/>
        <v>0</v>
      </c>
      <c r="F129" s="28" t="str">
        <f t="shared" si="5"/>
        <v/>
      </c>
      <c r="I129" s="20"/>
      <c r="J129" s="19"/>
    </row>
    <row r="130" spans="1:10" x14ac:dyDescent="0.25">
      <c r="A130" s="25"/>
      <c r="B130" s="26"/>
      <c r="C130" s="26"/>
      <c r="D130" s="29" t="str">
        <f t="shared" si="6"/>
        <v/>
      </c>
      <c r="E130" s="27" t="b">
        <f t="shared" si="4"/>
        <v>0</v>
      </c>
      <c r="F130" s="28" t="str">
        <f t="shared" si="5"/>
        <v/>
      </c>
      <c r="I130" s="20"/>
      <c r="J130" s="19"/>
    </row>
    <row r="131" spans="1:10" x14ac:dyDescent="0.25">
      <c r="A131" s="25"/>
      <c r="B131" s="26"/>
      <c r="C131" s="26"/>
      <c r="D131" s="29" t="str">
        <f t="shared" si="6"/>
        <v/>
      </c>
      <c r="E131" s="27" t="b">
        <f t="shared" si="4"/>
        <v>0</v>
      </c>
      <c r="F131" s="28" t="str">
        <f t="shared" si="5"/>
        <v/>
      </c>
      <c r="I131" s="20"/>
      <c r="J131" s="19"/>
    </row>
    <row r="132" spans="1:10" x14ac:dyDescent="0.25">
      <c r="A132" s="25"/>
      <c r="B132" s="26"/>
      <c r="C132" s="26"/>
      <c r="D132" s="29" t="str">
        <f t="shared" si="6"/>
        <v/>
      </c>
      <c r="E132" s="27" t="b">
        <f t="shared" ref="E132:E195" si="7">IF(C132&lt;&gt;"",IF(C132&lt;$I$6,$J$6,IF(AND(C132&gt;=$H$7,C132&lt;$I$7),$J$7,IF(AND(C132&gt;=$H$8,C132&lt;$I$8),$J$8,IF(AND(C132&gt;=$H$9,C132&lt;$I$9),$J$9,IF(AND(C132&gt;=$H$10,C132&lt;$I$10),$J$10,IF(AND(C132&gt;=$H$11,C132&lt;$I$11),$J$11,IF(AND(C132&gt;=$H$12,C132&lt;$I$12),$J$12,IF(AND(C132&gt;=$H$13,C132&lt;$I$13),$J$13,IF(C132&gt;=$H$14,$J$14,""))))))))))</f>
        <v>0</v>
      </c>
      <c r="F132" s="28" t="str">
        <f t="shared" si="5"/>
        <v/>
      </c>
      <c r="I132" s="20"/>
      <c r="J132" s="19"/>
    </row>
    <row r="133" spans="1:10" x14ac:dyDescent="0.25">
      <c r="A133" s="25"/>
      <c r="B133" s="26"/>
      <c r="C133" s="26"/>
      <c r="D133" s="29" t="str">
        <f t="shared" si="6"/>
        <v/>
      </c>
      <c r="E133" s="27" t="b">
        <f t="shared" si="7"/>
        <v>0</v>
      </c>
      <c r="F133" s="28" t="str">
        <f t="shared" ref="F133:F196" si="8">IF(AND(C133&lt;&gt;"",B133&lt;&gt;""),C133*D133+C133*E133,"")</f>
        <v/>
      </c>
      <c r="I133" s="20"/>
      <c r="J133" s="19"/>
    </row>
    <row r="134" spans="1:10" x14ac:dyDescent="0.25">
      <c r="A134" s="25"/>
      <c r="B134" s="26"/>
      <c r="C134" s="26"/>
      <c r="D134" s="29" t="str">
        <f t="shared" si="6"/>
        <v/>
      </c>
      <c r="E134" s="27" t="b">
        <f t="shared" si="7"/>
        <v>0</v>
      </c>
      <c r="F134" s="28" t="str">
        <f t="shared" si="8"/>
        <v/>
      </c>
      <c r="I134" s="20"/>
      <c r="J134" s="19"/>
    </row>
    <row r="135" spans="1:10" x14ac:dyDescent="0.25">
      <c r="A135" s="25"/>
      <c r="B135" s="26"/>
      <c r="C135" s="26"/>
      <c r="D135" s="29" t="str">
        <f t="shared" si="6"/>
        <v/>
      </c>
      <c r="E135" s="27" t="b">
        <f t="shared" si="7"/>
        <v>0</v>
      </c>
      <c r="F135" s="28" t="str">
        <f t="shared" si="8"/>
        <v/>
      </c>
      <c r="I135" s="20"/>
      <c r="J135" s="19"/>
    </row>
    <row r="136" spans="1:10" x14ac:dyDescent="0.25">
      <c r="A136" s="25"/>
      <c r="B136" s="26"/>
      <c r="C136" s="26"/>
      <c r="D136" s="29" t="str">
        <f t="shared" si="6"/>
        <v/>
      </c>
      <c r="E136" s="27" t="b">
        <f t="shared" si="7"/>
        <v>0</v>
      </c>
      <c r="F136" s="28" t="str">
        <f t="shared" si="8"/>
        <v/>
      </c>
      <c r="I136" s="20"/>
      <c r="J136" s="19"/>
    </row>
    <row r="137" spans="1:10" x14ac:dyDescent="0.25">
      <c r="A137" s="25"/>
      <c r="B137" s="26"/>
      <c r="C137" s="26"/>
      <c r="D137" s="29" t="str">
        <f t="shared" si="6"/>
        <v/>
      </c>
      <c r="E137" s="27" t="b">
        <f t="shared" si="7"/>
        <v>0</v>
      </c>
      <c r="F137" s="28" t="str">
        <f t="shared" si="8"/>
        <v/>
      </c>
      <c r="I137" s="20"/>
      <c r="J137" s="19"/>
    </row>
    <row r="138" spans="1:10" x14ac:dyDescent="0.25">
      <c r="A138" s="25"/>
      <c r="B138" s="26"/>
      <c r="C138" s="26"/>
      <c r="D138" s="29" t="str">
        <f t="shared" si="6"/>
        <v/>
      </c>
      <c r="E138" s="27" t="b">
        <f t="shared" si="7"/>
        <v>0</v>
      </c>
      <c r="F138" s="28" t="str">
        <f t="shared" si="8"/>
        <v/>
      </c>
      <c r="I138" s="20"/>
      <c r="J138" s="19"/>
    </row>
    <row r="139" spans="1:10" x14ac:dyDescent="0.25">
      <c r="A139" s="25"/>
      <c r="B139" s="26"/>
      <c r="C139" s="26"/>
      <c r="D139" s="29" t="str">
        <f t="shared" si="6"/>
        <v/>
      </c>
      <c r="E139" s="27" t="b">
        <f t="shared" si="7"/>
        <v>0</v>
      </c>
      <c r="F139" s="28" t="str">
        <f t="shared" si="8"/>
        <v/>
      </c>
      <c r="I139" s="20"/>
      <c r="J139" s="19"/>
    </row>
    <row r="140" spans="1:10" x14ac:dyDescent="0.25">
      <c r="A140" s="25"/>
      <c r="B140" s="26"/>
      <c r="C140" s="26"/>
      <c r="D140" s="29" t="str">
        <f t="shared" si="6"/>
        <v/>
      </c>
      <c r="E140" s="27" t="b">
        <f t="shared" si="7"/>
        <v>0</v>
      </c>
      <c r="F140" s="28" t="str">
        <f t="shared" si="8"/>
        <v/>
      </c>
      <c r="I140" s="20"/>
      <c r="J140" s="19"/>
    </row>
    <row r="141" spans="1:10" x14ac:dyDescent="0.25">
      <c r="A141" s="25"/>
      <c r="B141" s="26"/>
      <c r="C141" s="26"/>
      <c r="D141" s="29" t="str">
        <f t="shared" si="6"/>
        <v/>
      </c>
      <c r="E141" s="27" t="b">
        <f t="shared" si="7"/>
        <v>0</v>
      </c>
      <c r="F141" s="28" t="str">
        <f t="shared" si="8"/>
        <v/>
      </c>
      <c r="I141" s="20"/>
      <c r="J141" s="19"/>
    </row>
    <row r="142" spans="1:10" x14ac:dyDescent="0.25">
      <c r="A142" s="25"/>
      <c r="B142" s="26"/>
      <c r="C142" s="26"/>
      <c r="D142" s="29" t="str">
        <f t="shared" si="6"/>
        <v/>
      </c>
      <c r="E142" s="27" t="b">
        <f t="shared" si="7"/>
        <v>0</v>
      </c>
      <c r="F142" s="28" t="str">
        <f t="shared" si="8"/>
        <v/>
      </c>
      <c r="I142" s="20"/>
      <c r="J142" s="19"/>
    </row>
    <row r="143" spans="1:10" x14ac:dyDescent="0.25">
      <c r="A143" s="25"/>
      <c r="B143" s="26"/>
      <c r="C143" s="26"/>
      <c r="D143" s="29" t="str">
        <f t="shared" si="6"/>
        <v/>
      </c>
      <c r="E143" s="27" t="b">
        <f t="shared" si="7"/>
        <v>0</v>
      </c>
      <c r="F143" s="28" t="str">
        <f t="shared" si="8"/>
        <v/>
      </c>
      <c r="I143" s="20"/>
      <c r="J143" s="19"/>
    </row>
    <row r="144" spans="1:10" x14ac:dyDescent="0.25">
      <c r="A144" s="25"/>
      <c r="B144" s="26"/>
      <c r="C144" s="26"/>
      <c r="D144" s="29" t="str">
        <f t="shared" si="6"/>
        <v/>
      </c>
      <c r="E144" s="27" t="b">
        <f t="shared" si="7"/>
        <v>0</v>
      </c>
      <c r="F144" s="28" t="str">
        <f t="shared" si="8"/>
        <v/>
      </c>
      <c r="I144" s="20"/>
      <c r="J144" s="19"/>
    </row>
    <row r="145" spans="1:10" x14ac:dyDescent="0.25">
      <c r="A145" s="25"/>
      <c r="B145" s="26"/>
      <c r="C145" s="26"/>
      <c r="D145" s="29" t="str">
        <f t="shared" si="6"/>
        <v/>
      </c>
      <c r="E145" s="27" t="b">
        <f t="shared" si="7"/>
        <v>0</v>
      </c>
      <c r="F145" s="28" t="str">
        <f t="shared" si="8"/>
        <v/>
      </c>
      <c r="I145" s="20"/>
      <c r="J145" s="19"/>
    </row>
    <row r="146" spans="1:10" x14ac:dyDescent="0.25">
      <c r="A146" s="25"/>
      <c r="B146" s="26"/>
      <c r="C146" s="26"/>
      <c r="D146" s="29" t="str">
        <f t="shared" si="6"/>
        <v/>
      </c>
      <c r="E146" s="27" t="b">
        <f t="shared" si="7"/>
        <v>0</v>
      </c>
      <c r="F146" s="28" t="str">
        <f t="shared" si="8"/>
        <v/>
      </c>
      <c r="I146" s="20"/>
      <c r="J146" s="19"/>
    </row>
    <row r="147" spans="1:10" x14ac:dyDescent="0.25">
      <c r="A147" s="25"/>
      <c r="B147" s="26"/>
      <c r="C147" s="26"/>
      <c r="D147" s="29" t="str">
        <f t="shared" si="6"/>
        <v/>
      </c>
      <c r="E147" s="27" t="b">
        <f t="shared" si="7"/>
        <v>0</v>
      </c>
      <c r="F147" s="28" t="str">
        <f t="shared" si="8"/>
        <v/>
      </c>
      <c r="I147" s="20"/>
      <c r="J147" s="19"/>
    </row>
    <row r="148" spans="1:10" x14ac:dyDescent="0.25">
      <c r="A148" s="25"/>
      <c r="B148" s="26"/>
      <c r="C148" s="26"/>
      <c r="D148" s="29" t="str">
        <f t="shared" si="6"/>
        <v/>
      </c>
      <c r="E148" s="27" t="b">
        <f t="shared" si="7"/>
        <v>0</v>
      </c>
      <c r="F148" s="28" t="str">
        <f t="shared" si="8"/>
        <v/>
      </c>
      <c r="I148" s="20"/>
      <c r="J148" s="19"/>
    </row>
    <row r="149" spans="1:10" x14ac:dyDescent="0.25">
      <c r="A149" s="25"/>
      <c r="B149" s="26"/>
      <c r="C149" s="26"/>
      <c r="D149" s="29" t="str">
        <f t="shared" si="6"/>
        <v/>
      </c>
      <c r="E149" s="27" t="b">
        <f t="shared" si="7"/>
        <v>0</v>
      </c>
      <c r="F149" s="28" t="str">
        <f t="shared" si="8"/>
        <v/>
      </c>
      <c r="I149" s="20"/>
      <c r="J149" s="19"/>
    </row>
    <row r="150" spans="1:10" x14ac:dyDescent="0.25">
      <c r="A150" s="25"/>
      <c r="B150" s="26"/>
      <c r="C150" s="26"/>
      <c r="D150" s="29" t="str">
        <f t="shared" si="6"/>
        <v/>
      </c>
      <c r="E150" s="27" t="b">
        <f t="shared" si="7"/>
        <v>0</v>
      </c>
      <c r="F150" s="28" t="str">
        <f t="shared" si="8"/>
        <v/>
      </c>
      <c r="I150" s="20"/>
      <c r="J150" s="19"/>
    </row>
    <row r="151" spans="1:10" x14ac:dyDescent="0.25">
      <c r="A151" s="25"/>
      <c r="B151" s="26"/>
      <c r="C151" s="26"/>
      <c r="D151" s="29" t="str">
        <f t="shared" si="6"/>
        <v/>
      </c>
      <c r="E151" s="27" t="b">
        <f t="shared" si="7"/>
        <v>0</v>
      </c>
      <c r="F151" s="28" t="str">
        <f t="shared" si="8"/>
        <v/>
      </c>
      <c r="I151" s="20"/>
      <c r="J151" s="19"/>
    </row>
    <row r="152" spans="1:10" x14ac:dyDescent="0.25">
      <c r="A152" s="25"/>
      <c r="B152" s="26"/>
      <c r="C152" s="26"/>
      <c r="D152" s="29" t="str">
        <f t="shared" si="6"/>
        <v/>
      </c>
      <c r="E152" s="27" t="b">
        <f t="shared" si="7"/>
        <v>0</v>
      </c>
      <c r="F152" s="28" t="str">
        <f t="shared" si="8"/>
        <v/>
      </c>
      <c r="I152" s="20"/>
      <c r="J152" s="19"/>
    </row>
    <row r="153" spans="1:10" x14ac:dyDescent="0.25">
      <c r="A153" s="25"/>
      <c r="B153" s="26"/>
      <c r="C153" s="26"/>
      <c r="D153" s="29" t="str">
        <f t="shared" si="6"/>
        <v/>
      </c>
      <c r="E153" s="27" t="b">
        <f t="shared" si="7"/>
        <v>0</v>
      </c>
      <c r="F153" s="28" t="str">
        <f t="shared" si="8"/>
        <v/>
      </c>
      <c r="I153" s="20"/>
      <c r="J153" s="19"/>
    </row>
    <row r="154" spans="1:10" x14ac:dyDescent="0.25">
      <c r="A154" s="25"/>
      <c r="B154" s="26"/>
      <c r="C154" s="26"/>
      <c r="D154" s="29" t="str">
        <f t="shared" si="6"/>
        <v/>
      </c>
      <c r="E154" s="27" t="b">
        <f t="shared" si="7"/>
        <v>0</v>
      </c>
      <c r="F154" s="28" t="str">
        <f t="shared" si="8"/>
        <v/>
      </c>
      <c r="I154" s="20"/>
      <c r="J154" s="19"/>
    </row>
    <row r="155" spans="1:10" x14ac:dyDescent="0.25">
      <c r="A155" s="25"/>
      <c r="B155" s="26"/>
      <c r="C155" s="26"/>
      <c r="D155" s="29" t="str">
        <f t="shared" si="6"/>
        <v/>
      </c>
      <c r="E155" s="27" t="b">
        <f t="shared" si="7"/>
        <v>0</v>
      </c>
      <c r="F155" s="28" t="str">
        <f t="shared" si="8"/>
        <v/>
      </c>
      <c r="I155" s="20"/>
      <c r="J155" s="19"/>
    </row>
    <row r="156" spans="1:10" x14ac:dyDescent="0.25">
      <c r="A156" s="25"/>
      <c r="B156" s="26"/>
      <c r="C156" s="26"/>
      <c r="D156" s="29" t="str">
        <f t="shared" si="6"/>
        <v/>
      </c>
      <c r="E156" s="27" t="b">
        <f t="shared" si="7"/>
        <v>0</v>
      </c>
      <c r="F156" s="28" t="str">
        <f t="shared" si="8"/>
        <v/>
      </c>
      <c r="I156" s="20"/>
      <c r="J156" s="19"/>
    </row>
    <row r="157" spans="1:10" x14ac:dyDescent="0.25">
      <c r="A157" s="25"/>
      <c r="B157" s="26"/>
      <c r="C157" s="26"/>
      <c r="D157" s="29" t="str">
        <f t="shared" si="6"/>
        <v/>
      </c>
      <c r="E157" s="27" t="b">
        <f t="shared" si="7"/>
        <v>0</v>
      </c>
      <c r="F157" s="28" t="str">
        <f t="shared" si="8"/>
        <v/>
      </c>
      <c r="I157" s="20"/>
      <c r="J157" s="19"/>
    </row>
    <row r="158" spans="1:10" x14ac:dyDescent="0.25">
      <c r="A158" s="25"/>
      <c r="B158" s="26"/>
      <c r="C158" s="26"/>
      <c r="D158" s="29" t="str">
        <f t="shared" si="6"/>
        <v/>
      </c>
      <c r="E158" s="27" t="b">
        <f t="shared" si="7"/>
        <v>0</v>
      </c>
      <c r="F158" s="28" t="str">
        <f t="shared" si="8"/>
        <v/>
      </c>
      <c r="I158" s="20"/>
      <c r="J158" s="19"/>
    </row>
    <row r="159" spans="1:10" x14ac:dyDescent="0.25">
      <c r="A159" s="25"/>
      <c r="B159" s="26"/>
      <c r="C159" s="26"/>
      <c r="D159" s="29" t="str">
        <f t="shared" si="6"/>
        <v/>
      </c>
      <c r="E159" s="27" t="b">
        <f t="shared" si="7"/>
        <v>0</v>
      </c>
      <c r="F159" s="28" t="str">
        <f t="shared" si="8"/>
        <v/>
      </c>
      <c r="I159" s="20"/>
      <c r="J159" s="19"/>
    </row>
    <row r="160" spans="1:10" x14ac:dyDescent="0.25">
      <c r="A160" s="25"/>
      <c r="B160" s="26"/>
      <c r="C160" s="26"/>
      <c r="D160" s="29" t="str">
        <f t="shared" si="6"/>
        <v/>
      </c>
      <c r="E160" s="27" t="b">
        <f t="shared" si="7"/>
        <v>0</v>
      </c>
      <c r="F160" s="28" t="str">
        <f t="shared" si="8"/>
        <v/>
      </c>
      <c r="I160" s="20"/>
      <c r="J160" s="19"/>
    </row>
    <row r="161" spans="1:10" x14ac:dyDescent="0.25">
      <c r="A161" s="25"/>
      <c r="B161" s="26"/>
      <c r="C161" s="26"/>
      <c r="D161" s="29" t="str">
        <f t="shared" si="6"/>
        <v/>
      </c>
      <c r="E161" s="27" t="b">
        <f t="shared" si="7"/>
        <v>0</v>
      </c>
      <c r="F161" s="28" t="str">
        <f t="shared" si="8"/>
        <v/>
      </c>
      <c r="I161" s="20"/>
      <c r="J161" s="19"/>
    </row>
    <row r="162" spans="1:10" x14ac:dyDescent="0.25">
      <c r="A162" s="25"/>
      <c r="B162" s="26"/>
      <c r="C162" s="26"/>
      <c r="D162" s="29" t="str">
        <f t="shared" si="6"/>
        <v/>
      </c>
      <c r="E162" s="27" t="b">
        <f t="shared" si="7"/>
        <v>0</v>
      </c>
      <c r="F162" s="28" t="str">
        <f t="shared" si="8"/>
        <v/>
      </c>
      <c r="I162" s="20"/>
      <c r="J162" s="19"/>
    </row>
    <row r="163" spans="1:10" x14ac:dyDescent="0.25">
      <c r="A163" s="25"/>
      <c r="B163" s="26"/>
      <c r="C163" s="26"/>
      <c r="D163" s="29" t="str">
        <f t="shared" si="6"/>
        <v/>
      </c>
      <c r="E163" s="27" t="b">
        <f t="shared" si="7"/>
        <v>0</v>
      </c>
      <c r="F163" s="28" t="str">
        <f t="shared" si="8"/>
        <v/>
      </c>
      <c r="I163" s="20"/>
      <c r="J163" s="19"/>
    </row>
    <row r="164" spans="1:10" x14ac:dyDescent="0.25">
      <c r="A164" s="25"/>
      <c r="B164" s="26"/>
      <c r="C164" s="26"/>
      <c r="D164" s="29" t="str">
        <f t="shared" ref="D164:D227" si="9">IF(B164&lt;&gt;"",VLOOKUP(B164,$I:$J,2,FALSE),"")</f>
        <v/>
      </c>
      <c r="E164" s="27" t="b">
        <f t="shared" si="7"/>
        <v>0</v>
      </c>
      <c r="F164" s="28" t="str">
        <f t="shared" si="8"/>
        <v/>
      </c>
      <c r="I164" s="20"/>
      <c r="J164" s="19"/>
    </row>
    <row r="165" spans="1:10" x14ac:dyDescent="0.25">
      <c r="A165" s="25"/>
      <c r="B165" s="26"/>
      <c r="C165" s="26"/>
      <c r="D165" s="29" t="str">
        <f t="shared" si="9"/>
        <v/>
      </c>
      <c r="E165" s="27" t="b">
        <f t="shared" si="7"/>
        <v>0</v>
      </c>
      <c r="F165" s="28" t="str">
        <f t="shared" si="8"/>
        <v/>
      </c>
      <c r="I165" s="20"/>
      <c r="J165" s="19"/>
    </row>
    <row r="166" spans="1:10" x14ac:dyDescent="0.25">
      <c r="A166" s="25"/>
      <c r="B166" s="26"/>
      <c r="C166" s="26"/>
      <c r="D166" s="29" t="str">
        <f t="shared" si="9"/>
        <v/>
      </c>
      <c r="E166" s="27" t="b">
        <f t="shared" si="7"/>
        <v>0</v>
      </c>
      <c r="F166" s="28" t="str">
        <f t="shared" si="8"/>
        <v/>
      </c>
      <c r="I166" s="20"/>
      <c r="J166" s="19"/>
    </row>
    <row r="167" spans="1:10" x14ac:dyDescent="0.25">
      <c r="A167" s="25"/>
      <c r="B167" s="26"/>
      <c r="C167" s="26"/>
      <c r="D167" s="29" t="str">
        <f t="shared" si="9"/>
        <v/>
      </c>
      <c r="E167" s="27" t="b">
        <f t="shared" si="7"/>
        <v>0</v>
      </c>
      <c r="F167" s="28" t="str">
        <f t="shared" si="8"/>
        <v/>
      </c>
      <c r="I167" s="20"/>
      <c r="J167" s="19"/>
    </row>
    <row r="168" spans="1:10" x14ac:dyDescent="0.25">
      <c r="A168" s="25"/>
      <c r="B168" s="26"/>
      <c r="C168" s="26"/>
      <c r="D168" s="29" t="str">
        <f t="shared" si="9"/>
        <v/>
      </c>
      <c r="E168" s="27" t="b">
        <f t="shared" si="7"/>
        <v>0</v>
      </c>
      <c r="F168" s="28" t="str">
        <f t="shared" si="8"/>
        <v/>
      </c>
      <c r="I168" s="20"/>
      <c r="J168" s="19"/>
    </row>
    <row r="169" spans="1:10" x14ac:dyDescent="0.25">
      <c r="A169" s="25"/>
      <c r="B169" s="26"/>
      <c r="C169" s="26"/>
      <c r="D169" s="29" t="str">
        <f t="shared" si="9"/>
        <v/>
      </c>
      <c r="E169" s="27" t="b">
        <f t="shared" si="7"/>
        <v>0</v>
      </c>
      <c r="F169" s="28" t="str">
        <f t="shared" si="8"/>
        <v/>
      </c>
      <c r="I169" s="20"/>
      <c r="J169" s="19"/>
    </row>
    <row r="170" spans="1:10" x14ac:dyDescent="0.25">
      <c r="A170" s="25"/>
      <c r="B170" s="26"/>
      <c r="C170" s="26"/>
      <c r="D170" s="29" t="str">
        <f t="shared" si="9"/>
        <v/>
      </c>
      <c r="E170" s="27" t="b">
        <f t="shared" si="7"/>
        <v>0</v>
      </c>
      <c r="F170" s="28" t="str">
        <f t="shared" si="8"/>
        <v/>
      </c>
      <c r="I170" s="20"/>
      <c r="J170" s="19"/>
    </row>
    <row r="171" spans="1:10" x14ac:dyDescent="0.25">
      <c r="A171" s="25"/>
      <c r="B171" s="26"/>
      <c r="C171" s="26"/>
      <c r="D171" s="29" t="str">
        <f t="shared" si="9"/>
        <v/>
      </c>
      <c r="E171" s="27" t="b">
        <f t="shared" si="7"/>
        <v>0</v>
      </c>
      <c r="F171" s="28" t="str">
        <f t="shared" si="8"/>
        <v/>
      </c>
      <c r="I171" s="20"/>
      <c r="J171" s="19"/>
    </row>
    <row r="172" spans="1:10" x14ac:dyDescent="0.25">
      <c r="A172" s="25"/>
      <c r="B172" s="26"/>
      <c r="C172" s="26"/>
      <c r="D172" s="29" t="str">
        <f t="shared" si="9"/>
        <v/>
      </c>
      <c r="E172" s="27" t="b">
        <f t="shared" si="7"/>
        <v>0</v>
      </c>
      <c r="F172" s="28" t="str">
        <f t="shared" si="8"/>
        <v/>
      </c>
      <c r="I172" s="20"/>
      <c r="J172" s="19"/>
    </row>
    <row r="173" spans="1:10" x14ac:dyDescent="0.25">
      <c r="A173" s="25"/>
      <c r="B173" s="26"/>
      <c r="C173" s="26"/>
      <c r="D173" s="29" t="str">
        <f t="shared" si="9"/>
        <v/>
      </c>
      <c r="E173" s="27" t="b">
        <f t="shared" si="7"/>
        <v>0</v>
      </c>
      <c r="F173" s="28" t="str">
        <f t="shared" si="8"/>
        <v/>
      </c>
      <c r="I173" s="20"/>
      <c r="J173" s="19"/>
    </row>
    <row r="174" spans="1:10" x14ac:dyDescent="0.25">
      <c r="A174" s="25"/>
      <c r="B174" s="26"/>
      <c r="C174" s="26"/>
      <c r="D174" s="29" t="str">
        <f t="shared" si="9"/>
        <v/>
      </c>
      <c r="E174" s="27" t="b">
        <f t="shared" si="7"/>
        <v>0</v>
      </c>
      <c r="F174" s="28" t="str">
        <f t="shared" si="8"/>
        <v/>
      </c>
      <c r="I174" s="20"/>
      <c r="J174" s="19"/>
    </row>
    <row r="175" spans="1:10" x14ac:dyDescent="0.25">
      <c r="A175" s="25"/>
      <c r="B175" s="26"/>
      <c r="C175" s="26"/>
      <c r="D175" s="29" t="str">
        <f t="shared" si="9"/>
        <v/>
      </c>
      <c r="E175" s="27" t="b">
        <f t="shared" si="7"/>
        <v>0</v>
      </c>
      <c r="F175" s="28" t="str">
        <f t="shared" si="8"/>
        <v/>
      </c>
      <c r="I175" s="20"/>
      <c r="J175" s="19"/>
    </row>
    <row r="176" spans="1:10" x14ac:dyDescent="0.25">
      <c r="A176" s="25"/>
      <c r="B176" s="26"/>
      <c r="C176" s="26"/>
      <c r="D176" s="29" t="str">
        <f t="shared" si="9"/>
        <v/>
      </c>
      <c r="E176" s="27" t="b">
        <f t="shared" si="7"/>
        <v>0</v>
      </c>
      <c r="F176" s="28" t="str">
        <f t="shared" si="8"/>
        <v/>
      </c>
      <c r="I176" s="20"/>
      <c r="J176" s="19"/>
    </row>
    <row r="177" spans="1:10" x14ac:dyDescent="0.25">
      <c r="A177" s="25"/>
      <c r="B177" s="26"/>
      <c r="C177" s="26"/>
      <c r="D177" s="29" t="str">
        <f t="shared" si="9"/>
        <v/>
      </c>
      <c r="E177" s="27" t="b">
        <f t="shared" si="7"/>
        <v>0</v>
      </c>
      <c r="F177" s="28" t="str">
        <f t="shared" si="8"/>
        <v/>
      </c>
      <c r="I177" s="20"/>
      <c r="J177" s="19"/>
    </row>
    <row r="178" spans="1:10" x14ac:dyDescent="0.25">
      <c r="A178" s="25"/>
      <c r="B178" s="26"/>
      <c r="C178" s="26"/>
      <c r="D178" s="29" t="str">
        <f t="shared" si="9"/>
        <v/>
      </c>
      <c r="E178" s="27" t="b">
        <f t="shared" si="7"/>
        <v>0</v>
      </c>
      <c r="F178" s="28" t="str">
        <f t="shared" si="8"/>
        <v/>
      </c>
      <c r="I178" s="20"/>
      <c r="J178" s="19"/>
    </row>
    <row r="179" spans="1:10" x14ac:dyDescent="0.25">
      <c r="A179" s="25"/>
      <c r="B179" s="26"/>
      <c r="C179" s="26"/>
      <c r="D179" s="29" t="str">
        <f t="shared" si="9"/>
        <v/>
      </c>
      <c r="E179" s="27" t="b">
        <f t="shared" si="7"/>
        <v>0</v>
      </c>
      <c r="F179" s="28" t="str">
        <f t="shared" si="8"/>
        <v/>
      </c>
      <c r="I179" s="20"/>
      <c r="J179" s="19"/>
    </row>
    <row r="180" spans="1:10" x14ac:dyDescent="0.25">
      <c r="A180" s="25"/>
      <c r="B180" s="26"/>
      <c r="C180" s="26"/>
      <c r="D180" s="29" t="str">
        <f t="shared" si="9"/>
        <v/>
      </c>
      <c r="E180" s="27" t="b">
        <f t="shared" si="7"/>
        <v>0</v>
      </c>
      <c r="F180" s="28" t="str">
        <f t="shared" si="8"/>
        <v/>
      </c>
      <c r="I180" s="20"/>
      <c r="J180" s="19"/>
    </row>
    <row r="181" spans="1:10" x14ac:dyDescent="0.25">
      <c r="A181" s="25"/>
      <c r="B181" s="26"/>
      <c r="C181" s="26"/>
      <c r="D181" s="29" t="str">
        <f t="shared" si="9"/>
        <v/>
      </c>
      <c r="E181" s="27" t="b">
        <f t="shared" si="7"/>
        <v>0</v>
      </c>
      <c r="F181" s="28" t="str">
        <f t="shared" si="8"/>
        <v/>
      </c>
      <c r="I181" s="20"/>
      <c r="J181" s="19"/>
    </row>
    <row r="182" spans="1:10" x14ac:dyDescent="0.25">
      <c r="A182" s="25"/>
      <c r="B182" s="26"/>
      <c r="C182" s="26"/>
      <c r="D182" s="29" t="str">
        <f t="shared" si="9"/>
        <v/>
      </c>
      <c r="E182" s="27" t="b">
        <f t="shared" si="7"/>
        <v>0</v>
      </c>
      <c r="F182" s="28" t="str">
        <f t="shared" si="8"/>
        <v/>
      </c>
      <c r="I182" s="20"/>
      <c r="J182" s="19"/>
    </row>
    <row r="183" spans="1:10" x14ac:dyDescent="0.25">
      <c r="A183" s="25"/>
      <c r="B183" s="26"/>
      <c r="C183" s="26"/>
      <c r="D183" s="29" t="str">
        <f t="shared" si="9"/>
        <v/>
      </c>
      <c r="E183" s="27" t="b">
        <f t="shared" si="7"/>
        <v>0</v>
      </c>
      <c r="F183" s="28" t="str">
        <f t="shared" si="8"/>
        <v/>
      </c>
      <c r="I183" s="20"/>
      <c r="J183" s="19"/>
    </row>
    <row r="184" spans="1:10" x14ac:dyDescent="0.25">
      <c r="A184" s="25"/>
      <c r="B184" s="26"/>
      <c r="C184" s="26"/>
      <c r="D184" s="29" t="str">
        <f t="shared" si="9"/>
        <v/>
      </c>
      <c r="E184" s="27" t="b">
        <f t="shared" si="7"/>
        <v>0</v>
      </c>
      <c r="F184" s="28" t="str">
        <f t="shared" si="8"/>
        <v/>
      </c>
      <c r="I184" s="20"/>
      <c r="J184" s="19"/>
    </row>
    <row r="185" spans="1:10" x14ac:dyDescent="0.25">
      <c r="A185" s="25"/>
      <c r="B185" s="26"/>
      <c r="C185" s="26"/>
      <c r="D185" s="29" t="str">
        <f t="shared" si="9"/>
        <v/>
      </c>
      <c r="E185" s="27" t="b">
        <f t="shared" si="7"/>
        <v>0</v>
      </c>
      <c r="F185" s="28" t="str">
        <f t="shared" si="8"/>
        <v/>
      </c>
      <c r="I185" s="20"/>
      <c r="J185" s="19"/>
    </row>
    <row r="186" spans="1:10" x14ac:dyDescent="0.25">
      <c r="A186" s="25"/>
      <c r="B186" s="26"/>
      <c r="C186" s="26"/>
      <c r="D186" s="29" t="str">
        <f t="shared" si="9"/>
        <v/>
      </c>
      <c r="E186" s="27" t="b">
        <f t="shared" si="7"/>
        <v>0</v>
      </c>
      <c r="F186" s="28" t="str">
        <f t="shared" si="8"/>
        <v/>
      </c>
      <c r="I186" s="20"/>
      <c r="J186" s="19"/>
    </row>
    <row r="187" spans="1:10" x14ac:dyDescent="0.25">
      <c r="A187" s="25"/>
      <c r="B187" s="26"/>
      <c r="C187" s="26"/>
      <c r="D187" s="29" t="str">
        <f t="shared" si="9"/>
        <v/>
      </c>
      <c r="E187" s="27" t="b">
        <f t="shared" si="7"/>
        <v>0</v>
      </c>
      <c r="F187" s="28" t="str">
        <f t="shared" si="8"/>
        <v/>
      </c>
      <c r="I187" s="20"/>
      <c r="J187" s="19"/>
    </row>
    <row r="188" spans="1:10" x14ac:dyDescent="0.25">
      <c r="A188" s="25"/>
      <c r="B188" s="26"/>
      <c r="C188" s="26"/>
      <c r="D188" s="29" t="str">
        <f t="shared" si="9"/>
        <v/>
      </c>
      <c r="E188" s="27" t="b">
        <f t="shared" si="7"/>
        <v>0</v>
      </c>
      <c r="F188" s="28" t="str">
        <f t="shared" si="8"/>
        <v/>
      </c>
      <c r="I188" s="20"/>
      <c r="J188" s="19"/>
    </row>
    <row r="189" spans="1:10" x14ac:dyDescent="0.25">
      <c r="A189" s="25"/>
      <c r="B189" s="26"/>
      <c r="C189" s="26"/>
      <c r="D189" s="29" t="str">
        <f t="shared" si="9"/>
        <v/>
      </c>
      <c r="E189" s="27" t="b">
        <f t="shared" si="7"/>
        <v>0</v>
      </c>
      <c r="F189" s="28" t="str">
        <f t="shared" si="8"/>
        <v/>
      </c>
      <c r="I189" s="20"/>
      <c r="J189" s="19"/>
    </row>
    <row r="190" spans="1:10" x14ac:dyDescent="0.25">
      <c r="A190" s="25"/>
      <c r="B190" s="26"/>
      <c r="C190" s="26"/>
      <c r="D190" s="29" t="str">
        <f t="shared" si="9"/>
        <v/>
      </c>
      <c r="E190" s="27" t="b">
        <f t="shared" si="7"/>
        <v>0</v>
      </c>
      <c r="F190" s="28" t="str">
        <f t="shared" si="8"/>
        <v/>
      </c>
      <c r="I190" s="20"/>
      <c r="J190" s="19"/>
    </row>
    <row r="191" spans="1:10" x14ac:dyDescent="0.25">
      <c r="A191" s="25"/>
      <c r="B191" s="26"/>
      <c r="C191" s="26"/>
      <c r="D191" s="29" t="str">
        <f t="shared" si="9"/>
        <v/>
      </c>
      <c r="E191" s="27" t="b">
        <f t="shared" si="7"/>
        <v>0</v>
      </c>
      <c r="F191" s="28" t="str">
        <f t="shared" si="8"/>
        <v/>
      </c>
      <c r="I191" s="20"/>
      <c r="J191" s="19"/>
    </row>
    <row r="192" spans="1:10" x14ac:dyDescent="0.25">
      <c r="A192" s="25"/>
      <c r="B192" s="26"/>
      <c r="C192" s="26"/>
      <c r="D192" s="29" t="str">
        <f t="shared" si="9"/>
        <v/>
      </c>
      <c r="E192" s="27" t="b">
        <f t="shared" si="7"/>
        <v>0</v>
      </c>
      <c r="F192" s="28" t="str">
        <f t="shared" si="8"/>
        <v/>
      </c>
      <c r="I192" s="20"/>
      <c r="J192" s="19"/>
    </row>
    <row r="193" spans="1:10" x14ac:dyDescent="0.25">
      <c r="A193" s="25"/>
      <c r="B193" s="26"/>
      <c r="C193" s="26"/>
      <c r="D193" s="29" t="str">
        <f t="shared" si="9"/>
        <v/>
      </c>
      <c r="E193" s="27" t="b">
        <f t="shared" si="7"/>
        <v>0</v>
      </c>
      <c r="F193" s="28" t="str">
        <f t="shared" si="8"/>
        <v/>
      </c>
      <c r="I193" s="20"/>
      <c r="J193" s="19"/>
    </row>
    <row r="194" spans="1:10" x14ac:dyDescent="0.25">
      <c r="A194" s="25"/>
      <c r="B194" s="26"/>
      <c r="C194" s="26"/>
      <c r="D194" s="29" t="str">
        <f t="shared" si="9"/>
        <v/>
      </c>
      <c r="E194" s="27" t="b">
        <f t="shared" si="7"/>
        <v>0</v>
      </c>
      <c r="F194" s="28" t="str">
        <f t="shared" si="8"/>
        <v/>
      </c>
      <c r="I194" s="20"/>
      <c r="J194" s="19"/>
    </row>
    <row r="195" spans="1:10" x14ac:dyDescent="0.25">
      <c r="A195" s="25"/>
      <c r="B195" s="26"/>
      <c r="C195" s="26"/>
      <c r="D195" s="29" t="str">
        <f t="shared" si="9"/>
        <v/>
      </c>
      <c r="E195" s="27" t="b">
        <f t="shared" si="7"/>
        <v>0</v>
      </c>
      <c r="F195" s="28" t="str">
        <f t="shared" si="8"/>
        <v/>
      </c>
      <c r="I195" s="20"/>
      <c r="J195" s="19"/>
    </row>
    <row r="196" spans="1:10" x14ac:dyDescent="0.25">
      <c r="A196" s="25"/>
      <c r="B196" s="26"/>
      <c r="C196" s="26"/>
      <c r="D196" s="29" t="str">
        <f t="shared" si="9"/>
        <v/>
      </c>
      <c r="E196" s="27" t="b">
        <f t="shared" ref="E196:E259" si="10">IF(C196&lt;&gt;"",IF(C196&lt;$I$6,$J$6,IF(AND(C196&gt;=$H$7,C196&lt;$I$7),$J$7,IF(AND(C196&gt;=$H$8,C196&lt;$I$8),$J$8,IF(AND(C196&gt;=$H$9,C196&lt;$I$9),$J$9,IF(AND(C196&gt;=$H$10,C196&lt;$I$10),$J$10,IF(AND(C196&gt;=$H$11,C196&lt;$I$11),$J$11,IF(AND(C196&gt;=$H$12,C196&lt;$I$12),$J$12,IF(AND(C196&gt;=$H$13,C196&lt;$I$13),$J$13,IF(C196&gt;=$H$14,$J$14,""))))))))))</f>
        <v>0</v>
      </c>
      <c r="F196" s="28" t="str">
        <f t="shared" si="8"/>
        <v/>
      </c>
      <c r="I196" s="20"/>
      <c r="J196" s="19"/>
    </row>
    <row r="197" spans="1:10" x14ac:dyDescent="0.25">
      <c r="A197" s="25"/>
      <c r="B197" s="26"/>
      <c r="C197" s="26"/>
      <c r="D197" s="29" t="str">
        <f t="shared" si="9"/>
        <v/>
      </c>
      <c r="E197" s="27" t="b">
        <f t="shared" si="10"/>
        <v>0</v>
      </c>
      <c r="F197" s="28" t="str">
        <f t="shared" ref="F197:F260" si="11">IF(AND(C197&lt;&gt;"",B197&lt;&gt;""),C197*D197+C197*E197,"")</f>
        <v/>
      </c>
      <c r="I197" s="20"/>
      <c r="J197" s="19"/>
    </row>
    <row r="198" spans="1:10" x14ac:dyDescent="0.25">
      <c r="A198" s="25"/>
      <c r="B198" s="26"/>
      <c r="C198" s="26"/>
      <c r="D198" s="29" t="str">
        <f t="shared" si="9"/>
        <v/>
      </c>
      <c r="E198" s="27" t="b">
        <f t="shared" si="10"/>
        <v>0</v>
      </c>
      <c r="F198" s="28" t="str">
        <f t="shared" si="11"/>
        <v/>
      </c>
      <c r="I198" s="20"/>
      <c r="J198" s="19"/>
    </row>
    <row r="199" spans="1:10" x14ac:dyDescent="0.25">
      <c r="A199" s="25"/>
      <c r="B199" s="26"/>
      <c r="C199" s="26"/>
      <c r="D199" s="29" t="str">
        <f t="shared" si="9"/>
        <v/>
      </c>
      <c r="E199" s="27" t="b">
        <f t="shared" si="10"/>
        <v>0</v>
      </c>
      <c r="F199" s="28" t="str">
        <f t="shared" si="11"/>
        <v/>
      </c>
      <c r="I199" s="20"/>
      <c r="J199" s="19"/>
    </row>
    <row r="200" spans="1:10" x14ac:dyDescent="0.25">
      <c r="A200" s="25"/>
      <c r="B200" s="26"/>
      <c r="C200" s="26"/>
      <c r="D200" s="29" t="str">
        <f t="shared" si="9"/>
        <v/>
      </c>
      <c r="E200" s="27" t="b">
        <f t="shared" si="10"/>
        <v>0</v>
      </c>
      <c r="F200" s="28" t="str">
        <f t="shared" si="11"/>
        <v/>
      </c>
      <c r="I200" s="20"/>
      <c r="J200" s="19"/>
    </row>
    <row r="201" spans="1:10" x14ac:dyDescent="0.25">
      <c r="A201" s="25"/>
      <c r="B201" s="26"/>
      <c r="C201" s="26"/>
      <c r="D201" s="29" t="str">
        <f t="shared" si="9"/>
        <v/>
      </c>
      <c r="E201" s="27" t="b">
        <f t="shared" si="10"/>
        <v>0</v>
      </c>
      <c r="F201" s="28" t="str">
        <f t="shared" si="11"/>
        <v/>
      </c>
      <c r="I201" s="20"/>
      <c r="J201" s="19"/>
    </row>
    <row r="202" spans="1:10" x14ac:dyDescent="0.25">
      <c r="A202" s="25"/>
      <c r="B202" s="26"/>
      <c r="C202" s="26"/>
      <c r="D202" s="29" t="str">
        <f t="shared" si="9"/>
        <v/>
      </c>
      <c r="E202" s="27" t="b">
        <f t="shared" si="10"/>
        <v>0</v>
      </c>
      <c r="F202" s="28" t="str">
        <f t="shared" si="11"/>
        <v/>
      </c>
      <c r="I202" s="20"/>
      <c r="J202" s="19"/>
    </row>
    <row r="203" spans="1:10" x14ac:dyDescent="0.25">
      <c r="A203" s="25"/>
      <c r="B203" s="26"/>
      <c r="C203" s="26"/>
      <c r="D203" s="29" t="str">
        <f t="shared" si="9"/>
        <v/>
      </c>
      <c r="E203" s="27" t="b">
        <f t="shared" si="10"/>
        <v>0</v>
      </c>
      <c r="F203" s="28" t="str">
        <f t="shared" si="11"/>
        <v/>
      </c>
      <c r="I203" s="20"/>
      <c r="J203" s="19"/>
    </row>
    <row r="204" spans="1:10" x14ac:dyDescent="0.25">
      <c r="A204" s="25"/>
      <c r="B204" s="26"/>
      <c r="C204" s="26"/>
      <c r="D204" s="29" t="str">
        <f t="shared" si="9"/>
        <v/>
      </c>
      <c r="E204" s="27" t="b">
        <f t="shared" si="10"/>
        <v>0</v>
      </c>
      <c r="F204" s="28" t="str">
        <f t="shared" si="11"/>
        <v/>
      </c>
      <c r="I204" s="20"/>
      <c r="J204" s="19"/>
    </row>
    <row r="205" spans="1:10" x14ac:dyDescent="0.25">
      <c r="A205" s="25"/>
      <c r="B205" s="26"/>
      <c r="C205" s="26"/>
      <c r="D205" s="29" t="str">
        <f t="shared" si="9"/>
        <v/>
      </c>
      <c r="E205" s="27" t="b">
        <f t="shared" si="10"/>
        <v>0</v>
      </c>
      <c r="F205" s="28" t="str">
        <f t="shared" si="11"/>
        <v/>
      </c>
      <c r="I205" s="20"/>
      <c r="J205" s="19"/>
    </row>
    <row r="206" spans="1:10" x14ac:dyDescent="0.25">
      <c r="A206" s="25"/>
      <c r="B206" s="26"/>
      <c r="C206" s="26"/>
      <c r="D206" s="29" t="str">
        <f t="shared" si="9"/>
        <v/>
      </c>
      <c r="E206" s="27" t="b">
        <f t="shared" si="10"/>
        <v>0</v>
      </c>
      <c r="F206" s="28" t="str">
        <f t="shared" si="11"/>
        <v/>
      </c>
      <c r="I206" s="20"/>
      <c r="J206" s="19"/>
    </row>
    <row r="207" spans="1:10" x14ac:dyDescent="0.25">
      <c r="A207" s="25"/>
      <c r="B207" s="26"/>
      <c r="C207" s="26"/>
      <c r="D207" s="29" t="str">
        <f t="shared" si="9"/>
        <v/>
      </c>
      <c r="E207" s="27" t="b">
        <f t="shared" si="10"/>
        <v>0</v>
      </c>
      <c r="F207" s="28" t="str">
        <f t="shared" si="11"/>
        <v/>
      </c>
      <c r="I207" s="20"/>
      <c r="J207" s="19"/>
    </row>
    <row r="208" spans="1:10" x14ac:dyDescent="0.25">
      <c r="A208" s="25"/>
      <c r="B208" s="26"/>
      <c r="C208" s="26"/>
      <c r="D208" s="29" t="str">
        <f t="shared" si="9"/>
        <v/>
      </c>
      <c r="E208" s="27" t="b">
        <f t="shared" si="10"/>
        <v>0</v>
      </c>
      <c r="F208" s="28" t="str">
        <f t="shared" si="11"/>
        <v/>
      </c>
      <c r="I208" s="20"/>
      <c r="J208" s="19"/>
    </row>
    <row r="209" spans="1:10" x14ac:dyDescent="0.25">
      <c r="A209" s="25"/>
      <c r="B209" s="26"/>
      <c r="C209" s="26"/>
      <c r="D209" s="29" t="str">
        <f t="shared" si="9"/>
        <v/>
      </c>
      <c r="E209" s="27" t="b">
        <f t="shared" si="10"/>
        <v>0</v>
      </c>
      <c r="F209" s="28" t="str">
        <f t="shared" si="11"/>
        <v/>
      </c>
      <c r="I209" s="20"/>
      <c r="J209" s="19"/>
    </row>
    <row r="210" spans="1:10" x14ac:dyDescent="0.25">
      <c r="A210" s="25"/>
      <c r="B210" s="26"/>
      <c r="C210" s="26"/>
      <c r="D210" s="29" t="str">
        <f t="shared" si="9"/>
        <v/>
      </c>
      <c r="E210" s="27" t="b">
        <f t="shared" si="10"/>
        <v>0</v>
      </c>
      <c r="F210" s="28" t="str">
        <f t="shared" si="11"/>
        <v/>
      </c>
      <c r="I210" s="20"/>
      <c r="J210" s="19"/>
    </row>
    <row r="211" spans="1:10" x14ac:dyDescent="0.25">
      <c r="A211" s="25"/>
      <c r="B211" s="26"/>
      <c r="C211" s="26"/>
      <c r="D211" s="29" t="str">
        <f t="shared" si="9"/>
        <v/>
      </c>
      <c r="E211" s="27" t="b">
        <f t="shared" si="10"/>
        <v>0</v>
      </c>
      <c r="F211" s="28" t="str">
        <f t="shared" si="11"/>
        <v/>
      </c>
      <c r="I211" s="20"/>
      <c r="J211" s="19"/>
    </row>
    <row r="212" spans="1:10" x14ac:dyDescent="0.25">
      <c r="A212" s="25"/>
      <c r="B212" s="26"/>
      <c r="C212" s="26"/>
      <c r="D212" s="29" t="str">
        <f t="shared" si="9"/>
        <v/>
      </c>
      <c r="E212" s="27" t="b">
        <f t="shared" si="10"/>
        <v>0</v>
      </c>
      <c r="F212" s="28" t="str">
        <f t="shared" si="11"/>
        <v/>
      </c>
      <c r="I212" s="20"/>
      <c r="J212" s="19"/>
    </row>
    <row r="213" spans="1:10" x14ac:dyDescent="0.25">
      <c r="A213" s="25"/>
      <c r="B213" s="26"/>
      <c r="C213" s="26"/>
      <c r="D213" s="29" t="str">
        <f t="shared" si="9"/>
        <v/>
      </c>
      <c r="E213" s="27" t="b">
        <f t="shared" si="10"/>
        <v>0</v>
      </c>
      <c r="F213" s="28" t="str">
        <f t="shared" si="11"/>
        <v/>
      </c>
      <c r="I213" s="20"/>
      <c r="J213" s="19"/>
    </row>
    <row r="214" spans="1:10" x14ac:dyDescent="0.25">
      <c r="A214" s="25"/>
      <c r="B214" s="26"/>
      <c r="C214" s="26"/>
      <c r="D214" s="29" t="str">
        <f t="shared" si="9"/>
        <v/>
      </c>
      <c r="E214" s="27" t="b">
        <f t="shared" si="10"/>
        <v>0</v>
      </c>
      <c r="F214" s="28" t="str">
        <f t="shared" si="11"/>
        <v/>
      </c>
      <c r="I214" s="20"/>
      <c r="J214" s="19"/>
    </row>
    <row r="215" spans="1:10" x14ac:dyDescent="0.25">
      <c r="A215" s="25"/>
      <c r="B215" s="26"/>
      <c r="C215" s="26"/>
      <c r="D215" s="29" t="str">
        <f t="shared" si="9"/>
        <v/>
      </c>
      <c r="E215" s="27" t="b">
        <f t="shared" si="10"/>
        <v>0</v>
      </c>
      <c r="F215" s="28" t="str">
        <f t="shared" si="11"/>
        <v/>
      </c>
      <c r="I215" s="20"/>
      <c r="J215" s="19"/>
    </row>
    <row r="216" spans="1:10" x14ac:dyDescent="0.25">
      <c r="A216" s="25"/>
      <c r="B216" s="26"/>
      <c r="C216" s="26"/>
      <c r="D216" s="29" t="str">
        <f t="shared" si="9"/>
        <v/>
      </c>
      <c r="E216" s="27" t="b">
        <f t="shared" si="10"/>
        <v>0</v>
      </c>
      <c r="F216" s="28" t="str">
        <f t="shared" si="11"/>
        <v/>
      </c>
      <c r="I216" s="20"/>
      <c r="J216" s="19"/>
    </row>
    <row r="217" spans="1:10" x14ac:dyDescent="0.25">
      <c r="A217" s="25"/>
      <c r="B217" s="26"/>
      <c r="C217" s="26"/>
      <c r="D217" s="29" t="str">
        <f t="shared" si="9"/>
        <v/>
      </c>
      <c r="E217" s="27" t="b">
        <f t="shared" si="10"/>
        <v>0</v>
      </c>
      <c r="F217" s="28" t="str">
        <f t="shared" si="11"/>
        <v/>
      </c>
      <c r="I217" s="20"/>
      <c r="J217" s="19"/>
    </row>
    <row r="218" spans="1:10" x14ac:dyDescent="0.25">
      <c r="A218" s="25"/>
      <c r="B218" s="26"/>
      <c r="C218" s="26"/>
      <c r="D218" s="29" t="str">
        <f t="shared" si="9"/>
        <v/>
      </c>
      <c r="E218" s="27" t="b">
        <f t="shared" si="10"/>
        <v>0</v>
      </c>
      <c r="F218" s="28" t="str">
        <f t="shared" si="11"/>
        <v/>
      </c>
      <c r="I218" s="20"/>
      <c r="J218" s="19"/>
    </row>
    <row r="219" spans="1:10" x14ac:dyDescent="0.25">
      <c r="A219" s="25"/>
      <c r="B219" s="26"/>
      <c r="C219" s="26"/>
      <c r="D219" s="29" t="str">
        <f t="shared" si="9"/>
        <v/>
      </c>
      <c r="E219" s="27" t="b">
        <f t="shared" si="10"/>
        <v>0</v>
      </c>
      <c r="F219" s="28" t="str">
        <f t="shared" si="11"/>
        <v/>
      </c>
      <c r="I219" s="20"/>
      <c r="J219" s="19"/>
    </row>
    <row r="220" spans="1:10" x14ac:dyDescent="0.25">
      <c r="A220" s="25"/>
      <c r="B220" s="26"/>
      <c r="C220" s="26"/>
      <c r="D220" s="29" t="str">
        <f t="shared" si="9"/>
        <v/>
      </c>
      <c r="E220" s="27" t="b">
        <f t="shared" si="10"/>
        <v>0</v>
      </c>
      <c r="F220" s="28" t="str">
        <f t="shared" si="11"/>
        <v/>
      </c>
      <c r="I220" s="20"/>
      <c r="J220" s="19"/>
    </row>
    <row r="221" spans="1:10" x14ac:dyDescent="0.25">
      <c r="A221" s="25"/>
      <c r="B221" s="26"/>
      <c r="C221" s="26"/>
      <c r="D221" s="29" t="str">
        <f t="shared" si="9"/>
        <v/>
      </c>
      <c r="E221" s="27" t="b">
        <f t="shared" si="10"/>
        <v>0</v>
      </c>
      <c r="F221" s="28" t="str">
        <f t="shared" si="11"/>
        <v/>
      </c>
      <c r="I221" s="20"/>
      <c r="J221" s="19"/>
    </row>
    <row r="222" spans="1:10" x14ac:dyDescent="0.25">
      <c r="A222" s="25"/>
      <c r="B222" s="26"/>
      <c r="C222" s="26"/>
      <c r="D222" s="29" t="str">
        <f t="shared" si="9"/>
        <v/>
      </c>
      <c r="E222" s="27" t="b">
        <f t="shared" si="10"/>
        <v>0</v>
      </c>
      <c r="F222" s="28" t="str">
        <f t="shared" si="11"/>
        <v/>
      </c>
      <c r="I222" s="20"/>
      <c r="J222" s="19"/>
    </row>
    <row r="223" spans="1:10" x14ac:dyDescent="0.25">
      <c r="A223" s="25"/>
      <c r="B223" s="26"/>
      <c r="C223" s="26"/>
      <c r="D223" s="29" t="str">
        <f t="shared" si="9"/>
        <v/>
      </c>
      <c r="E223" s="27" t="b">
        <f t="shared" si="10"/>
        <v>0</v>
      </c>
      <c r="F223" s="28" t="str">
        <f t="shared" si="11"/>
        <v/>
      </c>
      <c r="I223" s="20"/>
      <c r="J223" s="19"/>
    </row>
    <row r="224" spans="1:10" x14ac:dyDescent="0.25">
      <c r="A224" s="25"/>
      <c r="B224" s="26"/>
      <c r="C224" s="26"/>
      <c r="D224" s="29" t="str">
        <f t="shared" si="9"/>
        <v/>
      </c>
      <c r="E224" s="27" t="b">
        <f t="shared" si="10"/>
        <v>0</v>
      </c>
      <c r="F224" s="28" t="str">
        <f t="shared" si="11"/>
        <v/>
      </c>
      <c r="I224" s="20"/>
      <c r="J224" s="19"/>
    </row>
    <row r="225" spans="1:10" x14ac:dyDescent="0.25">
      <c r="A225" s="25"/>
      <c r="B225" s="26"/>
      <c r="C225" s="26"/>
      <c r="D225" s="29" t="str">
        <f t="shared" si="9"/>
        <v/>
      </c>
      <c r="E225" s="27" t="b">
        <f t="shared" si="10"/>
        <v>0</v>
      </c>
      <c r="F225" s="28" t="str">
        <f t="shared" si="11"/>
        <v/>
      </c>
      <c r="I225" s="20"/>
      <c r="J225" s="19"/>
    </row>
    <row r="226" spans="1:10" x14ac:dyDescent="0.25">
      <c r="A226" s="25"/>
      <c r="B226" s="26"/>
      <c r="C226" s="26"/>
      <c r="D226" s="29" t="str">
        <f t="shared" si="9"/>
        <v/>
      </c>
      <c r="E226" s="27" t="b">
        <f t="shared" si="10"/>
        <v>0</v>
      </c>
      <c r="F226" s="28" t="str">
        <f t="shared" si="11"/>
        <v/>
      </c>
      <c r="I226" s="20"/>
      <c r="J226" s="19"/>
    </row>
    <row r="227" spans="1:10" x14ac:dyDescent="0.25">
      <c r="A227" s="25"/>
      <c r="B227" s="26"/>
      <c r="C227" s="26"/>
      <c r="D227" s="29" t="str">
        <f t="shared" si="9"/>
        <v/>
      </c>
      <c r="E227" s="27" t="b">
        <f t="shared" si="10"/>
        <v>0</v>
      </c>
      <c r="F227" s="28" t="str">
        <f t="shared" si="11"/>
        <v/>
      </c>
      <c r="I227" s="20"/>
      <c r="J227" s="19"/>
    </row>
    <row r="228" spans="1:10" x14ac:dyDescent="0.25">
      <c r="A228" s="25"/>
      <c r="B228" s="26"/>
      <c r="C228" s="26"/>
      <c r="D228" s="29" t="str">
        <f t="shared" ref="D228:D291" si="12">IF(B228&lt;&gt;"",VLOOKUP(B228,$I:$J,2,FALSE),"")</f>
        <v/>
      </c>
      <c r="E228" s="27" t="b">
        <f t="shared" si="10"/>
        <v>0</v>
      </c>
      <c r="F228" s="28" t="str">
        <f t="shared" si="11"/>
        <v/>
      </c>
      <c r="I228" s="20"/>
      <c r="J228" s="19"/>
    </row>
    <row r="229" spans="1:10" x14ac:dyDescent="0.25">
      <c r="A229" s="25"/>
      <c r="B229" s="26"/>
      <c r="C229" s="26"/>
      <c r="D229" s="29" t="str">
        <f t="shared" si="12"/>
        <v/>
      </c>
      <c r="E229" s="27" t="b">
        <f t="shared" si="10"/>
        <v>0</v>
      </c>
      <c r="F229" s="28" t="str">
        <f t="shared" si="11"/>
        <v/>
      </c>
      <c r="I229" s="20"/>
      <c r="J229" s="19"/>
    </row>
    <row r="230" spans="1:10" x14ac:dyDescent="0.25">
      <c r="A230" s="25"/>
      <c r="B230" s="26"/>
      <c r="C230" s="26"/>
      <c r="D230" s="29" t="str">
        <f t="shared" si="12"/>
        <v/>
      </c>
      <c r="E230" s="27" t="b">
        <f t="shared" si="10"/>
        <v>0</v>
      </c>
      <c r="F230" s="28" t="str">
        <f t="shared" si="11"/>
        <v/>
      </c>
      <c r="I230" s="20"/>
      <c r="J230" s="19"/>
    </row>
    <row r="231" spans="1:10" x14ac:dyDescent="0.25">
      <c r="A231" s="25"/>
      <c r="B231" s="26"/>
      <c r="C231" s="26"/>
      <c r="D231" s="29" t="str">
        <f t="shared" si="12"/>
        <v/>
      </c>
      <c r="E231" s="27" t="b">
        <f t="shared" si="10"/>
        <v>0</v>
      </c>
      <c r="F231" s="28" t="str">
        <f t="shared" si="11"/>
        <v/>
      </c>
      <c r="I231" s="20"/>
      <c r="J231" s="19"/>
    </row>
    <row r="232" spans="1:10" x14ac:dyDescent="0.25">
      <c r="A232" s="25"/>
      <c r="B232" s="26"/>
      <c r="C232" s="26"/>
      <c r="D232" s="29" t="str">
        <f t="shared" si="12"/>
        <v/>
      </c>
      <c r="E232" s="27" t="b">
        <f t="shared" si="10"/>
        <v>0</v>
      </c>
      <c r="F232" s="28" t="str">
        <f t="shared" si="11"/>
        <v/>
      </c>
      <c r="I232" s="20"/>
      <c r="J232" s="19"/>
    </row>
    <row r="233" spans="1:10" x14ac:dyDescent="0.25">
      <c r="A233" s="25"/>
      <c r="B233" s="26"/>
      <c r="C233" s="26"/>
      <c r="D233" s="29" t="str">
        <f t="shared" si="12"/>
        <v/>
      </c>
      <c r="E233" s="27" t="b">
        <f t="shared" si="10"/>
        <v>0</v>
      </c>
      <c r="F233" s="28" t="str">
        <f t="shared" si="11"/>
        <v/>
      </c>
      <c r="I233" s="20"/>
      <c r="J233" s="19"/>
    </row>
    <row r="234" spans="1:10" x14ac:dyDescent="0.25">
      <c r="A234" s="25"/>
      <c r="B234" s="26"/>
      <c r="C234" s="26"/>
      <c r="D234" s="29" t="str">
        <f t="shared" si="12"/>
        <v/>
      </c>
      <c r="E234" s="27" t="b">
        <f t="shared" si="10"/>
        <v>0</v>
      </c>
      <c r="F234" s="28" t="str">
        <f t="shared" si="11"/>
        <v/>
      </c>
      <c r="I234" s="20"/>
      <c r="J234" s="19"/>
    </row>
    <row r="235" spans="1:10" x14ac:dyDescent="0.25">
      <c r="A235" s="25"/>
      <c r="B235" s="26"/>
      <c r="C235" s="26"/>
      <c r="D235" s="29" t="str">
        <f t="shared" si="12"/>
        <v/>
      </c>
      <c r="E235" s="27" t="b">
        <f t="shared" si="10"/>
        <v>0</v>
      </c>
      <c r="F235" s="28" t="str">
        <f t="shared" si="11"/>
        <v/>
      </c>
      <c r="I235" s="20"/>
      <c r="J235" s="19"/>
    </row>
    <row r="236" spans="1:10" x14ac:dyDescent="0.25">
      <c r="A236" s="25"/>
      <c r="B236" s="26"/>
      <c r="C236" s="26"/>
      <c r="D236" s="29" t="str">
        <f t="shared" si="12"/>
        <v/>
      </c>
      <c r="E236" s="27" t="b">
        <f t="shared" si="10"/>
        <v>0</v>
      </c>
      <c r="F236" s="28" t="str">
        <f t="shared" si="11"/>
        <v/>
      </c>
      <c r="I236" s="20"/>
      <c r="J236" s="19"/>
    </row>
    <row r="237" spans="1:10" x14ac:dyDescent="0.25">
      <c r="A237" s="25"/>
      <c r="B237" s="26"/>
      <c r="C237" s="26"/>
      <c r="D237" s="29" t="str">
        <f t="shared" si="12"/>
        <v/>
      </c>
      <c r="E237" s="27" t="b">
        <f t="shared" si="10"/>
        <v>0</v>
      </c>
      <c r="F237" s="28" t="str">
        <f t="shared" si="11"/>
        <v/>
      </c>
      <c r="I237" s="20"/>
      <c r="J237" s="19"/>
    </row>
    <row r="238" spans="1:10" x14ac:dyDescent="0.25">
      <c r="A238" s="25"/>
      <c r="B238" s="26"/>
      <c r="C238" s="26"/>
      <c r="D238" s="29" t="str">
        <f t="shared" si="12"/>
        <v/>
      </c>
      <c r="E238" s="27" t="b">
        <f t="shared" si="10"/>
        <v>0</v>
      </c>
      <c r="F238" s="28" t="str">
        <f t="shared" si="11"/>
        <v/>
      </c>
      <c r="I238" s="20"/>
      <c r="J238" s="19"/>
    </row>
    <row r="239" spans="1:10" x14ac:dyDescent="0.25">
      <c r="A239" s="25"/>
      <c r="B239" s="26"/>
      <c r="C239" s="26"/>
      <c r="D239" s="29" t="str">
        <f t="shared" si="12"/>
        <v/>
      </c>
      <c r="E239" s="27" t="b">
        <f t="shared" si="10"/>
        <v>0</v>
      </c>
      <c r="F239" s="28" t="str">
        <f t="shared" si="11"/>
        <v/>
      </c>
      <c r="I239" s="20"/>
      <c r="J239" s="19"/>
    </row>
    <row r="240" spans="1:10" x14ac:dyDescent="0.25">
      <c r="A240" s="25"/>
      <c r="B240" s="26"/>
      <c r="C240" s="26"/>
      <c r="D240" s="29" t="str">
        <f t="shared" si="12"/>
        <v/>
      </c>
      <c r="E240" s="27" t="b">
        <f t="shared" si="10"/>
        <v>0</v>
      </c>
      <c r="F240" s="28" t="str">
        <f t="shared" si="11"/>
        <v/>
      </c>
      <c r="I240" s="20"/>
      <c r="J240" s="19"/>
    </row>
    <row r="241" spans="1:10" x14ac:dyDescent="0.25">
      <c r="A241" s="25"/>
      <c r="B241" s="26"/>
      <c r="C241" s="26"/>
      <c r="D241" s="29" t="str">
        <f t="shared" si="12"/>
        <v/>
      </c>
      <c r="E241" s="27" t="b">
        <f t="shared" si="10"/>
        <v>0</v>
      </c>
      <c r="F241" s="28" t="str">
        <f t="shared" si="11"/>
        <v/>
      </c>
      <c r="I241" s="20"/>
      <c r="J241" s="19"/>
    </row>
    <row r="242" spans="1:10" x14ac:dyDescent="0.25">
      <c r="A242" s="25"/>
      <c r="B242" s="26"/>
      <c r="C242" s="26"/>
      <c r="D242" s="29" t="str">
        <f t="shared" si="12"/>
        <v/>
      </c>
      <c r="E242" s="27" t="b">
        <f t="shared" si="10"/>
        <v>0</v>
      </c>
      <c r="F242" s="28" t="str">
        <f t="shared" si="11"/>
        <v/>
      </c>
      <c r="I242" s="20"/>
      <c r="J242" s="19"/>
    </row>
    <row r="243" spans="1:10" x14ac:dyDescent="0.25">
      <c r="A243" s="25"/>
      <c r="B243" s="26"/>
      <c r="C243" s="26"/>
      <c r="D243" s="29" t="str">
        <f t="shared" si="12"/>
        <v/>
      </c>
      <c r="E243" s="27" t="b">
        <f t="shared" si="10"/>
        <v>0</v>
      </c>
      <c r="F243" s="28" t="str">
        <f t="shared" si="11"/>
        <v/>
      </c>
      <c r="I243" s="20"/>
      <c r="J243" s="19"/>
    </row>
    <row r="244" spans="1:10" x14ac:dyDescent="0.25">
      <c r="A244" s="25"/>
      <c r="B244" s="26"/>
      <c r="C244" s="26"/>
      <c r="D244" s="29" t="str">
        <f t="shared" si="12"/>
        <v/>
      </c>
      <c r="E244" s="27" t="b">
        <f t="shared" si="10"/>
        <v>0</v>
      </c>
      <c r="F244" s="28" t="str">
        <f t="shared" si="11"/>
        <v/>
      </c>
      <c r="I244" s="20"/>
      <c r="J244" s="19"/>
    </row>
    <row r="245" spans="1:10" x14ac:dyDescent="0.25">
      <c r="A245" s="25"/>
      <c r="B245" s="26"/>
      <c r="C245" s="26"/>
      <c r="D245" s="29" t="str">
        <f t="shared" si="12"/>
        <v/>
      </c>
      <c r="E245" s="27" t="b">
        <f t="shared" si="10"/>
        <v>0</v>
      </c>
      <c r="F245" s="28" t="str">
        <f t="shared" si="11"/>
        <v/>
      </c>
      <c r="I245" s="20"/>
      <c r="J245" s="19"/>
    </row>
    <row r="246" spans="1:10" x14ac:dyDescent="0.25">
      <c r="A246" s="25"/>
      <c r="B246" s="26"/>
      <c r="C246" s="26"/>
      <c r="D246" s="29" t="str">
        <f t="shared" si="12"/>
        <v/>
      </c>
      <c r="E246" s="27" t="b">
        <f t="shared" si="10"/>
        <v>0</v>
      </c>
      <c r="F246" s="28" t="str">
        <f t="shared" si="11"/>
        <v/>
      </c>
      <c r="I246" s="20"/>
      <c r="J246" s="19"/>
    </row>
    <row r="247" spans="1:10" x14ac:dyDescent="0.25">
      <c r="A247" s="25"/>
      <c r="B247" s="26"/>
      <c r="C247" s="26"/>
      <c r="D247" s="29" t="str">
        <f t="shared" si="12"/>
        <v/>
      </c>
      <c r="E247" s="27" t="b">
        <f t="shared" si="10"/>
        <v>0</v>
      </c>
      <c r="F247" s="28" t="str">
        <f t="shared" si="11"/>
        <v/>
      </c>
      <c r="I247" s="20"/>
      <c r="J247" s="19"/>
    </row>
    <row r="248" spans="1:10" x14ac:dyDescent="0.25">
      <c r="A248" s="25"/>
      <c r="B248" s="26"/>
      <c r="C248" s="26"/>
      <c r="D248" s="29" t="str">
        <f t="shared" si="12"/>
        <v/>
      </c>
      <c r="E248" s="27" t="b">
        <f t="shared" si="10"/>
        <v>0</v>
      </c>
      <c r="F248" s="28" t="str">
        <f t="shared" si="11"/>
        <v/>
      </c>
      <c r="I248" s="20"/>
      <c r="J248" s="19"/>
    </row>
    <row r="249" spans="1:10" x14ac:dyDescent="0.25">
      <c r="A249" s="25"/>
      <c r="B249" s="26"/>
      <c r="C249" s="26"/>
      <c r="D249" s="29" t="str">
        <f t="shared" si="12"/>
        <v/>
      </c>
      <c r="E249" s="27" t="b">
        <f t="shared" si="10"/>
        <v>0</v>
      </c>
      <c r="F249" s="28" t="str">
        <f t="shared" si="11"/>
        <v/>
      </c>
      <c r="I249" s="20"/>
      <c r="J249" s="19"/>
    </row>
    <row r="250" spans="1:10" x14ac:dyDescent="0.25">
      <c r="A250" s="25"/>
      <c r="B250" s="26"/>
      <c r="C250" s="26"/>
      <c r="D250" s="29" t="str">
        <f t="shared" si="12"/>
        <v/>
      </c>
      <c r="E250" s="27" t="b">
        <f t="shared" si="10"/>
        <v>0</v>
      </c>
      <c r="F250" s="28" t="str">
        <f t="shared" si="11"/>
        <v/>
      </c>
      <c r="I250" s="20"/>
      <c r="J250" s="19"/>
    </row>
    <row r="251" spans="1:10" x14ac:dyDescent="0.25">
      <c r="A251" s="25"/>
      <c r="B251" s="26"/>
      <c r="C251" s="26"/>
      <c r="D251" s="29" t="str">
        <f t="shared" si="12"/>
        <v/>
      </c>
      <c r="E251" s="27" t="b">
        <f t="shared" si="10"/>
        <v>0</v>
      </c>
      <c r="F251" s="28" t="str">
        <f t="shared" si="11"/>
        <v/>
      </c>
      <c r="I251" s="20"/>
      <c r="J251" s="19"/>
    </row>
    <row r="252" spans="1:10" x14ac:dyDescent="0.25">
      <c r="A252" s="25"/>
      <c r="B252" s="26"/>
      <c r="C252" s="26"/>
      <c r="D252" s="29" t="str">
        <f t="shared" si="12"/>
        <v/>
      </c>
      <c r="E252" s="27" t="b">
        <f t="shared" si="10"/>
        <v>0</v>
      </c>
      <c r="F252" s="28" t="str">
        <f t="shared" si="11"/>
        <v/>
      </c>
      <c r="I252" s="20"/>
      <c r="J252" s="19"/>
    </row>
    <row r="253" spans="1:10" x14ac:dyDescent="0.25">
      <c r="A253" s="25"/>
      <c r="B253" s="26"/>
      <c r="C253" s="26"/>
      <c r="D253" s="29" t="str">
        <f t="shared" si="12"/>
        <v/>
      </c>
      <c r="E253" s="27" t="b">
        <f t="shared" si="10"/>
        <v>0</v>
      </c>
      <c r="F253" s="28" t="str">
        <f t="shared" si="11"/>
        <v/>
      </c>
      <c r="I253" s="20"/>
      <c r="J253" s="19"/>
    </row>
    <row r="254" spans="1:10" x14ac:dyDescent="0.25">
      <c r="A254" s="25"/>
      <c r="B254" s="26"/>
      <c r="C254" s="26"/>
      <c r="D254" s="29" t="str">
        <f t="shared" si="12"/>
        <v/>
      </c>
      <c r="E254" s="27" t="b">
        <f t="shared" si="10"/>
        <v>0</v>
      </c>
      <c r="F254" s="28" t="str">
        <f t="shared" si="11"/>
        <v/>
      </c>
      <c r="I254" s="20"/>
      <c r="J254" s="19"/>
    </row>
    <row r="255" spans="1:10" x14ac:dyDescent="0.25">
      <c r="A255" s="25"/>
      <c r="B255" s="26"/>
      <c r="C255" s="26"/>
      <c r="D255" s="29" t="str">
        <f t="shared" si="12"/>
        <v/>
      </c>
      <c r="E255" s="27" t="b">
        <f t="shared" si="10"/>
        <v>0</v>
      </c>
      <c r="F255" s="28" t="str">
        <f t="shared" si="11"/>
        <v/>
      </c>
      <c r="I255" s="20"/>
      <c r="J255" s="19"/>
    </row>
    <row r="256" spans="1:10" x14ac:dyDescent="0.25">
      <c r="A256" s="25"/>
      <c r="B256" s="26"/>
      <c r="C256" s="26"/>
      <c r="D256" s="29" t="str">
        <f t="shared" si="12"/>
        <v/>
      </c>
      <c r="E256" s="27" t="b">
        <f t="shared" si="10"/>
        <v>0</v>
      </c>
      <c r="F256" s="28" t="str">
        <f t="shared" si="11"/>
        <v/>
      </c>
      <c r="I256" s="20"/>
      <c r="J256" s="19"/>
    </row>
    <row r="257" spans="1:10" x14ac:dyDescent="0.25">
      <c r="A257" s="25"/>
      <c r="B257" s="26"/>
      <c r="C257" s="26"/>
      <c r="D257" s="29" t="str">
        <f t="shared" si="12"/>
        <v/>
      </c>
      <c r="E257" s="27" t="b">
        <f t="shared" si="10"/>
        <v>0</v>
      </c>
      <c r="F257" s="28" t="str">
        <f t="shared" si="11"/>
        <v/>
      </c>
      <c r="I257" s="20"/>
      <c r="J257" s="19"/>
    </row>
    <row r="258" spans="1:10" x14ac:dyDescent="0.25">
      <c r="A258" s="25"/>
      <c r="B258" s="26"/>
      <c r="C258" s="26"/>
      <c r="D258" s="29" t="str">
        <f t="shared" si="12"/>
        <v/>
      </c>
      <c r="E258" s="27" t="b">
        <f t="shared" si="10"/>
        <v>0</v>
      </c>
      <c r="F258" s="28" t="str">
        <f t="shared" si="11"/>
        <v/>
      </c>
      <c r="I258" s="20"/>
      <c r="J258" s="19"/>
    </row>
    <row r="259" spans="1:10" x14ac:dyDescent="0.25">
      <c r="A259" s="25"/>
      <c r="B259" s="26"/>
      <c r="C259" s="26"/>
      <c r="D259" s="29" t="str">
        <f t="shared" si="12"/>
        <v/>
      </c>
      <c r="E259" s="27" t="b">
        <f t="shared" si="10"/>
        <v>0</v>
      </c>
      <c r="F259" s="28" t="str">
        <f t="shared" si="11"/>
        <v/>
      </c>
      <c r="I259" s="20"/>
      <c r="J259" s="19"/>
    </row>
    <row r="260" spans="1:10" x14ac:dyDescent="0.25">
      <c r="A260" s="25"/>
      <c r="B260" s="26"/>
      <c r="C260" s="26"/>
      <c r="D260" s="29" t="str">
        <f t="shared" si="12"/>
        <v/>
      </c>
      <c r="E260" s="27" t="b">
        <f t="shared" ref="E260:E323" si="13">IF(C260&lt;&gt;"",IF(C260&lt;$I$6,$J$6,IF(AND(C260&gt;=$H$7,C260&lt;$I$7),$J$7,IF(AND(C260&gt;=$H$8,C260&lt;$I$8),$J$8,IF(AND(C260&gt;=$H$9,C260&lt;$I$9),$J$9,IF(AND(C260&gt;=$H$10,C260&lt;$I$10),$J$10,IF(AND(C260&gt;=$H$11,C260&lt;$I$11),$J$11,IF(AND(C260&gt;=$H$12,C260&lt;$I$12),$J$12,IF(AND(C260&gt;=$H$13,C260&lt;$I$13),$J$13,IF(C260&gt;=$H$14,$J$14,""))))))))))</f>
        <v>0</v>
      </c>
      <c r="F260" s="28" t="str">
        <f t="shared" si="11"/>
        <v/>
      </c>
      <c r="I260" s="20"/>
      <c r="J260" s="19"/>
    </row>
    <row r="261" spans="1:10" x14ac:dyDescent="0.25">
      <c r="A261" s="25"/>
      <c r="B261" s="26"/>
      <c r="C261" s="26"/>
      <c r="D261" s="29" t="str">
        <f t="shared" si="12"/>
        <v/>
      </c>
      <c r="E261" s="27" t="b">
        <f t="shared" si="13"/>
        <v>0</v>
      </c>
      <c r="F261" s="28" t="str">
        <f t="shared" ref="F261:F324" si="14">IF(AND(C261&lt;&gt;"",B261&lt;&gt;""),C261*D261+C261*E261,"")</f>
        <v/>
      </c>
      <c r="I261" s="20"/>
      <c r="J261" s="19"/>
    </row>
    <row r="262" spans="1:10" x14ac:dyDescent="0.25">
      <c r="A262" s="25"/>
      <c r="B262" s="26"/>
      <c r="C262" s="26"/>
      <c r="D262" s="29" t="str">
        <f t="shared" si="12"/>
        <v/>
      </c>
      <c r="E262" s="27" t="b">
        <f t="shared" si="13"/>
        <v>0</v>
      </c>
      <c r="F262" s="28" t="str">
        <f t="shared" si="14"/>
        <v/>
      </c>
      <c r="I262" s="20"/>
      <c r="J262" s="19"/>
    </row>
    <row r="263" spans="1:10" x14ac:dyDescent="0.25">
      <c r="A263" s="25"/>
      <c r="B263" s="26"/>
      <c r="C263" s="26"/>
      <c r="D263" s="29" t="str">
        <f t="shared" si="12"/>
        <v/>
      </c>
      <c r="E263" s="27" t="b">
        <f t="shared" si="13"/>
        <v>0</v>
      </c>
      <c r="F263" s="28" t="str">
        <f t="shared" si="14"/>
        <v/>
      </c>
      <c r="I263" s="20"/>
      <c r="J263" s="19"/>
    </row>
    <row r="264" spans="1:10" x14ac:dyDescent="0.25">
      <c r="A264" s="25"/>
      <c r="B264" s="26"/>
      <c r="C264" s="26"/>
      <c r="D264" s="29" t="str">
        <f t="shared" si="12"/>
        <v/>
      </c>
      <c r="E264" s="27" t="b">
        <f t="shared" si="13"/>
        <v>0</v>
      </c>
      <c r="F264" s="28" t="str">
        <f t="shared" si="14"/>
        <v/>
      </c>
      <c r="I264" s="20"/>
      <c r="J264" s="19"/>
    </row>
    <row r="265" spans="1:10" x14ac:dyDescent="0.25">
      <c r="A265" s="25"/>
      <c r="B265" s="26"/>
      <c r="C265" s="26"/>
      <c r="D265" s="29" t="str">
        <f t="shared" si="12"/>
        <v/>
      </c>
      <c r="E265" s="27" t="b">
        <f t="shared" si="13"/>
        <v>0</v>
      </c>
      <c r="F265" s="28" t="str">
        <f t="shared" si="14"/>
        <v/>
      </c>
      <c r="I265" s="20"/>
      <c r="J265" s="19"/>
    </row>
    <row r="266" spans="1:10" x14ac:dyDescent="0.25">
      <c r="A266" s="25"/>
      <c r="B266" s="26"/>
      <c r="C266" s="26"/>
      <c r="D266" s="29" t="str">
        <f t="shared" si="12"/>
        <v/>
      </c>
      <c r="E266" s="27" t="b">
        <f t="shared" si="13"/>
        <v>0</v>
      </c>
      <c r="F266" s="28" t="str">
        <f t="shared" si="14"/>
        <v/>
      </c>
      <c r="I266" s="20"/>
      <c r="J266" s="19"/>
    </row>
    <row r="267" spans="1:10" x14ac:dyDescent="0.25">
      <c r="A267" s="25"/>
      <c r="B267" s="26"/>
      <c r="C267" s="26"/>
      <c r="D267" s="29" t="str">
        <f t="shared" si="12"/>
        <v/>
      </c>
      <c r="E267" s="27" t="b">
        <f t="shared" si="13"/>
        <v>0</v>
      </c>
      <c r="F267" s="28" t="str">
        <f t="shared" si="14"/>
        <v/>
      </c>
      <c r="I267" s="20"/>
      <c r="J267" s="19"/>
    </row>
    <row r="268" spans="1:10" x14ac:dyDescent="0.25">
      <c r="A268" s="25"/>
      <c r="B268" s="26"/>
      <c r="C268" s="26"/>
      <c r="D268" s="29" t="str">
        <f t="shared" si="12"/>
        <v/>
      </c>
      <c r="E268" s="27" t="b">
        <f t="shared" si="13"/>
        <v>0</v>
      </c>
      <c r="F268" s="28" t="str">
        <f t="shared" si="14"/>
        <v/>
      </c>
      <c r="I268" s="20"/>
      <c r="J268" s="19"/>
    </row>
    <row r="269" spans="1:10" x14ac:dyDescent="0.25">
      <c r="A269" s="25"/>
      <c r="B269" s="26"/>
      <c r="C269" s="26"/>
      <c r="D269" s="29" t="str">
        <f t="shared" si="12"/>
        <v/>
      </c>
      <c r="E269" s="27" t="b">
        <f t="shared" si="13"/>
        <v>0</v>
      </c>
      <c r="F269" s="28" t="str">
        <f t="shared" si="14"/>
        <v/>
      </c>
      <c r="I269" s="20"/>
      <c r="J269" s="19"/>
    </row>
    <row r="270" spans="1:10" x14ac:dyDescent="0.25">
      <c r="A270" s="25"/>
      <c r="B270" s="26"/>
      <c r="C270" s="26"/>
      <c r="D270" s="29" t="str">
        <f t="shared" si="12"/>
        <v/>
      </c>
      <c r="E270" s="27" t="b">
        <f t="shared" si="13"/>
        <v>0</v>
      </c>
      <c r="F270" s="28" t="str">
        <f t="shared" si="14"/>
        <v/>
      </c>
      <c r="I270" s="20"/>
      <c r="J270" s="19"/>
    </row>
    <row r="271" spans="1:10" x14ac:dyDescent="0.25">
      <c r="A271" s="25"/>
      <c r="B271" s="26"/>
      <c r="C271" s="26"/>
      <c r="D271" s="29" t="str">
        <f t="shared" si="12"/>
        <v/>
      </c>
      <c r="E271" s="27" t="b">
        <f t="shared" si="13"/>
        <v>0</v>
      </c>
      <c r="F271" s="28" t="str">
        <f t="shared" si="14"/>
        <v/>
      </c>
      <c r="I271" s="20"/>
      <c r="J271" s="19"/>
    </row>
    <row r="272" spans="1:10" x14ac:dyDescent="0.25">
      <c r="A272" s="25"/>
      <c r="B272" s="26"/>
      <c r="C272" s="26"/>
      <c r="D272" s="29" t="str">
        <f t="shared" si="12"/>
        <v/>
      </c>
      <c r="E272" s="27" t="b">
        <f t="shared" si="13"/>
        <v>0</v>
      </c>
      <c r="F272" s="28" t="str">
        <f t="shared" si="14"/>
        <v/>
      </c>
      <c r="I272" s="20"/>
      <c r="J272" s="19"/>
    </row>
    <row r="273" spans="1:10" x14ac:dyDescent="0.25">
      <c r="A273" s="25"/>
      <c r="B273" s="26"/>
      <c r="C273" s="26"/>
      <c r="D273" s="29" t="str">
        <f t="shared" si="12"/>
        <v/>
      </c>
      <c r="E273" s="27" t="b">
        <f t="shared" si="13"/>
        <v>0</v>
      </c>
      <c r="F273" s="28" t="str">
        <f t="shared" si="14"/>
        <v/>
      </c>
      <c r="I273" s="20"/>
      <c r="J273" s="19"/>
    </row>
    <row r="274" spans="1:10" x14ac:dyDescent="0.25">
      <c r="A274" s="25"/>
      <c r="B274" s="26"/>
      <c r="C274" s="26"/>
      <c r="D274" s="29" t="str">
        <f t="shared" si="12"/>
        <v/>
      </c>
      <c r="E274" s="27" t="b">
        <f t="shared" si="13"/>
        <v>0</v>
      </c>
      <c r="F274" s="28" t="str">
        <f t="shared" si="14"/>
        <v/>
      </c>
      <c r="I274" s="20"/>
      <c r="J274" s="19"/>
    </row>
    <row r="275" spans="1:10" x14ac:dyDescent="0.25">
      <c r="A275" s="25"/>
      <c r="B275" s="26"/>
      <c r="C275" s="26"/>
      <c r="D275" s="29" t="str">
        <f t="shared" si="12"/>
        <v/>
      </c>
      <c r="E275" s="27" t="b">
        <f t="shared" si="13"/>
        <v>0</v>
      </c>
      <c r="F275" s="28" t="str">
        <f t="shared" si="14"/>
        <v/>
      </c>
      <c r="I275" s="20"/>
      <c r="J275" s="19"/>
    </row>
    <row r="276" spans="1:10" x14ac:dyDescent="0.25">
      <c r="A276" s="25"/>
      <c r="B276" s="26"/>
      <c r="C276" s="26"/>
      <c r="D276" s="29" t="str">
        <f t="shared" si="12"/>
        <v/>
      </c>
      <c r="E276" s="27" t="b">
        <f t="shared" si="13"/>
        <v>0</v>
      </c>
      <c r="F276" s="28" t="str">
        <f t="shared" si="14"/>
        <v/>
      </c>
      <c r="I276" s="20"/>
      <c r="J276" s="19"/>
    </row>
    <row r="277" spans="1:10" x14ac:dyDescent="0.25">
      <c r="A277" s="25"/>
      <c r="B277" s="26"/>
      <c r="C277" s="26"/>
      <c r="D277" s="29" t="str">
        <f t="shared" si="12"/>
        <v/>
      </c>
      <c r="E277" s="27" t="b">
        <f t="shared" si="13"/>
        <v>0</v>
      </c>
      <c r="F277" s="28" t="str">
        <f t="shared" si="14"/>
        <v/>
      </c>
      <c r="I277" s="20"/>
      <c r="J277" s="19"/>
    </row>
    <row r="278" spans="1:10" x14ac:dyDescent="0.25">
      <c r="A278" s="25"/>
      <c r="B278" s="26"/>
      <c r="C278" s="26"/>
      <c r="D278" s="29" t="str">
        <f t="shared" si="12"/>
        <v/>
      </c>
      <c r="E278" s="27" t="b">
        <f t="shared" si="13"/>
        <v>0</v>
      </c>
      <c r="F278" s="28" t="str">
        <f t="shared" si="14"/>
        <v/>
      </c>
      <c r="I278" s="20"/>
      <c r="J278" s="19"/>
    </row>
    <row r="279" spans="1:10" x14ac:dyDescent="0.25">
      <c r="A279" s="25"/>
      <c r="B279" s="26"/>
      <c r="C279" s="26"/>
      <c r="D279" s="29" t="str">
        <f t="shared" si="12"/>
        <v/>
      </c>
      <c r="E279" s="27" t="b">
        <f t="shared" si="13"/>
        <v>0</v>
      </c>
      <c r="F279" s="28" t="str">
        <f t="shared" si="14"/>
        <v/>
      </c>
      <c r="I279" s="20"/>
      <c r="J279" s="19"/>
    </row>
    <row r="280" spans="1:10" x14ac:dyDescent="0.25">
      <c r="A280" s="25"/>
      <c r="B280" s="26"/>
      <c r="C280" s="26"/>
      <c r="D280" s="29" t="str">
        <f t="shared" si="12"/>
        <v/>
      </c>
      <c r="E280" s="27" t="b">
        <f t="shared" si="13"/>
        <v>0</v>
      </c>
      <c r="F280" s="28" t="str">
        <f t="shared" si="14"/>
        <v/>
      </c>
      <c r="I280" s="20"/>
      <c r="J280" s="19"/>
    </row>
    <row r="281" spans="1:10" x14ac:dyDescent="0.25">
      <c r="A281" s="25"/>
      <c r="B281" s="26"/>
      <c r="C281" s="26"/>
      <c r="D281" s="29" t="str">
        <f t="shared" si="12"/>
        <v/>
      </c>
      <c r="E281" s="27" t="b">
        <f t="shared" si="13"/>
        <v>0</v>
      </c>
      <c r="F281" s="28" t="str">
        <f t="shared" si="14"/>
        <v/>
      </c>
      <c r="I281" s="20"/>
      <c r="J281" s="19"/>
    </row>
    <row r="282" spans="1:10" x14ac:dyDescent="0.25">
      <c r="A282" s="25"/>
      <c r="B282" s="26"/>
      <c r="C282" s="26"/>
      <c r="D282" s="29" t="str">
        <f t="shared" si="12"/>
        <v/>
      </c>
      <c r="E282" s="27" t="b">
        <f t="shared" si="13"/>
        <v>0</v>
      </c>
      <c r="F282" s="28" t="str">
        <f t="shared" si="14"/>
        <v/>
      </c>
      <c r="I282" s="20"/>
      <c r="J282" s="19"/>
    </row>
    <row r="283" spans="1:10" x14ac:dyDescent="0.25">
      <c r="A283" s="25"/>
      <c r="B283" s="26"/>
      <c r="C283" s="26"/>
      <c r="D283" s="29" t="str">
        <f t="shared" si="12"/>
        <v/>
      </c>
      <c r="E283" s="27" t="b">
        <f t="shared" si="13"/>
        <v>0</v>
      </c>
      <c r="F283" s="28" t="str">
        <f t="shared" si="14"/>
        <v/>
      </c>
      <c r="I283" s="20"/>
      <c r="J283" s="19"/>
    </row>
    <row r="284" spans="1:10" x14ac:dyDescent="0.25">
      <c r="A284" s="25"/>
      <c r="B284" s="26"/>
      <c r="C284" s="26"/>
      <c r="D284" s="29" t="str">
        <f t="shared" si="12"/>
        <v/>
      </c>
      <c r="E284" s="27" t="b">
        <f t="shared" si="13"/>
        <v>0</v>
      </c>
      <c r="F284" s="28" t="str">
        <f t="shared" si="14"/>
        <v/>
      </c>
      <c r="I284" s="20"/>
      <c r="J284" s="19"/>
    </row>
    <row r="285" spans="1:10" x14ac:dyDescent="0.25">
      <c r="A285" s="25"/>
      <c r="B285" s="26"/>
      <c r="C285" s="26"/>
      <c r="D285" s="29" t="str">
        <f t="shared" si="12"/>
        <v/>
      </c>
      <c r="E285" s="27" t="b">
        <f t="shared" si="13"/>
        <v>0</v>
      </c>
      <c r="F285" s="28" t="str">
        <f t="shared" si="14"/>
        <v/>
      </c>
      <c r="I285" s="20"/>
      <c r="J285" s="19"/>
    </row>
    <row r="286" spans="1:10" x14ac:dyDescent="0.25">
      <c r="A286" s="25"/>
      <c r="B286" s="26"/>
      <c r="C286" s="26"/>
      <c r="D286" s="29" t="str">
        <f t="shared" si="12"/>
        <v/>
      </c>
      <c r="E286" s="27" t="b">
        <f t="shared" si="13"/>
        <v>0</v>
      </c>
      <c r="F286" s="28" t="str">
        <f t="shared" si="14"/>
        <v/>
      </c>
      <c r="I286" s="20"/>
      <c r="J286" s="19"/>
    </row>
    <row r="287" spans="1:10" x14ac:dyDescent="0.25">
      <c r="A287" s="25"/>
      <c r="B287" s="26"/>
      <c r="C287" s="26"/>
      <c r="D287" s="29" t="str">
        <f t="shared" si="12"/>
        <v/>
      </c>
      <c r="E287" s="27" t="b">
        <f t="shared" si="13"/>
        <v>0</v>
      </c>
      <c r="F287" s="28" t="str">
        <f t="shared" si="14"/>
        <v/>
      </c>
      <c r="I287" s="20"/>
      <c r="J287" s="19"/>
    </row>
    <row r="288" spans="1:10" x14ac:dyDescent="0.25">
      <c r="A288" s="25"/>
      <c r="B288" s="26"/>
      <c r="C288" s="26"/>
      <c r="D288" s="29" t="str">
        <f t="shared" si="12"/>
        <v/>
      </c>
      <c r="E288" s="27" t="b">
        <f t="shared" si="13"/>
        <v>0</v>
      </c>
      <c r="F288" s="28" t="str">
        <f t="shared" si="14"/>
        <v/>
      </c>
      <c r="I288" s="20"/>
      <c r="J288" s="19"/>
    </row>
    <row r="289" spans="1:10" x14ac:dyDescent="0.25">
      <c r="A289" s="25"/>
      <c r="B289" s="26"/>
      <c r="C289" s="26"/>
      <c r="D289" s="29" t="str">
        <f t="shared" si="12"/>
        <v/>
      </c>
      <c r="E289" s="27" t="b">
        <f t="shared" si="13"/>
        <v>0</v>
      </c>
      <c r="F289" s="28" t="str">
        <f t="shared" si="14"/>
        <v/>
      </c>
      <c r="I289" s="20"/>
      <c r="J289" s="19"/>
    </row>
    <row r="290" spans="1:10" x14ac:dyDescent="0.25">
      <c r="A290" s="25"/>
      <c r="B290" s="26"/>
      <c r="C290" s="26"/>
      <c r="D290" s="29" t="str">
        <f t="shared" si="12"/>
        <v/>
      </c>
      <c r="E290" s="27" t="b">
        <f t="shared" si="13"/>
        <v>0</v>
      </c>
      <c r="F290" s="28" t="str">
        <f t="shared" si="14"/>
        <v/>
      </c>
      <c r="I290" s="20"/>
      <c r="J290" s="19"/>
    </row>
    <row r="291" spans="1:10" x14ac:dyDescent="0.25">
      <c r="A291" s="25"/>
      <c r="B291" s="26"/>
      <c r="C291" s="26"/>
      <c r="D291" s="29" t="str">
        <f t="shared" si="12"/>
        <v/>
      </c>
      <c r="E291" s="27" t="b">
        <f t="shared" si="13"/>
        <v>0</v>
      </c>
      <c r="F291" s="28" t="str">
        <f t="shared" si="14"/>
        <v/>
      </c>
      <c r="I291" s="20"/>
      <c r="J291" s="19"/>
    </row>
    <row r="292" spans="1:10" x14ac:dyDescent="0.25">
      <c r="A292" s="25"/>
      <c r="B292" s="26"/>
      <c r="C292" s="26"/>
      <c r="D292" s="29" t="str">
        <f t="shared" ref="D292:D355" si="15">IF(B292&lt;&gt;"",VLOOKUP(B292,$I:$J,2,FALSE),"")</f>
        <v/>
      </c>
      <c r="E292" s="27" t="b">
        <f t="shared" si="13"/>
        <v>0</v>
      </c>
      <c r="F292" s="28" t="str">
        <f t="shared" si="14"/>
        <v/>
      </c>
      <c r="I292" s="20"/>
      <c r="J292" s="19"/>
    </row>
    <row r="293" spans="1:10" x14ac:dyDescent="0.25">
      <c r="A293" s="25"/>
      <c r="B293" s="26"/>
      <c r="C293" s="26"/>
      <c r="D293" s="29" t="str">
        <f t="shared" si="15"/>
        <v/>
      </c>
      <c r="E293" s="27" t="b">
        <f t="shared" si="13"/>
        <v>0</v>
      </c>
      <c r="F293" s="28" t="str">
        <f t="shared" si="14"/>
        <v/>
      </c>
      <c r="I293" s="20"/>
      <c r="J293" s="19"/>
    </row>
    <row r="294" spans="1:10" x14ac:dyDescent="0.25">
      <c r="A294" s="25"/>
      <c r="B294" s="26"/>
      <c r="C294" s="26"/>
      <c r="D294" s="29" t="str">
        <f t="shared" si="15"/>
        <v/>
      </c>
      <c r="E294" s="27" t="b">
        <f t="shared" si="13"/>
        <v>0</v>
      </c>
      <c r="F294" s="28" t="str">
        <f t="shared" si="14"/>
        <v/>
      </c>
      <c r="I294" s="20"/>
      <c r="J294" s="19"/>
    </row>
    <row r="295" spans="1:10" x14ac:dyDescent="0.25">
      <c r="A295" s="25"/>
      <c r="B295" s="26"/>
      <c r="C295" s="26"/>
      <c r="D295" s="29" t="str">
        <f t="shared" si="15"/>
        <v/>
      </c>
      <c r="E295" s="27" t="b">
        <f t="shared" si="13"/>
        <v>0</v>
      </c>
      <c r="F295" s="28" t="str">
        <f t="shared" si="14"/>
        <v/>
      </c>
      <c r="I295" s="20"/>
      <c r="J295" s="19"/>
    </row>
    <row r="296" spans="1:10" x14ac:dyDescent="0.25">
      <c r="A296" s="25"/>
      <c r="B296" s="26"/>
      <c r="C296" s="26"/>
      <c r="D296" s="29" t="str">
        <f t="shared" si="15"/>
        <v/>
      </c>
      <c r="E296" s="27" t="b">
        <f t="shared" si="13"/>
        <v>0</v>
      </c>
      <c r="F296" s="28" t="str">
        <f t="shared" si="14"/>
        <v/>
      </c>
      <c r="I296" s="20"/>
      <c r="J296" s="19"/>
    </row>
    <row r="297" spans="1:10" x14ac:dyDescent="0.25">
      <c r="A297" s="25"/>
      <c r="B297" s="26"/>
      <c r="C297" s="26"/>
      <c r="D297" s="29" t="str">
        <f t="shared" si="15"/>
        <v/>
      </c>
      <c r="E297" s="27" t="b">
        <f t="shared" si="13"/>
        <v>0</v>
      </c>
      <c r="F297" s="28" t="str">
        <f t="shared" si="14"/>
        <v/>
      </c>
      <c r="I297" s="20"/>
      <c r="J297" s="19"/>
    </row>
    <row r="298" spans="1:10" x14ac:dyDescent="0.25">
      <c r="A298" s="25"/>
      <c r="B298" s="26"/>
      <c r="C298" s="26"/>
      <c r="D298" s="29" t="str">
        <f t="shared" si="15"/>
        <v/>
      </c>
      <c r="E298" s="27" t="b">
        <f t="shared" si="13"/>
        <v>0</v>
      </c>
      <c r="F298" s="28" t="str">
        <f t="shared" si="14"/>
        <v/>
      </c>
      <c r="I298" s="20"/>
      <c r="J298" s="19"/>
    </row>
    <row r="299" spans="1:10" x14ac:dyDescent="0.25">
      <c r="A299" s="25"/>
      <c r="B299" s="26"/>
      <c r="C299" s="26"/>
      <c r="D299" s="29" t="str">
        <f t="shared" si="15"/>
        <v/>
      </c>
      <c r="E299" s="27" t="b">
        <f t="shared" si="13"/>
        <v>0</v>
      </c>
      <c r="F299" s="28" t="str">
        <f t="shared" si="14"/>
        <v/>
      </c>
      <c r="I299" s="20"/>
      <c r="J299" s="19"/>
    </row>
    <row r="300" spans="1:10" x14ac:dyDescent="0.25">
      <c r="A300" s="25"/>
      <c r="B300" s="26"/>
      <c r="C300" s="26"/>
      <c r="D300" s="29" t="str">
        <f t="shared" si="15"/>
        <v/>
      </c>
      <c r="E300" s="27" t="b">
        <f t="shared" si="13"/>
        <v>0</v>
      </c>
      <c r="F300" s="28" t="str">
        <f t="shared" si="14"/>
        <v/>
      </c>
      <c r="I300" s="20"/>
      <c r="J300" s="19"/>
    </row>
    <row r="301" spans="1:10" x14ac:dyDescent="0.25">
      <c r="A301" s="25"/>
      <c r="B301" s="26"/>
      <c r="C301" s="26"/>
      <c r="D301" s="29" t="str">
        <f t="shared" si="15"/>
        <v/>
      </c>
      <c r="E301" s="27" t="b">
        <f t="shared" si="13"/>
        <v>0</v>
      </c>
      <c r="F301" s="28" t="str">
        <f t="shared" si="14"/>
        <v/>
      </c>
      <c r="I301" s="20"/>
      <c r="J301" s="19"/>
    </row>
    <row r="302" spans="1:10" x14ac:dyDescent="0.25">
      <c r="A302" s="25"/>
      <c r="B302" s="26"/>
      <c r="C302" s="26"/>
      <c r="D302" s="29" t="str">
        <f t="shared" si="15"/>
        <v/>
      </c>
      <c r="E302" s="27" t="b">
        <f t="shared" si="13"/>
        <v>0</v>
      </c>
      <c r="F302" s="28" t="str">
        <f t="shared" si="14"/>
        <v/>
      </c>
      <c r="I302" s="20"/>
      <c r="J302" s="19"/>
    </row>
    <row r="303" spans="1:10" x14ac:dyDescent="0.25">
      <c r="A303" s="25"/>
      <c r="B303" s="26"/>
      <c r="C303" s="26"/>
      <c r="D303" s="29" t="str">
        <f t="shared" si="15"/>
        <v/>
      </c>
      <c r="E303" s="27" t="b">
        <f t="shared" si="13"/>
        <v>0</v>
      </c>
      <c r="F303" s="28" t="str">
        <f t="shared" si="14"/>
        <v/>
      </c>
      <c r="I303" s="20"/>
      <c r="J303" s="19"/>
    </row>
    <row r="304" spans="1:10" x14ac:dyDescent="0.25">
      <c r="A304" s="25"/>
      <c r="B304" s="26"/>
      <c r="C304" s="26"/>
      <c r="D304" s="29" t="str">
        <f t="shared" si="15"/>
        <v/>
      </c>
      <c r="E304" s="27" t="b">
        <f t="shared" si="13"/>
        <v>0</v>
      </c>
      <c r="F304" s="28" t="str">
        <f t="shared" si="14"/>
        <v/>
      </c>
      <c r="I304" s="20"/>
      <c r="J304" s="19"/>
    </row>
    <row r="305" spans="1:10" x14ac:dyDescent="0.25">
      <c r="A305" s="25"/>
      <c r="B305" s="26"/>
      <c r="C305" s="26"/>
      <c r="D305" s="29" t="str">
        <f t="shared" si="15"/>
        <v/>
      </c>
      <c r="E305" s="27" t="b">
        <f t="shared" si="13"/>
        <v>0</v>
      </c>
      <c r="F305" s="28" t="str">
        <f t="shared" si="14"/>
        <v/>
      </c>
      <c r="I305" s="20"/>
      <c r="J305" s="19"/>
    </row>
    <row r="306" spans="1:10" x14ac:dyDescent="0.25">
      <c r="A306" s="25"/>
      <c r="B306" s="26"/>
      <c r="C306" s="26"/>
      <c r="D306" s="29" t="str">
        <f t="shared" si="15"/>
        <v/>
      </c>
      <c r="E306" s="27" t="b">
        <f t="shared" si="13"/>
        <v>0</v>
      </c>
      <c r="F306" s="28" t="str">
        <f t="shared" si="14"/>
        <v/>
      </c>
      <c r="I306" s="20"/>
      <c r="J306" s="19"/>
    </row>
    <row r="307" spans="1:10" x14ac:dyDescent="0.25">
      <c r="A307" s="25"/>
      <c r="B307" s="26"/>
      <c r="C307" s="26"/>
      <c r="D307" s="29" t="str">
        <f t="shared" si="15"/>
        <v/>
      </c>
      <c r="E307" s="27" t="b">
        <f t="shared" si="13"/>
        <v>0</v>
      </c>
      <c r="F307" s="28" t="str">
        <f t="shared" si="14"/>
        <v/>
      </c>
      <c r="I307" s="20"/>
      <c r="J307" s="19"/>
    </row>
    <row r="308" spans="1:10" x14ac:dyDescent="0.25">
      <c r="A308" s="25"/>
      <c r="B308" s="26"/>
      <c r="C308" s="26"/>
      <c r="D308" s="29" t="str">
        <f t="shared" si="15"/>
        <v/>
      </c>
      <c r="E308" s="27" t="b">
        <f t="shared" si="13"/>
        <v>0</v>
      </c>
      <c r="F308" s="28" t="str">
        <f t="shared" si="14"/>
        <v/>
      </c>
      <c r="I308" s="20"/>
      <c r="J308" s="19"/>
    </row>
    <row r="309" spans="1:10" x14ac:dyDescent="0.25">
      <c r="A309" s="25"/>
      <c r="B309" s="26"/>
      <c r="C309" s="26"/>
      <c r="D309" s="29" t="str">
        <f t="shared" si="15"/>
        <v/>
      </c>
      <c r="E309" s="27" t="b">
        <f t="shared" si="13"/>
        <v>0</v>
      </c>
      <c r="F309" s="28" t="str">
        <f t="shared" si="14"/>
        <v/>
      </c>
      <c r="I309" s="20"/>
      <c r="J309" s="19"/>
    </row>
    <row r="310" spans="1:10" x14ac:dyDescent="0.25">
      <c r="A310" s="25"/>
      <c r="B310" s="26"/>
      <c r="C310" s="26"/>
      <c r="D310" s="29" t="str">
        <f t="shared" si="15"/>
        <v/>
      </c>
      <c r="E310" s="27" t="b">
        <f t="shared" si="13"/>
        <v>0</v>
      </c>
      <c r="F310" s="28" t="str">
        <f t="shared" si="14"/>
        <v/>
      </c>
      <c r="I310" s="20"/>
      <c r="J310" s="19"/>
    </row>
    <row r="311" spans="1:10" x14ac:dyDescent="0.25">
      <c r="A311" s="25"/>
      <c r="B311" s="26"/>
      <c r="C311" s="26"/>
      <c r="D311" s="29" t="str">
        <f t="shared" si="15"/>
        <v/>
      </c>
      <c r="E311" s="27" t="b">
        <f t="shared" si="13"/>
        <v>0</v>
      </c>
      <c r="F311" s="28" t="str">
        <f t="shared" si="14"/>
        <v/>
      </c>
      <c r="I311" s="20"/>
      <c r="J311" s="19"/>
    </row>
    <row r="312" spans="1:10" x14ac:dyDescent="0.25">
      <c r="A312" s="25"/>
      <c r="B312" s="26"/>
      <c r="C312" s="26"/>
      <c r="D312" s="29" t="str">
        <f t="shared" si="15"/>
        <v/>
      </c>
      <c r="E312" s="27" t="b">
        <f t="shared" si="13"/>
        <v>0</v>
      </c>
      <c r="F312" s="28" t="str">
        <f t="shared" si="14"/>
        <v/>
      </c>
      <c r="I312" s="20"/>
      <c r="J312" s="19"/>
    </row>
    <row r="313" spans="1:10" x14ac:dyDescent="0.25">
      <c r="A313" s="25"/>
      <c r="B313" s="26"/>
      <c r="C313" s="26"/>
      <c r="D313" s="29" t="str">
        <f t="shared" si="15"/>
        <v/>
      </c>
      <c r="E313" s="27" t="b">
        <f t="shared" si="13"/>
        <v>0</v>
      </c>
      <c r="F313" s="28" t="str">
        <f t="shared" si="14"/>
        <v/>
      </c>
      <c r="I313" s="20"/>
      <c r="J313" s="19"/>
    </row>
    <row r="314" spans="1:10" x14ac:dyDescent="0.25">
      <c r="A314" s="25"/>
      <c r="B314" s="26"/>
      <c r="C314" s="26"/>
      <c r="D314" s="29" t="str">
        <f t="shared" si="15"/>
        <v/>
      </c>
      <c r="E314" s="27" t="b">
        <f t="shared" si="13"/>
        <v>0</v>
      </c>
      <c r="F314" s="28" t="str">
        <f t="shared" si="14"/>
        <v/>
      </c>
      <c r="I314" s="20"/>
      <c r="J314" s="19"/>
    </row>
    <row r="315" spans="1:10" x14ac:dyDescent="0.25">
      <c r="A315" s="25"/>
      <c r="B315" s="26"/>
      <c r="C315" s="26"/>
      <c r="D315" s="29" t="str">
        <f t="shared" si="15"/>
        <v/>
      </c>
      <c r="E315" s="27" t="b">
        <f t="shared" si="13"/>
        <v>0</v>
      </c>
      <c r="F315" s="28" t="str">
        <f t="shared" si="14"/>
        <v/>
      </c>
      <c r="I315" s="20"/>
      <c r="J315" s="19"/>
    </row>
    <row r="316" spans="1:10" x14ac:dyDescent="0.25">
      <c r="A316" s="25"/>
      <c r="B316" s="26"/>
      <c r="C316" s="26"/>
      <c r="D316" s="29" t="str">
        <f t="shared" si="15"/>
        <v/>
      </c>
      <c r="E316" s="27" t="b">
        <f t="shared" si="13"/>
        <v>0</v>
      </c>
      <c r="F316" s="28" t="str">
        <f t="shared" si="14"/>
        <v/>
      </c>
      <c r="I316" s="20"/>
      <c r="J316" s="19"/>
    </row>
    <row r="317" spans="1:10" x14ac:dyDescent="0.25">
      <c r="A317" s="25"/>
      <c r="B317" s="26"/>
      <c r="C317" s="26"/>
      <c r="D317" s="29" t="str">
        <f t="shared" si="15"/>
        <v/>
      </c>
      <c r="E317" s="27" t="b">
        <f t="shared" si="13"/>
        <v>0</v>
      </c>
      <c r="F317" s="28" t="str">
        <f t="shared" si="14"/>
        <v/>
      </c>
      <c r="I317" s="20"/>
      <c r="J317" s="19"/>
    </row>
    <row r="318" spans="1:10" x14ac:dyDescent="0.25">
      <c r="A318" s="25"/>
      <c r="B318" s="26"/>
      <c r="C318" s="26"/>
      <c r="D318" s="29" t="str">
        <f t="shared" si="15"/>
        <v/>
      </c>
      <c r="E318" s="27" t="b">
        <f t="shared" si="13"/>
        <v>0</v>
      </c>
      <c r="F318" s="28" t="str">
        <f t="shared" si="14"/>
        <v/>
      </c>
      <c r="I318" s="20"/>
      <c r="J318" s="19"/>
    </row>
    <row r="319" spans="1:10" x14ac:dyDescent="0.25">
      <c r="A319" s="25"/>
      <c r="B319" s="26"/>
      <c r="C319" s="26"/>
      <c r="D319" s="29" t="str">
        <f t="shared" si="15"/>
        <v/>
      </c>
      <c r="E319" s="27" t="b">
        <f t="shared" si="13"/>
        <v>0</v>
      </c>
      <c r="F319" s="28" t="str">
        <f t="shared" si="14"/>
        <v/>
      </c>
      <c r="I319" s="20"/>
      <c r="J319" s="19"/>
    </row>
    <row r="320" spans="1:10" x14ac:dyDescent="0.25">
      <c r="A320" s="25"/>
      <c r="B320" s="26"/>
      <c r="C320" s="26"/>
      <c r="D320" s="29" t="str">
        <f t="shared" si="15"/>
        <v/>
      </c>
      <c r="E320" s="27" t="b">
        <f t="shared" si="13"/>
        <v>0</v>
      </c>
      <c r="F320" s="28" t="str">
        <f t="shared" si="14"/>
        <v/>
      </c>
      <c r="I320" s="20"/>
      <c r="J320" s="19"/>
    </row>
    <row r="321" spans="1:10" x14ac:dyDescent="0.25">
      <c r="A321" s="25"/>
      <c r="B321" s="26"/>
      <c r="C321" s="26"/>
      <c r="D321" s="29" t="str">
        <f t="shared" si="15"/>
        <v/>
      </c>
      <c r="E321" s="27" t="b">
        <f t="shared" si="13"/>
        <v>0</v>
      </c>
      <c r="F321" s="28" t="str">
        <f t="shared" si="14"/>
        <v/>
      </c>
      <c r="I321" s="20"/>
      <c r="J321" s="19"/>
    </row>
    <row r="322" spans="1:10" x14ac:dyDescent="0.25">
      <c r="A322" s="25"/>
      <c r="B322" s="26"/>
      <c r="C322" s="26"/>
      <c r="D322" s="29" t="str">
        <f t="shared" si="15"/>
        <v/>
      </c>
      <c r="E322" s="27" t="b">
        <f t="shared" si="13"/>
        <v>0</v>
      </c>
      <c r="F322" s="28" t="str">
        <f t="shared" si="14"/>
        <v/>
      </c>
      <c r="I322" s="20"/>
      <c r="J322" s="19"/>
    </row>
    <row r="323" spans="1:10" x14ac:dyDescent="0.25">
      <c r="A323" s="25"/>
      <c r="B323" s="26"/>
      <c r="C323" s="26"/>
      <c r="D323" s="29" t="str">
        <f t="shared" si="15"/>
        <v/>
      </c>
      <c r="E323" s="27" t="b">
        <f t="shared" si="13"/>
        <v>0</v>
      </c>
      <c r="F323" s="28" t="str">
        <f t="shared" si="14"/>
        <v/>
      </c>
      <c r="I323" s="20"/>
      <c r="J323" s="19"/>
    </row>
    <row r="324" spans="1:10" x14ac:dyDescent="0.25">
      <c r="A324" s="25"/>
      <c r="B324" s="26"/>
      <c r="C324" s="26"/>
      <c r="D324" s="29" t="str">
        <f t="shared" si="15"/>
        <v/>
      </c>
      <c r="E324" s="27" t="b">
        <f t="shared" ref="E324:E387" si="16">IF(C324&lt;&gt;"",IF(C324&lt;$I$6,$J$6,IF(AND(C324&gt;=$H$7,C324&lt;$I$7),$J$7,IF(AND(C324&gt;=$H$8,C324&lt;$I$8),$J$8,IF(AND(C324&gt;=$H$9,C324&lt;$I$9),$J$9,IF(AND(C324&gt;=$H$10,C324&lt;$I$10),$J$10,IF(AND(C324&gt;=$H$11,C324&lt;$I$11),$J$11,IF(AND(C324&gt;=$H$12,C324&lt;$I$12),$J$12,IF(AND(C324&gt;=$H$13,C324&lt;$I$13),$J$13,IF(C324&gt;=$H$14,$J$14,""))))))))))</f>
        <v>0</v>
      </c>
      <c r="F324" s="28" t="str">
        <f t="shared" si="14"/>
        <v/>
      </c>
      <c r="I324" s="20"/>
      <c r="J324" s="19"/>
    </row>
    <row r="325" spans="1:10" x14ac:dyDescent="0.25">
      <c r="A325" s="25"/>
      <c r="B325" s="26"/>
      <c r="C325" s="26"/>
      <c r="D325" s="29" t="str">
        <f t="shared" si="15"/>
        <v/>
      </c>
      <c r="E325" s="27" t="b">
        <f t="shared" si="16"/>
        <v>0</v>
      </c>
      <c r="F325" s="28" t="str">
        <f t="shared" ref="F325:F388" si="17">IF(AND(C325&lt;&gt;"",B325&lt;&gt;""),C325*D325+C325*E325,"")</f>
        <v/>
      </c>
      <c r="I325" s="20"/>
      <c r="J325" s="19"/>
    </row>
    <row r="326" spans="1:10" x14ac:dyDescent="0.25">
      <c r="A326" s="25"/>
      <c r="B326" s="26"/>
      <c r="C326" s="26"/>
      <c r="D326" s="29" t="str">
        <f t="shared" si="15"/>
        <v/>
      </c>
      <c r="E326" s="27" t="b">
        <f t="shared" si="16"/>
        <v>0</v>
      </c>
      <c r="F326" s="28" t="str">
        <f t="shared" si="17"/>
        <v/>
      </c>
      <c r="I326" s="20"/>
      <c r="J326" s="19"/>
    </row>
    <row r="327" spans="1:10" x14ac:dyDescent="0.25">
      <c r="A327" s="25"/>
      <c r="B327" s="26"/>
      <c r="C327" s="26"/>
      <c r="D327" s="29" t="str">
        <f t="shared" si="15"/>
        <v/>
      </c>
      <c r="E327" s="27" t="b">
        <f t="shared" si="16"/>
        <v>0</v>
      </c>
      <c r="F327" s="28" t="str">
        <f t="shared" si="17"/>
        <v/>
      </c>
      <c r="I327" s="20"/>
      <c r="J327" s="19"/>
    </row>
    <row r="328" spans="1:10" x14ac:dyDescent="0.25">
      <c r="A328" s="25"/>
      <c r="B328" s="26"/>
      <c r="C328" s="26"/>
      <c r="D328" s="29" t="str">
        <f t="shared" si="15"/>
        <v/>
      </c>
      <c r="E328" s="27" t="b">
        <f t="shared" si="16"/>
        <v>0</v>
      </c>
      <c r="F328" s="28" t="str">
        <f t="shared" si="17"/>
        <v/>
      </c>
      <c r="I328" s="20"/>
      <c r="J328" s="19"/>
    </row>
    <row r="329" spans="1:10" x14ac:dyDescent="0.25">
      <c r="A329" s="25"/>
      <c r="B329" s="26"/>
      <c r="C329" s="26"/>
      <c r="D329" s="29" t="str">
        <f t="shared" si="15"/>
        <v/>
      </c>
      <c r="E329" s="27" t="b">
        <f t="shared" si="16"/>
        <v>0</v>
      </c>
      <c r="F329" s="28" t="str">
        <f t="shared" si="17"/>
        <v/>
      </c>
      <c r="I329" s="20"/>
      <c r="J329" s="19"/>
    </row>
    <row r="330" spans="1:10" x14ac:dyDescent="0.25">
      <c r="A330" s="25"/>
      <c r="B330" s="26"/>
      <c r="C330" s="26"/>
      <c r="D330" s="29" t="str">
        <f t="shared" si="15"/>
        <v/>
      </c>
      <c r="E330" s="27" t="b">
        <f t="shared" si="16"/>
        <v>0</v>
      </c>
      <c r="F330" s="28" t="str">
        <f t="shared" si="17"/>
        <v/>
      </c>
      <c r="I330" s="20"/>
      <c r="J330" s="19"/>
    </row>
    <row r="331" spans="1:10" x14ac:dyDescent="0.25">
      <c r="A331" s="25"/>
      <c r="B331" s="26"/>
      <c r="C331" s="26"/>
      <c r="D331" s="29" t="str">
        <f t="shared" si="15"/>
        <v/>
      </c>
      <c r="E331" s="27" t="b">
        <f t="shared" si="16"/>
        <v>0</v>
      </c>
      <c r="F331" s="28" t="str">
        <f t="shared" si="17"/>
        <v/>
      </c>
      <c r="I331" s="20"/>
      <c r="J331" s="19"/>
    </row>
    <row r="332" spans="1:10" x14ac:dyDescent="0.25">
      <c r="A332" s="25"/>
      <c r="B332" s="26"/>
      <c r="C332" s="26"/>
      <c r="D332" s="29" t="str">
        <f t="shared" si="15"/>
        <v/>
      </c>
      <c r="E332" s="27" t="b">
        <f t="shared" si="16"/>
        <v>0</v>
      </c>
      <c r="F332" s="28" t="str">
        <f t="shared" si="17"/>
        <v/>
      </c>
      <c r="I332" s="20"/>
      <c r="J332" s="19"/>
    </row>
    <row r="333" spans="1:10" x14ac:dyDescent="0.25">
      <c r="A333" s="25"/>
      <c r="B333" s="26"/>
      <c r="C333" s="26"/>
      <c r="D333" s="29" t="str">
        <f t="shared" si="15"/>
        <v/>
      </c>
      <c r="E333" s="27" t="b">
        <f t="shared" si="16"/>
        <v>0</v>
      </c>
      <c r="F333" s="28" t="str">
        <f t="shared" si="17"/>
        <v/>
      </c>
      <c r="I333" s="20"/>
      <c r="J333" s="19"/>
    </row>
    <row r="334" spans="1:10" x14ac:dyDescent="0.25">
      <c r="A334" s="25"/>
      <c r="B334" s="26"/>
      <c r="C334" s="26"/>
      <c r="D334" s="29" t="str">
        <f t="shared" si="15"/>
        <v/>
      </c>
      <c r="E334" s="27" t="b">
        <f t="shared" si="16"/>
        <v>0</v>
      </c>
      <c r="F334" s="28" t="str">
        <f t="shared" si="17"/>
        <v/>
      </c>
      <c r="I334" s="20"/>
      <c r="J334" s="19"/>
    </row>
    <row r="335" spans="1:10" x14ac:dyDescent="0.25">
      <c r="A335" s="25"/>
      <c r="B335" s="26"/>
      <c r="C335" s="26"/>
      <c r="D335" s="29" t="str">
        <f t="shared" si="15"/>
        <v/>
      </c>
      <c r="E335" s="27" t="b">
        <f t="shared" si="16"/>
        <v>0</v>
      </c>
      <c r="F335" s="28" t="str">
        <f t="shared" si="17"/>
        <v/>
      </c>
      <c r="I335" s="20"/>
      <c r="J335" s="19"/>
    </row>
    <row r="336" spans="1:10" x14ac:dyDescent="0.25">
      <c r="A336" s="25"/>
      <c r="B336" s="26"/>
      <c r="C336" s="26"/>
      <c r="D336" s="29" t="str">
        <f t="shared" si="15"/>
        <v/>
      </c>
      <c r="E336" s="27" t="b">
        <f t="shared" si="16"/>
        <v>0</v>
      </c>
      <c r="F336" s="28" t="str">
        <f t="shared" si="17"/>
        <v/>
      </c>
      <c r="I336" s="20"/>
      <c r="J336" s="19"/>
    </row>
    <row r="337" spans="1:10" x14ac:dyDescent="0.25">
      <c r="A337" s="25"/>
      <c r="B337" s="26"/>
      <c r="C337" s="26"/>
      <c r="D337" s="29" t="str">
        <f t="shared" si="15"/>
        <v/>
      </c>
      <c r="E337" s="27" t="b">
        <f t="shared" si="16"/>
        <v>0</v>
      </c>
      <c r="F337" s="28" t="str">
        <f t="shared" si="17"/>
        <v/>
      </c>
      <c r="I337" s="20"/>
      <c r="J337" s="19"/>
    </row>
    <row r="338" spans="1:10" x14ac:dyDescent="0.25">
      <c r="A338" s="25"/>
      <c r="B338" s="26"/>
      <c r="C338" s="26"/>
      <c r="D338" s="29" t="str">
        <f t="shared" si="15"/>
        <v/>
      </c>
      <c r="E338" s="27" t="b">
        <f t="shared" si="16"/>
        <v>0</v>
      </c>
      <c r="F338" s="28" t="str">
        <f t="shared" si="17"/>
        <v/>
      </c>
      <c r="I338" s="20"/>
      <c r="J338" s="19"/>
    </row>
    <row r="339" spans="1:10" x14ac:dyDescent="0.25">
      <c r="A339" s="25"/>
      <c r="B339" s="26"/>
      <c r="C339" s="26"/>
      <c r="D339" s="29" t="str">
        <f t="shared" si="15"/>
        <v/>
      </c>
      <c r="E339" s="27" t="b">
        <f t="shared" si="16"/>
        <v>0</v>
      </c>
      <c r="F339" s="28" t="str">
        <f t="shared" si="17"/>
        <v/>
      </c>
      <c r="I339" s="20"/>
      <c r="J339" s="19"/>
    </row>
    <row r="340" spans="1:10" x14ac:dyDescent="0.25">
      <c r="A340" s="25"/>
      <c r="B340" s="26"/>
      <c r="C340" s="26"/>
      <c r="D340" s="29" t="str">
        <f t="shared" si="15"/>
        <v/>
      </c>
      <c r="E340" s="27" t="b">
        <f t="shared" si="16"/>
        <v>0</v>
      </c>
      <c r="F340" s="28" t="str">
        <f t="shared" si="17"/>
        <v/>
      </c>
      <c r="I340" s="20"/>
      <c r="J340" s="19"/>
    </row>
    <row r="341" spans="1:10" x14ac:dyDescent="0.25">
      <c r="A341" s="25"/>
      <c r="B341" s="26"/>
      <c r="C341" s="26"/>
      <c r="D341" s="29" t="str">
        <f t="shared" si="15"/>
        <v/>
      </c>
      <c r="E341" s="27" t="b">
        <f t="shared" si="16"/>
        <v>0</v>
      </c>
      <c r="F341" s="28" t="str">
        <f t="shared" si="17"/>
        <v/>
      </c>
      <c r="I341" s="20"/>
      <c r="J341" s="19"/>
    </row>
    <row r="342" spans="1:10" x14ac:dyDescent="0.25">
      <c r="A342" s="25"/>
      <c r="B342" s="26"/>
      <c r="C342" s="26"/>
      <c r="D342" s="29" t="str">
        <f t="shared" si="15"/>
        <v/>
      </c>
      <c r="E342" s="27" t="b">
        <f t="shared" si="16"/>
        <v>0</v>
      </c>
      <c r="F342" s="28" t="str">
        <f t="shared" si="17"/>
        <v/>
      </c>
      <c r="I342" s="20"/>
      <c r="J342" s="19"/>
    </row>
    <row r="343" spans="1:10" x14ac:dyDescent="0.25">
      <c r="A343" s="25"/>
      <c r="B343" s="26"/>
      <c r="C343" s="26"/>
      <c r="D343" s="29" t="str">
        <f t="shared" si="15"/>
        <v/>
      </c>
      <c r="E343" s="27" t="b">
        <f t="shared" si="16"/>
        <v>0</v>
      </c>
      <c r="F343" s="28" t="str">
        <f t="shared" si="17"/>
        <v/>
      </c>
      <c r="I343" s="20"/>
      <c r="J343" s="19"/>
    </row>
    <row r="344" spans="1:10" x14ac:dyDescent="0.25">
      <c r="A344" s="25"/>
      <c r="B344" s="26"/>
      <c r="C344" s="26"/>
      <c r="D344" s="29" t="str">
        <f t="shared" si="15"/>
        <v/>
      </c>
      <c r="E344" s="27" t="b">
        <f t="shared" si="16"/>
        <v>0</v>
      </c>
      <c r="F344" s="28" t="str">
        <f t="shared" si="17"/>
        <v/>
      </c>
      <c r="I344" s="20"/>
      <c r="J344" s="19"/>
    </row>
    <row r="345" spans="1:10" x14ac:dyDescent="0.25">
      <c r="A345" s="25"/>
      <c r="B345" s="26"/>
      <c r="C345" s="26"/>
      <c r="D345" s="29" t="str">
        <f t="shared" si="15"/>
        <v/>
      </c>
      <c r="E345" s="27" t="b">
        <f t="shared" si="16"/>
        <v>0</v>
      </c>
      <c r="F345" s="28" t="str">
        <f t="shared" si="17"/>
        <v/>
      </c>
      <c r="I345" s="20"/>
      <c r="J345" s="19"/>
    </row>
    <row r="346" spans="1:10" x14ac:dyDescent="0.25">
      <c r="A346" s="25"/>
      <c r="B346" s="26"/>
      <c r="C346" s="26"/>
      <c r="D346" s="29" t="str">
        <f t="shared" si="15"/>
        <v/>
      </c>
      <c r="E346" s="27" t="b">
        <f t="shared" si="16"/>
        <v>0</v>
      </c>
      <c r="F346" s="28" t="str">
        <f t="shared" si="17"/>
        <v/>
      </c>
      <c r="I346" s="20"/>
      <c r="J346" s="19"/>
    </row>
    <row r="347" spans="1:10" x14ac:dyDescent="0.25">
      <c r="A347" s="25"/>
      <c r="B347" s="26"/>
      <c r="C347" s="26"/>
      <c r="D347" s="29" t="str">
        <f t="shared" si="15"/>
        <v/>
      </c>
      <c r="E347" s="27" t="b">
        <f t="shared" si="16"/>
        <v>0</v>
      </c>
      <c r="F347" s="28" t="str">
        <f t="shared" si="17"/>
        <v/>
      </c>
      <c r="I347" s="20"/>
      <c r="J347" s="19"/>
    </row>
    <row r="348" spans="1:10" x14ac:dyDescent="0.25">
      <c r="A348" s="25"/>
      <c r="B348" s="26"/>
      <c r="C348" s="26"/>
      <c r="D348" s="29" t="str">
        <f t="shared" si="15"/>
        <v/>
      </c>
      <c r="E348" s="27" t="b">
        <f t="shared" si="16"/>
        <v>0</v>
      </c>
      <c r="F348" s="28" t="str">
        <f t="shared" si="17"/>
        <v/>
      </c>
      <c r="I348" s="20"/>
      <c r="J348" s="19"/>
    </row>
    <row r="349" spans="1:10" x14ac:dyDescent="0.25">
      <c r="A349" s="25"/>
      <c r="B349" s="26"/>
      <c r="C349" s="26"/>
      <c r="D349" s="29" t="str">
        <f t="shared" si="15"/>
        <v/>
      </c>
      <c r="E349" s="27" t="b">
        <f t="shared" si="16"/>
        <v>0</v>
      </c>
      <c r="F349" s="28" t="str">
        <f t="shared" si="17"/>
        <v/>
      </c>
      <c r="I349" s="20"/>
      <c r="J349" s="19"/>
    </row>
    <row r="350" spans="1:10" x14ac:dyDescent="0.25">
      <c r="A350" s="25"/>
      <c r="B350" s="26"/>
      <c r="C350" s="26"/>
      <c r="D350" s="29" t="str">
        <f t="shared" si="15"/>
        <v/>
      </c>
      <c r="E350" s="27" t="b">
        <f t="shared" si="16"/>
        <v>0</v>
      </c>
      <c r="F350" s="28" t="str">
        <f t="shared" si="17"/>
        <v/>
      </c>
      <c r="I350" s="20"/>
      <c r="J350" s="19"/>
    </row>
    <row r="351" spans="1:10" x14ac:dyDescent="0.25">
      <c r="A351" s="25"/>
      <c r="B351" s="26"/>
      <c r="C351" s="26"/>
      <c r="D351" s="29" t="str">
        <f t="shared" si="15"/>
        <v/>
      </c>
      <c r="E351" s="27" t="b">
        <f t="shared" si="16"/>
        <v>0</v>
      </c>
      <c r="F351" s="28" t="str">
        <f t="shared" si="17"/>
        <v/>
      </c>
      <c r="I351" s="20"/>
      <c r="J351" s="19"/>
    </row>
    <row r="352" spans="1:10" x14ac:dyDescent="0.25">
      <c r="A352" s="25"/>
      <c r="B352" s="26"/>
      <c r="C352" s="26"/>
      <c r="D352" s="29" t="str">
        <f t="shared" si="15"/>
        <v/>
      </c>
      <c r="E352" s="27" t="b">
        <f t="shared" si="16"/>
        <v>0</v>
      </c>
      <c r="F352" s="28" t="str">
        <f t="shared" si="17"/>
        <v/>
      </c>
      <c r="I352" s="20"/>
      <c r="J352" s="19"/>
    </row>
    <row r="353" spans="1:10" x14ac:dyDescent="0.25">
      <c r="A353" s="25"/>
      <c r="B353" s="26"/>
      <c r="C353" s="26"/>
      <c r="D353" s="29" t="str">
        <f t="shared" si="15"/>
        <v/>
      </c>
      <c r="E353" s="27" t="b">
        <f t="shared" si="16"/>
        <v>0</v>
      </c>
      <c r="F353" s="28" t="str">
        <f t="shared" si="17"/>
        <v/>
      </c>
      <c r="I353" s="20"/>
      <c r="J353" s="19"/>
    </row>
    <row r="354" spans="1:10" x14ac:dyDescent="0.25">
      <c r="A354" s="25"/>
      <c r="B354" s="26"/>
      <c r="C354" s="26"/>
      <c r="D354" s="29" t="str">
        <f t="shared" si="15"/>
        <v/>
      </c>
      <c r="E354" s="27" t="b">
        <f t="shared" si="16"/>
        <v>0</v>
      </c>
      <c r="F354" s="28" t="str">
        <f t="shared" si="17"/>
        <v/>
      </c>
      <c r="I354" s="20"/>
      <c r="J354" s="19"/>
    </row>
    <row r="355" spans="1:10" x14ac:dyDescent="0.25">
      <c r="A355" s="25"/>
      <c r="B355" s="26"/>
      <c r="C355" s="26"/>
      <c r="D355" s="29" t="str">
        <f t="shared" si="15"/>
        <v/>
      </c>
      <c r="E355" s="27" t="b">
        <f t="shared" si="16"/>
        <v>0</v>
      </c>
      <c r="F355" s="28" t="str">
        <f t="shared" si="17"/>
        <v/>
      </c>
      <c r="I355" s="20"/>
      <c r="J355" s="19"/>
    </row>
    <row r="356" spans="1:10" x14ac:dyDescent="0.25">
      <c r="A356" s="25"/>
      <c r="B356" s="26"/>
      <c r="C356" s="26"/>
      <c r="D356" s="29" t="str">
        <f t="shared" ref="D356:D400" si="18">IF(B356&lt;&gt;"",VLOOKUP(B356,$I:$J,2,FALSE),"")</f>
        <v/>
      </c>
      <c r="E356" s="27" t="b">
        <f t="shared" si="16"/>
        <v>0</v>
      </c>
      <c r="F356" s="28" t="str">
        <f t="shared" si="17"/>
        <v/>
      </c>
      <c r="I356" s="20"/>
      <c r="J356" s="19"/>
    </row>
    <row r="357" spans="1:10" x14ac:dyDescent="0.25">
      <c r="A357" s="25"/>
      <c r="B357" s="26"/>
      <c r="C357" s="26"/>
      <c r="D357" s="29" t="str">
        <f t="shared" si="18"/>
        <v/>
      </c>
      <c r="E357" s="27" t="b">
        <f t="shared" si="16"/>
        <v>0</v>
      </c>
      <c r="F357" s="28" t="str">
        <f t="shared" si="17"/>
        <v/>
      </c>
      <c r="I357" s="20"/>
      <c r="J357" s="19"/>
    </row>
    <row r="358" spans="1:10" x14ac:dyDescent="0.25">
      <c r="A358" s="25"/>
      <c r="B358" s="26"/>
      <c r="C358" s="26"/>
      <c r="D358" s="29" t="str">
        <f t="shared" si="18"/>
        <v/>
      </c>
      <c r="E358" s="27" t="b">
        <f t="shared" si="16"/>
        <v>0</v>
      </c>
      <c r="F358" s="28" t="str">
        <f t="shared" si="17"/>
        <v/>
      </c>
      <c r="I358" s="20"/>
      <c r="J358" s="19"/>
    </row>
    <row r="359" spans="1:10" x14ac:dyDescent="0.25">
      <c r="A359" s="25"/>
      <c r="B359" s="26"/>
      <c r="C359" s="26"/>
      <c r="D359" s="29" t="str">
        <f t="shared" si="18"/>
        <v/>
      </c>
      <c r="E359" s="27" t="b">
        <f t="shared" si="16"/>
        <v>0</v>
      </c>
      <c r="F359" s="28" t="str">
        <f t="shared" si="17"/>
        <v/>
      </c>
      <c r="I359" s="20"/>
      <c r="J359" s="19"/>
    </row>
    <row r="360" spans="1:10" x14ac:dyDescent="0.25">
      <c r="A360" s="25"/>
      <c r="B360" s="26"/>
      <c r="C360" s="26"/>
      <c r="D360" s="29" t="str">
        <f t="shared" si="18"/>
        <v/>
      </c>
      <c r="E360" s="27" t="b">
        <f t="shared" si="16"/>
        <v>0</v>
      </c>
      <c r="F360" s="28" t="str">
        <f t="shared" si="17"/>
        <v/>
      </c>
      <c r="I360" s="20"/>
      <c r="J360" s="19"/>
    </row>
    <row r="361" spans="1:10" x14ac:dyDescent="0.25">
      <c r="A361" s="25"/>
      <c r="B361" s="26"/>
      <c r="C361" s="26"/>
      <c r="D361" s="29" t="str">
        <f t="shared" si="18"/>
        <v/>
      </c>
      <c r="E361" s="27" t="b">
        <f t="shared" si="16"/>
        <v>0</v>
      </c>
      <c r="F361" s="28" t="str">
        <f t="shared" si="17"/>
        <v/>
      </c>
      <c r="I361" s="20"/>
      <c r="J361" s="19"/>
    </row>
    <row r="362" spans="1:10" x14ac:dyDescent="0.25">
      <c r="A362" s="25"/>
      <c r="B362" s="26"/>
      <c r="C362" s="26"/>
      <c r="D362" s="29" t="str">
        <f t="shared" si="18"/>
        <v/>
      </c>
      <c r="E362" s="27" t="b">
        <f t="shared" si="16"/>
        <v>0</v>
      </c>
      <c r="F362" s="28" t="str">
        <f t="shared" si="17"/>
        <v/>
      </c>
      <c r="I362" s="20"/>
      <c r="J362" s="19"/>
    </row>
    <row r="363" spans="1:10" x14ac:dyDescent="0.25">
      <c r="A363" s="25"/>
      <c r="B363" s="26"/>
      <c r="C363" s="26"/>
      <c r="D363" s="29" t="str">
        <f t="shared" si="18"/>
        <v/>
      </c>
      <c r="E363" s="27" t="b">
        <f t="shared" si="16"/>
        <v>0</v>
      </c>
      <c r="F363" s="28" t="str">
        <f t="shared" si="17"/>
        <v/>
      </c>
      <c r="I363" s="20"/>
      <c r="J363" s="19"/>
    </row>
    <row r="364" spans="1:10" x14ac:dyDescent="0.25">
      <c r="A364" s="25"/>
      <c r="B364" s="26"/>
      <c r="C364" s="26"/>
      <c r="D364" s="29" t="str">
        <f t="shared" si="18"/>
        <v/>
      </c>
      <c r="E364" s="27" t="b">
        <f t="shared" si="16"/>
        <v>0</v>
      </c>
      <c r="F364" s="28" t="str">
        <f t="shared" si="17"/>
        <v/>
      </c>
      <c r="I364" s="20"/>
      <c r="J364" s="19"/>
    </row>
    <row r="365" spans="1:10" x14ac:dyDescent="0.25">
      <c r="A365" s="25"/>
      <c r="B365" s="26"/>
      <c r="C365" s="26"/>
      <c r="D365" s="29" t="str">
        <f t="shared" si="18"/>
        <v/>
      </c>
      <c r="E365" s="27" t="b">
        <f t="shared" si="16"/>
        <v>0</v>
      </c>
      <c r="F365" s="28" t="str">
        <f t="shared" si="17"/>
        <v/>
      </c>
      <c r="I365" s="20"/>
      <c r="J365" s="19"/>
    </row>
    <row r="366" spans="1:10" x14ac:dyDescent="0.25">
      <c r="A366" s="25"/>
      <c r="B366" s="26"/>
      <c r="C366" s="26"/>
      <c r="D366" s="29" t="str">
        <f t="shared" si="18"/>
        <v/>
      </c>
      <c r="E366" s="27" t="b">
        <f t="shared" si="16"/>
        <v>0</v>
      </c>
      <c r="F366" s="28" t="str">
        <f t="shared" si="17"/>
        <v/>
      </c>
      <c r="I366" s="20"/>
      <c r="J366" s="19"/>
    </row>
    <row r="367" spans="1:10" x14ac:dyDescent="0.25">
      <c r="A367" s="25"/>
      <c r="B367" s="26"/>
      <c r="C367" s="26"/>
      <c r="D367" s="29" t="str">
        <f t="shared" si="18"/>
        <v/>
      </c>
      <c r="E367" s="27" t="b">
        <f t="shared" si="16"/>
        <v>0</v>
      </c>
      <c r="F367" s="28" t="str">
        <f t="shared" si="17"/>
        <v/>
      </c>
      <c r="I367" s="20"/>
      <c r="J367" s="19"/>
    </row>
    <row r="368" spans="1:10" x14ac:dyDescent="0.25">
      <c r="A368" s="25"/>
      <c r="B368" s="26"/>
      <c r="C368" s="26"/>
      <c r="D368" s="29" t="str">
        <f t="shared" si="18"/>
        <v/>
      </c>
      <c r="E368" s="27" t="b">
        <f t="shared" si="16"/>
        <v>0</v>
      </c>
      <c r="F368" s="28" t="str">
        <f t="shared" si="17"/>
        <v/>
      </c>
      <c r="I368" s="20"/>
      <c r="J368" s="19"/>
    </row>
    <row r="369" spans="1:10" x14ac:dyDescent="0.25">
      <c r="A369" s="25"/>
      <c r="B369" s="26"/>
      <c r="C369" s="26"/>
      <c r="D369" s="29" t="str">
        <f t="shared" si="18"/>
        <v/>
      </c>
      <c r="E369" s="27" t="b">
        <f t="shared" si="16"/>
        <v>0</v>
      </c>
      <c r="F369" s="28" t="str">
        <f t="shared" si="17"/>
        <v/>
      </c>
      <c r="I369" s="20"/>
      <c r="J369" s="19"/>
    </row>
    <row r="370" spans="1:10" x14ac:dyDescent="0.25">
      <c r="A370" s="25"/>
      <c r="B370" s="26"/>
      <c r="C370" s="26"/>
      <c r="D370" s="29" t="str">
        <f t="shared" si="18"/>
        <v/>
      </c>
      <c r="E370" s="27" t="b">
        <f t="shared" si="16"/>
        <v>0</v>
      </c>
      <c r="F370" s="28" t="str">
        <f t="shared" si="17"/>
        <v/>
      </c>
      <c r="I370" s="20"/>
      <c r="J370" s="19"/>
    </row>
    <row r="371" spans="1:10" x14ac:dyDescent="0.25">
      <c r="A371" s="25"/>
      <c r="B371" s="26"/>
      <c r="C371" s="26"/>
      <c r="D371" s="29" t="str">
        <f t="shared" si="18"/>
        <v/>
      </c>
      <c r="E371" s="27" t="b">
        <f t="shared" si="16"/>
        <v>0</v>
      </c>
      <c r="F371" s="28" t="str">
        <f t="shared" si="17"/>
        <v/>
      </c>
      <c r="I371" s="20"/>
      <c r="J371" s="19"/>
    </row>
    <row r="372" spans="1:10" x14ac:dyDescent="0.25">
      <c r="A372" s="25"/>
      <c r="B372" s="26"/>
      <c r="C372" s="26"/>
      <c r="D372" s="29" t="str">
        <f t="shared" si="18"/>
        <v/>
      </c>
      <c r="E372" s="27" t="b">
        <f t="shared" si="16"/>
        <v>0</v>
      </c>
      <c r="F372" s="28" t="str">
        <f t="shared" si="17"/>
        <v/>
      </c>
      <c r="I372" s="20"/>
      <c r="J372" s="19"/>
    </row>
    <row r="373" spans="1:10" x14ac:dyDescent="0.25">
      <c r="A373" s="25"/>
      <c r="B373" s="26"/>
      <c r="C373" s="26"/>
      <c r="D373" s="29" t="str">
        <f t="shared" si="18"/>
        <v/>
      </c>
      <c r="E373" s="27" t="b">
        <f t="shared" si="16"/>
        <v>0</v>
      </c>
      <c r="F373" s="28" t="str">
        <f t="shared" si="17"/>
        <v/>
      </c>
      <c r="I373" s="20"/>
      <c r="J373" s="19"/>
    </row>
    <row r="374" spans="1:10" x14ac:dyDescent="0.25">
      <c r="A374" s="25"/>
      <c r="B374" s="26"/>
      <c r="C374" s="26"/>
      <c r="D374" s="29" t="str">
        <f t="shared" si="18"/>
        <v/>
      </c>
      <c r="E374" s="27" t="b">
        <f t="shared" si="16"/>
        <v>0</v>
      </c>
      <c r="F374" s="28" t="str">
        <f t="shared" si="17"/>
        <v/>
      </c>
      <c r="I374" s="20"/>
      <c r="J374" s="19"/>
    </row>
    <row r="375" spans="1:10" x14ac:dyDescent="0.25">
      <c r="A375" s="25"/>
      <c r="B375" s="26"/>
      <c r="C375" s="26"/>
      <c r="D375" s="29" t="str">
        <f t="shared" si="18"/>
        <v/>
      </c>
      <c r="E375" s="27" t="b">
        <f t="shared" si="16"/>
        <v>0</v>
      </c>
      <c r="F375" s="28" t="str">
        <f t="shared" si="17"/>
        <v/>
      </c>
      <c r="I375" s="20"/>
      <c r="J375" s="19"/>
    </row>
    <row r="376" spans="1:10" x14ac:dyDescent="0.25">
      <c r="A376" s="25"/>
      <c r="B376" s="26"/>
      <c r="C376" s="26"/>
      <c r="D376" s="29" t="str">
        <f t="shared" si="18"/>
        <v/>
      </c>
      <c r="E376" s="27" t="b">
        <f t="shared" si="16"/>
        <v>0</v>
      </c>
      <c r="F376" s="28" t="str">
        <f t="shared" si="17"/>
        <v/>
      </c>
      <c r="I376" s="20"/>
      <c r="J376" s="19"/>
    </row>
    <row r="377" spans="1:10" x14ac:dyDescent="0.25">
      <c r="A377" s="25"/>
      <c r="B377" s="26"/>
      <c r="C377" s="26"/>
      <c r="D377" s="29" t="str">
        <f t="shared" si="18"/>
        <v/>
      </c>
      <c r="E377" s="27" t="b">
        <f t="shared" si="16"/>
        <v>0</v>
      </c>
      <c r="F377" s="28" t="str">
        <f t="shared" si="17"/>
        <v/>
      </c>
      <c r="I377" s="20"/>
      <c r="J377" s="19"/>
    </row>
    <row r="378" spans="1:10" x14ac:dyDescent="0.25">
      <c r="A378" s="25"/>
      <c r="B378" s="26"/>
      <c r="C378" s="26"/>
      <c r="D378" s="29" t="str">
        <f t="shared" si="18"/>
        <v/>
      </c>
      <c r="E378" s="27" t="b">
        <f t="shared" si="16"/>
        <v>0</v>
      </c>
      <c r="F378" s="28" t="str">
        <f t="shared" si="17"/>
        <v/>
      </c>
      <c r="I378" s="20"/>
      <c r="J378" s="19"/>
    </row>
    <row r="379" spans="1:10" x14ac:dyDescent="0.25">
      <c r="A379" s="25"/>
      <c r="B379" s="26"/>
      <c r="C379" s="26"/>
      <c r="D379" s="29" t="str">
        <f t="shared" si="18"/>
        <v/>
      </c>
      <c r="E379" s="27" t="b">
        <f t="shared" si="16"/>
        <v>0</v>
      </c>
      <c r="F379" s="28" t="str">
        <f t="shared" si="17"/>
        <v/>
      </c>
      <c r="I379" s="20"/>
      <c r="J379" s="19"/>
    </row>
    <row r="380" spans="1:10" x14ac:dyDescent="0.25">
      <c r="A380" s="25"/>
      <c r="B380" s="26"/>
      <c r="C380" s="26"/>
      <c r="D380" s="29" t="str">
        <f t="shared" si="18"/>
        <v/>
      </c>
      <c r="E380" s="27" t="b">
        <f t="shared" si="16"/>
        <v>0</v>
      </c>
      <c r="F380" s="28" t="str">
        <f t="shared" si="17"/>
        <v/>
      </c>
      <c r="I380" s="20"/>
      <c r="J380" s="19"/>
    </row>
    <row r="381" spans="1:10" x14ac:dyDescent="0.25">
      <c r="A381" s="25"/>
      <c r="B381" s="26"/>
      <c r="C381" s="26"/>
      <c r="D381" s="29" t="str">
        <f t="shared" si="18"/>
        <v/>
      </c>
      <c r="E381" s="27" t="b">
        <f t="shared" si="16"/>
        <v>0</v>
      </c>
      <c r="F381" s="28" t="str">
        <f t="shared" si="17"/>
        <v/>
      </c>
      <c r="I381" s="20"/>
      <c r="J381" s="19"/>
    </row>
    <row r="382" spans="1:10" x14ac:dyDescent="0.25">
      <c r="A382" s="25"/>
      <c r="B382" s="26"/>
      <c r="C382" s="26"/>
      <c r="D382" s="29" t="str">
        <f t="shared" si="18"/>
        <v/>
      </c>
      <c r="E382" s="27" t="b">
        <f t="shared" si="16"/>
        <v>0</v>
      </c>
      <c r="F382" s="28" t="str">
        <f t="shared" si="17"/>
        <v/>
      </c>
      <c r="I382" s="20"/>
      <c r="J382" s="19"/>
    </row>
    <row r="383" spans="1:10" x14ac:dyDescent="0.25">
      <c r="A383" s="25"/>
      <c r="B383" s="26"/>
      <c r="C383" s="26"/>
      <c r="D383" s="29" t="str">
        <f t="shared" si="18"/>
        <v/>
      </c>
      <c r="E383" s="27" t="b">
        <f t="shared" si="16"/>
        <v>0</v>
      </c>
      <c r="F383" s="28" t="str">
        <f t="shared" si="17"/>
        <v/>
      </c>
      <c r="I383" s="20"/>
      <c r="J383" s="19"/>
    </row>
    <row r="384" spans="1:10" x14ac:dyDescent="0.25">
      <c r="A384" s="25"/>
      <c r="B384" s="26"/>
      <c r="C384" s="26"/>
      <c r="D384" s="29" t="str">
        <f t="shared" si="18"/>
        <v/>
      </c>
      <c r="E384" s="27" t="b">
        <f t="shared" si="16"/>
        <v>0</v>
      </c>
      <c r="F384" s="28" t="str">
        <f t="shared" si="17"/>
        <v/>
      </c>
      <c r="I384" s="20"/>
      <c r="J384" s="19"/>
    </row>
    <row r="385" spans="1:10" x14ac:dyDescent="0.25">
      <c r="A385" s="25"/>
      <c r="B385" s="26"/>
      <c r="C385" s="26"/>
      <c r="D385" s="29" t="str">
        <f t="shared" si="18"/>
        <v/>
      </c>
      <c r="E385" s="27" t="b">
        <f t="shared" si="16"/>
        <v>0</v>
      </c>
      <c r="F385" s="28" t="str">
        <f t="shared" si="17"/>
        <v/>
      </c>
      <c r="I385" s="20"/>
      <c r="J385" s="19"/>
    </row>
    <row r="386" spans="1:10" x14ac:dyDescent="0.25">
      <c r="A386" s="25"/>
      <c r="B386" s="26"/>
      <c r="C386" s="26"/>
      <c r="D386" s="29" t="str">
        <f t="shared" si="18"/>
        <v/>
      </c>
      <c r="E386" s="27" t="b">
        <f t="shared" si="16"/>
        <v>0</v>
      </c>
      <c r="F386" s="28" t="str">
        <f t="shared" si="17"/>
        <v/>
      </c>
      <c r="I386" s="20"/>
      <c r="J386" s="19"/>
    </row>
    <row r="387" spans="1:10" x14ac:dyDescent="0.25">
      <c r="A387" s="25"/>
      <c r="B387" s="26"/>
      <c r="C387" s="26"/>
      <c r="D387" s="29" t="str">
        <f t="shared" si="18"/>
        <v/>
      </c>
      <c r="E387" s="27" t="b">
        <f t="shared" si="16"/>
        <v>0</v>
      </c>
      <c r="F387" s="28" t="str">
        <f t="shared" si="17"/>
        <v/>
      </c>
      <c r="I387" s="20"/>
      <c r="J387" s="19"/>
    </row>
    <row r="388" spans="1:10" x14ac:dyDescent="0.25">
      <c r="A388" s="25"/>
      <c r="B388" s="26"/>
      <c r="C388" s="26"/>
      <c r="D388" s="29" t="str">
        <f t="shared" si="18"/>
        <v/>
      </c>
      <c r="E388" s="27" t="b">
        <f t="shared" ref="E388:E400" si="19">IF(C388&lt;&gt;"",IF(C388&lt;$I$6,$J$6,IF(AND(C388&gt;=$H$7,C388&lt;$I$7),$J$7,IF(AND(C388&gt;=$H$8,C388&lt;$I$8),$J$8,IF(AND(C388&gt;=$H$9,C388&lt;$I$9),$J$9,IF(AND(C388&gt;=$H$10,C388&lt;$I$10),$J$10,IF(AND(C388&gt;=$H$11,C388&lt;$I$11),$J$11,IF(AND(C388&gt;=$H$12,C388&lt;$I$12),$J$12,IF(AND(C388&gt;=$H$13,C388&lt;$I$13),$J$13,IF(C388&gt;=$H$14,$J$14,""))))))))))</f>
        <v>0</v>
      </c>
      <c r="F388" s="28" t="str">
        <f t="shared" si="17"/>
        <v/>
      </c>
      <c r="I388" s="20"/>
      <c r="J388" s="19"/>
    </row>
    <row r="389" spans="1:10" x14ac:dyDescent="0.25">
      <c r="A389" s="25"/>
      <c r="B389" s="26"/>
      <c r="C389" s="26"/>
      <c r="D389" s="29" t="str">
        <f t="shared" si="18"/>
        <v/>
      </c>
      <c r="E389" s="27" t="b">
        <f t="shared" si="19"/>
        <v>0</v>
      </c>
      <c r="F389" s="28" t="str">
        <f t="shared" ref="F389:F400" si="20">IF(AND(C389&lt;&gt;"",B389&lt;&gt;""),C389*D389+C389*E389,"")</f>
        <v/>
      </c>
      <c r="I389" s="20"/>
      <c r="J389" s="19"/>
    </row>
    <row r="390" spans="1:10" x14ac:dyDescent="0.25">
      <c r="A390" s="25"/>
      <c r="B390" s="26"/>
      <c r="C390" s="26"/>
      <c r="D390" s="29" t="str">
        <f t="shared" si="18"/>
        <v/>
      </c>
      <c r="E390" s="27" t="b">
        <f t="shared" si="19"/>
        <v>0</v>
      </c>
      <c r="F390" s="28" t="str">
        <f t="shared" si="20"/>
        <v/>
      </c>
      <c r="I390" s="20"/>
      <c r="J390" s="19"/>
    </row>
    <row r="391" spans="1:10" x14ac:dyDescent="0.25">
      <c r="A391" s="25"/>
      <c r="B391" s="26"/>
      <c r="C391" s="26"/>
      <c r="D391" s="29" t="str">
        <f t="shared" si="18"/>
        <v/>
      </c>
      <c r="E391" s="27" t="b">
        <f t="shared" si="19"/>
        <v>0</v>
      </c>
      <c r="F391" s="28" t="str">
        <f t="shared" si="20"/>
        <v/>
      </c>
      <c r="I391" s="20"/>
      <c r="J391" s="19"/>
    </row>
    <row r="392" spans="1:10" x14ac:dyDescent="0.25">
      <c r="A392" s="25"/>
      <c r="B392" s="26"/>
      <c r="C392" s="26"/>
      <c r="D392" s="29" t="str">
        <f t="shared" si="18"/>
        <v/>
      </c>
      <c r="E392" s="27" t="b">
        <f t="shared" si="19"/>
        <v>0</v>
      </c>
      <c r="F392" s="28" t="str">
        <f t="shared" si="20"/>
        <v/>
      </c>
      <c r="I392" s="20"/>
      <c r="J392" s="19"/>
    </row>
    <row r="393" spans="1:10" x14ac:dyDescent="0.25">
      <c r="A393" s="25"/>
      <c r="B393" s="26"/>
      <c r="C393" s="26"/>
      <c r="D393" s="29" t="str">
        <f t="shared" si="18"/>
        <v/>
      </c>
      <c r="E393" s="27" t="b">
        <f t="shared" si="19"/>
        <v>0</v>
      </c>
      <c r="F393" s="28" t="str">
        <f t="shared" si="20"/>
        <v/>
      </c>
      <c r="I393" s="20"/>
      <c r="J393" s="19"/>
    </row>
    <row r="394" spans="1:10" x14ac:dyDescent="0.25">
      <c r="A394" s="25"/>
      <c r="B394" s="26"/>
      <c r="C394" s="26"/>
      <c r="D394" s="29" t="str">
        <f t="shared" si="18"/>
        <v/>
      </c>
      <c r="E394" s="27" t="b">
        <f t="shared" si="19"/>
        <v>0</v>
      </c>
      <c r="F394" s="28" t="str">
        <f t="shared" si="20"/>
        <v/>
      </c>
      <c r="I394" s="20"/>
      <c r="J394" s="19"/>
    </row>
    <row r="395" spans="1:10" x14ac:dyDescent="0.25">
      <c r="A395" s="25"/>
      <c r="B395" s="26"/>
      <c r="C395" s="26"/>
      <c r="D395" s="29" t="str">
        <f t="shared" si="18"/>
        <v/>
      </c>
      <c r="E395" s="27" t="b">
        <f t="shared" si="19"/>
        <v>0</v>
      </c>
      <c r="F395" s="28" t="str">
        <f t="shared" si="20"/>
        <v/>
      </c>
      <c r="I395" s="20"/>
      <c r="J395" s="19"/>
    </row>
    <row r="396" spans="1:10" x14ac:dyDescent="0.25">
      <c r="A396" s="25"/>
      <c r="B396" s="26"/>
      <c r="C396" s="26"/>
      <c r="D396" s="29" t="str">
        <f t="shared" si="18"/>
        <v/>
      </c>
      <c r="E396" s="27" t="b">
        <f t="shared" si="19"/>
        <v>0</v>
      </c>
      <c r="F396" s="28" t="str">
        <f t="shared" si="20"/>
        <v/>
      </c>
      <c r="I396" s="20"/>
      <c r="J396" s="19"/>
    </row>
    <row r="397" spans="1:10" x14ac:dyDescent="0.25">
      <c r="A397" s="25"/>
      <c r="B397" s="26"/>
      <c r="C397" s="26"/>
      <c r="D397" s="29" t="str">
        <f t="shared" si="18"/>
        <v/>
      </c>
      <c r="E397" s="27" t="b">
        <f t="shared" si="19"/>
        <v>0</v>
      </c>
      <c r="F397" s="28" t="str">
        <f t="shared" si="20"/>
        <v/>
      </c>
      <c r="I397" s="20"/>
      <c r="J397" s="19"/>
    </row>
    <row r="398" spans="1:10" x14ac:dyDescent="0.25">
      <c r="A398" s="25"/>
      <c r="B398" s="26"/>
      <c r="C398" s="26"/>
      <c r="D398" s="29" t="str">
        <f t="shared" si="18"/>
        <v/>
      </c>
      <c r="E398" s="27" t="b">
        <f t="shared" si="19"/>
        <v>0</v>
      </c>
      <c r="F398" s="28" t="str">
        <f t="shared" si="20"/>
        <v/>
      </c>
      <c r="I398" s="20"/>
      <c r="J398" s="19"/>
    </row>
    <row r="399" spans="1:10" x14ac:dyDescent="0.25">
      <c r="A399" s="25"/>
      <c r="B399" s="26"/>
      <c r="C399" s="26"/>
      <c r="D399" s="29" t="str">
        <f t="shared" si="18"/>
        <v/>
      </c>
      <c r="E399" s="27" t="b">
        <f t="shared" si="19"/>
        <v>0</v>
      </c>
      <c r="F399" s="28" t="str">
        <f t="shared" si="20"/>
        <v/>
      </c>
      <c r="I399" s="20"/>
      <c r="J399" s="19"/>
    </row>
    <row r="400" spans="1:10" x14ac:dyDescent="0.25">
      <c r="A400" s="25"/>
      <c r="B400" s="26"/>
      <c r="C400" s="26"/>
      <c r="D400" s="29" t="str">
        <f t="shared" si="18"/>
        <v/>
      </c>
      <c r="E400" s="27" t="b">
        <f t="shared" si="19"/>
        <v>0</v>
      </c>
      <c r="F400" s="28" t="str">
        <f t="shared" si="20"/>
        <v/>
      </c>
      <c r="I400" s="20"/>
      <c r="J400" s="19"/>
    </row>
  </sheetData>
  <mergeCells count="4">
    <mergeCell ref="H3:J3"/>
    <mergeCell ref="H4:I4"/>
    <mergeCell ref="J4:J5"/>
    <mergeCell ref="A1:K1"/>
  </mergeCells>
  <dataValidations count="2">
    <dataValidation type="list" allowBlank="1" showInputMessage="1" showErrorMessage="1" sqref="A4:A1048576">
      <formula1>"JANEIRO,FEVEREIRO,MARÇO,ABRIL,MAIO,JUNHO,JULHO,AGOSTO,SETEMBRO,OUTUBRO,NOVEMBRO,DEZEMBRO"</formula1>
    </dataValidation>
    <dataValidation type="list" allowBlank="1" showInputMessage="1" showErrorMessage="1" sqref="B4:B1048576">
      <formula1>$I$19:$I$400</formula1>
    </dataValidation>
  </dataValidation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showGridLines="0" zoomScaleNormal="100" workbookViewId="0">
      <selection activeCell="K31" sqref="K31"/>
    </sheetView>
  </sheetViews>
  <sheetFormatPr defaultColWidth="26.125" defaultRowHeight="12.75" x14ac:dyDescent="0.25"/>
  <cols>
    <col min="1" max="1" width="23.875" style="3" bestFit="1" customWidth="1"/>
    <col min="2" max="2" width="19" style="1" bestFit="1" customWidth="1"/>
    <col min="3" max="3" width="19" style="10" bestFit="1" customWidth="1"/>
    <col min="4" max="4" width="16.875" style="10" bestFit="1" customWidth="1"/>
    <col min="5" max="5" width="19" style="9" bestFit="1" customWidth="1"/>
    <col min="6" max="6" width="16.875" style="9" bestFit="1" customWidth="1"/>
    <col min="7" max="9" width="9.25" style="9" bestFit="1" customWidth="1"/>
    <col min="10" max="10" width="10.375" style="9" bestFit="1" customWidth="1"/>
    <col min="11" max="11" width="9.375" style="9" bestFit="1" customWidth="1"/>
    <col min="12" max="12" width="11.25" style="9" bestFit="1" customWidth="1"/>
    <col min="13" max="13" width="10.625" style="9" bestFit="1" customWidth="1"/>
    <col min="14" max="14" width="19.375" style="9" bestFit="1" customWidth="1"/>
    <col min="15" max="16" width="0" style="9" hidden="1" customWidth="1"/>
    <col min="17" max="16384" width="26.125" style="9"/>
  </cols>
  <sheetData>
    <row r="1" spans="1:25" s="47" customFormat="1" ht="36" customHeight="1" x14ac:dyDescent="0.25">
      <c r="A1" s="49" t="s">
        <v>33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48"/>
      <c r="M1" s="48"/>
      <c r="N1" s="48"/>
      <c r="O1" s="48"/>
      <c r="P1" s="48"/>
      <c r="Q1" s="48"/>
      <c r="R1" s="48"/>
      <c r="S1" s="48"/>
      <c r="T1" s="48"/>
      <c r="U1" s="46"/>
      <c r="V1" s="46"/>
      <c r="W1" s="46"/>
      <c r="X1" s="46"/>
      <c r="Y1" s="46"/>
    </row>
    <row r="2" spans="1:25" ht="15.75" x14ac:dyDescent="0.25">
      <c r="D2" s="12"/>
      <c r="E2" s="11"/>
    </row>
    <row r="3" spans="1:25" s="14" customFormat="1" ht="15.75" x14ac:dyDescent="0.25">
      <c r="A3" s="15"/>
      <c r="B3" s="41" t="s">
        <v>12</v>
      </c>
      <c r="C3" s="41" t="s">
        <v>13</v>
      </c>
      <c r="D3" s="41" t="s">
        <v>14</v>
      </c>
      <c r="E3" s="41" t="s">
        <v>15</v>
      </c>
      <c r="F3" s="41" t="s">
        <v>16</v>
      </c>
      <c r="G3" s="41" t="s">
        <v>17</v>
      </c>
      <c r="H3" s="41" t="s">
        <v>18</v>
      </c>
      <c r="I3" s="41" t="s">
        <v>19</v>
      </c>
      <c r="J3" s="41" t="s">
        <v>20</v>
      </c>
      <c r="K3" s="41" t="s">
        <v>21</v>
      </c>
      <c r="L3" s="41" t="s">
        <v>22</v>
      </c>
      <c r="M3" s="41" t="s">
        <v>23</v>
      </c>
      <c r="N3" s="41" t="s">
        <v>24</v>
      </c>
    </row>
    <row r="4" spans="1:25" ht="15.75" x14ac:dyDescent="0.25">
      <c r="A4" s="44" t="s">
        <v>26</v>
      </c>
      <c r="B4" s="40">
        <f>SUMIF(Cadastro!$A:$A,B3,Cadastro!$C:$C)</f>
        <v>0</v>
      </c>
      <c r="C4" s="40">
        <f>SUMIF(Cadastro!$A:$A,C3,Cadastro!$C:$C)</f>
        <v>0</v>
      </c>
      <c r="D4" s="40">
        <f>SUMIF(Cadastro!$A:$A,D3,Cadastro!$C:$C)</f>
        <v>0</v>
      </c>
      <c r="E4" s="40">
        <f>SUMIF(Cadastro!$A:$A,E3,Cadastro!$C:$C)</f>
        <v>0</v>
      </c>
      <c r="F4" s="40">
        <f>SUMIF(Cadastro!$A:$A,F3,Cadastro!$C:$C)</f>
        <v>0</v>
      </c>
      <c r="G4" s="40">
        <f>SUMIF(Cadastro!$A:$A,G3,Cadastro!$C:$C)</f>
        <v>0</v>
      </c>
      <c r="H4" s="40">
        <f>SUMIF(Cadastro!$A:$A,H3,Cadastro!$C:$C)</f>
        <v>0</v>
      </c>
      <c r="I4" s="40">
        <f>SUMIF(Cadastro!$A:$A,I3,Cadastro!$C:$C)</f>
        <v>0</v>
      </c>
      <c r="J4" s="40">
        <f>SUMIF(Cadastro!$A:$A,J3,Cadastro!$C:$C)</f>
        <v>0</v>
      </c>
      <c r="K4" s="40">
        <f>SUMIF(Cadastro!$A:$A,K3,Cadastro!$C:$C)</f>
        <v>0</v>
      </c>
      <c r="L4" s="40">
        <f>SUMIF(Cadastro!$A:$A,L3,Cadastro!$C:$C)</f>
        <v>0</v>
      </c>
      <c r="M4" s="40">
        <f>SUMIF(Cadastro!$A:$A,M3,Cadastro!$C:$C)</f>
        <v>0</v>
      </c>
      <c r="N4" s="40">
        <f>SUM(B4:M4)</f>
        <v>0</v>
      </c>
    </row>
    <row r="5" spans="1:25" s="11" customFormat="1" ht="15.75" x14ac:dyDescent="0.25">
      <c r="A5" s="44" t="s">
        <v>0</v>
      </c>
      <c r="B5" s="56" t="s">
        <v>25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41" t="s">
        <v>27</v>
      </c>
    </row>
    <row r="6" spans="1:25" ht="15" x14ac:dyDescent="0.25">
      <c r="A6" s="39" t="str">
        <f>IF(Cadastro!I19&lt;&gt;"", Cadastro!I19, "")</f>
        <v/>
      </c>
      <c r="B6" s="40" t="str">
        <f>IF(A6&lt;&gt;"", SUMIFS(Cadastro!$F:$F,Cadastro!$A:$A,B$3,Cadastro!$B:$B,$A6), "")</f>
        <v/>
      </c>
      <c r="C6" s="40" t="str">
        <f>IF(B6&lt;&gt;"", SUMIFS(Cadastro!$F:$F,Cadastro!$A:$A,C$3,Cadastro!$B:$B,$A6), "")</f>
        <v/>
      </c>
      <c r="D6" s="40" t="str">
        <f>IF(C6&lt;&gt;"", SUMIFS(Cadastro!$F:$F,Cadastro!$A:$A,D$3,Cadastro!$B:$B,$A6), "")</f>
        <v/>
      </c>
      <c r="E6" s="40" t="str">
        <f>IF(D6&lt;&gt;"", SUMIFS(Cadastro!$F:$F,Cadastro!$A:$A,E$3,Cadastro!$B:$B,$A6), "")</f>
        <v/>
      </c>
      <c r="F6" s="40" t="str">
        <f>IF(E6&lt;&gt;"", SUMIFS(Cadastro!$F:$F,Cadastro!$A:$A,F$3,Cadastro!$B:$B,$A6), "")</f>
        <v/>
      </c>
      <c r="G6" s="40" t="str">
        <f>IF(F6&lt;&gt;"", SUMIFS(Cadastro!$F:$F,Cadastro!$A:$A,G$3,Cadastro!$B:$B,$A6), "")</f>
        <v/>
      </c>
      <c r="H6" s="40" t="str">
        <f>IF(G6&lt;&gt;"", SUMIFS(Cadastro!$F:$F,Cadastro!$A:$A,H$3,Cadastro!$B:$B,$A6), "")</f>
        <v/>
      </c>
      <c r="I6" s="40" t="str">
        <f>IF(H6&lt;&gt;"", SUMIFS(Cadastro!$F:$F,Cadastro!$A:$A,I$3,Cadastro!$B:$B,$A6), "")</f>
        <v/>
      </c>
      <c r="J6" s="40" t="str">
        <f>IF(I6&lt;&gt;"", SUMIFS(Cadastro!$F:$F,Cadastro!$A:$A,J$3,Cadastro!$B:$B,$A6), "")</f>
        <v/>
      </c>
      <c r="K6" s="40" t="str">
        <f>IF(J6&lt;&gt;"", SUMIFS(Cadastro!$F:$F,Cadastro!$A:$A,K$3,Cadastro!$B:$B,$A6), "")</f>
        <v/>
      </c>
      <c r="L6" s="40" t="str">
        <f>IF(K6&lt;&gt;"", SUMIFS(Cadastro!$F:$F,Cadastro!$A:$A,L$3,Cadastro!$B:$B,$A6), "")</f>
        <v/>
      </c>
      <c r="M6" s="40" t="str">
        <f>IF(L6&lt;&gt;"", SUMIFS(Cadastro!$F:$F,Cadastro!$A:$A,M$3,Cadastro!$B:$B,$A6), "")</f>
        <v/>
      </c>
      <c r="N6" s="42">
        <f>SUM(B6:M6)</f>
        <v>0</v>
      </c>
    </row>
    <row r="7" spans="1:25" ht="15" x14ac:dyDescent="0.25">
      <c r="A7" s="39" t="str">
        <f>IF(Cadastro!I20&lt;&gt;"", Cadastro!I20, "")</f>
        <v/>
      </c>
      <c r="B7" s="40" t="str">
        <f>IF(A7&lt;&gt;"", SUMIFS(Cadastro!$F:$F,Cadastro!$A:$A,B$3,Cadastro!$B:$B,$A7), "")</f>
        <v/>
      </c>
      <c r="C7" s="40" t="str">
        <f>IF(B7&lt;&gt;"", SUMIFS(Cadastro!$F:$F,Cadastro!$A:$A,C$3,Cadastro!$B:$B,$A7), "")</f>
        <v/>
      </c>
      <c r="D7" s="40" t="str">
        <f>IF(C7&lt;&gt;"", SUMIFS(Cadastro!$F:$F,Cadastro!$A:$A,D$3,Cadastro!$B:$B,$A7), "")</f>
        <v/>
      </c>
      <c r="E7" s="40" t="str">
        <f>IF(D7&lt;&gt;"", SUMIFS(Cadastro!$F:$F,Cadastro!$A:$A,E$3,Cadastro!$B:$B,$A7), "")</f>
        <v/>
      </c>
      <c r="F7" s="40" t="str">
        <f>IF(E7&lt;&gt;"", SUMIFS(Cadastro!$F:$F,Cadastro!$A:$A,F$3,Cadastro!$B:$B,$A7), "")</f>
        <v/>
      </c>
      <c r="G7" s="40" t="str">
        <f>IF(F7&lt;&gt;"", SUMIFS(Cadastro!$F:$F,Cadastro!$A:$A,G$3,Cadastro!$B:$B,$A7), "")</f>
        <v/>
      </c>
      <c r="H7" s="40" t="str">
        <f>IF(G7&lt;&gt;"", SUMIFS(Cadastro!$F:$F,Cadastro!$A:$A,H$3,Cadastro!$B:$B,$A7), "")</f>
        <v/>
      </c>
      <c r="I7" s="40" t="str">
        <f>IF(H7&lt;&gt;"", SUMIFS(Cadastro!$F:$F,Cadastro!$A:$A,I$3,Cadastro!$B:$B,$A7), "")</f>
        <v/>
      </c>
      <c r="J7" s="40" t="str">
        <f>IF(I7&lt;&gt;"", SUMIFS(Cadastro!$F:$F,Cadastro!$A:$A,J$3,Cadastro!$B:$B,$A7), "")</f>
        <v/>
      </c>
      <c r="K7" s="40" t="str">
        <f>IF(J7&lt;&gt;"", SUMIFS(Cadastro!$F:$F,Cadastro!$A:$A,K$3,Cadastro!$B:$B,$A7), "")</f>
        <v/>
      </c>
      <c r="L7" s="40" t="str">
        <f>IF(K7&lt;&gt;"", SUMIFS(Cadastro!$F:$F,Cadastro!$A:$A,L$3,Cadastro!$B:$B,$A7), "")</f>
        <v/>
      </c>
      <c r="M7" s="40" t="str">
        <f>IF(L7&lt;&gt;"", SUMIFS(Cadastro!$F:$F,Cadastro!$A:$A,M$3,Cadastro!$B:$B,$A7), "")</f>
        <v/>
      </c>
      <c r="N7" s="42">
        <f t="shared" ref="N7:N26" si="0">SUM(B7:M7)</f>
        <v>0</v>
      </c>
    </row>
    <row r="8" spans="1:25" ht="15" x14ac:dyDescent="0.25">
      <c r="A8" s="39" t="str">
        <f>IF(Cadastro!I21&lt;&gt;"", Cadastro!I21, "")</f>
        <v/>
      </c>
      <c r="B8" s="40" t="str">
        <f>IF(A8&lt;&gt;"", SUMIFS(Cadastro!$F:$F,Cadastro!$A:$A,B$3,Cadastro!$B:$B,$A8), "")</f>
        <v/>
      </c>
      <c r="C8" s="40" t="str">
        <f>IF(B8&lt;&gt;"", SUMIFS(Cadastro!$F:$F,Cadastro!$A:$A,C$3,Cadastro!$B:$B,$A8), "")</f>
        <v/>
      </c>
      <c r="D8" s="40" t="str">
        <f>IF(C8&lt;&gt;"", SUMIFS(Cadastro!$F:$F,Cadastro!$A:$A,D$3,Cadastro!$B:$B,$A8), "")</f>
        <v/>
      </c>
      <c r="E8" s="40" t="str">
        <f>IF(D8&lt;&gt;"", SUMIFS(Cadastro!$F:$F,Cadastro!$A:$A,E$3,Cadastro!$B:$B,$A8), "")</f>
        <v/>
      </c>
      <c r="F8" s="40" t="str">
        <f>IF(E8&lt;&gt;"", SUMIFS(Cadastro!$F:$F,Cadastro!$A:$A,F$3,Cadastro!$B:$B,$A8), "")</f>
        <v/>
      </c>
      <c r="G8" s="40" t="str">
        <f>IF(F8&lt;&gt;"", SUMIFS(Cadastro!$F:$F,Cadastro!$A:$A,G$3,Cadastro!$B:$B,$A8), "")</f>
        <v/>
      </c>
      <c r="H8" s="40" t="str">
        <f>IF(G8&lt;&gt;"", SUMIFS(Cadastro!$F:$F,Cadastro!$A:$A,H$3,Cadastro!$B:$B,$A8), "")</f>
        <v/>
      </c>
      <c r="I8" s="40" t="str">
        <f>IF(H8&lt;&gt;"", SUMIFS(Cadastro!$F:$F,Cadastro!$A:$A,I$3,Cadastro!$B:$B,$A8), "")</f>
        <v/>
      </c>
      <c r="J8" s="40" t="str">
        <f>IF(I8&lt;&gt;"", SUMIFS(Cadastro!$F:$F,Cadastro!$A:$A,J$3,Cadastro!$B:$B,$A8), "")</f>
        <v/>
      </c>
      <c r="K8" s="40" t="str">
        <f>IF(J8&lt;&gt;"", SUMIFS(Cadastro!$F:$F,Cadastro!$A:$A,K$3,Cadastro!$B:$B,$A8), "")</f>
        <v/>
      </c>
      <c r="L8" s="40" t="str">
        <f>IF(K8&lt;&gt;"", SUMIFS(Cadastro!$F:$F,Cadastro!$A:$A,L$3,Cadastro!$B:$B,$A8), "")</f>
        <v/>
      </c>
      <c r="M8" s="40" t="str">
        <f>IF(L8&lt;&gt;"", SUMIFS(Cadastro!$F:$F,Cadastro!$A:$A,M$3,Cadastro!$B:$B,$A8), "")</f>
        <v/>
      </c>
      <c r="N8" s="42">
        <f t="shared" si="0"/>
        <v>0</v>
      </c>
    </row>
    <row r="9" spans="1:25" ht="15" x14ac:dyDescent="0.25">
      <c r="A9" s="39" t="str">
        <f>IF(Cadastro!I22&lt;&gt;"", Cadastro!I22, "")</f>
        <v/>
      </c>
      <c r="B9" s="40" t="str">
        <f>IF(A9&lt;&gt;"", SUMIFS(Cadastro!$F:$F,Cadastro!$A:$A,B$3,Cadastro!$B:$B,$A9), "")</f>
        <v/>
      </c>
      <c r="C9" s="40" t="str">
        <f>IF(B9&lt;&gt;"", SUMIFS(Cadastro!$F:$F,Cadastro!$A:$A,C$3,Cadastro!$B:$B,$A9), "")</f>
        <v/>
      </c>
      <c r="D9" s="40" t="str">
        <f>IF(C9&lt;&gt;"", SUMIFS(Cadastro!$F:$F,Cadastro!$A:$A,D$3,Cadastro!$B:$B,$A9), "")</f>
        <v/>
      </c>
      <c r="E9" s="40" t="str">
        <f>IF(D9&lt;&gt;"", SUMIFS(Cadastro!$F:$F,Cadastro!$A:$A,E$3,Cadastro!$B:$B,$A9), "")</f>
        <v/>
      </c>
      <c r="F9" s="40" t="str">
        <f>IF(E9&lt;&gt;"", SUMIFS(Cadastro!$F:$F,Cadastro!$A:$A,F$3,Cadastro!$B:$B,$A9), "")</f>
        <v/>
      </c>
      <c r="G9" s="40" t="str">
        <f>IF(F9&lt;&gt;"", SUMIFS(Cadastro!$F:$F,Cadastro!$A:$A,G$3,Cadastro!$B:$B,$A9), "")</f>
        <v/>
      </c>
      <c r="H9" s="40" t="str">
        <f>IF(G9&lt;&gt;"", SUMIFS(Cadastro!$F:$F,Cadastro!$A:$A,H$3,Cadastro!$B:$B,$A9), "")</f>
        <v/>
      </c>
      <c r="I9" s="40" t="str">
        <f>IF(H9&lt;&gt;"", SUMIFS(Cadastro!$F:$F,Cadastro!$A:$A,I$3,Cadastro!$B:$B,$A9), "")</f>
        <v/>
      </c>
      <c r="J9" s="40" t="str">
        <f>IF(I9&lt;&gt;"", SUMIFS(Cadastro!$F:$F,Cadastro!$A:$A,J$3,Cadastro!$B:$B,$A9), "")</f>
        <v/>
      </c>
      <c r="K9" s="40" t="str">
        <f>IF(J9&lt;&gt;"", SUMIFS(Cadastro!$F:$F,Cadastro!$A:$A,K$3,Cadastro!$B:$B,$A9), "")</f>
        <v/>
      </c>
      <c r="L9" s="40" t="str">
        <f>IF(K9&lt;&gt;"", SUMIFS(Cadastro!$F:$F,Cadastro!$A:$A,L$3,Cadastro!$B:$B,$A9), "")</f>
        <v/>
      </c>
      <c r="M9" s="40" t="str">
        <f>IF(L9&lt;&gt;"", SUMIFS(Cadastro!$F:$F,Cadastro!$A:$A,M$3,Cadastro!$B:$B,$A9), "")</f>
        <v/>
      </c>
      <c r="N9" s="42">
        <f t="shared" si="0"/>
        <v>0</v>
      </c>
    </row>
    <row r="10" spans="1:25" ht="15" x14ac:dyDescent="0.25">
      <c r="A10" s="39" t="str">
        <f>IF(Cadastro!I23&lt;&gt;"", Cadastro!I23, "")</f>
        <v/>
      </c>
      <c r="B10" s="40" t="str">
        <f>IF(A10&lt;&gt;"", SUMIFS(Cadastro!$F:$F,Cadastro!$A:$A,B$3,Cadastro!$B:$B,$A10), "")</f>
        <v/>
      </c>
      <c r="C10" s="40" t="str">
        <f>IF(B10&lt;&gt;"", SUMIFS(Cadastro!$F:$F,Cadastro!$A:$A,C$3,Cadastro!$B:$B,$A10), "")</f>
        <v/>
      </c>
      <c r="D10" s="40" t="str">
        <f>IF(C10&lt;&gt;"", SUMIFS(Cadastro!$F:$F,Cadastro!$A:$A,D$3,Cadastro!$B:$B,$A10), "")</f>
        <v/>
      </c>
      <c r="E10" s="40" t="str">
        <f>IF(D10&lt;&gt;"", SUMIFS(Cadastro!$F:$F,Cadastro!$A:$A,E$3,Cadastro!$B:$B,$A10), "")</f>
        <v/>
      </c>
      <c r="F10" s="40" t="str">
        <f>IF(E10&lt;&gt;"", SUMIFS(Cadastro!$F:$F,Cadastro!$A:$A,F$3,Cadastro!$B:$B,$A10), "")</f>
        <v/>
      </c>
      <c r="G10" s="40" t="str">
        <f>IF(F10&lt;&gt;"", SUMIFS(Cadastro!$F:$F,Cadastro!$A:$A,G$3,Cadastro!$B:$B,$A10), "")</f>
        <v/>
      </c>
      <c r="H10" s="40" t="str">
        <f>IF(G10&lt;&gt;"", SUMIFS(Cadastro!$F:$F,Cadastro!$A:$A,H$3,Cadastro!$B:$B,$A10), "")</f>
        <v/>
      </c>
      <c r="I10" s="40" t="str">
        <f>IF(H10&lt;&gt;"", SUMIFS(Cadastro!$F:$F,Cadastro!$A:$A,I$3,Cadastro!$B:$B,$A10), "")</f>
        <v/>
      </c>
      <c r="J10" s="40" t="str">
        <f>IF(I10&lt;&gt;"", SUMIFS(Cadastro!$F:$F,Cadastro!$A:$A,J$3,Cadastro!$B:$B,$A10), "")</f>
        <v/>
      </c>
      <c r="K10" s="40" t="str">
        <f>IF(J10&lt;&gt;"", SUMIFS(Cadastro!$F:$F,Cadastro!$A:$A,K$3,Cadastro!$B:$B,$A10), "")</f>
        <v/>
      </c>
      <c r="L10" s="40" t="str">
        <f>IF(K10&lt;&gt;"", SUMIFS(Cadastro!$F:$F,Cadastro!$A:$A,L$3,Cadastro!$B:$B,$A10), "")</f>
        <v/>
      </c>
      <c r="M10" s="40" t="str">
        <f>IF(L10&lt;&gt;"", SUMIFS(Cadastro!$F:$F,Cadastro!$A:$A,M$3,Cadastro!$B:$B,$A10), "")</f>
        <v/>
      </c>
      <c r="N10" s="42">
        <f t="shared" si="0"/>
        <v>0</v>
      </c>
    </row>
    <row r="11" spans="1:25" ht="15" x14ac:dyDescent="0.25">
      <c r="A11" s="39" t="str">
        <f>IF(Cadastro!I24&lt;&gt;"", Cadastro!I24, "")</f>
        <v/>
      </c>
      <c r="B11" s="40" t="str">
        <f>IF(A11&lt;&gt;"", SUMIFS(Cadastro!$F:$F,Cadastro!$A:$A,B$3,Cadastro!$B:$B,$A11), "")</f>
        <v/>
      </c>
      <c r="C11" s="40" t="str">
        <f>IF(B11&lt;&gt;"", SUMIFS(Cadastro!$F:$F,Cadastro!$A:$A,C$3,Cadastro!$B:$B,$A11), "")</f>
        <v/>
      </c>
      <c r="D11" s="40" t="str">
        <f>IF(C11&lt;&gt;"", SUMIFS(Cadastro!$F:$F,Cadastro!$A:$A,D$3,Cadastro!$B:$B,$A11), "")</f>
        <v/>
      </c>
      <c r="E11" s="40" t="str">
        <f>IF(D11&lt;&gt;"", SUMIFS(Cadastro!$F:$F,Cadastro!$A:$A,E$3,Cadastro!$B:$B,$A11), "")</f>
        <v/>
      </c>
      <c r="F11" s="40" t="str">
        <f>IF(E11&lt;&gt;"", SUMIFS(Cadastro!$F:$F,Cadastro!$A:$A,F$3,Cadastro!$B:$B,$A11), "")</f>
        <v/>
      </c>
      <c r="G11" s="40" t="str">
        <f>IF(F11&lt;&gt;"", SUMIFS(Cadastro!$F:$F,Cadastro!$A:$A,G$3,Cadastro!$B:$B,$A11), "")</f>
        <v/>
      </c>
      <c r="H11" s="40" t="str">
        <f>IF(G11&lt;&gt;"", SUMIFS(Cadastro!$F:$F,Cadastro!$A:$A,H$3,Cadastro!$B:$B,$A11), "")</f>
        <v/>
      </c>
      <c r="I11" s="40" t="str">
        <f>IF(H11&lt;&gt;"", SUMIFS(Cadastro!$F:$F,Cadastro!$A:$A,I$3,Cadastro!$B:$B,$A11), "")</f>
        <v/>
      </c>
      <c r="J11" s="40" t="str">
        <f>IF(I11&lt;&gt;"", SUMIFS(Cadastro!$F:$F,Cadastro!$A:$A,J$3,Cadastro!$B:$B,$A11), "")</f>
        <v/>
      </c>
      <c r="K11" s="40" t="str">
        <f>IF(J11&lt;&gt;"", SUMIFS(Cadastro!$F:$F,Cadastro!$A:$A,K$3,Cadastro!$B:$B,$A11), "")</f>
        <v/>
      </c>
      <c r="L11" s="40" t="str">
        <f>IF(K11&lt;&gt;"", SUMIFS(Cadastro!$F:$F,Cadastro!$A:$A,L$3,Cadastro!$B:$B,$A11), "")</f>
        <v/>
      </c>
      <c r="M11" s="40" t="str">
        <f>IF(L11&lt;&gt;"", SUMIFS(Cadastro!$F:$F,Cadastro!$A:$A,M$3,Cadastro!$B:$B,$A11), "")</f>
        <v/>
      </c>
      <c r="N11" s="42">
        <f t="shared" si="0"/>
        <v>0</v>
      </c>
    </row>
    <row r="12" spans="1:25" ht="15" x14ac:dyDescent="0.25">
      <c r="A12" s="39" t="str">
        <f>IF(Cadastro!I25&lt;&gt;"", Cadastro!I25, "")</f>
        <v/>
      </c>
      <c r="B12" s="40" t="str">
        <f>IF(A12&lt;&gt;"", SUMIFS(Cadastro!$F:$F,Cadastro!$A:$A,B$3,Cadastro!$B:$B,$A12), "")</f>
        <v/>
      </c>
      <c r="C12" s="40" t="str">
        <f>IF(B12&lt;&gt;"", SUMIFS(Cadastro!$F:$F,Cadastro!$A:$A,C$3,Cadastro!$B:$B,$A12), "")</f>
        <v/>
      </c>
      <c r="D12" s="40" t="str">
        <f>IF(C12&lt;&gt;"", SUMIFS(Cadastro!$F:$F,Cadastro!$A:$A,D$3,Cadastro!$B:$B,$A12), "")</f>
        <v/>
      </c>
      <c r="E12" s="40" t="str">
        <f>IF(D12&lt;&gt;"", SUMIFS(Cadastro!$F:$F,Cadastro!$A:$A,E$3,Cadastro!$B:$B,$A12), "")</f>
        <v/>
      </c>
      <c r="F12" s="40" t="str">
        <f>IF(E12&lt;&gt;"", SUMIFS(Cadastro!$F:$F,Cadastro!$A:$A,F$3,Cadastro!$B:$B,$A12), "")</f>
        <v/>
      </c>
      <c r="G12" s="40" t="str">
        <f>IF(F12&lt;&gt;"", SUMIFS(Cadastro!$F:$F,Cadastro!$A:$A,G$3,Cadastro!$B:$B,$A12), "")</f>
        <v/>
      </c>
      <c r="H12" s="40" t="str">
        <f>IF(G12&lt;&gt;"", SUMIFS(Cadastro!$F:$F,Cadastro!$A:$A,H$3,Cadastro!$B:$B,$A12), "")</f>
        <v/>
      </c>
      <c r="I12" s="40" t="str">
        <f>IF(H12&lt;&gt;"", SUMIFS(Cadastro!$F:$F,Cadastro!$A:$A,I$3,Cadastro!$B:$B,$A12), "")</f>
        <v/>
      </c>
      <c r="J12" s="40" t="str">
        <f>IF(I12&lt;&gt;"", SUMIFS(Cadastro!$F:$F,Cadastro!$A:$A,J$3,Cadastro!$B:$B,$A12), "")</f>
        <v/>
      </c>
      <c r="K12" s="40" t="str">
        <f>IF(J12&lt;&gt;"", SUMIFS(Cadastro!$F:$F,Cadastro!$A:$A,K$3,Cadastro!$B:$B,$A12), "")</f>
        <v/>
      </c>
      <c r="L12" s="40" t="str">
        <f>IF(K12&lt;&gt;"", SUMIFS(Cadastro!$F:$F,Cadastro!$A:$A,L$3,Cadastro!$B:$B,$A12), "")</f>
        <v/>
      </c>
      <c r="M12" s="40" t="str">
        <f>IF(L12&lt;&gt;"", SUMIFS(Cadastro!$F:$F,Cadastro!$A:$A,M$3,Cadastro!$B:$B,$A12), "")</f>
        <v/>
      </c>
      <c r="N12" s="42">
        <f t="shared" si="0"/>
        <v>0</v>
      </c>
    </row>
    <row r="13" spans="1:25" ht="15" x14ac:dyDescent="0.25">
      <c r="A13" s="39" t="str">
        <f>IF(Cadastro!I26&lt;&gt;"", Cadastro!I26, "")</f>
        <v/>
      </c>
      <c r="B13" s="40" t="str">
        <f>IF(A13&lt;&gt;"", SUMIFS(Cadastro!$F:$F,Cadastro!$A:$A,B$3,Cadastro!$B:$B,$A13), "")</f>
        <v/>
      </c>
      <c r="C13" s="40" t="str">
        <f>IF(B13&lt;&gt;"", SUMIFS(Cadastro!$F:$F,Cadastro!$A:$A,C$3,Cadastro!$B:$B,$A13), "")</f>
        <v/>
      </c>
      <c r="D13" s="40" t="str">
        <f>IF(C13&lt;&gt;"", SUMIFS(Cadastro!$F:$F,Cadastro!$A:$A,D$3,Cadastro!$B:$B,$A13), "")</f>
        <v/>
      </c>
      <c r="E13" s="40" t="str">
        <f>IF(D13&lt;&gt;"", SUMIFS(Cadastro!$F:$F,Cadastro!$A:$A,E$3,Cadastro!$B:$B,$A13), "")</f>
        <v/>
      </c>
      <c r="F13" s="40" t="str">
        <f>IF(E13&lt;&gt;"", SUMIFS(Cadastro!$F:$F,Cadastro!$A:$A,F$3,Cadastro!$B:$B,$A13), "")</f>
        <v/>
      </c>
      <c r="G13" s="40" t="str">
        <f>IF(F13&lt;&gt;"", SUMIFS(Cadastro!$F:$F,Cadastro!$A:$A,G$3,Cadastro!$B:$B,$A13), "")</f>
        <v/>
      </c>
      <c r="H13" s="40" t="str">
        <f>IF(G13&lt;&gt;"", SUMIFS(Cadastro!$F:$F,Cadastro!$A:$A,H$3,Cadastro!$B:$B,$A13), "")</f>
        <v/>
      </c>
      <c r="I13" s="40" t="str">
        <f>IF(H13&lt;&gt;"", SUMIFS(Cadastro!$F:$F,Cadastro!$A:$A,I$3,Cadastro!$B:$B,$A13), "")</f>
        <v/>
      </c>
      <c r="J13" s="40" t="str">
        <f>IF(I13&lt;&gt;"", SUMIFS(Cadastro!$F:$F,Cadastro!$A:$A,J$3,Cadastro!$B:$B,$A13), "")</f>
        <v/>
      </c>
      <c r="K13" s="40" t="str">
        <f>IF(J13&lt;&gt;"", SUMIFS(Cadastro!$F:$F,Cadastro!$A:$A,K$3,Cadastro!$B:$B,$A13), "")</f>
        <v/>
      </c>
      <c r="L13" s="40" t="str">
        <f>IF(K13&lt;&gt;"", SUMIFS(Cadastro!$F:$F,Cadastro!$A:$A,L$3,Cadastro!$B:$B,$A13), "")</f>
        <v/>
      </c>
      <c r="M13" s="40" t="str">
        <f>IF(L13&lt;&gt;"", SUMIFS(Cadastro!$F:$F,Cadastro!$A:$A,M$3,Cadastro!$B:$B,$A13), "")</f>
        <v/>
      </c>
      <c r="N13" s="42">
        <f t="shared" si="0"/>
        <v>0</v>
      </c>
    </row>
    <row r="14" spans="1:25" ht="15" x14ac:dyDescent="0.25">
      <c r="A14" s="39" t="str">
        <f>IF(Cadastro!I27&lt;&gt;"", Cadastro!I27, "")</f>
        <v/>
      </c>
      <c r="B14" s="40" t="str">
        <f>IF(A14&lt;&gt;"", SUMIFS(Cadastro!$F:$F,Cadastro!$A:$A,B$3,Cadastro!$B:$B,$A14), "")</f>
        <v/>
      </c>
      <c r="C14" s="40" t="str">
        <f>IF(B14&lt;&gt;"", SUMIFS(Cadastro!$F:$F,Cadastro!$A:$A,C$3,Cadastro!$B:$B,$A14), "")</f>
        <v/>
      </c>
      <c r="D14" s="40" t="str">
        <f>IF(C14&lt;&gt;"", SUMIFS(Cadastro!$F:$F,Cadastro!$A:$A,D$3,Cadastro!$B:$B,$A14), "")</f>
        <v/>
      </c>
      <c r="E14" s="40" t="str">
        <f>IF(D14&lt;&gt;"", SUMIFS(Cadastro!$F:$F,Cadastro!$A:$A,E$3,Cadastro!$B:$B,$A14), "")</f>
        <v/>
      </c>
      <c r="F14" s="40" t="str">
        <f>IF(E14&lt;&gt;"", SUMIFS(Cadastro!$F:$F,Cadastro!$A:$A,F$3,Cadastro!$B:$B,$A14), "")</f>
        <v/>
      </c>
      <c r="G14" s="40" t="str">
        <f>IF(F14&lt;&gt;"", SUMIFS(Cadastro!$F:$F,Cadastro!$A:$A,G$3,Cadastro!$B:$B,$A14), "")</f>
        <v/>
      </c>
      <c r="H14" s="40" t="str">
        <f>IF(G14&lt;&gt;"", SUMIFS(Cadastro!$F:$F,Cadastro!$A:$A,H$3,Cadastro!$B:$B,$A14), "")</f>
        <v/>
      </c>
      <c r="I14" s="40" t="str">
        <f>IF(H14&lt;&gt;"", SUMIFS(Cadastro!$F:$F,Cadastro!$A:$A,I$3,Cadastro!$B:$B,$A14), "")</f>
        <v/>
      </c>
      <c r="J14" s="40" t="str">
        <f>IF(I14&lt;&gt;"", SUMIFS(Cadastro!$F:$F,Cadastro!$A:$A,J$3,Cadastro!$B:$B,$A14), "")</f>
        <v/>
      </c>
      <c r="K14" s="40" t="str">
        <f>IF(J14&lt;&gt;"", SUMIFS(Cadastro!$F:$F,Cadastro!$A:$A,K$3,Cadastro!$B:$B,$A14), "")</f>
        <v/>
      </c>
      <c r="L14" s="40" t="str">
        <f>IF(K14&lt;&gt;"", SUMIFS(Cadastro!$F:$F,Cadastro!$A:$A,L$3,Cadastro!$B:$B,$A14), "")</f>
        <v/>
      </c>
      <c r="M14" s="40" t="str">
        <f>IF(L14&lt;&gt;"", SUMIFS(Cadastro!$F:$F,Cadastro!$A:$A,M$3,Cadastro!$B:$B,$A14), "")</f>
        <v/>
      </c>
      <c r="N14" s="42">
        <f t="shared" si="0"/>
        <v>0</v>
      </c>
    </row>
    <row r="15" spans="1:25" ht="15" x14ac:dyDescent="0.25">
      <c r="A15" s="39" t="str">
        <f>IF(Cadastro!I28&lt;&gt;"", Cadastro!I28, "")</f>
        <v/>
      </c>
      <c r="B15" s="40" t="str">
        <f>IF(A15&lt;&gt;"", SUMIFS(Cadastro!$F:$F,Cadastro!$A:$A,B$3,Cadastro!$B:$B,$A15), "")</f>
        <v/>
      </c>
      <c r="C15" s="40" t="str">
        <f>IF(B15&lt;&gt;"", SUMIFS(Cadastro!$F:$F,Cadastro!$A:$A,C$3,Cadastro!$B:$B,$A15), "")</f>
        <v/>
      </c>
      <c r="D15" s="40" t="str">
        <f>IF(C15&lt;&gt;"", SUMIFS(Cadastro!$F:$F,Cadastro!$A:$A,D$3,Cadastro!$B:$B,$A15), "")</f>
        <v/>
      </c>
      <c r="E15" s="40" t="str">
        <f>IF(D15&lt;&gt;"", SUMIFS(Cadastro!$F:$F,Cadastro!$A:$A,E$3,Cadastro!$B:$B,$A15), "")</f>
        <v/>
      </c>
      <c r="F15" s="40" t="str">
        <f>IF(E15&lt;&gt;"", SUMIFS(Cadastro!$F:$F,Cadastro!$A:$A,F$3,Cadastro!$B:$B,$A15), "")</f>
        <v/>
      </c>
      <c r="G15" s="40" t="str">
        <f>IF(F15&lt;&gt;"", SUMIFS(Cadastro!$F:$F,Cadastro!$A:$A,G$3,Cadastro!$B:$B,$A15), "")</f>
        <v/>
      </c>
      <c r="H15" s="40" t="str">
        <f>IF(G15&lt;&gt;"", SUMIFS(Cadastro!$F:$F,Cadastro!$A:$A,H$3,Cadastro!$B:$B,$A15), "")</f>
        <v/>
      </c>
      <c r="I15" s="40" t="str">
        <f>IF(H15&lt;&gt;"", SUMIFS(Cadastro!$F:$F,Cadastro!$A:$A,I$3,Cadastro!$B:$B,$A15), "")</f>
        <v/>
      </c>
      <c r="J15" s="40" t="str">
        <f>IF(I15&lt;&gt;"", SUMIFS(Cadastro!$F:$F,Cadastro!$A:$A,J$3,Cadastro!$B:$B,$A15), "")</f>
        <v/>
      </c>
      <c r="K15" s="40" t="str">
        <f>IF(J15&lt;&gt;"", SUMIFS(Cadastro!$F:$F,Cadastro!$A:$A,K$3,Cadastro!$B:$B,$A15), "")</f>
        <v/>
      </c>
      <c r="L15" s="40" t="str">
        <f>IF(K15&lt;&gt;"", SUMIFS(Cadastro!$F:$F,Cadastro!$A:$A,L$3,Cadastro!$B:$B,$A15), "")</f>
        <v/>
      </c>
      <c r="M15" s="40" t="str">
        <f>IF(L15&lt;&gt;"", SUMIFS(Cadastro!$F:$F,Cadastro!$A:$A,M$3,Cadastro!$B:$B,$A15), "")</f>
        <v/>
      </c>
      <c r="N15" s="42">
        <f t="shared" si="0"/>
        <v>0</v>
      </c>
    </row>
    <row r="16" spans="1:25" ht="15" x14ac:dyDescent="0.25">
      <c r="A16" s="39" t="str">
        <f>IF(Cadastro!I29&lt;&gt;"", Cadastro!I29, "")</f>
        <v/>
      </c>
      <c r="B16" s="40" t="str">
        <f>IF(A16&lt;&gt;"", SUMIFS(Cadastro!$F:$F,Cadastro!$A:$A,B$3,Cadastro!$B:$B,$A16), "")</f>
        <v/>
      </c>
      <c r="C16" s="40" t="str">
        <f>IF(B16&lt;&gt;"", SUMIFS(Cadastro!$F:$F,Cadastro!$A:$A,C$3,Cadastro!$B:$B,$A16), "")</f>
        <v/>
      </c>
      <c r="D16" s="40" t="str">
        <f>IF(C16&lt;&gt;"", SUMIFS(Cadastro!$F:$F,Cadastro!$A:$A,D$3,Cadastro!$B:$B,$A16), "")</f>
        <v/>
      </c>
      <c r="E16" s="40" t="str">
        <f>IF(D16&lt;&gt;"", SUMIFS(Cadastro!$F:$F,Cadastro!$A:$A,E$3,Cadastro!$B:$B,$A16), "")</f>
        <v/>
      </c>
      <c r="F16" s="40" t="str">
        <f>IF(E16&lt;&gt;"", SUMIFS(Cadastro!$F:$F,Cadastro!$A:$A,F$3,Cadastro!$B:$B,$A16), "")</f>
        <v/>
      </c>
      <c r="G16" s="40" t="str">
        <f>IF(F16&lt;&gt;"", SUMIFS(Cadastro!$F:$F,Cadastro!$A:$A,G$3,Cadastro!$B:$B,$A16), "")</f>
        <v/>
      </c>
      <c r="H16" s="40" t="str">
        <f>IF(G16&lt;&gt;"", SUMIFS(Cadastro!$F:$F,Cadastro!$A:$A,H$3,Cadastro!$B:$B,$A16), "")</f>
        <v/>
      </c>
      <c r="I16" s="40" t="str">
        <f>IF(H16&lt;&gt;"", SUMIFS(Cadastro!$F:$F,Cadastro!$A:$A,I$3,Cadastro!$B:$B,$A16), "")</f>
        <v/>
      </c>
      <c r="J16" s="40" t="str">
        <f>IF(I16&lt;&gt;"", SUMIFS(Cadastro!$F:$F,Cadastro!$A:$A,J$3,Cadastro!$B:$B,$A16), "")</f>
        <v/>
      </c>
      <c r="K16" s="40" t="str">
        <f>IF(J16&lt;&gt;"", SUMIFS(Cadastro!$F:$F,Cadastro!$A:$A,K$3,Cadastro!$B:$B,$A16), "")</f>
        <v/>
      </c>
      <c r="L16" s="40" t="str">
        <f>IF(K16&lt;&gt;"", SUMIFS(Cadastro!$F:$F,Cadastro!$A:$A,L$3,Cadastro!$B:$B,$A16), "")</f>
        <v/>
      </c>
      <c r="M16" s="40" t="str">
        <f>IF(L16&lt;&gt;"", SUMIFS(Cadastro!$F:$F,Cadastro!$A:$A,M$3,Cadastro!$B:$B,$A16), "")</f>
        <v/>
      </c>
      <c r="N16" s="42">
        <f t="shared" si="0"/>
        <v>0</v>
      </c>
    </row>
    <row r="17" spans="1:14" ht="15" x14ac:dyDescent="0.25">
      <c r="A17" s="39" t="str">
        <f>IF(Cadastro!I30&lt;&gt;"", Cadastro!I30, "")</f>
        <v/>
      </c>
      <c r="B17" s="40" t="str">
        <f>IF(A17&lt;&gt;"", SUMIFS(Cadastro!$F:$F,Cadastro!$A:$A,B$3,Cadastro!$B:$B,$A17), "")</f>
        <v/>
      </c>
      <c r="C17" s="40" t="str">
        <f>IF(B17&lt;&gt;"", SUMIFS(Cadastro!$F:$F,Cadastro!$A:$A,C$3,Cadastro!$B:$B,$A17), "")</f>
        <v/>
      </c>
      <c r="D17" s="40" t="str">
        <f>IF(C17&lt;&gt;"", SUMIFS(Cadastro!$F:$F,Cadastro!$A:$A,D$3,Cadastro!$B:$B,$A17), "")</f>
        <v/>
      </c>
      <c r="E17" s="40" t="str">
        <f>IF(D17&lt;&gt;"", SUMIFS(Cadastro!$F:$F,Cadastro!$A:$A,E$3,Cadastro!$B:$B,$A17), "")</f>
        <v/>
      </c>
      <c r="F17" s="40" t="str">
        <f>IF(E17&lt;&gt;"", SUMIFS(Cadastro!$F:$F,Cadastro!$A:$A,F$3,Cadastro!$B:$B,$A17), "")</f>
        <v/>
      </c>
      <c r="G17" s="40" t="str">
        <f>IF(F17&lt;&gt;"", SUMIFS(Cadastro!$F:$F,Cadastro!$A:$A,G$3,Cadastro!$B:$B,$A17), "")</f>
        <v/>
      </c>
      <c r="H17" s="40" t="str">
        <f>IF(G17&lt;&gt;"", SUMIFS(Cadastro!$F:$F,Cadastro!$A:$A,H$3,Cadastro!$B:$B,$A17), "")</f>
        <v/>
      </c>
      <c r="I17" s="40" t="str">
        <f>IF(H17&lt;&gt;"", SUMIFS(Cadastro!$F:$F,Cadastro!$A:$A,I$3,Cadastro!$B:$B,$A17), "")</f>
        <v/>
      </c>
      <c r="J17" s="40" t="str">
        <f>IF(I17&lt;&gt;"", SUMIFS(Cadastro!$F:$F,Cadastro!$A:$A,J$3,Cadastro!$B:$B,$A17), "")</f>
        <v/>
      </c>
      <c r="K17" s="40" t="str">
        <f>IF(J17&lt;&gt;"", SUMIFS(Cadastro!$F:$F,Cadastro!$A:$A,K$3,Cadastro!$B:$B,$A17), "")</f>
        <v/>
      </c>
      <c r="L17" s="40" t="str">
        <f>IF(K17&lt;&gt;"", SUMIFS(Cadastro!$F:$F,Cadastro!$A:$A,L$3,Cadastro!$B:$B,$A17), "")</f>
        <v/>
      </c>
      <c r="M17" s="40" t="str">
        <f>IF(L17&lt;&gt;"", SUMIFS(Cadastro!$F:$F,Cadastro!$A:$A,M$3,Cadastro!$B:$B,$A17), "")</f>
        <v/>
      </c>
      <c r="N17" s="42">
        <f t="shared" si="0"/>
        <v>0</v>
      </c>
    </row>
    <row r="18" spans="1:14" ht="15" x14ac:dyDescent="0.25">
      <c r="A18" s="39" t="str">
        <f>IF(Cadastro!I31&lt;&gt;"", Cadastro!I31, "")</f>
        <v/>
      </c>
      <c r="B18" s="40" t="str">
        <f>IF(A18&lt;&gt;"", SUMIFS(Cadastro!$F:$F,Cadastro!$A:$A,B$3,Cadastro!$B:$B,$A18), "")</f>
        <v/>
      </c>
      <c r="C18" s="40" t="str">
        <f>IF(B18&lt;&gt;"", SUMIFS(Cadastro!$F:$F,Cadastro!$A:$A,C$3,Cadastro!$B:$B,$A18), "")</f>
        <v/>
      </c>
      <c r="D18" s="40" t="str">
        <f>IF(C18&lt;&gt;"", SUMIFS(Cadastro!$F:$F,Cadastro!$A:$A,D$3,Cadastro!$B:$B,$A18), "")</f>
        <v/>
      </c>
      <c r="E18" s="40" t="str">
        <f>IF(D18&lt;&gt;"", SUMIFS(Cadastro!$F:$F,Cadastro!$A:$A,E$3,Cadastro!$B:$B,$A18), "")</f>
        <v/>
      </c>
      <c r="F18" s="40" t="str">
        <f>IF(E18&lt;&gt;"", SUMIFS(Cadastro!$F:$F,Cadastro!$A:$A,F$3,Cadastro!$B:$B,$A18), "")</f>
        <v/>
      </c>
      <c r="G18" s="40" t="str">
        <f>IF(F18&lt;&gt;"", SUMIFS(Cadastro!$F:$F,Cadastro!$A:$A,G$3,Cadastro!$B:$B,$A18), "")</f>
        <v/>
      </c>
      <c r="H18" s="40" t="str">
        <f>IF(G18&lt;&gt;"", SUMIFS(Cadastro!$F:$F,Cadastro!$A:$A,H$3,Cadastro!$B:$B,$A18), "")</f>
        <v/>
      </c>
      <c r="I18" s="40" t="str">
        <f>IF(H18&lt;&gt;"", SUMIFS(Cadastro!$F:$F,Cadastro!$A:$A,I$3,Cadastro!$B:$B,$A18), "")</f>
        <v/>
      </c>
      <c r="J18" s="40" t="str">
        <f>IF(I18&lt;&gt;"", SUMIFS(Cadastro!$F:$F,Cadastro!$A:$A,J$3,Cadastro!$B:$B,$A18), "")</f>
        <v/>
      </c>
      <c r="K18" s="40" t="str">
        <f>IF(J18&lt;&gt;"", SUMIFS(Cadastro!$F:$F,Cadastro!$A:$A,K$3,Cadastro!$B:$B,$A18), "")</f>
        <v/>
      </c>
      <c r="L18" s="40" t="str">
        <f>IF(K18&lt;&gt;"", SUMIFS(Cadastro!$F:$F,Cadastro!$A:$A,L$3,Cadastro!$B:$B,$A18), "")</f>
        <v/>
      </c>
      <c r="M18" s="40" t="str">
        <f>IF(L18&lt;&gt;"", SUMIFS(Cadastro!$F:$F,Cadastro!$A:$A,M$3,Cadastro!$B:$B,$A18), "")</f>
        <v/>
      </c>
      <c r="N18" s="42">
        <f t="shared" si="0"/>
        <v>0</v>
      </c>
    </row>
    <row r="19" spans="1:14" ht="15" x14ac:dyDescent="0.25">
      <c r="A19" s="39" t="str">
        <f>IF(Cadastro!I32&lt;&gt;"", Cadastro!I32, "")</f>
        <v/>
      </c>
      <c r="B19" s="40" t="str">
        <f>IF(A19&lt;&gt;"", SUMIFS(Cadastro!$F:$F,Cadastro!$A:$A,B$3,Cadastro!$B:$B,$A19), "")</f>
        <v/>
      </c>
      <c r="C19" s="40" t="str">
        <f>IF(B19&lt;&gt;"", SUMIFS(Cadastro!$F:$F,Cadastro!$A:$A,C$3,Cadastro!$B:$B,$A19), "")</f>
        <v/>
      </c>
      <c r="D19" s="40" t="str">
        <f>IF(C19&lt;&gt;"", SUMIFS(Cadastro!$F:$F,Cadastro!$A:$A,D$3,Cadastro!$B:$B,$A19), "")</f>
        <v/>
      </c>
      <c r="E19" s="40" t="str">
        <f>IF(D19&lt;&gt;"", SUMIFS(Cadastro!$F:$F,Cadastro!$A:$A,E$3,Cadastro!$B:$B,$A19), "")</f>
        <v/>
      </c>
      <c r="F19" s="40" t="str">
        <f>IF(E19&lt;&gt;"", SUMIFS(Cadastro!$F:$F,Cadastro!$A:$A,F$3,Cadastro!$B:$B,$A19), "")</f>
        <v/>
      </c>
      <c r="G19" s="40" t="str">
        <f>IF(F19&lt;&gt;"", SUMIFS(Cadastro!$F:$F,Cadastro!$A:$A,G$3,Cadastro!$B:$B,$A19), "")</f>
        <v/>
      </c>
      <c r="H19" s="40" t="str">
        <f>IF(G19&lt;&gt;"", SUMIFS(Cadastro!$F:$F,Cadastro!$A:$A,H$3,Cadastro!$B:$B,$A19), "")</f>
        <v/>
      </c>
      <c r="I19" s="40" t="str">
        <f>IF(H19&lt;&gt;"", SUMIFS(Cadastro!$F:$F,Cadastro!$A:$A,I$3,Cadastro!$B:$B,$A19), "")</f>
        <v/>
      </c>
      <c r="J19" s="40" t="str">
        <f>IF(I19&lt;&gt;"", SUMIFS(Cadastro!$F:$F,Cadastro!$A:$A,J$3,Cadastro!$B:$B,$A19), "")</f>
        <v/>
      </c>
      <c r="K19" s="40" t="str">
        <f>IF(J19&lt;&gt;"", SUMIFS(Cadastro!$F:$F,Cadastro!$A:$A,K$3,Cadastro!$B:$B,$A19), "")</f>
        <v/>
      </c>
      <c r="L19" s="40" t="str">
        <f>IF(K19&lt;&gt;"", SUMIFS(Cadastro!$F:$F,Cadastro!$A:$A,L$3,Cadastro!$B:$B,$A19), "")</f>
        <v/>
      </c>
      <c r="M19" s="40" t="str">
        <f>IF(L19&lt;&gt;"", SUMIFS(Cadastro!$F:$F,Cadastro!$A:$A,M$3,Cadastro!$B:$B,$A19), "")</f>
        <v/>
      </c>
      <c r="N19" s="42">
        <f t="shared" si="0"/>
        <v>0</v>
      </c>
    </row>
    <row r="20" spans="1:14" ht="15" x14ac:dyDescent="0.25">
      <c r="A20" s="39" t="str">
        <f>IF(Cadastro!I33&lt;&gt;"", Cadastro!I33, "")</f>
        <v/>
      </c>
      <c r="B20" s="40" t="str">
        <f>IF(A20&lt;&gt;"", SUMIFS(Cadastro!$F:$F,Cadastro!$A:$A,B$3,Cadastro!$B:$B,$A20), "")</f>
        <v/>
      </c>
      <c r="C20" s="40" t="str">
        <f>IF(B20&lt;&gt;"", SUMIFS(Cadastro!$F:$F,Cadastro!$A:$A,C$3,Cadastro!$B:$B,$A20), "")</f>
        <v/>
      </c>
      <c r="D20" s="40" t="str">
        <f>IF(C20&lt;&gt;"", SUMIFS(Cadastro!$F:$F,Cadastro!$A:$A,D$3,Cadastro!$B:$B,$A20), "")</f>
        <v/>
      </c>
      <c r="E20" s="40" t="str">
        <f>IF(D20&lt;&gt;"", SUMIFS(Cadastro!$F:$F,Cadastro!$A:$A,E$3,Cadastro!$B:$B,$A20), "")</f>
        <v/>
      </c>
      <c r="F20" s="40" t="str">
        <f>IF(E20&lt;&gt;"", SUMIFS(Cadastro!$F:$F,Cadastro!$A:$A,F$3,Cadastro!$B:$B,$A20), "")</f>
        <v/>
      </c>
      <c r="G20" s="40" t="str">
        <f>IF(F20&lt;&gt;"", SUMIFS(Cadastro!$F:$F,Cadastro!$A:$A,G$3,Cadastro!$B:$B,$A20), "")</f>
        <v/>
      </c>
      <c r="H20" s="40" t="str">
        <f>IF(G20&lt;&gt;"", SUMIFS(Cadastro!$F:$F,Cadastro!$A:$A,H$3,Cadastro!$B:$B,$A20), "")</f>
        <v/>
      </c>
      <c r="I20" s="40" t="str">
        <f>IF(H20&lt;&gt;"", SUMIFS(Cadastro!$F:$F,Cadastro!$A:$A,I$3,Cadastro!$B:$B,$A20), "")</f>
        <v/>
      </c>
      <c r="J20" s="40" t="str">
        <f>IF(I20&lt;&gt;"", SUMIFS(Cadastro!$F:$F,Cadastro!$A:$A,J$3,Cadastro!$B:$B,$A20), "")</f>
        <v/>
      </c>
      <c r="K20" s="40" t="str">
        <f>IF(J20&lt;&gt;"", SUMIFS(Cadastro!$F:$F,Cadastro!$A:$A,K$3,Cadastro!$B:$B,$A20), "")</f>
        <v/>
      </c>
      <c r="L20" s="40" t="str">
        <f>IF(K20&lt;&gt;"", SUMIFS(Cadastro!$F:$F,Cadastro!$A:$A,L$3,Cadastro!$B:$B,$A20), "")</f>
        <v/>
      </c>
      <c r="M20" s="40" t="str">
        <f>IF(L20&lt;&gt;"", SUMIFS(Cadastro!$F:$F,Cadastro!$A:$A,M$3,Cadastro!$B:$B,$A20), "")</f>
        <v/>
      </c>
      <c r="N20" s="42">
        <f t="shared" si="0"/>
        <v>0</v>
      </c>
    </row>
    <row r="21" spans="1:14" ht="15" x14ac:dyDescent="0.25">
      <c r="A21" s="39" t="str">
        <f>IF(Cadastro!I34&lt;&gt;"", Cadastro!I34, "")</f>
        <v/>
      </c>
      <c r="B21" s="40" t="str">
        <f>IF(A21&lt;&gt;"", SUMIFS(Cadastro!$F:$F,Cadastro!$A:$A,B$3,Cadastro!$B:$B,$A21), "")</f>
        <v/>
      </c>
      <c r="C21" s="40" t="str">
        <f>IF(B21&lt;&gt;"", SUMIFS(Cadastro!$F:$F,Cadastro!$A:$A,C$3,Cadastro!$B:$B,$A21), "")</f>
        <v/>
      </c>
      <c r="D21" s="40" t="str">
        <f>IF(C21&lt;&gt;"", SUMIFS(Cadastro!$F:$F,Cadastro!$A:$A,D$3,Cadastro!$B:$B,$A21), "")</f>
        <v/>
      </c>
      <c r="E21" s="40" t="str">
        <f>IF(D21&lt;&gt;"", SUMIFS(Cadastro!$F:$F,Cadastro!$A:$A,E$3,Cadastro!$B:$B,$A21), "")</f>
        <v/>
      </c>
      <c r="F21" s="40" t="str">
        <f>IF(E21&lt;&gt;"", SUMIFS(Cadastro!$F:$F,Cadastro!$A:$A,F$3,Cadastro!$B:$B,$A21), "")</f>
        <v/>
      </c>
      <c r="G21" s="40" t="str">
        <f>IF(F21&lt;&gt;"", SUMIFS(Cadastro!$F:$F,Cadastro!$A:$A,G$3,Cadastro!$B:$B,$A21), "")</f>
        <v/>
      </c>
      <c r="H21" s="40" t="str">
        <f>IF(G21&lt;&gt;"", SUMIFS(Cadastro!$F:$F,Cadastro!$A:$A,H$3,Cadastro!$B:$B,$A21), "")</f>
        <v/>
      </c>
      <c r="I21" s="40" t="str">
        <f>IF(H21&lt;&gt;"", SUMIFS(Cadastro!$F:$F,Cadastro!$A:$A,I$3,Cadastro!$B:$B,$A21), "")</f>
        <v/>
      </c>
      <c r="J21" s="40" t="str">
        <f>IF(I21&lt;&gt;"", SUMIFS(Cadastro!$F:$F,Cadastro!$A:$A,J$3,Cadastro!$B:$B,$A21), "")</f>
        <v/>
      </c>
      <c r="K21" s="40" t="str">
        <f>IF(J21&lt;&gt;"", SUMIFS(Cadastro!$F:$F,Cadastro!$A:$A,K$3,Cadastro!$B:$B,$A21), "")</f>
        <v/>
      </c>
      <c r="L21" s="40" t="str">
        <f>IF(K21&lt;&gt;"", SUMIFS(Cadastro!$F:$F,Cadastro!$A:$A,L$3,Cadastro!$B:$B,$A21), "")</f>
        <v/>
      </c>
      <c r="M21" s="40" t="str">
        <f>IF(L21&lt;&gt;"", SUMIFS(Cadastro!$F:$F,Cadastro!$A:$A,M$3,Cadastro!$B:$B,$A21), "")</f>
        <v/>
      </c>
      <c r="N21" s="42">
        <f t="shared" si="0"/>
        <v>0</v>
      </c>
    </row>
    <row r="22" spans="1:14" ht="15" x14ac:dyDescent="0.25">
      <c r="A22" s="39" t="str">
        <f>IF(Cadastro!I35&lt;&gt;"", Cadastro!I35, "")</f>
        <v/>
      </c>
      <c r="B22" s="40" t="str">
        <f>IF(A22&lt;&gt;"", SUMIFS(Cadastro!$F:$F,Cadastro!$A:$A,B$3,Cadastro!$B:$B,$A22), "")</f>
        <v/>
      </c>
      <c r="C22" s="40" t="str">
        <f>IF(B22&lt;&gt;"", SUMIFS(Cadastro!$F:$F,Cadastro!$A:$A,C$3,Cadastro!$B:$B,$A22), "")</f>
        <v/>
      </c>
      <c r="D22" s="40" t="str">
        <f>IF(C22&lt;&gt;"", SUMIFS(Cadastro!$F:$F,Cadastro!$A:$A,D$3,Cadastro!$B:$B,$A22), "")</f>
        <v/>
      </c>
      <c r="E22" s="40" t="str">
        <f>IF(D22&lt;&gt;"", SUMIFS(Cadastro!$F:$F,Cadastro!$A:$A,E$3,Cadastro!$B:$B,$A22), "")</f>
        <v/>
      </c>
      <c r="F22" s="40" t="str">
        <f>IF(E22&lt;&gt;"", SUMIFS(Cadastro!$F:$F,Cadastro!$A:$A,F$3,Cadastro!$B:$B,$A22), "")</f>
        <v/>
      </c>
      <c r="G22" s="40" t="str">
        <f>IF(F22&lt;&gt;"", SUMIFS(Cadastro!$F:$F,Cadastro!$A:$A,G$3,Cadastro!$B:$B,$A22), "")</f>
        <v/>
      </c>
      <c r="H22" s="40" t="str">
        <f>IF(G22&lt;&gt;"", SUMIFS(Cadastro!$F:$F,Cadastro!$A:$A,H$3,Cadastro!$B:$B,$A22), "")</f>
        <v/>
      </c>
      <c r="I22" s="40" t="str">
        <f>IF(H22&lt;&gt;"", SUMIFS(Cadastro!$F:$F,Cadastro!$A:$A,I$3,Cadastro!$B:$B,$A22), "")</f>
        <v/>
      </c>
      <c r="J22" s="40" t="str">
        <f>IF(I22&lt;&gt;"", SUMIFS(Cadastro!$F:$F,Cadastro!$A:$A,J$3,Cadastro!$B:$B,$A22), "")</f>
        <v/>
      </c>
      <c r="K22" s="40" t="str">
        <f>IF(J22&lt;&gt;"", SUMIFS(Cadastro!$F:$F,Cadastro!$A:$A,K$3,Cadastro!$B:$B,$A22), "")</f>
        <v/>
      </c>
      <c r="L22" s="40" t="str">
        <f>IF(K22&lt;&gt;"", SUMIFS(Cadastro!$F:$F,Cadastro!$A:$A,L$3,Cadastro!$B:$B,$A22), "")</f>
        <v/>
      </c>
      <c r="M22" s="40" t="str">
        <f>IF(L22&lt;&gt;"", SUMIFS(Cadastro!$F:$F,Cadastro!$A:$A,M$3,Cadastro!$B:$B,$A22), "")</f>
        <v/>
      </c>
      <c r="N22" s="42">
        <f t="shared" si="0"/>
        <v>0</v>
      </c>
    </row>
    <row r="23" spans="1:14" ht="15" x14ac:dyDescent="0.25">
      <c r="A23" s="39" t="str">
        <f>IF(Cadastro!I36&lt;&gt;"", Cadastro!I36, "")</f>
        <v/>
      </c>
      <c r="B23" s="40" t="str">
        <f>IF(A23&lt;&gt;"", SUMIFS(Cadastro!$F:$F,Cadastro!$A:$A,B$3,Cadastro!$B:$B,$A23), "")</f>
        <v/>
      </c>
      <c r="C23" s="40" t="str">
        <f>IF(B23&lt;&gt;"", SUMIFS(Cadastro!$F:$F,Cadastro!$A:$A,C$3,Cadastro!$B:$B,$A23), "")</f>
        <v/>
      </c>
      <c r="D23" s="40" t="str">
        <f>IF(C23&lt;&gt;"", SUMIFS(Cadastro!$F:$F,Cadastro!$A:$A,D$3,Cadastro!$B:$B,$A23), "")</f>
        <v/>
      </c>
      <c r="E23" s="40" t="str">
        <f>IF(D23&lt;&gt;"", SUMIFS(Cadastro!$F:$F,Cadastro!$A:$A,E$3,Cadastro!$B:$B,$A23), "")</f>
        <v/>
      </c>
      <c r="F23" s="40" t="str">
        <f>IF(E23&lt;&gt;"", SUMIFS(Cadastro!$F:$F,Cadastro!$A:$A,F$3,Cadastro!$B:$B,$A23), "")</f>
        <v/>
      </c>
      <c r="G23" s="40" t="str">
        <f>IF(F23&lt;&gt;"", SUMIFS(Cadastro!$F:$F,Cadastro!$A:$A,G$3,Cadastro!$B:$B,$A23), "")</f>
        <v/>
      </c>
      <c r="H23" s="40" t="str">
        <f>IF(G23&lt;&gt;"", SUMIFS(Cadastro!$F:$F,Cadastro!$A:$A,H$3,Cadastro!$B:$B,$A23), "")</f>
        <v/>
      </c>
      <c r="I23" s="40" t="str">
        <f>IF(H23&lt;&gt;"", SUMIFS(Cadastro!$F:$F,Cadastro!$A:$A,I$3,Cadastro!$B:$B,$A23), "")</f>
        <v/>
      </c>
      <c r="J23" s="40" t="str">
        <f>IF(I23&lt;&gt;"", SUMIFS(Cadastro!$F:$F,Cadastro!$A:$A,J$3,Cadastro!$B:$B,$A23), "")</f>
        <v/>
      </c>
      <c r="K23" s="40" t="str">
        <f>IF(J23&lt;&gt;"", SUMIFS(Cadastro!$F:$F,Cadastro!$A:$A,K$3,Cadastro!$B:$B,$A23), "")</f>
        <v/>
      </c>
      <c r="L23" s="40" t="str">
        <f>IF(K23&lt;&gt;"", SUMIFS(Cadastro!$F:$F,Cadastro!$A:$A,L$3,Cadastro!$B:$B,$A23), "")</f>
        <v/>
      </c>
      <c r="M23" s="40" t="str">
        <f>IF(L23&lt;&gt;"", SUMIFS(Cadastro!$F:$F,Cadastro!$A:$A,M$3,Cadastro!$B:$B,$A23), "")</f>
        <v/>
      </c>
      <c r="N23" s="42">
        <f t="shared" si="0"/>
        <v>0</v>
      </c>
    </row>
    <row r="24" spans="1:14" ht="15" x14ac:dyDescent="0.25">
      <c r="A24" s="39" t="str">
        <f>IF(Cadastro!I37&lt;&gt;"", Cadastro!I37, "")</f>
        <v/>
      </c>
      <c r="B24" s="40" t="str">
        <f>IF(A24&lt;&gt;"", SUMIFS(Cadastro!$F:$F,Cadastro!$A:$A,B$3,Cadastro!$B:$B,$A24), "")</f>
        <v/>
      </c>
      <c r="C24" s="40" t="str">
        <f>IF(B24&lt;&gt;"", SUMIFS(Cadastro!$F:$F,Cadastro!$A:$A,C$3,Cadastro!$B:$B,$A24), "")</f>
        <v/>
      </c>
      <c r="D24" s="40" t="str">
        <f>IF(C24&lt;&gt;"", SUMIFS(Cadastro!$F:$F,Cadastro!$A:$A,D$3,Cadastro!$B:$B,$A24), "")</f>
        <v/>
      </c>
      <c r="E24" s="40" t="str">
        <f>IF(D24&lt;&gt;"", SUMIFS(Cadastro!$F:$F,Cadastro!$A:$A,E$3,Cadastro!$B:$B,$A24), "")</f>
        <v/>
      </c>
      <c r="F24" s="40" t="str">
        <f>IF(E24&lt;&gt;"", SUMIFS(Cadastro!$F:$F,Cadastro!$A:$A,F$3,Cadastro!$B:$B,$A24), "")</f>
        <v/>
      </c>
      <c r="G24" s="40" t="str">
        <f>IF(F24&lt;&gt;"", SUMIFS(Cadastro!$F:$F,Cadastro!$A:$A,G$3,Cadastro!$B:$B,$A24), "")</f>
        <v/>
      </c>
      <c r="H24" s="40" t="str">
        <f>IF(G24&lt;&gt;"", SUMIFS(Cadastro!$F:$F,Cadastro!$A:$A,H$3,Cadastro!$B:$B,$A24), "")</f>
        <v/>
      </c>
      <c r="I24" s="40" t="str">
        <f>IF(H24&lt;&gt;"", SUMIFS(Cadastro!$F:$F,Cadastro!$A:$A,I$3,Cadastro!$B:$B,$A24), "")</f>
        <v/>
      </c>
      <c r="J24" s="40" t="str">
        <f>IF(I24&lt;&gt;"", SUMIFS(Cadastro!$F:$F,Cadastro!$A:$A,J$3,Cadastro!$B:$B,$A24), "")</f>
        <v/>
      </c>
      <c r="K24" s="40" t="str">
        <f>IF(J24&lt;&gt;"", SUMIFS(Cadastro!$F:$F,Cadastro!$A:$A,K$3,Cadastro!$B:$B,$A24), "")</f>
        <v/>
      </c>
      <c r="L24" s="40" t="str">
        <f>IF(K24&lt;&gt;"", SUMIFS(Cadastro!$F:$F,Cadastro!$A:$A,L$3,Cadastro!$B:$B,$A24), "")</f>
        <v/>
      </c>
      <c r="M24" s="40" t="str">
        <f>IF(L24&lt;&gt;"", SUMIFS(Cadastro!$F:$F,Cadastro!$A:$A,M$3,Cadastro!$B:$B,$A24), "")</f>
        <v/>
      </c>
      <c r="N24" s="42">
        <f t="shared" si="0"/>
        <v>0</v>
      </c>
    </row>
    <row r="25" spans="1:14" ht="15" x14ac:dyDescent="0.25">
      <c r="A25" s="39" t="str">
        <f>IF(Cadastro!I38&lt;&gt;"", Cadastro!I38, "")</f>
        <v/>
      </c>
      <c r="B25" s="40" t="str">
        <f>IF(A25&lt;&gt;"", SUMIFS(Cadastro!$F:$F,Cadastro!$A:$A,B$3,Cadastro!$B:$B,$A25), "")</f>
        <v/>
      </c>
      <c r="C25" s="40" t="str">
        <f>IF(B25&lt;&gt;"", SUMIFS(Cadastro!$F:$F,Cadastro!$A:$A,C$3,Cadastro!$B:$B,$A25), "")</f>
        <v/>
      </c>
      <c r="D25" s="40" t="str">
        <f>IF(C25&lt;&gt;"", SUMIFS(Cadastro!$F:$F,Cadastro!$A:$A,D$3,Cadastro!$B:$B,$A25), "")</f>
        <v/>
      </c>
      <c r="E25" s="40" t="str">
        <f>IF(D25&lt;&gt;"", SUMIFS(Cadastro!$F:$F,Cadastro!$A:$A,E$3,Cadastro!$B:$B,$A25), "")</f>
        <v/>
      </c>
      <c r="F25" s="40" t="str">
        <f>IF(E25&lt;&gt;"", SUMIFS(Cadastro!$F:$F,Cadastro!$A:$A,F$3,Cadastro!$B:$B,$A25), "")</f>
        <v/>
      </c>
      <c r="G25" s="40" t="str">
        <f>IF(F25&lt;&gt;"", SUMIFS(Cadastro!$F:$F,Cadastro!$A:$A,G$3,Cadastro!$B:$B,$A25), "")</f>
        <v/>
      </c>
      <c r="H25" s="40" t="str">
        <f>IF(G25&lt;&gt;"", SUMIFS(Cadastro!$F:$F,Cadastro!$A:$A,H$3,Cadastro!$B:$B,$A25), "")</f>
        <v/>
      </c>
      <c r="I25" s="40" t="str">
        <f>IF(H25&lt;&gt;"", SUMIFS(Cadastro!$F:$F,Cadastro!$A:$A,I$3,Cadastro!$B:$B,$A25), "")</f>
        <v/>
      </c>
      <c r="J25" s="40" t="str">
        <f>IF(I25&lt;&gt;"", SUMIFS(Cadastro!$F:$F,Cadastro!$A:$A,J$3,Cadastro!$B:$B,$A25), "")</f>
        <v/>
      </c>
      <c r="K25" s="40" t="str">
        <f>IF(J25&lt;&gt;"", SUMIFS(Cadastro!$F:$F,Cadastro!$A:$A,K$3,Cadastro!$B:$B,$A25), "")</f>
        <v/>
      </c>
      <c r="L25" s="40" t="str">
        <f>IF(K25&lt;&gt;"", SUMIFS(Cadastro!$F:$F,Cadastro!$A:$A,L$3,Cadastro!$B:$B,$A25), "")</f>
        <v/>
      </c>
      <c r="M25" s="40" t="str">
        <f>IF(L25&lt;&gt;"", SUMIFS(Cadastro!$F:$F,Cadastro!$A:$A,M$3,Cadastro!$B:$B,$A25), "")</f>
        <v/>
      </c>
      <c r="N25" s="42">
        <f t="shared" si="0"/>
        <v>0</v>
      </c>
    </row>
    <row r="26" spans="1:14" ht="15" x14ac:dyDescent="0.25">
      <c r="A26" s="45" t="s">
        <v>28</v>
      </c>
      <c r="B26" s="43">
        <f>SUM(B6:B25)</f>
        <v>0</v>
      </c>
      <c r="C26" s="43">
        <f t="shared" ref="C26:M26" si="1">SUM(C6:C25)</f>
        <v>0</v>
      </c>
      <c r="D26" s="43">
        <f t="shared" si="1"/>
        <v>0</v>
      </c>
      <c r="E26" s="43">
        <f t="shared" si="1"/>
        <v>0</v>
      </c>
      <c r="F26" s="43">
        <f t="shared" si="1"/>
        <v>0</v>
      </c>
      <c r="G26" s="43">
        <f t="shared" si="1"/>
        <v>0</v>
      </c>
      <c r="H26" s="43">
        <f t="shared" si="1"/>
        <v>0</v>
      </c>
      <c r="I26" s="43">
        <f t="shared" si="1"/>
        <v>0</v>
      </c>
      <c r="J26" s="43">
        <f t="shared" si="1"/>
        <v>0</v>
      </c>
      <c r="K26" s="43">
        <f t="shared" si="1"/>
        <v>0</v>
      </c>
      <c r="L26" s="43">
        <f t="shared" si="1"/>
        <v>0</v>
      </c>
      <c r="M26" s="43">
        <f t="shared" si="1"/>
        <v>0</v>
      </c>
      <c r="N26" s="42">
        <f t="shared" si="0"/>
        <v>0</v>
      </c>
    </row>
    <row r="27" spans="1:14" ht="30" x14ac:dyDescent="0.25">
      <c r="A27" s="45" t="s">
        <v>29</v>
      </c>
      <c r="B27" s="43">
        <f>B4-B26</f>
        <v>0</v>
      </c>
      <c r="C27" s="43">
        <f t="shared" ref="C27:N27" si="2">C4-C26</f>
        <v>0</v>
      </c>
      <c r="D27" s="43">
        <f t="shared" si="2"/>
        <v>0</v>
      </c>
      <c r="E27" s="43">
        <f t="shared" si="2"/>
        <v>0</v>
      </c>
      <c r="F27" s="43">
        <f t="shared" si="2"/>
        <v>0</v>
      </c>
      <c r="G27" s="43">
        <f t="shared" si="2"/>
        <v>0</v>
      </c>
      <c r="H27" s="43">
        <f t="shared" si="2"/>
        <v>0</v>
      </c>
      <c r="I27" s="43">
        <f t="shared" si="2"/>
        <v>0</v>
      </c>
      <c r="J27" s="43">
        <f t="shared" si="2"/>
        <v>0</v>
      </c>
      <c r="K27" s="43">
        <f t="shared" si="2"/>
        <v>0</v>
      </c>
      <c r="L27" s="43">
        <f t="shared" si="2"/>
        <v>0</v>
      </c>
      <c r="M27" s="43">
        <f t="shared" si="2"/>
        <v>0</v>
      </c>
      <c r="N27" s="43">
        <f t="shared" si="2"/>
        <v>0</v>
      </c>
    </row>
    <row r="28" spans="1:14" x14ac:dyDescent="0.25">
      <c r="B28" s="30">
        <f t="shared" ref="B28:M28" si="3">COLUMN(B3)</f>
        <v>2</v>
      </c>
      <c r="C28" s="30">
        <f t="shared" si="3"/>
        <v>3</v>
      </c>
      <c r="D28" s="30">
        <f t="shared" si="3"/>
        <v>4</v>
      </c>
      <c r="E28" s="30">
        <f t="shared" si="3"/>
        <v>5</v>
      </c>
      <c r="F28" s="30">
        <f t="shared" si="3"/>
        <v>6</v>
      </c>
      <c r="G28" s="30">
        <f t="shared" si="3"/>
        <v>7</v>
      </c>
      <c r="H28" s="30">
        <f t="shared" si="3"/>
        <v>8</v>
      </c>
      <c r="I28" s="30">
        <f t="shared" si="3"/>
        <v>9</v>
      </c>
      <c r="J28" s="30">
        <f t="shared" si="3"/>
        <v>10</v>
      </c>
      <c r="K28" s="30">
        <f t="shared" si="3"/>
        <v>11</v>
      </c>
      <c r="L28" s="30">
        <f t="shared" si="3"/>
        <v>12</v>
      </c>
      <c r="M28" s="30">
        <f t="shared" si="3"/>
        <v>13</v>
      </c>
    </row>
  </sheetData>
  <mergeCells count="2">
    <mergeCell ref="B5:M5"/>
    <mergeCell ref="A1:K1"/>
  </mergeCell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9"/>
  <sheetViews>
    <sheetView showGridLines="0" zoomScaleNormal="100" workbookViewId="0">
      <selection activeCell="B104" sqref="B104"/>
    </sheetView>
  </sheetViews>
  <sheetFormatPr defaultColWidth="11" defaultRowHeight="15.75" zeroHeight="1" x14ac:dyDescent="0.25"/>
  <cols>
    <col min="1" max="1" width="41.375" bestFit="1" customWidth="1"/>
    <col min="2" max="2" width="13.5" bestFit="1" customWidth="1"/>
    <col min="3" max="3" width="13.125" bestFit="1" customWidth="1"/>
    <col min="4" max="15" width="11" customWidth="1"/>
  </cols>
  <sheetData>
    <row r="1" spans="1:25" s="47" customFormat="1" ht="36" customHeight="1" x14ac:dyDescent="0.25">
      <c r="A1" s="49" t="s">
        <v>34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48"/>
      <c r="N1" s="48"/>
      <c r="O1" s="48"/>
      <c r="P1" s="48"/>
      <c r="Q1" s="48"/>
      <c r="R1" s="48"/>
      <c r="S1" s="48"/>
      <c r="T1" s="48"/>
      <c r="U1" s="46"/>
      <c r="V1" s="46"/>
      <c r="W1" s="46"/>
      <c r="X1" s="46"/>
      <c r="Y1" s="46"/>
    </row>
    <row r="2" spans="1:25" x14ac:dyDescent="0.25">
      <c r="A2" s="13" t="s">
        <v>35</v>
      </c>
    </row>
    <row r="3" spans="1:25" x14ac:dyDescent="0.25"/>
    <row r="4" spans="1:25" x14ac:dyDescent="0.25"/>
    <row r="5" spans="1:25" x14ac:dyDescent="0.25"/>
    <row r="6" spans="1:25" x14ac:dyDescent="0.25"/>
    <row r="7" spans="1:25" x14ac:dyDescent="0.25"/>
    <row r="8" spans="1:25" x14ac:dyDescent="0.25"/>
    <row r="9" spans="1:25" x14ac:dyDescent="0.25"/>
    <row r="10" spans="1:25" x14ac:dyDescent="0.25"/>
    <row r="11" spans="1:25" x14ac:dyDescent="0.25"/>
    <row r="12" spans="1:25" x14ac:dyDescent="0.25"/>
    <row r="13" spans="1:25" x14ac:dyDescent="0.25"/>
    <row r="14" spans="1:25" x14ac:dyDescent="0.25"/>
    <row r="15" spans="1:25" x14ac:dyDescent="0.25"/>
    <row r="16" spans="1:25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spans="4:15" x14ac:dyDescent="0.25"/>
    <row r="50" spans="4:15" x14ac:dyDescent="0.25"/>
    <row r="51" spans="4:15" x14ac:dyDescent="0.25"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spans="4:15" x14ac:dyDescent="0.25"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spans="4:15" x14ac:dyDescent="0.25"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</row>
    <row r="54" spans="4:15" x14ac:dyDescent="0.25"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</row>
    <row r="55" spans="4:15" x14ac:dyDescent="0.25"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</row>
    <row r="56" spans="4:15" x14ac:dyDescent="0.25"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</row>
    <row r="57" spans="4:15" x14ac:dyDescent="0.25"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</row>
    <row r="58" spans="4:15" x14ac:dyDescent="0.25"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</row>
    <row r="59" spans="4:15" x14ac:dyDescent="0.25"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</row>
    <row r="60" spans="4:15" x14ac:dyDescent="0.25"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spans="4:15" x14ac:dyDescent="0.25"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</row>
    <row r="62" spans="4:15" x14ac:dyDescent="0.25"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</row>
    <row r="63" spans="4:15" x14ac:dyDescent="0.25"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</row>
    <row r="64" spans="4:15" x14ac:dyDescent="0.25"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</row>
    <row r="65" spans="1:15" x14ac:dyDescent="0.25"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</row>
    <row r="66" spans="1:15" x14ac:dyDescent="0.25"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</row>
    <row r="67" spans="1:15" x14ac:dyDescent="0.25"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</row>
    <row r="68" spans="1:15" x14ac:dyDescent="0.25"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</row>
    <row r="69" spans="1:15" x14ac:dyDescent="0.25"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</row>
    <row r="70" spans="1:15" x14ac:dyDescent="0.25"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</row>
    <row r="71" spans="1:15" x14ac:dyDescent="0.25"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</row>
    <row r="72" spans="1:15" x14ac:dyDescent="0.25"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</row>
    <row r="73" spans="1:15" x14ac:dyDescent="0.25"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</row>
    <row r="74" spans="1:15" x14ac:dyDescent="0.25"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</row>
    <row r="75" spans="1:15" x14ac:dyDescent="0.25"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</row>
    <row r="76" spans="1:15" x14ac:dyDescent="0.25"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</row>
    <row r="77" spans="1:15" x14ac:dyDescent="0.25"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</row>
    <row r="78" spans="1:15" x14ac:dyDescent="0.25"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</row>
    <row r="79" spans="1:15" x14ac:dyDescent="0.25"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</row>
    <row r="80" spans="1:15" x14ac:dyDescent="0.2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</row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spans="1:2" x14ac:dyDescent="0.25"/>
    <row r="98" spans="1:2" x14ac:dyDescent="0.25"/>
    <row r="99" spans="1:2" x14ac:dyDescent="0.25"/>
    <row r="100" spans="1:2" x14ac:dyDescent="0.25"/>
    <row r="101" spans="1:2" x14ac:dyDescent="0.25"/>
    <row r="102" spans="1:2" x14ac:dyDescent="0.25"/>
    <row r="103" spans="1:2" ht="16.5" thickBot="1" x14ac:dyDescent="0.3"/>
    <row r="104" spans="1:2" ht="16.5" thickBot="1" x14ac:dyDescent="0.3">
      <c r="A104" s="38" t="s">
        <v>30</v>
      </c>
      <c r="B104" s="31" t="s">
        <v>15</v>
      </c>
    </row>
    <row r="105" spans="1:2" x14ac:dyDescent="0.25"/>
    <row r="106" spans="1:2" x14ac:dyDescent="0.25"/>
    <row r="107" spans="1:2" x14ac:dyDescent="0.25"/>
    <row r="108" spans="1:2" x14ac:dyDescent="0.25"/>
    <row r="109" spans="1:2" x14ac:dyDescent="0.25"/>
    <row r="110" spans="1:2" x14ac:dyDescent="0.25"/>
    <row r="111" spans="1:2" x14ac:dyDescent="0.25"/>
    <row r="112" spans="1:2" x14ac:dyDescent="0.25"/>
    <row r="113" spans="2:4" x14ac:dyDescent="0.25">
      <c r="D113" s="32"/>
    </row>
    <row r="114" spans="2:4" x14ac:dyDescent="0.25">
      <c r="B114" s="32"/>
      <c r="C114" s="32"/>
      <c r="D114" s="32"/>
    </row>
    <row r="115" spans="2:4" x14ac:dyDescent="0.25">
      <c r="B115" s="32" t="s">
        <v>12</v>
      </c>
      <c r="C115" s="33"/>
      <c r="D115" s="33" t="str">
        <f>CONCATENATE("TOTAL DE COMISSÃO NO MÊS DE"," ",B104)</f>
        <v>TOTAL DE COMISSÃO NO MÊS DE ABRIL</v>
      </c>
    </row>
    <row r="116" spans="2:4" x14ac:dyDescent="0.25">
      <c r="B116" s="32" t="s">
        <v>13</v>
      </c>
      <c r="C116" s="34" t="str">
        <f>Resumo!A6</f>
        <v/>
      </c>
      <c r="D116" s="35" t="str">
        <f>VLOOKUP(C116,Resumo!$A:$N,HLOOKUP($B$104,Resumo!$3:$28,26,0),0)</f>
        <v/>
      </c>
    </row>
    <row r="117" spans="2:4" x14ac:dyDescent="0.25">
      <c r="B117" s="32" t="s">
        <v>14</v>
      </c>
      <c r="C117" s="34" t="str">
        <f>Resumo!A7</f>
        <v/>
      </c>
      <c r="D117" s="35" t="str">
        <f>VLOOKUP(C117,Resumo!$A:$N,HLOOKUP($B$104,Resumo!$3:$28,26,0),0)</f>
        <v/>
      </c>
    </row>
    <row r="118" spans="2:4" x14ac:dyDescent="0.25">
      <c r="B118" s="32" t="s">
        <v>15</v>
      </c>
      <c r="C118" s="34" t="str">
        <f>Resumo!A8</f>
        <v/>
      </c>
      <c r="D118" s="35" t="str">
        <f>VLOOKUP(C118,Resumo!$A:$N,HLOOKUP($B$104,Resumo!$3:$28,26,0),0)</f>
        <v/>
      </c>
    </row>
    <row r="119" spans="2:4" x14ac:dyDescent="0.25">
      <c r="B119" s="32" t="s">
        <v>16</v>
      </c>
      <c r="C119" s="34" t="str">
        <f>Resumo!A9</f>
        <v/>
      </c>
      <c r="D119" s="35" t="str">
        <f>VLOOKUP(C119,Resumo!$A:$N,HLOOKUP($B$104,Resumo!$3:$28,26,0),0)</f>
        <v/>
      </c>
    </row>
    <row r="120" spans="2:4" x14ac:dyDescent="0.25">
      <c r="B120" s="32" t="s">
        <v>17</v>
      </c>
      <c r="C120" s="34" t="str">
        <f>Resumo!A10</f>
        <v/>
      </c>
      <c r="D120" s="35" t="str">
        <f>VLOOKUP(C120,Resumo!$A:$N,HLOOKUP($B$104,Resumo!$3:$28,26,0),0)</f>
        <v/>
      </c>
    </row>
    <row r="121" spans="2:4" x14ac:dyDescent="0.25">
      <c r="B121" s="32" t="s">
        <v>18</v>
      </c>
      <c r="C121" s="34" t="str">
        <f>Resumo!A11</f>
        <v/>
      </c>
      <c r="D121" s="35" t="str">
        <f>VLOOKUP(C121,Resumo!$A:$N,HLOOKUP($B$104,Resumo!$3:$28,26,0),0)</f>
        <v/>
      </c>
    </row>
    <row r="122" spans="2:4" x14ac:dyDescent="0.25">
      <c r="B122" s="32" t="s">
        <v>19</v>
      </c>
      <c r="C122" s="34" t="str">
        <f>Resumo!A12</f>
        <v/>
      </c>
      <c r="D122" s="35" t="str">
        <f>VLOOKUP(C122,Resumo!$A:$N,HLOOKUP($B$104,Resumo!$3:$28,26,0),0)</f>
        <v/>
      </c>
    </row>
    <row r="123" spans="2:4" x14ac:dyDescent="0.25">
      <c r="B123" s="32" t="s">
        <v>20</v>
      </c>
      <c r="C123" s="34" t="str">
        <f>Resumo!A13</f>
        <v/>
      </c>
      <c r="D123" s="35" t="str">
        <f>VLOOKUP(C123,Resumo!$A:$N,HLOOKUP($B$104,Resumo!$3:$28,26,0),0)</f>
        <v/>
      </c>
    </row>
    <row r="124" spans="2:4" x14ac:dyDescent="0.25">
      <c r="B124" s="32" t="s">
        <v>21</v>
      </c>
      <c r="C124" s="34" t="str">
        <f>Resumo!A14</f>
        <v/>
      </c>
      <c r="D124" s="35" t="str">
        <f>VLOOKUP(C124,Resumo!$A:$N,HLOOKUP($B$104,Resumo!$3:$28,26,0),0)</f>
        <v/>
      </c>
    </row>
    <row r="125" spans="2:4" x14ac:dyDescent="0.25">
      <c r="B125" s="32" t="s">
        <v>22</v>
      </c>
      <c r="C125" s="34" t="str">
        <f>Resumo!A15</f>
        <v/>
      </c>
      <c r="D125" s="35" t="str">
        <f>VLOOKUP(C125,Resumo!$A:$N,HLOOKUP($B$104,Resumo!$3:$28,26,0),0)</f>
        <v/>
      </c>
    </row>
    <row r="126" spans="2:4" x14ac:dyDescent="0.25">
      <c r="B126" s="32" t="s">
        <v>23</v>
      </c>
      <c r="C126" s="34" t="str">
        <f>Resumo!A16</f>
        <v/>
      </c>
      <c r="D126" s="35" t="str">
        <f>VLOOKUP(C126,Resumo!$A:$N,HLOOKUP($B$104,Resumo!$3:$28,26,0),0)</f>
        <v/>
      </c>
    </row>
    <row r="127" spans="2:4" x14ac:dyDescent="0.25">
      <c r="B127" s="32"/>
      <c r="C127" s="34" t="str">
        <f>Resumo!A17</f>
        <v/>
      </c>
      <c r="D127" s="35" t="str">
        <f>VLOOKUP(C127,Resumo!$A:$N,HLOOKUP($B$104,Resumo!$3:$28,26,0),0)</f>
        <v/>
      </c>
    </row>
    <row r="128" spans="2:4" x14ac:dyDescent="0.25">
      <c r="B128" s="32"/>
      <c r="C128" s="34" t="str">
        <f>Resumo!A18</f>
        <v/>
      </c>
      <c r="D128" s="35" t="str">
        <f>VLOOKUP(C128,Resumo!$A:$N,HLOOKUP($B$104,Resumo!$3:$28,26,0),0)</f>
        <v/>
      </c>
    </row>
    <row r="129" spans="2:4" x14ac:dyDescent="0.25">
      <c r="B129" s="32"/>
      <c r="C129" s="34" t="str">
        <f>Resumo!A19</f>
        <v/>
      </c>
      <c r="D129" s="35" t="str">
        <f>VLOOKUP(C129,Resumo!$A:$N,HLOOKUP($B$104,Resumo!$3:$28,26,0),0)</f>
        <v/>
      </c>
    </row>
    <row r="130" spans="2:4" x14ac:dyDescent="0.25">
      <c r="B130" s="32"/>
      <c r="C130" s="34" t="str">
        <f>Resumo!A20</f>
        <v/>
      </c>
      <c r="D130" s="35" t="str">
        <f>VLOOKUP(C130,Resumo!$A:$N,HLOOKUP($B$104,Resumo!$3:$28,26,0),0)</f>
        <v/>
      </c>
    </row>
    <row r="131" spans="2:4" x14ac:dyDescent="0.25">
      <c r="B131" s="32"/>
      <c r="C131" s="34" t="str">
        <f>Resumo!A21</f>
        <v/>
      </c>
      <c r="D131" s="35" t="str">
        <f>VLOOKUP(C131,Resumo!$A:$N,HLOOKUP($B$104,Resumo!$3:$28,26,0),0)</f>
        <v/>
      </c>
    </row>
    <row r="132" spans="2:4" x14ac:dyDescent="0.25">
      <c r="B132" s="32"/>
      <c r="C132" s="34" t="str">
        <f>Resumo!A22</f>
        <v/>
      </c>
      <c r="D132" s="35" t="str">
        <f>VLOOKUP(C132,Resumo!$A:$N,HLOOKUP($B$104,Resumo!$3:$28,26,0),0)</f>
        <v/>
      </c>
    </row>
    <row r="133" spans="2:4" x14ac:dyDescent="0.25">
      <c r="B133" s="32"/>
      <c r="C133" s="34" t="str">
        <f>Resumo!A23</f>
        <v/>
      </c>
      <c r="D133" s="35" t="str">
        <f>VLOOKUP(C133,Resumo!$A:$N,HLOOKUP($B$104,Resumo!$3:$28,26,0),0)</f>
        <v/>
      </c>
    </row>
    <row r="134" spans="2:4" x14ac:dyDescent="0.25">
      <c r="B134" s="32"/>
      <c r="C134" s="34" t="str">
        <f>Resumo!A24</f>
        <v/>
      </c>
      <c r="D134" s="35" t="str">
        <f>VLOOKUP(C134,Resumo!$A:$N,HLOOKUP($B$104,Resumo!$3:$28,26,0),0)</f>
        <v/>
      </c>
    </row>
    <row r="135" spans="2:4" x14ac:dyDescent="0.25">
      <c r="B135" s="32"/>
      <c r="C135" s="34" t="str">
        <f>Resumo!A25</f>
        <v/>
      </c>
      <c r="D135" s="35" t="str">
        <f>VLOOKUP(C135,Resumo!$A:$N,HLOOKUP($B$104,Resumo!$3:$28,26,0),0)</f>
        <v/>
      </c>
    </row>
    <row r="136" spans="2:4" x14ac:dyDescent="0.25">
      <c r="B136" s="32"/>
      <c r="C136" s="32"/>
      <c r="D136" s="36"/>
    </row>
    <row r="137" spans="2:4" x14ac:dyDescent="0.25">
      <c r="B137" s="32"/>
      <c r="C137" s="32"/>
      <c r="D137" s="32"/>
    </row>
    <row r="138" spans="2:4" x14ac:dyDescent="0.25">
      <c r="B138" s="32"/>
      <c r="C138" s="32"/>
      <c r="D138" s="32"/>
    </row>
    <row r="139" spans="2:4" x14ac:dyDescent="0.25">
      <c r="B139" s="32"/>
      <c r="C139" s="32"/>
      <c r="D139" s="32"/>
    </row>
    <row r="140" spans="2:4" x14ac:dyDescent="0.25">
      <c r="B140" s="32"/>
      <c r="C140" s="32"/>
      <c r="D140" s="32"/>
    </row>
    <row r="141" spans="2:4" x14ac:dyDescent="0.25">
      <c r="B141" s="32"/>
      <c r="C141" s="32"/>
      <c r="D141" s="32"/>
    </row>
    <row r="142" spans="2:4" x14ac:dyDescent="0.25"/>
    <row r="143" spans="2:4" x14ac:dyDescent="0.25"/>
    <row r="144" spans="2:4" x14ac:dyDescent="0.25"/>
    <row r="145" x14ac:dyDescent="0.25"/>
    <row r="146" x14ac:dyDescent="0.25"/>
    <row r="147" x14ac:dyDescent="0.25"/>
    <row r="148" x14ac:dyDescent="0.25"/>
    <row r="149" x14ac:dyDescent="0.25"/>
  </sheetData>
  <mergeCells count="1">
    <mergeCell ref="A1:L1"/>
  </mergeCells>
  <dataValidations count="1">
    <dataValidation type="list" allowBlank="1" showInputMessage="1" showErrorMessage="1" sqref="B104">
      <formula1>$B$115:$B$126</formula1>
    </dataValidation>
  </dataValidation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Início</vt:lpstr>
      <vt:lpstr>Cadastro</vt:lpstr>
      <vt:lpstr>Resumo</vt:lpstr>
      <vt:lpstr>Gráficos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Thiago</cp:lastModifiedBy>
  <dcterms:created xsi:type="dcterms:W3CDTF">2012-11-06T14:07:41Z</dcterms:created>
  <dcterms:modified xsi:type="dcterms:W3CDTF">2014-05-29T11:49:34Z</dcterms:modified>
</cp:coreProperties>
</file>