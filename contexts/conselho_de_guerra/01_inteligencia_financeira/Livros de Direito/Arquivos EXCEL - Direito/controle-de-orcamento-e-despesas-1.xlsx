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VOITTO\2 - Acelere.vc\1 - Produtos\1.0 - Planilhas\Controle de Orçamento e Despesas\"/>
    </mc:Choice>
  </mc:AlternateContent>
  <bookViews>
    <workbookView xWindow="120" yWindow="120" windowWidth="19095" windowHeight="8385"/>
  </bookViews>
  <sheets>
    <sheet name="Início" sheetId="5" r:id="rId1"/>
    <sheet name="Orçamento" sheetId="1" r:id="rId2"/>
    <sheet name="Gráficos" sheetId="2" r:id="rId3"/>
  </sheets>
  <calcPr calcId="152511"/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5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3" i="2"/>
  <c r="AN74" i="1" l="1"/>
  <c r="AM74" i="1"/>
  <c r="AL74" i="1"/>
  <c r="AK74" i="1"/>
  <c r="AJ74" i="1"/>
  <c r="AI74" i="1"/>
  <c r="AH74" i="1"/>
  <c r="AG74" i="1"/>
  <c r="AF74" i="1"/>
  <c r="AE74" i="1"/>
  <c r="AD74" i="1"/>
  <c r="AD64" i="1" s="1"/>
  <c r="AC74" i="1"/>
  <c r="AB74" i="1"/>
  <c r="AA74" i="1"/>
  <c r="Z74" i="1"/>
  <c r="Z64" i="1" s="1"/>
  <c r="Y74" i="1"/>
  <c r="X74" i="1"/>
  <c r="W74" i="1"/>
  <c r="V74" i="1"/>
  <c r="U74" i="1"/>
  <c r="T74" i="1"/>
  <c r="S74" i="1"/>
  <c r="R74" i="1"/>
  <c r="R64" i="1" s="1"/>
  <c r="Q74" i="1"/>
  <c r="P74" i="1"/>
  <c r="O74" i="1"/>
  <c r="N74" i="1"/>
  <c r="N64" i="1" s="1"/>
  <c r="M74" i="1"/>
  <c r="L74" i="1"/>
  <c r="K74" i="1"/>
  <c r="J74" i="1"/>
  <c r="I74" i="1"/>
  <c r="H74" i="1"/>
  <c r="G74" i="1"/>
  <c r="F74" i="1"/>
  <c r="E74" i="1"/>
  <c r="D74" i="1"/>
  <c r="C74" i="1"/>
  <c r="B74" i="1"/>
  <c r="A52" i="2"/>
  <c r="A60" i="2" s="1"/>
  <c r="AL43" i="1"/>
  <c r="AL44" i="1"/>
  <c r="AL45" i="1"/>
  <c r="AL46" i="1"/>
  <c r="AL47" i="1"/>
  <c r="AL48" i="1"/>
  <c r="AL49" i="1"/>
  <c r="AM44" i="1"/>
  <c r="AM45" i="1"/>
  <c r="AM42" i="1" s="1"/>
  <c r="AM46" i="1"/>
  <c r="AM47" i="1"/>
  <c r="AM48" i="1"/>
  <c r="AM49" i="1"/>
  <c r="AN49" i="1" s="1"/>
  <c r="AM43" i="1"/>
  <c r="AN43" i="1" s="1"/>
  <c r="B9" i="1"/>
  <c r="C9" i="1"/>
  <c r="E9" i="1"/>
  <c r="F9" i="1"/>
  <c r="H9" i="1"/>
  <c r="I9" i="1"/>
  <c r="K9" i="1"/>
  <c r="M9" i="1" s="1"/>
  <c r="L9" i="1"/>
  <c r="N9" i="1"/>
  <c r="O9" i="1"/>
  <c r="P9" i="1" s="1"/>
  <c r="Q9" i="1"/>
  <c r="R9" i="1"/>
  <c r="T9" i="1"/>
  <c r="U9" i="1"/>
  <c r="W9" i="1"/>
  <c r="Y9" i="1" s="1"/>
  <c r="X9" i="1"/>
  <c r="Z9" i="1"/>
  <c r="Z75" i="1" s="1"/>
  <c r="Z5" i="1" s="1"/>
  <c r="AA9" i="1"/>
  <c r="AC9" i="1"/>
  <c r="AD9" i="1"/>
  <c r="AF9" i="1"/>
  <c r="AF75" i="1" s="1"/>
  <c r="AF5" i="1" s="1"/>
  <c r="AG9" i="1"/>
  <c r="AI9" i="1"/>
  <c r="AJ9" i="1"/>
  <c r="AK9" i="1"/>
  <c r="AL10" i="1"/>
  <c r="AL9" i="1" s="1"/>
  <c r="AL11" i="1"/>
  <c r="AL12" i="1"/>
  <c r="AL13" i="1"/>
  <c r="AL14" i="1"/>
  <c r="AN14" i="1" s="1"/>
  <c r="AL15" i="1"/>
  <c r="AL16" i="1"/>
  <c r="AL17" i="1"/>
  <c r="AL18" i="1"/>
  <c r="AM10" i="1"/>
  <c r="AM11" i="1"/>
  <c r="AM9" i="1" s="1"/>
  <c r="AM12" i="1"/>
  <c r="AN12" i="1" s="1"/>
  <c r="AM13" i="1"/>
  <c r="AM14" i="1"/>
  <c r="AM15" i="1"/>
  <c r="AM16" i="1"/>
  <c r="AM17" i="1"/>
  <c r="AM18" i="1"/>
  <c r="D10" i="1"/>
  <c r="G10" i="1"/>
  <c r="J10" i="1"/>
  <c r="M10" i="1"/>
  <c r="P10" i="1"/>
  <c r="S10" i="1"/>
  <c r="V10" i="1"/>
  <c r="Y10" i="1"/>
  <c r="AB10" i="1"/>
  <c r="AE10" i="1"/>
  <c r="AH10" i="1"/>
  <c r="AK10" i="1"/>
  <c r="AN10" i="1"/>
  <c r="D11" i="1"/>
  <c r="G11" i="1"/>
  <c r="J11" i="1"/>
  <c r="M11" i="1"/>
  <c r="P11" i="1"/>
  <c r="S11" i="1"/>
  <c r="V11" i="1"/>
  <c r="Y11" i="1"/>
  <c r="AB11" i="1"/>
  <c r="AE11" i="1"/>
  <c r="AH11" i="1"/>
  <c r="AK11" i="1"/>
  <c r="D12" i="1"/>
  <c r="G12" i="1"/>
  <c r="J12" i="1"/>
  <c r="M12" i="1"/>
  <c r="P12" i="1"/>
  <c r="S12" i="1"/>
  <c r="V12" i="1"/>
  <c r="Y12" i="1"/>
  <c r="AB12" i="1"/>
  <c r="AE12" i="1"/>
  <c r="AH12" i="1"/>
  <c r="AK12" i="1"/>
  <c r="D13" i="1"/>
  <c r="G13" i="1"/>
  <c r="J13" i="1"/>
  <c r="M13" i="1"/>
  <c r="P13" i="1"/>
  <c r="S13" i="1"/>
  <c r="V13" i="1"/>
  <c r="Y13" i="1"/>
  <c r="AB13" i="1"/>
  <c r="AE13" i="1"/>
  <c r="AH13" i="1"/>
  <c r="AK13" i="1"/>
  <c r="D14" i="1"/>
  <c r="G14" i="1"/>
  <c r="J14" i="1"/>
  <c r="M14" i="1"/>
  <c r="P14" i="1"/>
  <c r="S14" i="1"/>
  <c r="V14" i="1"/>
  <c r="Y14" i="1"/>
  <c r="AB14" i="1"/>
  <c r="AE14" i="1"/>
  <c r="AH14" i="1"/>
  <c r="AK14" i="1"/>
  <c r="D15" i="1"/>
  <c r="G15" i="1"/>
  <c r="J15" i="1"/>
  <c r="M15" i="1"/>
  <c r="P15" i="1"/>
  <c r="S15" i="1"/>
  <c r="V15" i="1"/>
  <c r="Y15" i="1"/>
  <c r="AB15" i="1"/>
  <c r="AE15" i="1"/>
  <c r="AH15" i="1"/>
  <c r="AK15" i="1"/>
  <c r="D16" i="1"/>
  <c r="G16" i="1"/>
  <c r="J16" i="1"/>
  <c r="M16" i="1"/>
  <c r="P16" i="1"/>
  <c r="S16" i="1"/>
  <c r="V16" i="1"/>
  <c r="Y16" i="1"/>
  <c r="AB16" i="1"/>
  <c r="AE16" i="1"/>
  <c r="AH16" i="1"/>
  <c r="AK16" i="1"/>
  <c r="AN16" i="1"/>
  <c r="D17" i="1"/>
  <c r="G17" i="1"/>
  <c r="J17" i="1"/>
  <c r="M17" i="1"/>
  <c r="P17" i="1"/>
  <c r="S17" i="1"/>
  <c r="V17" i="1"/>
  <c r="Y17" i="1"/>
  <c r="AB17" i="1"/>
  <c r="AE17" i="1"/>
  <c r="AH17" i="1"/>
  <c r="AK17" i="1"/>
  <c r="D18" i="1"/>
  <c r="G18" i="1"/>
  <c r="J18" i="1"/>
  <c r="M18" i="1"/>
  <c r="P18" i="1"/>
  <c r="S18" i="1"/>
  <c r="V18" i="1"/>
  <c r="Y18" i="1"/>
  <c r="AB18" i="1"/>
  <c r="AE18" i="1"/>
  <c r="AH18" i="1"/>
  <c r="AK18" i="1"/>
  <c r="AN18" i="1"/>
  <c r="B20" i="1"/>
  <c r="C20" i="1"/>
  <c r="E20" i="1"/>
  <c r="G20" i="1" s="1"/>
  <c r="F20" i="1"/>
  <c r="H20" i="1"/>
  <c r="I20" i="1"/>
  <c r="J20" i="1" s="1"/>
  <c r="K20" i="1"/>
  <c r="L20" i="1"/>
  <c r="N20" i="1"/>
  <c r="O20" i="1"/>
  <c r="Q20" i="1"/>
  <c r="S20" i="1" s="1"/>
  <c r="R20" i="1"/>
  <c r="T20" i="1"/>
  <c r="T75" i="1" s="1"/>
  <c r="T5" i="1" s="1"/>
  <c r="U20" i="1"/>
  <c r="W20" i="1"/>
  <c r="X20" i="1"/>
  <c r="Y20" i="1" s="1"/>
  <c r="Z20" i="1"/>
  <c r="AA20" i="1"/>
  <c r="AC20" i="1"/>
  <c r="AD20" i="1"/>
  <c r="AE20" i="1"/>
  <c r="AF20" i="1"/>
  <c r="AG20" i="1"/>
  <c r="AI20" i="1"/>
  <c r="AJ20" i="1"/>
  <c r="AK20" i="1" s="1"/>
  <c r="AL21" i="1"/>
  <c r="AL22" i="1"/>
  <c r="AL23" i="1"/>
  <c r="AL24" i="1"/>
  <c r="AL25" i="1"/>
  <c r="AN25" i="1" s="1"/>
  <c r="AL26" i="1"/>
  <c r="AL27" i="1"/>
  <c r="AL28" i="1"/>
  <c r="AL29" i="1"/>
  <c r="AM21" i="1"/>
  <c r="AM22" i="1"/>
  <c r="AM23" i="1"/>
  <c r="AN23" i="1" s="1"/>
  <c r="AM24" i="1"/>
  <c r="AM25" i="1"/>
  <c r="AM26" i="1"/>
  <c r="AM27" i="1"/>
  <c r="AM28" i="1"/>
  <c r="AM29" i="1"/>
  <c r="D21" i="1"/>
  <c r="G21" i="1"/>
  <c r="J21" i="1"/>
  <c r="M21" i="1"/>
  <c r="P21" i="1"/>
  <c r="S21" i="1"/>
  <c r="V21" i="1"/>
  <c r="Y21" i="1"/>
  <c r="AB21" i="1"/>
  <c r="AE21" i="1"/>
  <c r="AH21" i="1"/>
  <c r="AK21" i="1"/>
  <c r="D22" i="1"/>
  <c r="G22" i="1"/>
  <c r="J22" i="1"/>
  <c r="M22" i="1"/>
  <c r="P22" i="1"/>
  <c r="S22" i="1"/>
  <c r="V22" i="1"/>
  <c r="Y22" i="1"/>
  <c r="AB22" i="1"/>
  <c r="AE22" i="1"/>
  <c r="AH22" i="1"/>
  <c r="AK22" i="1"/>
  <c r="D23" i="1"/>
  <c r="G23" i="1"/>
  <c r="J23" i="1"/>
  <c r="M23" i="1"/>
  <c r="P23" i="1"/>
  <c r="S23" i="1"/>
  <c r="V23" i="1"/>
  <c r="Y23" i="1"/>
  <c r="AB23" i="1"/>
  <c r="AE23" i="1"/>
  <c r="AH23" i="1"/>
  <c r="AK23" i="1"/>
  <c r="D24" i="1"/>
  <c r="G24" i="1"/>
  <c r="J24" i="1"/>
  <c r="M24" i="1"/>
  <c r="P24" i="1"/>
  <c r="S24" i="1"/>
  <c r="V24" i="1"/>
  <c r="Y24" i="1"/>
  <c r="AB24" i="1"/>
  <c r="AE24" i="1"/>
  <c r="AH24" i="1"/>
  <c r="AK24" i="1"/>
  <c r="D25" i="1"/>
  <c r="G25" i="1"/>
  <c r="J25" i="1"/>
  <c r="M25" i="1"/>
  <c r="P25" i="1"/>
  <c r="S25" i="1"/>
  <c r="V25" i="1"/>
  <c r="Y25" i="1"/>
  <c r="AB25" i="1"/>
  <c r="AE25" i="1"/>
  <c r="AH25" i="1"/>
  <c r="AK25" i="1"/>
  <c r="D26" i="1"/>
  <c r="G26" i="1"/>
  <c r="J26" i="1"/>
  <c r="M26" i="1"/>
  <c r="P26" i="1"/>
  <c r="S26" i="1"/>
  <c r="V26" i="1"/>
  <c r="Y26" i="1"/>
  <c r="AB26" i="1"/>
  <c r="AE26" i="1"/>
  <c r="AH26" i="1"/>
  <c r="AK26" i="1"/>
  <c r="D27" i="1"/>
  <c r="G27" i="1"/>
  <c r="J27" i="1"/>
  <c r="M27" i="1"/>
  <c r="P27" i="1"/>
  <c r="S27" i="1"/>
  <c r="V27" i="1"/>
  <c r="Y27" i="1"/>
  <c r="AB27" i="1"/>
  <c r="AE27" i="1"/>
  <c r="AH27" i="1"/>
  <c r="AK27" i="1"/>
  <c r="D28" i="1"/>
  <c r="G28" i="1"/>
  <c r="J28" i="1"/>
  <c r="M28" i="1"/>
  <c r="P28" i="1"/>
  <c r="S28" i="1"/>
  <c r="V28" i="1"/>
  <c r="Y28" i="1"/>
  <c r="AB28" i="1"/>
  <c r="AE28" i="1"/>
  <c r="AH28" i="1"/>
  <c r="AK28" i="1"/>
  <c r="D29" i="1"/>
  <c r="G29" i="1"/>
  <c r="J29" i="1"/>
  <c r="M29" i="1"/>
  <c r="P29" i="1"/>
  <c r="S29" i="1"/>
  <c r="V29" i="1"/>
  <c r="Y29" i="1"/>
  <c r="AB29" i="1"/>
  <c r="AE29" i="1"/>
  <c r="AH29" i="1"/>
  <c r="AK29" i="1"/>
  <c r="AN29" i="1"/>
  <c r="B31" i="1"/>
  <c r="C31" i="1"/>
  <c r="E31" i="1"/>
  <c r="F31" i="1"/>
  <c r="G31" i="1" s="1"/>
  <c r="H31" i="1"/>
  <c r="I31" i="1"/>
  <c r="K31" i="1"/>
  <c r="L31" i="1"/>
  <c r="M31" i="1" s="1"/>
  <c r="N31" i="1"/>
  <c r="O31" i="1"/>
  <c r="Q31" i="1"/>
  <c r="R31" i="1"/>
  <c r="T31" i="1"/>
  <c r="U31" i="1"/>
  <c r="W31" i="1"/>
  <c r="Y31" i="1" s="1"/>
  <c r="X31" i="1"/>
  <c r="Z31" i="1"/>
  <c r="AA31" i="1"/>
  <c r="AC31" i="1"/>
  <c r="AC75" i="1" s="1"/>
  <c r="AC5" i="1" s="1"/>
  <c r="AD31" i="1"/>
  <c r="AF31" i="1"/>
  <c r="AG31" i="1"/>
  <c r="AI31" i="1"/>
  <c r="AK31" i="1" s="1"/>
  <c r="AJ31" i="1"/>
  <c r="AL32" i="1"/>
  <c r="AL33" i="1"/>
  <c r="AL34" i="1"/>
  <c r="AN34" i="1" s="1"/>
  <c r="AL35" i="1"/>
  <c r="AL36" i="1"/>
  <c r="AL37" i="1"/>
  <c r="AL38" i="1"/>
  <c r="AL39" i="1"/>
  <c r="AL40" i="1"/>
  <c r="AM32" i="1"/>
  <c r="AN32" i="1" s="1"/>
  <c r="AM33" i="1"/>
  <c r="AM34" i="1"/>
  <c r="AM35" i="1"/>
  <c r="AM36" i="1"/>
  <c r="AN36" i="1" s="1"/>
  <c r="AM37" i="1"/>
  <c r="AM38" i="1"/>
  <c r="AM39" i="1"/>
  <c r="AM40" i="1"/>
  <c r="AN40" i="1" s="1"/>
  <c r="D32" i="1"/>
  <c r="G32" i="1"/>
  <c r="J32" i="1"/>
  <c r="M32" i="1"/>
  <c r="P32" i="1"/>
  <c r="S32" i="1"/>
  <c r="V32" i="1"/>
  <c r="Y32" i="1"/>
  <c r="AB32" i="1"/>
  <c r="AE32" i="1"/>
  <c r="AH32" i="1"/>
  <c r="AK32" i="1"/>
  <c r="D33" i="1"/>
  <c r="G33" i="1"/>
  <c r="J33" i="1"/>
  <c r="M33" i="1"/>
  <c r="P33" i="1"/>
  <c r="S33" i="1"/>
  <c r="V33" i="1"/>
  <c r="Y33" i="1"/>
  <c r="AB33" i="1"/>
  <c r="AE33" i="1"/>
  <c r="AH33" i="1"/>
  <c r="AK33" i="1"/>
  <c r="D34" i="1"/>
  <c r="G34" i="1"/>
  <c r="J34" i="1"/>
  <c r="M34" i="1"/>
  <c r="P34" i="1"/>
  <c r="S34" i="1"/>
  <c r="V34" i="1"/>
  <c r="Y34" i="1"/>
  <c r="AB34" i="1"/>
  <c r="AE34" i="1"/>
  <c r="AH34" i="1"/>
  <c r="AK34" i="1"/>
  <c r="D35" i="1"/>
  <c r="G35" i="1"/>
  <c r="J35" i="1"/>
  <c r="M35" i="1"/>
  <c r="P35" i="1"/>
  <c r="S35" i="1"/>
  <c r="V35" i="1"/>
  <c r="Y35" i="1"/>
  <c r="AB35" i="1"/>
  <c r="AE35" i="1"/>
  <c r="AH35" i="1"/>
  <c r="AK35" i="1"/>
  <c r="D36" i="1"/>
  <c r="G36" i="1"/>
  <c r="J36" i="1"/>
  <c r="M36" i="1"/>
  <c r="P36" i="1"/>
  <c r="S36" i="1"/>
  <c r="V36" i="1"/>
  <c r="Y36" i="1"/>
  <c r="AB36" i="1"/>
  <c r="AE36" i="1"/>
  <c r="AH36" i="1"/>
  <c r="AK36" i="1"/>
  <c r="D37" i="1"/>
  <c r="G37" i="1"/>
  <c r="J37" i="1"/>
  <c r="M37" i="1"/>
  <c r="P37" i="1"/>
  <c r="S37" i="1"/>
  <c r="V37" i="1"/>
  <c r="Y37" i="1"/>
  <c r="AB37" i="1"/>
  <c r="AE37" i="1"/>
  <c r="AH37" i="1"/>
  <c r="AK37" i="1"/>
  <c r="D38" i="1"/>
  <c r="G38" i="1"/>
  <c r="J38" i="1"/>
  <c r="M38" i="1"/>
  <c r="P38" i="1"/>
  <c r="S38" i="1"/>
  <c r="V38" i="1"/>
  <c r="Y38" i="1"/>
  <c r="AB38" i="1"/>
  <c r="AE38" i="1"/>
  <c r="AH38" i="1"/>
  <c r="AK38" i="1"/>
  <c r="AN38" i="1"/>
  <c r="D39" i="1"/>
  <c r="G39" i="1"/>
  <c r="J39" i="1"/>
  <c r="M39" i="1"/>
  <c r="P39" i="1"/>
  <c r="S39" i="1"/>
  <c r="V39" i="1"/>
  <c r="Y39" i="1"/>
  <c r="AB39" i="1"/>
  <c r="AE39" i="1"/>
  <c r="AH39" i="1"/>
  <c r="AK39" i="1"/>
  <c r="D40" i="1"/>
  <c r="G40" i="1"/>
  <c r="J40" i="1"/>
  <c r="M40" i="1"/>
  <c r="P40" i="1"/>
  <c r="S40" i="1"/>
  <c r="V40" i="1"/>
  <c r="Y40" i="1"/>
  <c r="AB40" i="1"/>
  <c r="AE40" i="1"/>
  <c r="AH40" i="1"/>
  <c r="AK40" i="1"/>
  <c r="B42" i="1"/>
  <c r="C42" i="1"/>
  <c r="E42" i="1"/>
  <c r="G42" i="1" s="1"/>
  <c r="F42" i="1"/>
  <c r="H42" i="1"/>
  <c r="I42" i="1"/>
  <c r="J42" i="1" s="1"/>
  <c r="K42" i="1"/>
  <c r="L42" i="1"/>
  <c r="N42" i="1"/>
  <c r="O42" i="1"/>
  <c r="Q42" i="1"/>
  <c r="S42" i="1" s="1"/>
  <c r="R42" i="1"/>
  <c r="T42" i="1"/>
  <c r="U42" i="1"/>
  <c r="V42" i="1" s="1"/>
  <c r="W42" i="1"/>
  <c r="X42" i="1"/>
  <c r="Z42" i="1"/>
  <c r="AA42" i="1"/>
  <c r="AC42" i="1"/>
  <c r="AE42" i="1" s="1"/>
  <c r="AD42" i="1"/>
  <c r="AF42" i="1"/>
  <c r="AG42" i="1"/>
  <c r="AH42" i="1" s="1"/>
  <c r="AI42" i="1"/>
  <c r="AJ42" i="1"/>
  <c r="AL50" i="1"/>
  <c r="AL51" i="1"/>
  <c r="AN51" i="1" s="1"/>
  <c r="AM50" i="1"/>
  <c r="AN50" i="1" s="1"/>
  <c r="AM51" i="1"/>
  <c r="D43" i="1"/>
  <c r="G43" i="1"/>
  <c r="J43" i="1"/>
  <c r="M43" i="1"/>
  <c r="P43" i="1"/>
  <c r="S43" i="1"/>
  <c r="V43" i="1"/>
  <c r="Y43" i="1"/>
  <c r="AB43" i="1"/>
  <c r="AE43" i="1"/>
  <c r="AH43" i="1"/>
  <c r="AK43" i="1"/>
  <c r="D44" i="1"/>
  <c r="G44" i="1"/>
  <c r="J44" i="1"/>
  <c r="M44" i="1"/>
  <c r="P44" i="1"/>
  <c r="S44" i="1"/>
  <c r="V44" i="1"/>
  <c r="Y44" i="1"/>
  <c r="AB44" i="1"/>
  <c r="AE44" i="1"/>
  <c r="AH44" i="1"/>
  <c r="AK44" i="1"/>
  <c r="D45" i="1"/>
  <c r="G45" i="1"/>
  <c r="J45" i="1"/>
  <c r="M45" i="1"/>
  <c r="P45" i="1"/>
  <c r="S45" i="1"/>
  <c r="V45" i="1"/>
  <c r="Y45" i="1"/>
  <c r="AB45" i="1"/>
  <c r="AE45" i="1"/>
  <c r="AH45" i="1"/>
  <c r="AK45" i="1"/>
  <c r="AN45" i="1"/>
  <c r="D46" i="1"/>
  <c r="G46" i="1"/>
  <c r="J46" i="1"/>
  <c r="M46" i="1"/>
  <c r="P46" i="1"/>
  <c r="S46" i="1"/>
  <c r="V46" i="1"/>
  <c r="Y46" i="1"/>
  <c r="AB46" i="1"/>
  <c r="AE46" i="1"/>
  <c r="AH46" i="1"/>
  <c r="AK46" i="1"/>
  <c r="D47" i="1"/>
  <c r="G47" i="1"/>
  <c r="J47" i="1"/>
  <c r="M47" i="1"/>
  <c r="P47" i="1"/>
  <c r="S47" i="1"/>
  <c r="V47" i="1"/>
  <c r="Y47" i="1"/>
  <c r="AB47" i="1"/>
  <c r="AE47" i="1"/>
  <c r="AH47" i="1"/>
  <c r="AK47" i="1"/>
  <c r="AN47" i="1"/>
  <c r="D48" i="1"/>
  <c r="G48" i="1"/>
  <c r="J48" i="1"/>
  <c r="M48" i="1"/>
  <c r="P48" i="1"/>
  <c r="S48" i="1"/>
  <c r="V48" i="1"/>
  <c r="Y48" i="1"/>
  <c r="AB48" i="1"/>
  <c r="AE48" i="1"/>
  <c r="AH48" i="1"/>
  <c r="AK48" i="1"/>
  <c r="D49" i="1"/>
  <c r="G49" i="1"/>
  <c r="J49" i="1"/>
  <c r="M49" i="1"/>
  <c r="P49" i="1"/>
  <c r="S49" i="1"/>
  <c r="V49" i="1"/>
  <c r="Y49" i="1"/>
  <c r="AB49" i="1"/>
  <c r="AE49" i="1"/>
  <c r="AH49" i="1"/>
  <c r="AK49" i="1"/>
  <c r="D50" i="1"/>
  <c r="G50" i="1"/>
  <c r="J50" i="1"/>
  <c r="M50" i="1"/>
  <c r="P50" i="1"/>
  <c r="S50" i="1"/>
  <c r="V50" i="1"/>
  <c r="Y50" i="1"/>
  <c r="AB50" i="1"/>
  <c r="AE50" i="1"/>
  <c r="AH50" i="1"/>
  <c r="AK50" i="1"/>
  <c r="D51" i="1"/>
  <c r="G51" i="1"/>
  <c r="J51" i="1"/>
  <c r="M51" i="1"/>
  <c r="P51" i="1"/>
  <c r="S51" i="1"/>
  <c r="V51" i="1"/>
  <c r="Y51" i="1"/>
  <c r="AB51" i="1"/>
  <c r="AE51" i="1"/>
  <c r="AH51" i="1"/>
  <c r="AK51" i="1"/>
  <c r="B53" i="1"/>
  <c r="B75" i="1" s="1"/>
  <c r="B5" i="1" s="1"/>
  <c r="C53" i="1"/>
  <c r="E53" i="1"/>
  <c r="F53" i="1"/>
  <c r="G53" i="1" s="1"/>
  <c r="H53" i="1"/>
  <c r="I53" i="1"/>
  <c r="K53" i="1"/>
  <c r="L53" i="1"/>
  <c r="M53" i="1"/>
  <c r="N53" i="1"/>
  <c r="O53" i="1"/>
  <c r="Q53" i="1"/>
  <c r="R53" i="1"/>
  <c r="S53" i="1" s="1"/>
  <c r="T53" i="1"/>
  <c r="U53" i="1"/>
  <c r="W53" i="1"/>
  <c r="X53" i="1"/>
  <c r="Y53" i="1" s="1"/>
  <c r="Z53" i="1"/>
  <c r="AA53" i="1"/>
  <c r="AB53" i="1" s="1"/>
  <c r="AC53" i="1"/>
  <c r="AD53" i="1"/>
  <c r="AF53" i="1"/>
  <c r="AG53" i="1"/>
  <c r="AI53" i="1"/>
  <c r="AK53" i="1" s="1"/>
  <c r="AJ53" i="1"/>
  <c r="AL54" i="1"/>
  <c r="AL55" i="1"/>
  <c r="AL56" i="1"/>
  <c r="AN56" i="1" s="1"/>
  <c r="AL57" i="1"/>
  <c r="AL58" i="1"/>
  <c r="AL59" i="1"/>
  <c r="AL60" i="1"/>
  <c r="AN60" i="1" s="1"/>
  <c r="AL61" i="1"/>
  <c r="AL62" i="1"/>
  <c r="AM54" i="1"/>
  <c r="AM55" i="1"/>
  <c r="AM56" i="1"/>
  <c r="AM57" i="1"/>
  <c r="AM58" i="1"/>
  <c r="AM59" i="1"/>
  <c r="AM53" i="1" s="1"/>
  <c r="AM60" i="1"/>
  <c r="AM61" i="1"/>
  <c r="AM62" i="1"/>
  <c r="D54" i="1"/>
  <c r="G54" i="1"/>
  <c r="J54" i="1"/>
  <c r="M54" i="1"/>
  <c r="P54" i="1"/>
  <c r="S54" i="1"/>
  <c r="V54" i="1"/>
  <c r="Y54" i="1"/>
  <c r="AB54" i="1"/>
  <c r="AE54" i="1"/>
  <c r="AH54" i="1"/>
  <c r="AK54" i="1"/>
  <c r="AN54" i="1"/>
  <c r="D55" i="1"/>
  <c r="G55" i="1"/>
  <c r="J55" i="1"/>
  <c r="M55" i="1"/>
  <c r="P55" i="1"/>
  <c r="S55" i="1"/>
  <c r="V55" i="1"/>
  <c r="Y55" i="1"/>
  <c r="AB55" i="1"/>
  <c r="AE55" i="1"/>
  <c r="AH55" i="1"/>
  <c r="AK55" i="1"/>
  <c r="D56" i="1"/>
  <c r="G56" i="1"/>
  <c r="J56" i="1"/>
  <c r="M56" i="1"/>
  <c r="P56" i="1"/>
  <c r="S56" i="1"/>
  <c r="V56" i="1"/>
  <c r="Y56" i="1"/>
  <c r="AB56" i="1"/>
  <c r="AE56" i="1"/>
  <c r="AH56" i="1"/>
  <c r="AK56" i="1"/>
  <c r="D57" i="1"/>
  <c r="G57" i="1"/>
  <c r="J57" i="1"/>
  <c r="M57" i="1"/>
  <c r="P57" i="1"/>
  <c r="S57" i="1"/>
  <c r="V57" i="1"/>
  <c r="Y57" i="1"/>
  <c r="AB57" i="1"/>
  <c r="AE57" i="1"/>
  <c r="AH57" i="1"/>
  <c r="AK57" i="1"/>
  <c r="D58" i="1"/>
  <c r="G58" i="1"/>
  <c r="J58" i="1"/>
  <c r="M58" i="1"/>
  <c r="P58" i="1"/>
  <c r="S58" i="1"/>
  <c r="V58" i="1"/>
  <c r="Y58" i="1"/>
  <c r="AB58" i="1"/>
  <c r="AE58" i="1"/>
  <c r="AH58" i="1"/>
  <c r="AK58" i="1"/>
  <c r="AN58" i="1"/>
  <c r="D59" i="1"/>
  <c r="G59" i="1"/>
  <c r="J59" i="1"/>
  <c r="M59" i="1"/>
  <c r="P59" i="1"/>
  <c r="S59" i="1"/>
  <c r="V59" i="1"/>
  <c r="Y59" i="1"/>
  <c r="AB59" i="1"/>
  <c r="AE59" i="1"/>
  <c r="AH59" i="1"/>
  <c r="AK59" i="1"/>
  <c r="D60" i="1"/>
  <c r="G60" i="1"/>
  <c r="J60" i="1"/>
  <c r="M60" i="1"/>
  <c r="P60" i="1"/>
  <c r="S60" i="1"/>
  <c r="V60" i="1"/>
  <c r="Y60" i="1"/>
  <c r="AB60" i="1"/>
  <c r="AE60" i="1"/>
  <c r="AH60" i="1"/>
  <c r="AK60" i="1"/>
  <c r="D61" i="1"/>
  <c r="G61" i="1"/>
  <c r="J61" i="1"/>
  <c r="M61" i="1"/>
  <c r="P61" i="1"/>
  <c r="S61" i="1"/>
  <c r="V61" i="1"/>
  <c r="Y61" i="1"/>
  <c r="AB61" i="1"/>
  <c r="AE61" i="1"/>
  <c r="AH61" i="1"/>
  <c r="AK61" i="1"/>
  <c r="D62" i="1"/>
  <c r="G62" i="1"/>
  <c r="J62" i="1"/>
  <c r="M62" i="1"/>
  <c r="P62" i="1"/>
  <c r="S62" i="1"/>
  <c r="V62" i="1"/>
  <c r="Y62" i="1"/>
  <c r="AB62" i="1"/>
  <c r="AE62" i="1"/>
  <c r="AH62" i="1"/>
  <c r="AK62" i="1"/>
  <c r="AN62" i="1"/>
  <c r="C64" i="1"/>
  <c r="E64" i="1"/>
  <c r="F64" i="1"/>
  <c r="G64" i="1" s="1"/>
  <c r="H64" i="1"/>
  <c r="I64" i="1"/>
  <c r="K64" i="1"/>
  <c r="L64" i="1"/>
  <c r="O64" i="1"/>
  <c r="Q64" i="1"/>
  <c r="T64" i="1"/>
  <c r="U64" i="1"/>
  <c r="V64" i="1" s="1"/>
  <c r="W64" i="1"/>
  <c r="X64" i="1"/>
  <c r="AA64" i="1"/>
  <c r="AC64" i="1"/>
  <c r="AF64" i="1"/>
  <c r="AG64" i="1"/>
  <c r="AI64" i="1"/>
  <c r="AJ64" i="1"/>
  <c r="AL65" i="1"/>
  <c r="AL66" i="1"/>
  <c r="AL67" i="1"/>
  <c r="AL68" i="1"/>
  <c r="AL69" i="1"/>
  <c r="AL70" i="1"/>
  <c r="AL71" i="1"/>
  <c r="AL72" i="1"/>
  <c r="AL73" i="1"/>
  <c r="AN73" i="1" s="1"/>
  <c r="AM65" i="1"/>
  <c r="AM66" i="1"/>
  <c r="AM67" i="1"/>
  <c r="AM68" i="1"/>
  <c r="AM69" i="1"/>
  <c r="AM70" i="1"/>
  <c r="AM71" i="1"/>
  <c r="AM72" i="1"/>
  <c r="AM73" i="1"/>
  <c r="D65" i="1"/>
  <c r="G65" i="1"/>
  <c r="J65" i="1"/>
  <c r="M65" i="1"/>
  <c r="P65" i="1"/>
  <c r="S65" i="1"/>
  <c r="V65" i="1"/>
  <c r="Y65" i="1"/>
  <c r="AB65" i="1"/>
  <c r="AE65" i="1"/>
  <c r="AH65" i="1"/>
  <c r="AK65" i="1"/>
  <c r="D66" i="1"/>
  <c r="G66" i="1"/>
  <c r="J66" i="1"/>
  <c r="M66" i="1"/>
  <c r="P66" i="1"/>
  <c r="S66" i="1"/>
  <c r="V66" i="1"/>
  <c r="Y66" i="1"/>
  <c r="AB66" i="1"/>
  <c r="AE66" i="1"/>
  <c r="AH66" i="1"/>
  <c r="AK66" i="1"/>
  <c r="D67" i="1"/>
  <c r="G67" i="1"/>
  <c r="J67" i="1"/>
  <c r="M67" i="1"/>
  <c r="P67" i="1"/>
  <c r="S67" i="1"/>
  <c r="V67" i="1"/>
  <c r="Y67" i="1"/>
  <c r="AB67" i="1"/>
  <c r="AE67" i="1"/>
  <c r="AH67" i="1"/>
  <c r="AK67" i="1"/>
  <c r="AN67" i="1"/>
  <c r="D68" i="1"/>
  <c r="G68" i="1"/>
  <c r="J68" i="1"/>
  <c r="M68" i="1"/>
  <c r="P68" i="1"/>
  <c r="S68" i="1"/>
  <c r="V68" i="1"/>
  <c r="Y68" i="1"/>
  <c r="AB68" i="1"/>
  <c r="AE68" i="1"/>
  <c r="AH68" i="1"/>
  <c r="AK68" i="1"/>
  <c r="D69" i="1"/>
  <c r="G69" i="1"/>
  <c r="J69" i="1"/>
  <c r="M69" i="1"/>
  <c r="P69" i="1"/>
  <c r="S69" i="1"/>
  <c r="V69" i="1"/>
  <c r="Y69" i="1"/>
  <c r="AB69" i="1"/>
  <c r="AE69" i="1"/>
  <c r="AH69" i="1"/>
  <c r="AK69" i="1"/>
  <c r="D70" i="1"/>
  <c r="G70" i="1"/>
  <c r="J70" i="1"/>
  <c r="M70" i="1"/>
  <c r="P70" i="1"/>
  <c r="S70" i="1"/>
  <c r="V70" i="1"/>
  <c r="Y70" i="1"/>
  <c r="AB70" i="1"/>
  <c r="AE70" i="1"/>
  <c r="AH70" i="1"/>
  <c r="AK70" i="1"/>
  <c r="D71" i="1"/>
  <c r="G71" i="1"/>
  <c r="J71" i="1"/>
  <c r="M71" i="1"/>
  <c r="P71" i="1"/>
  <c r="S71" i="1"/>
  <c r="V71" i="1"/>
  <c r="Y71" i="1"/>
  <c r="AB71" i="1"/>
  <c r="AE71" i="1"/>
  <c r="AH71" i="1"/>
  <c r="AK71" i="1"/>
  <c r="D72" i="1"/>
  <c r="G72" i="1"/>
  <c r="J72" i="1"/>
  <c r="M72" i="1"/>
  <c r="P72" i="1"/>
  <c r="S72" i="1"/>
  <c r="V72" i="1"/>
  <c r="Y72" i="1"/>
  <c r="AB72" i="1"/>
  <c r="AE72" i="1"/>
  <c r="AH72" i="1"/>
  <c r="AK72" i="1"/>
  <c r="D73" i="1"/>
  <c r="G73" i="1"/>
  <c r="J73" i="1"/>
  <c r="M73" i="1"/>
  <c r="P73" i="1"/>
  <c r="S73" i="1"/>
  <c r="V73" i="1"/>
  <c r="Y73" i="1"/>
  <c r="AB73" i="1"/>
  <c r="AE73" i="1"/>
  <c r="AH73" i="1"/>
  <c r="AK73" i="1"/>
  <c r="AD75" i="1"/>
  <c r="B4" i="2"/>
  <c r="AL4" i="1"/>
  <c r="B15" i="2" s="1"/>
  <c r="B5" i="2"/>
  <c r="B6" i="2"/>
  <c r="B7" i="2"/>
  <c r="B8" i="2"/>
  <c r="B9" i="2"/>
  <c r="B10" i="2"/>
  <c r="B11" i="2"/>
  <c r="B12" i="2"/>
  <c r="B13" i="2"/>
  <c r="B14" i="2"/>
  <c r="B3" i="2"/>
  <c r="B6" i="1"/>
  <c r="AI6" i="1"/>
  <c r="AL6" i="1"/>
  <c r="AF6" i="1"/>
  <c r="AC6" i="1"/>
  <c r="Z6" i="1"/>
  <c r="W6" i="1"/>
  <c r="T6" i="1"/>
  <c r="Q6" i="1"/>
  <c r="N6" i="1"/>
  <c r="K6" i="1"/>
  <c r="H6" i="1"/>
  <c r="E6" i="1"/>
  <c r="S64" i="1" l="1"/>
  <c r="AE64" i="1"/>
  <c r="G5" i="2"/>
  <c r="R75" i="1"/>
  <c r="H15" i="2"/>
  <c r="AH64" i="1"/>
  <c r="M64" i="1"/>
  <c r="B64" i="1"/>
  <c r="AL53" i="1"/>
  <c r="AN53" i="1" s="1"/>
  <c r="AE53" i="1"/>
  <c r="D53" i="1"/>
  <c r="Y42" i="1"/>
  <c r="Y75" i="1" s="1"/>
  <c r="M42" i="1"/>
  <c r="AM31" i="1"/>
  <c r="AE31" i="1"/>
  <c r="S31" i="1"/>
  <c r="H75" i="1"/>
  <c r="H5" i="1" s="1"/>
  <c r="AL20" i="1"/>
  <c r="V20" i="1"/>
  <c r="AB9" i="1"/>
  <c r="G9" i="1"/>
  <c r="AN46" i="1"/>
  <c r="AI75" i="1"/>
  <c r="AI5" i="1" s="1"/>
  <c r="W75" i="1"/>
  <c r="W5" i="1" s="1"/>
  <c r="G7" i="2"/>
  <c r="H9" i="2"/>
  <c r="H6" i="2"/>
  <c r="AK64" i="1"/>
  <c r="J64" i="1"/>
  <c r="AB31" i="1"/>
  <c r="P31" i="1"/>
  <c r="K75" i="1"/>
  <c r="K5" i="1" s="1"/>
  <c r="AN27" i="1"/>
  <c r="N75" i="1"/>
  <c r="N5" i="1" s="1"/>
  <c r="AE9" i="1"/>
  <c r="AE75" i="1" s="1"/>
  <c r="D9" i="1"/>
  <c r="AN48" i="1"/>
  <c r="AN44" i="1"/>
  <c r="A58" i="2"/>
  <c r="A56" i="2"/>
  <c r="A54" i="2"/>
  <c r="G3" i="2"/>
  <c r="G6" i="2"/>
  <c r="AN71" i="1"/>
  <c r="Y64" i="1"/>
  <c r="P53" i="1"/>
  <c r="AK42" i="1"/>
  <c r="AL31" i="1"/>
  <c r="AL75" i="1" s="1"/>
  <c r="D31" i="1"/>
  <c r="D75" i="1" s="1"/>
  <c r="AH20" i="1"/>
  <c r="M20" i="1"/>
  <c r="S9" i="1"/>
  <c r="S75" i="1" s="1"/>
  <c r="G75" i="1"/>
  <c r="AK75" i="1"/>
  <c r="M75" i="1"/>
  <c r="AM20" i="1"/>
  <c r="C75" i="1"/>
  <c r="AJ75" i="1"/>
  <c r="X75" i="1"/>
  <c r="L75" i="1"/>
  <c r="F75" i="1"/>
  <c r="AN69" i="1"/>
  <c r="AN65" i="1"/>
  <c r="AB64" i="1"/>
  <c r="P64" i="1"/>
  <c r="D64" i="1"/>
  <c r="AH53" i="1"/>
  <c r="V53" i="1"/>
  <c r="J53" i="1"/>
  <c r="AL42" i="1"/>
  <c r="AN42" i="1" s="1"/>
  <c r="AB42" i="1"/>
  <c r="P42" i="1"/>
  <c r="AH31" i="1"/>
  <c r="V31" i="1"/>
  <c r="J31" i="1"/>
  <c r="AN21" i="1"/>
  <c r="D20" i="1"/>
  <c r="AH9" i="1"/>
  <c r="V9" i="1"/>
  <c r="AM64" i="1"/>
  <c r="G14" i="2"/>
  <c r="G13" i="2"/>
  <c r="D42" i="1"/>
  <c r="J9" i="1"/>
  <c r="AN9" i="1"/>
  <c r="AN17" i="1"/>
  <c r="AN15" i="1"/>
  <c r="AN13" i="1"/>
  <c r="AN11" i="1"/>
  <c r="G11" i="2"/>
  <c r="G9" i="2"/>
  <c r="G8" i="2"/>
  <c r="AN68" i="1"/>
  <c r="AN31" i="1"/>
  <c r="AN39" i="1"/>
  <c r="AN37" i="1"/>
  <c r="AN35" i="1"/>
  <c r="AN33" i="1"/>
  <c r="Q75" i="1"/>
  <c r="Q5" i="1" s="1"/>
  <c r="E75" i="1"/>
  <c r="E5" i="1" s="1"/>
  <c r="AM75" i="1"/>
  <c r="AL64" i="1"/>
  <c r="AN72" i="1"/>
  <c r="AN70" i="1"/>
  <c r="AN66" i="1"/>
  <c r="G15" i="2"/>
  <c r="G12" i="2"/>
  <c r="G4" i="2"/>
  <c r="AG75" i="1"/>
  <c r="U75" i="1"/>
  <c r="I75" i="1"/>
  <c r="AN61" i="1"/>
  <c r="AN59" i="1"/>
  <c r="AN57" i="1"/>
  <c r="AN55" i="1"/>
  <c r="AN20" i="1"/>
  <c r="AN28" i="1"/>
  <c r="AN26" i="1"/>
  <c r="AN24" i="1"/>
  <c r="AN22" i="1"/>
  <c r="AB20" i="1"/>
  <c r="AA75" i="1"/>
  <c r="P20" i="1"/>
  <c r="P75" i="1" s="1"/>
  <c r="O75" i="1"/>
  <c r="G10" i="2"/>
  <c r="H13" i="2"/>
  <c r="A61" i="2"/>
  <c r="F15" i="2"/>
  <c r="F3" i="2"/>
  <c r="F13" i="2"/>
  <c r="F9" i="2"/>
  <c r="F7" i="2"/>
  <c r="F5" i="2"/>
  <c r="F11" i="2"/>
  <c r="F14" i="2"/>
  <c r="F12" i="2"/>
  <c r="F10" i="2"/>
  <c r="F8" i="2"/>
  <c r="F6" i="2"/>
  <c r="F4" i="2"/>
  <c r="C60" i="2"/>
  <c r="B60" i="2"/>
  <c r="A59" i="2"/>
  <c r="A57" i="2"/>
  <c r="A55" i="2"/>
  <c r="A53" i="2"/>
  <c r="C58" i="2" l="1"/>
  <c r="B58" i="2"/>
  <c r="H7" i="2"/>
  <c r="H4" i="2"/>
  <c r="H10" i="2"/>
  <c r="AL5" i="1"/>
  <c r="V75" i="1"/>
  <c r="C56" i="2"/>
  <c r="B56" i="2"/>
  <c r="H14" i="2"/>
  <c r="H5" i="2"/>
  <c r="H3" i="2"/>
  <c r="H8" i="2"/>
  <c r="C54" i="2"/>
  <c r="B54" i="2"/>
  <c r="H12" i="2"/>
  <c r="H11" i="2"/>
  <c r="AB75" i="1"/>
  <c r="J75" i="1"/>
  <c r="AH75" i="1"/>
  <c r="AN64" i="1"/>
  <c r="B61" i="2"/>
  <c r="C61" i="2"/>
  <c r="AN75" i="1"/>
  <c r="B53" i="2"/>
  <c r="C53" i="2"/>
  <c r="B57" i="2"/>
  <c r="C57" i="2"/>
  <c r="B55" i="2"/>
  <c r="C55" i="2"/>
  <c r="B59" i="2"/>
  <c r="C59" i="2"/>
</calcChain>
</file>

<file path=xl/sharedStrings.xml><?xml version="1.0" encoding="utf-8"?>
<sst xmlns="http://schemas.openxmlformats.org/spreadsheetml/2006/main" count="157" uniqueCount="68">
  <si>
    <t>Pró-labore</t>
  </si>
  <si>
    <t>Benefícios</t>
  </si>
  <si>
    <t>Treinamentos</t>
  </si>
  <si>
    <t>Manutenção</t>
  </si>
  <si>
    <t>Planejado</t>
  </si>
  <si>
    <t>ORÇAMENTO</t>
  </si>
  <si>
    <t>DIFERENÇA (%)</t>
  </si>
  <si>
    <t>ORÇADO MENOS PLANEJADO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</si>
  <si>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</si>
  <si>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</si>
  <si>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</si>
  <si>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</si>
  <si>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</si>
  <si>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</si>
  <si>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</si>
  <si>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</si>
  <si>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</si>
  <si>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</si>
  <si>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</si>
  <si>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</si>
  <si>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</si>
  <si>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Realizado</t>
  </si>
  <si>
    <t>Dif.</t>
  </si>
  <si>
    <t>PRODUÇÃO/INDUSTRIAL</t>
  </si>
  <si>
    <t>COMERCIAL/VENDAS</t>
  </si>
  <si>
    <t>MARKETING e PUBLICIDADE</t>
  </si>
  <si>
    <t>DEPARTAMENTO PESSOAL</t>
  </si>
  <si>
    <t>ADMINISTRATIVO</t>
  </si>
  <si>
    <t>OUTROS</t>
  </si>
  <si>
    <t>Matéria-prima</t>
  </si>
  <si>
    <t>Mão-de-obra operação</t>
  </si>
  <si>
    <t>Material indireto</t>
  </si>
  <si>
    <t>Estoques de Matéria-prima</t>
  </si>
  <si>
    <t>Equipamentos</t>
  </si>
  <si>
    <t>Comissão de vendas</t>
  </si>
  <si>
    <t>Propaganda</t>
  </si>
  <si>
    <t>Endomarketing</t>
  </si>
  <si>
    <t>Plano de marketing</t>
  </si>
  <si>
    <t>Pesquisa de mercado</t>
  </si>
  <si>
    <t>Marketing virtual</t>
  </si>
  <si>
    <t xml:space="preserve">Outras despesas </t>
  </si>
  <si>
    <t>Material de escritório</t>
  </si>
  <si>
    <t>Mão-de-obra indireta</t>
  </si>
  <si>
    <t>Auxilio doença</t>
  </si>
  <si>
    <t xml:space="preserve">Programas de saúde </t>
  </si>
  <si>
    <t>Responsabilidade Social</t>
  </si>
  <si>
    <t>Outras despesas</t>
  </si>
  <si>
    <t>Transporte de produtos</t>
  </si>
  <si>
    <t>Transporte de resíduos</t>
  </si>
  <si>
    <t>Empréstimos bancários</t>
  </si>
  <si>
    <t>Energia</t>
  </si>
  <si>
    <t>Água</t>
  </si>
  <si>
    <t>Telefone</t>
  </si>
  <si>
    <t>Tarifas alfandegárias</t>
  </si>
  <si>
    <t>Comissão diretoria</t>
  </si>
  <si>
    <t>Reserva</t>
  </si>
  <si>
    <t>Internet</t>
  </si>
  <si>
    <t>Orçado</t>
  </si>
  <si>
    <t>Orçado (%)</t>
  </si>
  <si>
    <t>Planejado (%)</t>
  </si>
  <si>
    <t>Realizado (%)</t>
  </si>
  <si>
    <t>Selecione o mês:</t>
  </si>
  <si>
    <t>Selecione o setor:</t>
  </si>
  <si>
    <t>PLANEJADO</t>
  </si>
  <si>
    <t>REALIZADO</t>
  </si>
  <si>
    <r>
      <rPr>
        <b/>
        <i/>
        <sz val="18"/>
        <color theme="0"/>
        <rFont val="Calibri"/>
        <family val="2"/>
        <scheme val="minor"/>
      </rPr>
      <t>CONTROLE DE ORÇAMENTO E DESPESAS</t>
    </r>
    <r>
      <rPr>
        <i/>
        <sz val="16"/>
        <color theme="0"/>
        <rFont val="Calibri"/>
        <family val="2"/>
        <scheme val="minor"/>
      </rPr>
      <t xml:space="preserve"> - INÍCIO</t>
    </r>
  </si>
  <si>
    <r>
      <rPr>
        <b/>
        <i/>
        <sz val="18"/>
        <color theme="0"/>
        <rFont val="Calibri"/>
        <family val="2"/>
        <scheme val="minor"/>
      </rPr>
      <t>CONTROLE DE ORÇAMENTO E DESPESAS</t>
    </r>
    <r>
      <rPr>
        <i/>
        <sz val="16"/>
        <color theme="0"/>
        <rFont val="Calibri"/>
        <family val="2"/>
        <scheme val="minor"/>
      </rPr>
      <t xml:space="preserve"> - ORÇAMENTO</t>
    </r>
  </si>
  <si>
    <r>
      <rPr>
        <b/>
        <i/>
        <sz val="18"/>
        <color theme="0"/>
        <rFont val="Calibri"/>
        <family val="2"/>
        <scheme val="minor"/>
      </rPr>
      <t>CONTROLE DE ORÇAMENTO E DESPESAS</t>
    </r>
    <r>
      <rPr>
        <i/>
        <sz val="16"/>
        <color theme="0"/>
        <rFont val="Calibri"/>
        <family val="2"/>
        <scheme val="minor"/>
      </rPr>
      <t xml:space="preserve"> - GRÁFICOS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</si>
</sst>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164" formatCode="&quot;R$&quot;#,##0.00"/>
    <numFmt numFmtId="165" formatCode="0.0%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8080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  <border>
      <left style="medium">
        <color indexed="64"/>
      </left>
      <right/>
      <top/>
      <bottom style="dashed">
        <color theme="6" tint="-0.499984740745262"/>
      </bottom>
      <diagonal/>
    </border>
  </borders>
  <cellStyleXfs count="203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 vertical="center"/>
    </xf>
    <xf numFmtId="0" fontId="1" fillId="0" borderId="0" xfId="1" applyFill="1" applyBorder="1" applyAlignment="1">
      <alignment horizontal="center" vertical="center" wrapText="1"/>
    </xf>
    <xf numFmtId="164" fontId="6" fillId="3" borderId="4" xfId="1" applyNumberFormat="1" applyFont="1" applyFill="1" applyBorder="1" applyAlignment="1">
      <alignment horizontal="center" vertical="center"/>
    </xf>
    <xf numFmtId="164" fontId="6" fillId="5" borderId="4" xfId="1" applyNumberFormat="1" applyFont="1" applyFill="1" applyBorder="1" applyAlignment="1">
      <alignment horizontal="center" vertical="center"/>
    </xf>
    <xf numFmtId="164" fontId="6" fillId="4" borderId="4" xfId="1" applyNumberFormat="1" applyFont="1" applyFill="1" applyBorder="1" applyAlignment="1">
      <alignment horizontal="center" vertical="center"/>
    </xf>
    <xf numFmtId="0" fontId="6" fillId="3" borderId="4" xfId="1" applyNumberFormat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64" fontId="6" fillId="0" borderId="4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44" fontId="0" fillId="0" borderId="0" xfId="0" applyNumberFormat="1"/>
    <xf numFmtId="0" fontId="10" fillId="0" borderId="0" xfId="0" applyFont="1"/>
    <xf numFmtId="165" fontId="10" fillId="0" borderId="0" xfId="202" applyNumberFormat="1" applyFont="1"/>
    <xf numFmtId="0" fontId="0" fillId="0" borderId="5" xfId="0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Border="1" applyAlignment="1">
      <alignment horizontal="center" vertical="center"/>
    </xf>
    <xf numFmtId="44" fontId="10" fillId="0" borderId="0" xfId="201" applyFont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5" borderId="0" xfId="0" applyFill="1"/>
    <xf numFmtId="0" fontId="10" fillId="5" borderId="0" xfId="0" applyFont="1" applyFill="1"/>
    <xf numFmtId="44" fontId="10" fillId="5" borderId="0" xfId="201" applyFont="1" applyFill="1"/>
    <xf numFmtId="165" fontId="10" fillId="5" borderId="0" xfId="202" applyNumberFormat="1" applyFont="1" applyFill="1"/>
    <xf numFmtId="0" fontId="0" fillId="5" borderId="0" xfId="0" applyFill="1" applyAlignment="1">
      <alignment horizontal="center"/>
    </xf>
    <xf numFmtId="0" fontId="1" fillId="5" borderId="0" xfId="1" applyFill="1"/>
    <xf numFmtId="0" fontId="0" fillId="5" borderId="0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2" fillId="3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8" fillId="5" borderId="0" xfId="1" applyFont="1" applyFill="1" applyBorder="1" applyAlignment="1">
      <alignment horizontal="center" vertical="center"/>
    </xf>
    <xf numFmtId="0" fontId="0" fillId="5" borderId="0" xfId="0" applyFill="1" applyBorder="1"/>
    <xf numFmtId="0" fontId="2" fillId="8" borderId="3" xfId="1" applyFont="1" applyFill="1" applyBorder="1" applyAlignment="1">
      <alignment horizontal="center" vertical="center" wrapText="1"/>
    </xf>
    <xf numFmtId="0" fontId="8" fillId="3" borderId="0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17" fillId="9" borderId="10" xfId="0" applyFont="1" applyFill="1" applyBorder="1" applyAlignment="1">
      <alignment vertical="center"/>
    </xf>
    <xf numFmtId="0" fontId="10" fillId="9" borderId="11" xfId="0" applyFont="1" applyFill="1" applyBorder="1"/>
    <xf numFmtId="0" fontId="14" fillId="9" borderId="8" xfId="0" applyFont="1" applyFill="1" applyBorder="1" applyAlignment="1">
      <alignment vertical="center"/>
    </xf>
    <xf numFmtId="0" fontId="14" fillId="9" borderId="9" xfId="0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/>
    </xf>
    <xf numFmtId="164" fontId="7" fillId="0" borderId="3" xfId="1" applyNumberFormat="1" applyFont="1" applyFill="1" applyBorder="1" applyAlignment="1">
      <alignment horizontal="center" vertical="center"/>
    </xf>
    <xf numFmtId="164" fontId="13" fillId="2" borderId="1" xfId="1" applyNumberFormat="1" applyFont="1" applyFill="1" applyBorder="1" applyAlignment="1">
      <alignment horizontal="center" vertical="center"/>
    </xf>
    <xf numFmtId="164" fontId="13" fillId="2" borderId="0" xfId="1" applyNumberFormat="1" applyFont="1" applyFill="1" applyBorder="1" applyAlignment="1">
      <alignment horizontal="center" vertical="center"/>
    </xf>
    <xf numFmtId="164" fontId="13" fillId="2" borderId="2" xfId="1" applyNumberFormat="1" applyFont="1" applyFill="1" applyBorder="1" applyAlignment="1">
      <alignment horizontal="center" vertical="center"/>
    </xf>
    <xf numFmtId="164" fontId="7" fillId="4" borderId="1" xfId="1" applyNumberFormat="1" applyFont="1" applyFill="1" applyBorder="1" applyAlignment="1">
      <alignment horizontal="center" vertical="center"/>
    </xf>
    <xf numFmtId="164" fontId="7" fillId="4" borderId="0" xfId="1" applyNumberFormat="1" applyFont="1" applyFill="1" applyBorder="1" applyAlignment="1">
      <alignment horizontal="center" vertical="center"/>
    </xf>
    <xf numFmtId="164" fontId="7" fillId="4" borderId="2" xfId="1" applyNumberFormat="1" applyFont="1" applyFill="1" applyBorder="1" applyAlignment="1">
      <alignment horizontal="center" vertical="center"/>
    </xf>
    <xf numFmtId="165" fontId="7" fillId="5" borderId="3" xfId="72" applyNumberFormat="1" applyFont="1" applyFill="1" applyBorder="1" applyAlignment="1">
      <alignment horizontal="center" vertical="center"/>
    </xf>
    <xf numFmtId="9" fontId="7" fillId="5" borderId="3" xfId="72" applyNumberFormat="1" applyFont="1" applyFill="1" applyBorder="1" applyAlignment="1">
      <alignment horizontal="center" vertical="center"/>
    </xf>
    <xf numFmtId="0" fontId="14" fillId="9" borderId="12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0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14" fillId="9" borderId="7" xfId="0" applyFont="1" applyFill="1" applyBorder="1" applyAlignment="1">
      <alignment horizontal="center" vertical="center"/>
    </xf>
    <xf numFmtId="0" fontId="14" fillId="9" borderId="8" xfId="0" applyFont="1" applyFill="1" applyBorder="1" applyAlignment="1">
      <alignment horizontal="center" vertical="center"/>
    </xf>
  </cellXfs>
  <cellStyles count="203">
    <cellStyle name="Hiperlink" xfId="2" builtinId="8" hidden="1"/>
    <cellStyle name="Hiperlink" xfId="4" builtinId="8" hidden="1"/>
    <cellStyle name="Hiperlink" xfId="6" builtinId="8" hidden="1"/>
    <cellStyle name="Hiperlink" xfId="8" builtinId="8" hidden="1"/>
    <cellStyle name="Hiperlink" xfId="10" builtinId="8" hidden="1"/>
    <cellStyle name="Hiperlink" xfId="12" builtinId="8" hidden="1"/>
    <cellStyle name="Hiperlink" xfId="14" builtinId="8" hidden="1"/>
    <cellStyle name="Hiperlink" xfId="16" builtinId="8" hidden="1"/>
    <cellStyle name="Hiperlink" xfId="18" builtinId="8" hidden="1"/>
    <cellStyle name="Hiperlink" xfId="20" builtinId="8" hidden="1"/>
    <cellStyle name="Hiperlink" xfId="22" builtinId="8" hidden="1"/>
    <cellStyle name="Hiperlink" xfId="24" builtinId="8" hidden="1"/>
    <cellStyle name="Hiperlink" xfId="26" builtinId="8" hidden="1"/>
    <cellStyle name="Hiperlink" xfId="28" builtinId="8" hidden="1"/>
    <cellStyle name="Hiperlink" xfId="30" builtinId="8" hidden="1"/>
    <cellStyle name="Hiperlink" xfId="32" builtinId="8" hidden="1"/>
    <cellStyle name="Hiperlink" xfId="34" builtinId="8" hidden="1"/>
    <cellStyle name="Hiperlink" xfId="36" builtinId="8" hidden="1"/>
    <cellStyle name="Hiperlink" xfId="38" builtinId="8" hidden="1"/>
    <cellStyle name="Hiperlink" xfId="40" builtinId="8" hidden="1"/>
    <cellStyle name="Hiperlink" xfId="42" builtinId="8" hidden="1"/>
    <cellStyle name="Hiperlink" xfId="44" builtinId="8" hidden="1"/>
    <cellStyle name="Hiperlink" xfId="46" builtinId="8" hidden="1"/>
    <cellStyle name="Hiperlink" xfId="48" builtinId="8" hidden="1"/>
    <cellStyle name="Hiperlink" xfId="50" builtinId="8" hidden="1"/>
    <cellStyle name="Hiperlink" xfId="52" builtinId="8" hidden="1"/>
    <cellStyle name="Hiperlink" xfId="54" builtinId="8" hidden="1"/>
    <cellStyle name="Hiperlink" xfId="56" builtinId="8" hidden="1"/>
    <cellStyle name="Hiperlink" xfId="58" builtinId="8" hidden="1"/>
    <cellStyle name="Hiperlink" xfId="60" builtinId="8" hidden="1"/>
    <cellStyle name="Hiperlink" xfId="62" builtinId="8" hidden="1"/>
    <cellStyle name="Hiperlink" xfId="64" builtinId="8" hidden="1"/>
    <cellStyle name="Hiperlink" xfId="66" builtinId="8" hidden="1"/>
    <cellStyle name="Hiperlink" xfId="68" builtinId="8" hidden="1"/>
    <cellStyle name="Hiperlink" xfId="70" builtinId="8" hidden="1"/>
    <cellStyle name="Hiperlink" xfId="73" builtinId="8" hidden="1"/>
    <cellStyle name="Hiperlink" xfId="75" builtinId="8" hidden="1"/>
    <cellStyle name="Hiperlink" xfId="77" builtinId="8" hidden="1"/>
    <cellStyle name="Hiperlink" xfId="79" builtinId="8" hidden="1"/>
    <cellStyle name="Hiperlink" xfId="81" builtinId="8" hidden="1"/>
    <cellStyle name="Hiperlink" xfId="83" builtinId="8" hidden="1"/>
    <cellStyle name="Hiperlink" xfId="85" builtinId="8" hidden="1"/>
    <cellStyle name="Hiperlink" xfId="87" builtinId="8" hidden="1"/>
    <cellStyle name="Hiperlink" xfId="89" builtinId="8" hidden="1"/>
    <cellStyle name="Hiperlink" xfId="91" builtinId="8" hidden="1"/>
    <cellStyle name="Hiperlink" xfId="93" builtinId="8" hidden="1"/>
    <cellStyle name="Hiperlink" xfId="95" builtinId="8" hidden="1"/>
    <cellStyle name="Hiperlink" xfId="97" builtinId="8" hidden="1"/>
    <cellStyle name="Hiperlink" xfId="99" builtinId="8" hidden="1"/>
    <cellStyle name="Hiperlink" xfId="101" builtinId="8" hidden="1"/>
    <cellStyle name="Hiperlink" xfId="103" builtinId="8" hidden="1"/>
    <cellStyle name="Hiperlink" xfId="105" builtinId="8" hidden="1"/>
    <cellStyle name="Hiperlink" xfId="107" builtinId="8" hidden="1"/>
    <cellStyle name="Hiperlink" xfId="109" builtinId="8" hidden="1"/>
    <cellStyle name="Hiperlink" xfId="111" builtinId="8" hidden="1"/>
    <cellStyle name="Hiperlink" xfId="113" builtinId="8" hidden="1"/>
    <cellStyle name="Hiperlink" xfId="115" builtinId="8" hidden="1"/>
    <cellStyle name="Hiperlink" xfId="117" builtinId="8" hidden="1"/>
    <cellStyle name="Hiperlink" xfId="119" builtinId="8" hidden="1"/>
    <cellStyle name="Hiperlink" xfId="121" builtinId="8" hidden="1"/>
    <cellStyle name="Hiperlink" xfId="123" builtinId="8" hidden="1"/>
    <cellStyle name="Hiperlink" xfId="125" builtinId="8" hidden="1"/>
    <cellStyle name="Hiperlink" xfId="127" builtinId="8" hidden="1"/>
    <cellStyle name="Hiperlink" xfId="129" builtinId="8" hidden="1"/>
    <cellStyle name="Hiperlink" xfId="131" builtinId="8" hidden="1"/>
    <cellStyle name="Hiperlink" xfId="133" builtinId="8" hidden="1"/>
    <cellStyle name="Hiperlink" xfId="135" builtinId="8" hidden="1"/>
    <cellStyle name="Hiperlink" xfId="137" builtinId="8" hidden="1"/>
    <cellStyle name="Hiperlink" xfId="139" builtinId="8" hidden="1"/>
    <cellStyle name="Hiperlink" xfId="141" builtinId="8" hidden="1"/>
    <cellStyle name="Hiperlink" xfId="143" builtinId="8" hidden="1"/>
    <cellStyle name="Hiperlink" xfId="145" builtinId="8" hidden="1"/>
    <cellStyle name="Hiperlink" xfId="147" builtinId="8" hidden="1"/>
    <cellStyle name="Hiperlink" xfId="149" builtinId="8" hidden="1"/>
    <cellStyle name="Hiperlink" xfId="151" builtinId="8" hidden="1"/>
    <cellStyle name="Hiperlink" xfId="153" builtinId="8" hidden="1"/>
    <cellStyle name="Hiperlink" xfId="155" builtinId="8" hidden="1"/>
    <cellStyle name="Hiperlink" xfId="157" builtinId="8" hidden="1"/>
    <cellStyle name="Hiperlink" xfId="159" builtinId="8" hidden="1"/>
    <cellStyle name="Hiperlink" xfId="161" builtinId="8" hidden="1"/>
    <cellStyle name="Hiperlink" xfId="163" builtinId="8" hidden="1"/>
    <cellStyle name="Hiperlink" xfId="165" builtinId="8" hidden="1"/>
    <cellStyle name="Hiperlink" xfId="167" builtinId="8" hidden="1"/>
    <cellStyle name="Hiperlink" xfId="169" builtinId="8" hidden="1"/>
    <cellStyle name="Hiperlink" xfId="171" builtinId="8" hidden="1"/>
    <cellStyle name="Hiperlink" xfId="173" builtinId="8" hidden="1"/>
    <cellStyle name="Hiperlink" xfId="175" builtinId="8" hidden="1"/>
    <cellStyle name="Hiperlink" xfId="177" builtinId="8" hidden="1"/>
    <cellStyle name="Hiperlink" xfId="179" builtinId="8" hidden="1"/>
    <cellStyle name="Hiperlink" xfId="181" builtinId="8" hidden="1"/>
    <cellStyle name="Hiperlink" xfId="183" builtinId="8" hidden="1"/>
    <cellStyle name="Hiperlink" xfId="185" builtinId="8" hidden="1"/>
    <cellStyle name="Hiperlink" xfId="187" builtinId="8" hidden="1"/>
    <cellStyle name="Hiperlink" xfId="189" builtinId="8" hidden="1"/>
    <cellStyle name="Hiperlink" xfId="191" builtinId="8" hidden="1"/>
    <cellStyle name="Hiperlink" xfId="193" builtinId="8" hidden="1"/>
    <cellStyle name="Hiperlink" xfId="195" builtinId="8" hidden="1"/>
    <cellStyle name="Hiperlink" xfId="197" builtinId="8" hidden="1"/>
    <cellStyle name="Hiperlink" xfId="199" builtinId="8" hidden="1"/>
    <cellStyle name="Hiperlink Visitado" xfId="3" builtinId="9" hidden="1"/>
    <cellStyle name="Hiperlink Visitado" xfId="5" builtinId="9" hidden="1"/>
    <cellStyle name="Hiperlink Visitado" xfId="7" builtinId="9" hidden="1"/>
    <cellStyle name="Hiperlink Visitado" xfId="9" builtinId="9" hidden="1"/>
    <cellStyle name="Hiperlink Visitado" xfId="11" builtinId="9" hidden="1"/>
    <cellStyle name="Hiperlink Visitado" xfId="13" builtinId="9" hidden="1"/>
    <cellStyle name="Hiperlink Visitado" xfId="15" builtinId="9" hidden="1"/>
    <cellStyle name="Hiperlink Visitado" xfId="17" builtinId="9" hidden="1"/>
    <cellStyle name="Hiperlink Visitado" xfId="19" builtinId="9" hidden="1"/>
    <cellStyle name="Hiperlink Visitado" xfId="21" builtinId="9" hidden="1"/>
    <cellStyle name="Hiperlink Visitado" xfId="23" builtinId="9" hidden="1"/>
    <cellStyle name="Hiperlink Visitado" xfId="25" builtinId="9" hidden="1"/>
    <cellStyle name="Hiperlink Visitado" xfId="27" builtinId="9" hidden="1"/>
    <cellStyle name="Hiperlink Visitado" xfId="29" builtinId="9" hidden="1"/>
    <cellStyle name="Hiperlink Visitado" xfId="31" builtinId="9" hidden="1"/>
    <cellStyle name="Hiperlink Visitado" xfId="33" builtinId="9" hidden="1"/>
    <cellStyle name="Hiperlink Visitado" xfId="35" builtinId="9" hidden="1"/>
    <cellStyle name="Hiperlink Visitado" xfId="37" builtinId="9" hidden="1"/>
    <cellStyle name="Hiperlink Visitado" xfId="39" builtinId="9" hidden="1"/>
    <cellStyle name="Hiperlink Visitado" xfId="41" builtinId="9" hidden="1"/>
    <cellStyle name="Hiperlink Visitado" xfId="43" builtinId="9" hidden="1"/>
    <cellStyle name="Hiperlink Visitado" xfId="45" builtinId="9" hidden="1"/>
    <cellStyle name="Hiperlink Visitado" xfId="47" builtinId="9" hidden="1"/>
    <cellStyle name="Hiperlink Visitado" xfId="49" builtinId="9" hidden="1"/>
    <cellStyle name="Hiperlink Visitado" xfId="51" builtinId="9" hidden="1"/>
    <cellStyle name="Hiperlink Visitado" xfId="53" builtinId="9" hidden="1"/>
    <cellStyle name="Hiperlink Visitado" xfId="55" builtinId="9" hidden="1"/>
    <cellStyle name="Hiperlink Visitado" xfId="57" builtinId="9" hidden="1"/>
    <cellStyle name="Hiperlink Visitado" xfId="59" builtinId="9" hidden="1"/>
    <cellStyle name="Hiperlink Visitado" xfId="61" builtinId="9" hidden="1"/>
    <cellStyle name="Hiperlink Visitado" xfId="63" builtinId="9" hidden="1"/>
    <cellStyle name="Hiperlink Visitado" xfId="65" builtinId="9" hidden="1"/>
    <cellStyle name="Hiperlink Visitado" xfId="67" builtinId="9" hidden="1"/>
    <cellStyle name="Hiperlink Visitado" xfId="69" builtinId="9" hidden="1"/>
    <cellStyle name="Hiperlink Visitado" xfId="71" builtinId="9" hidden="1"/>
    <cellStyle name="Hiperlink Visitado" xfId="74" builtinId="9" hidden="1"/>
    <cellStyle name="Hiperlink Visitado" xfId="76" builtinId="9" hidden="1"/>
    <cellStyle name="Hiperlink Visitado" xfId="78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6" builtinId="9" hidden="1"/>
    <cellStyle name="Hiperlink Visitado" xfId="88" builtinId="9" hidden="1"/>
    <cellStyle name="Hiperlink Visitado" xfId="90" builtinId="9" hidden="1"/>
    <cellStyle name="Hiperlink Visitado" xfId="92" builtinId="9" hidden="1"/>
    <cellStyle name="Hiperlink Visitado" xfId="94" builtinId="9" hidden="1"/>
    <cellStyle name="Hiperlink Visitado" xfId="96" builtinId="9" hidden="1"/>
    <cellStyle name="Hiperlink Visitado" xfId="98" builtinId="9" hidden="1"/>
    <cellStyle name="Hiperlink Visitado" xfId="100" builtinId="9" hidden="1"/>
    <cellStyle name="Hiperlink Visitado" xfId="102" builtinId="9" hidden="1"/>
    <cellStyle name="Hiperlink Visitado" xfId="104" builtinId="9" hidden="1"/>
    <cellStyle name="Hiperlink Visitado" xfId="106" builtinId="9" hidden="1"/>
    <cellStyle name="Hiperlink Visitado" xfId="108" builtinId="9" hidden="1"/>
    <cellStyle name="Hiperlink Visitado" xfId="110" builtinId="9" hidden="1"/>
    <cellStyle name="Hiperlink Visitado" xfId="112" builtinId="9" hidden="1"/>
    <cellStyle name="Hiperlink Visitado" xfId="114" builtinId="9" hidden="1"/>
    <cellStyle name="Hiperlink Visitado" xfId="116" builtinId="9" hidden="1"/>
    <cellStyle name="Hiperlink Visitado" xfId="118" builtinId="9" hidden="1"/>
    <cellStyle name="Hiperlink Visitado" xfId="120" builtinId="9" hidden="1"/>
    <cellStyle name="Hiperlink Visitado" xfId="122" builtinId="9" hidden="1"/>
    <cellStyle name="Hiperlink Visitado" xfId="124" builtinId="9" hidden="1"/>
    <cellStyle name="Hiperlink Visitado" xfId="126" builtinId="9" hidden="1"/>
    <cellStyle name="Hiperlink Visitado" xfId="128" builtinId="9" hidden="1"/>
    <cellStyle name="Hiperlink Visitado" xfId="130" builtinId="9" hidden="1"/>
    <cellStyle name="Hiperlink Visitado" xfId="132" builtinId="9" hidden="1"/>
    <cellStyle name="Hiperlink Visitado" xfId="134" builtinId="9" hidden="1"/>
    <cellStyle name="Hiperlink Visitado" xfId="136" builtinId="9" hidden="1"/>
    <cellStyle name="Hiperlink Visitado" xfId="138" builtinId="9" hidden="1"/>
    <cellStyle name="Hiperlink Visitado" xfId="140" builtinId="9" hidden="1"/>
    <cellStyle name="Hiperlink Visitado" xfId="142" builtinId="9" hidden="1"/>
    <cellStyle name="Hiperlink Visitado" xfId="144" builtinId="9" hidden="1"/>
    <cellStyle name="Hiperlink Visitado" xfId="146" builtinId="9" hidden="1"/>
    <cellStyle name="Hiperlink Visitado" xfId="148" builtinId="9" hidden="1"/>
    <cellStyle name="Hiperlink Visitado" xfId="150" builtinId="9" hidden="1"/>
    <cellStyle name="Hiperlink Visitado" xfId="152" builtinId="9" hidden="1"/>
    <cellStyle name="Hiperlink Visitado" xfId="154" builtinId="9" hidden="1"/>
    <cellStyle name="Hiperlink Visitado" xfId="156" builtinId="9" hidden="1"/>
    <cellStyle name="Hiperlink Visitado" xfId="158" builtinId="9" hidden="1"/>
    <cellStyle name="Hiperlink Visitado" xfId="160" builtinId="9" hidden="1"/>
    <cellStyle name="Hiperlink Visitado" xfId="162" builtinId="9" hidden="1"/>
    <cellStyle name="Hiperlink Visitado" xfId="164" builtinId="9" hidden="1"/>
    <cellStyle name="Hiperlink Visitado" xfId="166" builtinId="9" hidden="1"/>
    <cellStyle name="Hiperlink Visitado" xfId="168" builtinId="9" hidden="1"/>
    <cellStyle name="Hiperlink Visitado" xfId="170" builtinId="9" hidden="1"/>
    <cellStyle name="Hiperlink Visitado" xfId="172" builtinId="9" hidden="1"/>
    <cellStyle name="Hiperlink Visitado" xfId="174" builtinId="9" hidden="1"/>
    <cellStyle name="Hiperlink Visitado" xfId="176" builtinId="9" hidden="1"/>
    <cellStyle name="Hiperlink Visitado" xfId="178" builtinId="9" hidden="1"/>
    <cellStyle name="Hiperlink Visitado" xfId="180" builtinId="9" hidden="1"/>
    <cellStyle name="Hiperlink Visitado" xfId="182" builtinId="9" hidden="1"/>
    <cellStyle name="Hiperlink Visitado" xfId="184" builtinId="9" hidden="1"/>
    <cellStyle name="Hiperlink Visitado" xfId="186" builtinId="9" hidden="1"/>
    <cellStyle name="Hiperlink Visitado" xfId="188" builtinId="9" hidden="1"/>
    <cellStyle name="Hiperlink Visitado" xfId="190" builtinId="9" hidden="1"/>
    <cellStyle name="Hiperlink Visitado" xfId="192" builtinId="9" hidden="1"/>
    <cellStyle name="Hiperlink Visitado" xfId="194" builtinId="9" hidden="1"/>
    <cellStyle name="Hiperlink Visitado" xfId="196" builtinId="9" hidden="1"/>
    <cellStyle name="Hiperlink Visitado" xfId="198" builtinId="9" hidden="1"/>
    <cellStyle name="Hiperlink Visitado" xfId="200" builtinId="9" hidden="1"/>
    <cellStyle name="Moeda" xfId="201" builtinId="4"/>
    <cellStyle name="Normal" xfId="0" builtinId="0"/>
    <cellStyle name="Normal 2" xfId="1"/>
    <cellStyle name="Porcentagem" xfId="202" builtinId="5"/>
    <cellStyle name="Porcentagem 2" xfId="72"/>
  </cellStyles>
  <dxfs count="4"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rgb="FFFF0000"/>
      </font>
    </dxf>
    <dxf>
      <font>
        <b/>
        <i val="0"/>
        <color theme="4" tint="-0.24994659260841701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Orçado x Planejado x Realizado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Gráficos!$C$2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Gráficos!$A$3:$A$15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</c:v>
                </c:pt>
              </c:strCache>
            </c:strRef>
          </c:cat>
          <c:val>
            <c:numRef>
              <c:f>Gráficos!$C$3:$C$15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strRef>
              <c:f>Gráficos!$D$2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Gráficos!$A$3:$A$15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</c:v>
                </c:pt>
              </c:strCache>
            </c:strRef>
          </c:cat>
          <c:val>
            <c:numRef>
              <c:f>Gráficos!$D$3:$D$15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75670656"/>
        <c:axId val="275671216"/>
      </c:barChart>
      <c:lineChart>
        <c:grouping val="standard"/>
        <c:varyColors val="0"/>
        <c:ser>
          <c:idx val="0"/>
          <c:order val="0"/>
          <c:tx>
            <c:strRef>
              <c:f>Gráficos!$B$2</c:f>
              <c:strCache>
                <c:ptCount val="1"/>
                <c:pt idx="0">
                  <c:v>Orçado</c:v>
                </c:pt>
              </c:strCache>
            </c:strRef>
          </c:tx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Gráficos!$A$3:$A$15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</c:v>
                </c:pt>
              </c:strCache>
            </c:strRef>
          </c:cat>
          <c:val>
            <c:numRef>
              <c:f>Gráficos!$B$3:$B$15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670656"/>
        <c:axId val="275671216"/>
      </c:lineChart>
      <c:catAx>
        <c:axId val="2756706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75671216"/>
        <c:crosses val="autoZero"/>
        <c:auto val="1"/>
        <c:lblAlgn val="ctr"/>
        <c:lblOffset val="100"/>
        <c:noMultiLvlLbl val="0"/>
      </c:catAx>
      <c:valAx>
        <c:axId val="27567121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one"/>
        <c:crossAx val="27567065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4575359848648707"/>
          <c:y val="0.93464679487179492"/>
          <c:w val="0.20010294737671808"/>
          <c:h val="5.4505232339016468E-2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25" footer="0.3149606200000002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Planejado</a:t>
            </a:r>
            <a:r>
              <a:rPr lang="pt-BR" baseline="0"/>
              <a:t> x Realizado Total por setor</a:t>
            </a:r>
            <a:endParaRPr lang="pt-BR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Planejado</c:v>
          </c:tx>
          <c:spPr>
            <a:solidFill>
              <a:schemeClr val="accent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(Orçamento!$A$9,Orçamento!$A$20,Orçamento!$A$31,Orçamento!$A$42,Orçamento!$A$53,Orçamento!$A$64,Orçamento!$A$75)</c:f>
              <c:strCache>
                <c:ptCount val="7"/>
                <c:pt idx="0">
                  <c:v>PRODUÇÃO/INDUSTRIAL</c:v>
                </c:pt>
                <c:pt idx="1">
                  <c:v>COMERCIAL/VENDAS</c:v>
                </c:pt>
                <c:pt idx="2">
                  <c:v>MARKETING e PUBLICIDADE</c:v>
                </c:pt>
                <c:pt idx="3">
                  <c:v>DEPARTAMENTO PESSOAL</c:v>
                </c:pt>
                <c:pt idx="4">
                  <c:v>ADMINISTRATIVO</c:v>
                </c:pt>
                <c:pt idx="5">
                  <c:v>OUTROS</c:v>
                </c:pt>
                <c:pt idx="6">
                  <c:v>TOTAL</c:v>
                </c:pt>
              </c:strCache>
            </c:strRef>
          </c:cat>
          <c:val>
            <c:numRef>
              <c:f>(Orçamento!$AL$9,Orçamento!$AL$20,Orçamento!$AL$31,Orçamento!$AL$42,Orçamento!$AL$53,Orçamento!$AL$64,Orçamento!$AL$75)</c:f>
              <c:numCache>
                <c:formatCode>"R$"#,##0.00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v>Realizado</c:v>
          </c:tx>
          <c:spPr>
            <a:solidFill>
              <a:srgbClr val="4F81BD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(Orçamento!$A$9,Orçamento!$A$20,Orçamento!$A$31,Orçamento!$A$42,Orçamento!$A$53,Orçamento!$A$64,Orçamento!$A$75)</c:f>
              <c:strCache>
                <c:ptCount val="7"/>
                <c:pt idx="0">
                  <c:v>PRODUÇÃO/INDUSTRIAL</c:v>
                </c:pt>
                <c:pt idx="1">
                  <c:v>COMERCIAL/VENDAS</c:v>
                </c:pt>
                <c:pt idx="2">
                  <c:v>MARKETING e PUBLICIDADE</c:v>
                </c:pt>
                <c:pt idx="3">
                  <c:v>DEPARTAMENTO PESSOAL</c:v>
                </c:pt>
                <c:pt idx="4">
                  <c:v>ADMINISTRATIVO</c:v>
                </c:pt>
                <c:pt idx="5">
                  <c:v>OUTROS</c:v>
                </c:pt>
                <c:pt idx="6">
                  <c:v>TOTAL</c:v>
                </c:pt>
              </c:strCache>
            </c:strRef>
          </c:cat>
          <c:val>
            <c:numRef>
              <c:f>(Orçamento!$AM$9,Orçamento!$AM$20,Orçamento!$AM$31,Orçamento!$AM$42,Orçamento!$AM$53,Orçamento!$AM$64,Orçamento!$AM$75)</c:f>
              <c:numCache>
                <c:formatCode>"R$"#,##0.00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276948080"/>
        <c:axId val="276948640"/>
        <c:axId val="0"/>
      </c:bar3DChart>
      <c:catAx>
        <c:axId val="2769480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76948640"/>
        <c:crosses val="autoZero"/>
        <c:auto val="1"/>
        <c:lblAlgn val="ctr"/>
        <c:lblOffset val="100"/>
        <c:noMultiLvlLbl val="0"/>
      </c:catAx>
      <c:valAx>
        <c:axId val="276948640"/>
        <c:scaling>
          <c:orientation val="minMax"/>
        </c:scaling>
        <c:delete val="1"/>
        <c:axPos val="l"/>
        <c:numFmt formatCode="&quot;R$&quot;#,##0.00" sourceLinked="1"/>
        <c:majorTickMark val="none"/>
        <c:minorTickMark val="none"/>
        <c:tickLblPos val="none"/>
        <c:crossAx val="27694808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Dados</a:t>
            </a:r>
            <a:r>
              <a:rPr lang="pt-BR" baseline="0"/>
              <a:t> de despesa por mês/setor</a:t>
            </a:r>
            <a:endParaRPr lang="pt-BR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1"/>
          <c:order val="0"/>
          <c:tx>
            <c:strRef>
              <c:f>Gráficos!$B$52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Gráficos!$A$53:$A$61</c:f>
              <c:strCache>
                <c:ptCount val="9"/>
                <c:pt idx="0">
                  <c:v>Pró-labore</c:v>
                </c:pt>
                <c:pt idx="1">
                  <c:v>Auxilio doença</c:v>
                </c:pt>
                <c:pt idx="2">
                  <c:v>Benefícios</c:v>
                </c:pt>
                <c:pt idx="3">
                  <c:v>Treinamentos</c:v>
                </c:pt>
                <c:pt idx="4">
                  <c:v>Programas de saúde </c:v>
                </c:pt>
                <c:pt idx="5">
                  <c:v>Responsabilidade Social</c:v>
                </c:pt>
                <c:pt idx="6">
                  <c:v>Outras despesas</c:v>
                </c:pt>
                <c:pt idx="7">
                  <c:v>0</c:v>
                </c:pt>
                <c:pt idx="8">
                  <c:v>0</c:v>
                </c:pt>
              </c:strCache>
            </c:strRef>
          </c:cat>
          <c:val>
            <c:numRef>
              <c:f>Gráficos!$B$53:$B$61</c:f>
              <c:numCache>
                <c:formatCode>_("R$"* #,##0.00_);_("R$"* \(#,##0.00\);_("R$"*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</c:ser>
        <c:ser>
          <c:idx val="2"/>
          <c:order val="1"/>
          <c:tx>
            <c:strRef>
              <c:f>Gráficos!$C$52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Gráficos!$A$53:$A$61</c:f>
              <c:strCache>
                <c:ptCount val="9"/>
                <c:pt idx="0">
                  <c:v>Pró-labore</c:v>
                </c:pt>
                <c:pt idx="1">
                  <c:v>Auxilio doença</c:v>
                </c:pt>
                <c:pt idx="2">
                  <c:v>Benefícios</c:v>
                </c:pt>
                <c:pt idx="3">
                  <c:v>Treinamentos</c:v>
                </c:pt>
                <c:pt idx="4">
                  <c:v>Programas de saúde </c:v>
                </c:pt>
                <c:pt idx="5">
                  <c:v>Responsabilidade Social</c:v>
                </c:pt>
                <c:pt idx="6">
                  <c:v>Outras despesas</c:v>
                </c:pt>
                <c:pt idx="7">
                  <c:v>0</c:v>
                </c:pt>
                <c:pt idx="8">
                  <c:v>0</c:v>
                </c:pt>
              </c:strCache>
            </c:strRef>
          </c:cat>
          <c:val>
            <c:numRef>
              <c:f>Gráficos!$C$53:$C$61</c:f>
              <c:numCache>
                <c:formatCode>_("R$"* #,##0.00_);_("R$"* \(#,##0.00\);_("R$"*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276951440"/>
        <c:axId val="276952000"/>
        <c:axId val="0"/>
      </c:bar3DChart>
      <c:catAx>
        <c:axId val="27695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76952000"/>
        <c:crosses val="autoZero"/>
        <c:auto val="1"/>
        <c:lblAlgn val="ctr"/>
        <c:lblOffset val="100"/>
        <c:noMultiLvlLbl val="0"/>
      </c:catAx>
      <c:valAx>
        <c:axId val="276952000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one"/>
        <c:crossAx val="276951440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Orçado x Planejado x Realizado (%)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Gráficos!$G$2</c:f>
              <c:strCache>
                <c:ptCount val="1"/>
                <c:pt idx="0">
                  <c:v>Planejado (%)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Gráficos!$E$3:$E$15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</c:v>
                </c:pt>
              </c:strCache>
            </c:strRef>
          </c:cat>
          <c:val>
            <c:numRef>
              <c:f>Gráficos!$G$3:$G$15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strRef>
              <c:f>Gráficos!$H$2</c:f>
              <c:strCache>
                <c:ptCount val="1"/>
                <c:pt idx="0">
                  <c:v>Realizado (%)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Gráficos!$E$3:$E$15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</c:v>
                </c:pt>
              </c:strCache>
            </c:strRef>
          </c:cat>
          <c:val>
            <c:numRef>
              <c:f>Gráficos!$H$3:$H$15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77727472"/>
        <c:axId val="277728032"/>
      </c:barChart>
      <c:lineChart>
        <c:grouping val="standard"/>
        <c:varyColors val="0"/>
        <c:ser>
          <c:idx val="0"/>
          <c:order val="0"/>
          <c:tx>
            <c:strRef>
              <c:f>Gráficos!$F$2</c:f>
              <c:strCache>
                <c:ptCount val="1"/>
                <c:pt idx="0">
                  <c:v>Orçado (%)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Gráficos!$E$3:$E$15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</c:v>
                </c:pt>
              </c:strCache>
            </c:strRef>
          </c:cat>
          <c:val>
            <c:numRef>
              <c:f>Gráficos!$F$3:$F$15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727472"/>
        <c:axId val="277728032"/>
      </c:lineChart>
      <c:catAx>
        <c:axId val="2777274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77728032"/>
        <c:crosses val="autoZero"/>
        <c:auto val="1"/>
        <c:lblAlgn val="ctr"/>
        <c:lblOffset val="100"/>
        <c:noMultiLvlLbl val="0"/>
      </c:catAx>
      <c:valAx>
        <c:axId val="277728032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one"/>
        <c:crossAx val="27772747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25" footer="0.3149606200000002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An&#225;lise!A1"/><Relationship Id="rId7" Type="http://schemas.openxmlformats.org/officeDocument/2006/relationships/hyperlink" Target="#Acompanhament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6" Type="http://schemas.openxmlformats.org/officeDocument/2006/relationships/hyperlink" Target="#'Fatores Internos'!A1"/><Relationship Id="rId5" Type="http://schemas.openxmlformats.org/officeDocument/2006/relationships/hyperlink" Target="#Cadastro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hyperlink" Target="#In&#237;cio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hyperlink" Target="http://www.acelere.vc" TargetMode="Externa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161925</xdr:colOff>
      <xdr:row>0</xdr:row>
      <xdr:rowOff>0</xdr:rowOff>
    </xdr:from>
    <xdr:to>
      <xdr:col>19</xdr:col>
      <xdr:colOff>142875</xdr:colOff>
      <xdr:row>1</xdr:row>
      <xdr:rowOff>19049</xdr:rowOff>
    </xdr:to>
    <xdr:pic>
      <xdr:nvPicPr>
        <xdr:cNvPr id="4" name="Imagem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4225" y="0"/>
          <a:ext cx="1200150" cy="476249"/>
        </a:xfrm>
        <a:prstGeom prst="rect">
          <a:avLst/>
        </a:prstGeom>
      </xdr:spPr>
    </xdr:pic>
    <xdr:clientData/>
  </xdr:twoCellAnchor>
  <xdr:twoCellAnchor>
    <xdr:from>
      <xdr:col>4</xdr:col>
      <xdr:colOff>542925</xdr:colOff>
      <xdr:row>9</xdr:row>
      <xdr:rowOff>38100</xdr:rowOff>
    </xdr:from>
    <xdr:to>
      <xdr:col>7</xdr:col>
      <xdr:colOff>381000</xdr:colOff>
      <xdr:row>11</xdr:row>
      <xdr:rowOff>177088</xdr:rowOff>
    </xdr:to>
    <xdr:grpSp>
      <xdr:nvGrpSpPr>
        <xdr:cNvPr id="6" name="Grupo 5">
          <a:hlinkClick xmlns:r="http://schemas.openxmlformats.org/officeDocument/2006/relationships" r:id="rId3"/>
        </xdr:cNvPr>
        <xdr:cNvGrpSpPr/>
      </xdr:nvGrpSpPr>
      <xdr:grpSpPr>
        <a:xfrm>
          <a:off x="3286125" y="2095500"/>
          <a:ext cx="1895475" cy="539038"/>
          <a:chOff x="285750" y="2400300"/>
          <a:chExt cx="1895475" cy="539038"/>
        </a:xfrm>
      </xdr:grpSpPr>
      <xdr:pic>
        <xdr:nvPicPr>
          <xdr:cNvPr id="7" name="Imagem 6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" name="CaixaDeTexto 7">
            <a:hlinkClick xmlns:r="http://schemas.openxmlformats.org/officeDocument/2006/relationships" r:id="rId5"/>
          </xdr:cNvPr>
          <xdr:cNvSpPr txBox="1"/>
        </xdr:nvSpPr>
        <xdr:spPr>
          <a:xfrm>
            <a:off x="542925" y="2524125"/>
            <a:ext cx="139064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ORÇAMENTO</a:t>
            </a:r>
          </a:p>
        </xdr:txBody>
      </xdr:sp>
    </xdr:grpSp>
    <xdr:clientData/>
  </xdr:twoCellAnchor>
  <xdr:twoCellAnchor>
    <xdr:from>
      <xdr:col>10</xdr:col>
      <xdr:colOff>161925</xdr:colOff>
      <xdr:row>9</xdr:row>
      <xdr:rowOff>38100</xdr:rowOff>
    </xdr:from>
    <xdr:to>
      <xdr:col>13</xdr:col>
      <xdr:colOff>228600</xdr:colOff>
      <xdr:row>11</xdr:row>
      <xdr:rowOff>177088</xdr:rowOff>
    </xdr:to>
    <xdr:grpSp>
      <xdr:nvGrpSpPr>
        <xdr:cNvPr id="9" name="Grupo 8">
          <a:hlinkClick xmlns:r="http://schemas.openxmlformats.org/officeDocument/2006/relationships" r:id="rId6"/>
        </xdr:cNvPr>
        <xdr:cNvGrpSpPr/>
      </xdr:nvGrpSpPr>
      <xdr:grpSpPr>
        <a:xfrm>
          <a:off x="7019925" y="2095500"/>
          <a:ext cx="1895475" cy="539038"/>
          <a:chOff x="285750" y="2400300"/>
          <a:chExt cx="1895475" cy="539038"/>
        </a:xfrm>
      </xdr:grpSpPr>
      <xdr:pic>
        <xdr:nvPicPr>
          <xdr:cNvPr id="10" name="Imagem 9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" name="CaixaDeTexto 10">
            <a:hlinkClick xmlns:r="http://schemas.openxmlformats.org/officeDocument/2006/relationships" r:id="rId7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GRÁFICOS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247650</xdr:colOff>
      <xdr:row>0</xdr:row>
      <xdr:rowOff>0</xdr:rowOff>
    </xdr:from>
    <xdr:to>
      <xdr:col>33</xdr:col>
      <xdr:colOff>476250</xdr:colOff>
      <xdr:row>1</xdr:row>
      <xdr:rowOff>19049</xdr:rowOff>
    </xdr:to>
    <xdr:pic>
      <xdr:nvPicPr>
        <xdr:cNvPr id="2" name="Imagem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275" y="0"/>
          <a:ext cx="1200150" cy="476249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0</xdr:row>
      <xdr:rowOff>66675</xdr:rowOff>
    </xdr:from>
    <xdr:to>
      <xdr:col>0</xdr:col>
      <xdr:colOff>619125</xdr:colOff>
      <xdr:row>0</xdr:row>
      <xdr:rowOff>396724</xdr:rowOff>
    </xdr:to>
    <xdr:pic>
      <xdr:nvPicPr>
        <xdr:cNvPr id="3" name="Imagem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29136</xdr:rowOff>
    </xdr:from>
    <xdr:to>
      <xdr:col>14</xdr:col>
      <xdr:colOff>23813</xdr:colOff>
      <xdr:row>23</xdr:row>
      <xdr:rowOff>51548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538163</xdr:colOff>
      <xdr:row>51</xdr:row>
      <xdr:rowOff>139650</xdr:rowOff>
    </xdr:from>
    <xdr:to>
      <xdr:col>20</xdr:col>
      <xdr:colOff>236569</xdr:colOff>
      <xdr:row>76</xdr:row>
      <xdr:rowOff>57150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47624</xdr:colOff>
      <xdr:row>51</xdr:row>
      <xdr:rowOff>0</xdr:rowOff>
    </xdr:from>
    <xdr:to>
      <xdr:col>6</xdr:col>
      <xdr:colOff>257999</xdr:colOff>
      <xdr:row>75</xdr:row>
      <xdr:rowOff>108000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11205</xdr:colOff>
      <xdr:row>24</xdr:row>
      <xdr:rowOff>44824</xdr:rowOff>
    </xdr:from>
    <xdr:to>
      <xdr:col>14</xdr:col>
      <xdr:colOff>106455</xdr:colOff>
      <xdr:row>45</xdr:row>
      <xdr:rowOff>67236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561975</xdr:colOff>
      <xdr:row>0</xdr:row>
      <xdr:rowOff>0</xdr:rowOff>
    </xdr:from>
    <xdr:to>
      <xdr:col>11</xdr:col>
      <xdr:colOff>542925</xdr:colOff>
      <xdr:row>1</xdr:row>
      <xdr:rowOff>19049</xdr:rowOff>
    </xdr:to>
    <xdr:pic>
      <xdr:nvPicPr>
        <xdr:cNvPr id="12" name="Imagem 11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8075" y="0"/>
          <a:ext cx="1200150" cy="47624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66675</xdr:rowOff>
    </xdr:from>
    <xdr:to>
      <xdr:col>0</xdr:col>
      <xdr:colOff>609600</xdr:colOff>
      <xdr:row>0</xdr:row>
      <xdr:rowOff>396724</xdr:rowOff>
    </xdr:to>
    <xdr:pic>
      <xdr:nvPicPr>
        <xdr:cNvPr id="13" name="Imagem 12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"/>
          <a:ext cx="561975" cy="33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showGridLines="0" tabSelected="1" workbookViewId="0">
      <selection sqref="A1:T1"/>
    </sheetView>
  </sheetViews>
  <sheetFormatPr defaultColWidth="9.140625" defaultRowHeight="15.75" customHeight="1" x14ac:dyDescent="0.25"/>
  <cols>
    <col min="1" max="10" width="10.28515625" style="1" customWidth="1"/>
    <col min="11" max="24" width="9.140625" style="1"/>
    <col min="25" max="16384" width="9.140625" style="28"/>
  </cols>
  <sheetData>
    <row r="1" spans="1:25" s="40" customFormat="1" ht="36" customHeight="1" x14ac:dyDescent="0.25">
      <c r="A1" s="42" t="s">
        <v>65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39"/>
      <c r="V1" s="39"/>
      <c r="W1" s="39"/>
      <c r="X1" s="39"/>
      <c r="Y1" s="39"/>
    </row>
  </sheetData>
  <mergeCells count="1">
    <mergeCell ref="A1:T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C78"/>
  <sheetViews>
    <sheetView showGridLines="0" zoomScaleNormal="100" workbookViewId="0">
      <selection activeCell="B6" sqref="B6:D6"/>
    </sheetView>
  </sheetViews>
  <sheetFormatPr defaultColWidth="0" defaultRowHeight="15" zeroHeight="1" outlineLevelRow="1" outlineLevelCol="1" x14ac:dyDescent="0.25"/>
  <cols>
    <col min="1" max="1" width="30.28515625" style="2" bestFit="1" customWidth="1"/>
    <col min="2" max="2" width="19.28515625" style="2" hidden="1" customWidth="1" outlineLevel="1"/>
    <col min="3" max="3" width="19" style="2" hidden="1" customWidth="1" outlineLevel="1"/>
    <col min="4" max="4" width="13.42578125" style="2" bestFit="1" customWidth="1" collapsed="1"/>
    <col min="5" max="5" width="21.42578125" style="2" hidden="1" customWidth="1" outlineLevel="1"/>
    <col min="6" max="6" width="23.5703125" style="2" hidden="1" customWidth="1" outlineLevel="1"/>
    <col min="7" max="7" width="15.42578125" style="2" bestFit="1" customWidth="1" collapsed="1"/>
    <col min="8" max="8" width="18.42578125" style="2" hidden="1" customWidth="1" outlineLevel="1"/>
    <col min="9" max="9" width="18.140625" style="2" hidden="1" customWidth="1" outlineLevel="1"/>
    <col min="10" max="10" width="14.5703125" style="2" customWidth="1" collapsed="1"/>
    <col min="11" max="11" width="16.5703125" style="2" hidden="1" customWidth="1" outlineLevel="1"/>
    <col min="12" max="12" width="16.28515625" style="2" hidden="1" customWidth="1" outlineLevel="1"/>
    <col min="13" max="13" width="14.85546875" style="2" customWidth="1" collapsed="1"/>
    <col min="14" max="14" width="16.7109375" style="2" hidden="1" customWidth="1" outlineLevel="1"/>
    <col min="15" max="15" width="16.28515625" style="2" hidden="1" customWidth="1" outlineLevel="1"/>
    <col min="16" max="16" width="14.5703125" style="2" customWidth="1" collapsed="1"/>
    <col min="17" max="17" width="17.85546875" style="2" hidden="1" customWidth="1" outlineLevel="1" collapsed="1"/>
    <col min="18" max="18" width="17.5703125" style="2" hidden="1" customWidth="1" outlineLevel="1"/>
    <col min="19" max="19" width="14.42578125" style="2" customWidth="1" collapsed="1"/>
    <col min="20" max="20" width="17.28515625" style="2" hidden="1" customWidth="1" outlineLevel="1"/>
    <col min="21" max="21" width="16.85546875" style="2" hidden="1" customWidth="1" outlineLevel="1"/>
    <col min="22" max="22" width="14.5703125" style="2" customWidth="1" collapsed="1"/>
    <col min="23" max="23" width="19.140625" style="2" hidden="1" customWidth="1" outlineLevel="1" collapsed="1"/>
    <col min="24" max="24" width="18.85546875" style="2" hidden="1" customWidth="1" outlineLevel="1"/>
    <col min="25" max="25" width="13.28515625" style="2" bestFit="1" customWidth="1" collapsed="1"/>
    <col min="26" max="26" width="21.140625" style="2" hidden="1" customWidth="1" outlineLevel="1"/>
    <col min="27" max="27" width="20.85546875" style="2" hidden="1" customWidth="1" outlineLevel="1"/>
    <col min="28" max="28" width="15.28515625" style="2" bestFit="1" customWidth="1" collapsed="1"/>
    <col min="29" max="29" width="20.42578125" style="2" hidden="1" customWidth="1" outlineLevel="1" collapsed="1"/>
    <col min="30" max="30" width="20.140625" style="2" hidden="1" customWidth="1" outlineLevel="1"/>
    <col min="31" max="31" width="14.5703125" style="2" bestFit="1" customWidth="1" collapsed="1"/>
    <col min="32" max="32" width="22.42578125" style="2" hidden="1" customWidth="1" outlineLevel="1"/>
    <col min="33" max="33" width="22.140625" style="2" hidden="1" customWidth="1" outlineLevel="1"/>
    <col min="34" max="34" width="16.42578125" style="2" bestFit="1" customWidth="1" collapsed="1"/>
    <col min="35" max="35" width="21.5703125" style="2" hidden="1" customWidth="1" outlineLevel="1" collapsed="1"/>
    <col min="36" max="36" width="21.140625" style="2" hidden="1" customWidth="1" outlineLevel="1"/>
    <col min="37" max="37" width="15.5703125" style="2" bestFit="1" customWidth="1" collapsed="1"/>
    <col min="38" max="38" width="17.28515625" style="2" bestFit="1" customWidth="1"/>
    <col min="39" max="39" width="16.85546875" style="2" bestFit="1" customWidth="1"/>
    <col min="40" max="40" width="11.28515625" style="2" bestFit="1" customWidth="1"/>
    <col min="41" max="41" width="9.140625" style="2" customWidth="1"/>
    <col min="42" max="56" width="0" style="2" hidden="1"/>
    <col min="57" max="16357" width="9.140625" style="2" hidden="1"/>
    <col min="16358" max="16384" width="0" style="2" hidden="1"/>
  </cols>
  <sheetData>
    <row r="1" spans="1:40" s="40" customFormat="1" ht="36" customHeight="1" x14ac:dyDescent="0.25">
      <c r="A1" s="53" t="s">
        <v>66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40" ht="21" x14ac:dyDescent="0.25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15.75" x14ac:dyDescent="0.25">
      <c r="A3" s="5"/>
      <c r="B3" s="55" t="s">
        <v>8</v>
      </c>
      <c r="C3" s="56"/>
      <c r="D3" s="57"/>
      <c r="E3" s="55" t="s">
        <v>9</v>
      </c>
      <c r="F3" s="56"/>
      <c r="G3" s="57"/>
      <c r="H3" s="55" t="s">
        <v>10</v>
      </c>
      <c r="I3" s="56"/>
      <c r="J3" s="57"/>
      <c r="K3" s="55" t="s">
        <v>11</v>
      </c>
      <c r="L3" s="56"/>
      <c r="M3" s="57"/>
      <c r="N3" s="55" t="s">
        <v>12</v>
      </c>
      <c r="O3" s="56"/>
      <c r="P3" s="57"/>
      <c r="Q3" s="55" t="s">
        <v>13</v>
      </c>
      <c r="R3" s="56"/>
      <c r="S3" s="57"/>
      <c r="T3" s="55" t="s">
        <v>14</v>
      </c>
      <c r="U3" s="56"/>
      <c r="V3" s="57"/>
      <c r="W3" s="55" t="s">
        <v>15</v>
      </c>
      <c r="X3" s="56"/>
      <c r="Y3" s="57"/>
      <c r="Z3" s="55" t="s">
        <v>16</v>
      </c>
      <c r="AA3" s="56"/>
      <c r="AB3" s="57"/>
      <c r="AC3" s="55" t="s">
        <v>17</v>
      </c>
      <c r="AD3" s="56"/>
      <c r="AE3" s="57"/>
      <c r="AF3" s="55" t="s">
        <v>18</v>
      </c>
      <c r="AG3" s="56"/>
      <c r="AH3" s="57"/>
      <c r="AI3" s="55" t="s">
        <v>19</v>
      </c>
      <c r="AJ3" s="56"/>
      <c r="AK3" s="57"/>
      <c r="AL3" s="55" t="s">
        <v>20</v>
      </c>
      <c r="AM3" s="56"/>
      <c r="AN3" s="57"/>
    </row>
    <row r="4" spans="1:40" ht="18.75" x14ac:dyDescent="0.25">
      <c r="A4" s="36" t="s">
        <v>5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8">
        <f>SUM(B4:AK4)</f>
        <v>0</v>
      </c>
      <c r="AM4" s="49"/>
      <c r="AN4" s="50"/>
    </row>
    <row r="5" spans="1:40" ht="21" customHeight="1" x14ac:dyDescent="0.25">
      <c r="A5" s="36" t="s">
        <v>7</v>
      </c>
      <c r="B5" s="45">
        <f>B4-B75</f>
        <v>0</v>
      </c>
      <c r="C5" s="46"/>
      <c r="D5" s="47"/>
      <c r="E5" s="45">
        <f>E4-E75</f>
        <v>0</v>
      </c>
      <c r="F5" s="46"/>
      <c r="G5" s="47"/>
      <c r="H5" s="45">
        <f>H4-H75</f>
        <v>0</v>
      </c>
      <c r="I5" s="46"/>
      <c r="J5" s="47"/>
      <c r="K5" s="45">
        <f>K4-K75</f>
        <v>0</v>
      </c>
      <c r="L5" s="46"/>
      <c r="M5" s="47"/>
      <c r="N5" s="45">
        <f>N4-N75</f>
        <v>0</v>
      </c>
      <c r="O5" s="46"/>
      <c r="P5" s="47"/>
      <c r="Q5" s="45">
        <f>Q4-Q75</f>
        <v>0</v>
      </c>
      <c r="R5" s="46"/>
      <c r="S5" s="47"/>
      <c r="T5" s="45">
        <f>T4-T75</f>
        <v>0</v>
      </c>
      <c r="U5" s="46"/>
      <c r="V5" s="47"/>
      <c r="W5" s="45">
        <f>W4-W75</f>
        <v>0</v>
      </c>
      <c r="X5" s="46"/>
      <c r="Y5" s="47"/>
      <c r="Z5" s="45">
        <f>Z4-Z75</f>
        <v>0</v>
      </c>
      <c r="AA5" s="46"/>
      <c r="AB5" s="47"/>
      <c r="AC5" s="45">
        <f>AC4-AC75</f>
        <v>0</v>
      </c>
      <c r="AD5" s="46"/>
      <c r="AE5" s="47"/>
      <c r="AF5" s="45">
        <f>AF4-AF75</f>
        <v>0</v>
      </c>
      <c r="AG5" s="46"/>
      <c r="AH5" s="47"/>
      <c r="AI5" s="45">
        <f>AI4-AI75</f>
        <v>0</v>
      </c>
      <c r="AJ5" s="46"/>
      <c r="AK5" s="47"/>
      <c r="AL5" s="45">
        <f>SUM(B5:AK5)</f>
        <v>0</v>
      </c>
      <c r="AM5" s="46"/>
      <c r="AN5" s="47"/>
    </row>
    <row r="6" spans="1:40" ht="18.75" x14ac:dyDescent="0.25">
      <c r="A6" s="36" t="s">
        <v>6</v>
      </c>
      <c r="B6" s="51" t="str">
        <f>IF(B4&lt;&gt;0,(B5/B4),"n/a")</f>
        <v>n/a</v>
      </c>
      <c r="C6" s="51"/>
      <c r="D6" s="51"/>
      <c r="E6" s="52" t="str">
        <f>IF(E4&lt;&gt;0,(E5/E4),"n/a")</f>
        <v>n/a</v>
      </c>
      <c r="F6" s="52"/>
      <c r="G6" s="52"/>
      <c r="H6" s="52" t="str">
        <f t="shared" ref="H6" si="0">IF(H4&lt;&gt;0,(H5/H4),"n/a")</f>
        <v>n/a</v>
      </c>
      <c r="I6" s="52"/>
      <c r="J6" s="52"/>
      <c r="K6" s="52" t="str">
        <f t="shared" ref="K6" si="1">IF(K4&lt;&gt;0,(K5/K4),"n/a")</f>
        <v>n/a</v>
      </c>
      <c r="L6" s="52"/>
      <c r="M6" s="52"/>
      <c r="N6" s="52" t="str">
        <f t="shared" ref="N6" si="2">IF(N4&lt;&gt;0,(N5/N4),"n/a")</f>
        <v>n/a</v>
      </c>
      <c r="O6" s="52"/>
      <c r="P6" s="52"/>
      <c r="Q6" s="52" t="str">
        <f t="shared" ref="Q6" si="3">IF(Q4&lt;&gt;0,(Q5/Q4),"n/a")</f>
        <v>n/a</v>
      </c>
      <c r="R6" s="52"/>
      <c r="S6" s="52"/>
      <c r="T6" s="52" t="str">
        <f t="shared" ref="T6" si="4">IF(T4&lt;&gt;0,(T5/T4),"n/a")</f>
        <v>n/a</v>
      </c>
      <c r="U6" s="52"/>
      <c r="V6" s="52"/>
      <c r="W6" s="52" t="str">
        <f t="shared" ref="W6" si="5">IF(W4&lt;&gt;0,(W5/W4),"n/a")</f>
        <v>n/a</v>
      </c>
      <c r="X6" s="52"/>
      <c r="Y6" s="52"/>
      <c r="Z6" s="52" t="str">
        <f t="shared" ref="Z6" si="6">IF(Z4&lt;&gt;0,(Z5/Z4),"n/a")</f>
        <v>n/a</v>
      </c>
      <c r="AA6" s="52"/>
      <c r="AB6" s="52"/>
      <c r="AC6" s="52" t="str">
        <f t="shared" ref="AC6" si="7">IF(AC4&lt;&gt;0,(AC5/AC4),"n/a")</f>
        <v>n/a</v>
      </c>
      <c r="AD6" s="52"/>
      <c r="AE6" s="52"/>
      <c r="AF6" s="52" t="str">
        <f t="shared" ref="AF6" si="8">IF(AF4&lt;&gt;0,(AF5/AF4),"n/a")</f>
        <v>n/a</v>
      </c>
      <c r="AG6" s="52"/>
      <c r="AH6" s="52"/>
      <c r="AI6" s="52" t="str">
        <f t="shared" ref="AI6" si="9">IF(AI4&lt;&gt;0,(AI5/AI4),"n/a")</f>
        <v>n/a</v>
      </c>
      <c r="AJ6" s="52"/>
      <c r="AK6" s="52"/>
      <c r="AL6" s="52" t="str">
        <f t="shared" ref="AL6" si="10">IF(AL4&lt;&gt;0,(AL5/AL4),"n/a")</f>
        <v>n/a</v>
      </c>
      <c r="AM6" s="52"/>
      <c r="AN6" s="52"/>
    </row>
    <row r="7" spans="1:40" ht="15.75" x14ac:dyDescent="0.25">
      <c r="A7" s="36"/>
      <c r="B7" s="37" t="s">
        <v>4</v>
      </c>
      <c r="C7" s="37" t="s">
        <v>21</v>
      </c>
      <c r="D7" s="38" t="s">
        <v>22</v>
      </c>
      <c r="E7" s="37" t="s">
        <v>4</v>
      </c>
      <c r="F7" s="37" t="s">
        <v>21</v>
      </c>
      <c r="G7" s="38" t="s">
        <v>22</v>
      </c>
      <c r="H7" s="37" t="s">
        <v>4</v>
      </c>
      <c r="I7" s="37" t="s">
        <v>21</v>
      </c>
      <c r="J7" s="38" t="s">
        <v>22</v>
      </c>
      <c r="K7" s="37" t="s">
        <v>4</v>
      </c>
      <c r="L7" s="37" t="s">
        <v>21</v>
      </c>
      <c r="M7" s="38" t="s">
        <v>22</v>
      </c>
      <c r="N7" s="37" t="s">
        <v>4</v>
      </c>
      <c r="O7" s="37" t="s">
        <v>21</v>
      </c>
      <c r="P7" s="38" t="s">
        <v>22</v>
      </c>
      <c r="Q7" s="37" t="s">
        <v>4</v>
      </c>
      <c r="R7" s="37" t="s">
        <v>21</v>
      </c>
      <c r="S7" s="38" t="s">
        <v>22</v>
      </c>
      <c r="T7" s="37" t="s">
        <v>4</v>
      </c>
      <c r="U7" s="37" t="s">
        <v>21</v>
      </c>
      <c r="V7" s="38" t="s">
        <v>22</v>
      </c>
      <c r="W7" s="37" t="s">
        <v>4</v>
      </c>
      <c r="X7" s="37" t="s">
        <v>21</v>
      </c>
      <c r="Y7" s="38" t="s">
        <v>22</v>
      </c>
      <c r="Z7" s="37" t="s">
        <v>4</v>
      </c>
      <c r="AA7" s="37" t="s">
        <v>21</v>
      </c>
      <c r="AB7" s="38" t="s">
        <v>22</v>
      </c>
      <c r="AC7" s="37" t="s">
        <v>4</v>
      </c>
      <c r="AD7" s="37" t="s">
        <v>21</v>
      </c>
      <c r="AE7" s="38" t="s">
        <v>22</v>
      </c>
      <c r="AF7" s="37" t="s">
        <v>4</v>
      </c>
      <c r="AG7" s="37" t="s">
        <v>21</v>
      </c>
      <c r="AH7" s="38" t="s">
        <v>22</v>
      </c>
      <c r="AI7" s="37" t="s">
        <v>4</v>
      </c>
      <c r="AJ7" s="37" t="s">
        <v>21</v>
      </c>
      <c r="AK7" s="38" t="s">
        <v>22</v>
      </c>
      <c r="AL7" s="37" t="s">
        <v>4</v>
      </c>
      <c r="AM7" s="37" t="s">
        <v>21</v>
      </c>
      <c r="AN7" s="38" t="s">
        <v>22</v>
      </c>
    </row>
    <row r="8" spans="1:40" s="27" customFormat="1" ht="24.75" customHeight="1" x14ac:dyDescent="0.25">
      <c r="A8" s="33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</row>
    <row r="9" spans="1:40" ht="15.75" customHeight="1" x14ac:dyDescent="0.25">
      <c r="A9" s="32" t="s">
        <v>23</v>
      </c>
      <c r="B9" s="6">
        <f>SUM(B10:B18)</f>
        <v>0</v>
      </c>
      <c r="C9" s="6">
        <f>SUM(C10:C18)</f>
        <v>0</v>
      </c>
      <c r="D9" s="6">
        <f>B9-C9</f>
        <v>0</v>
      </c>
      <c r="E9" s="6">
        <f>SUM(E10:E18)</f>
        <v>0</v>
      </c>
      <c r="F9" s="6">
        <f>SUM(F10:F18)</f>
        <v>0</v>
      </c>
      <c r="G9" s="6">
        <f>E9-F9</f>
        <v>0</v>
      </c>
      <c r="H9" s="6">
        <f>SUM(H10:H18)</f>
        <v>0</v>
      </c>
      <c r="I9" s="6">
        <f>SUM(I10:I18)</f>
        <v>0</v>
      </c>
      <c r="J9" s="6">
        <f>H9-I9</f>
        <v>0</v>
      </c>
      <c r="K9" s="6">
        <f>SUM(K10:K18)</f>
        <v>0</v>
      </c>
      <c r="L9" s="6">
        <f>SUM(L10:L18)</f>
        <v>0</v>
      </c>
      <c r="M9" s="6">
        <f>K9-L9</f>
        <v>0</v>
      </c>
      <c r="N9" s="6">
        <f>SUM(N10:N18)</f>
        <v>0</v>
      </c>
      <c r="O9" s="6">
        <f>SUM(O10:O18)</f>
        <v>0</v>
      </c>
      <c r="P9" s="6">
        <f>N9-O9</f>
        <v>0</v>
      </c>
      <c r="Q9" s="6">
        <f>SUM(Q10:Q18)</f>
        <v>0</v>
      </c>
      <c r="R9" s="6">
        <f>SUM(R10:R18)</f>
        <v>0</v>
      </c>
      <c r="S9" s="6">
        <f>Q9-R9</f>
        <v>0</v>
      </c>
      <c r="T9" s="6">
        <f>SUM(T10:T18)</f>
        <v>0</v>
      </c>
      <c r="U9" s="6">
        <f>SUM(U10:U18)</f>
        <v>0</v>
      </c>
      <c r="V9" s="6">
        <f>T9-U9</f>
        <v>0</v>
      </c>
      <c r="W9" s="6">
        <f>SUM(W10:W18)</f>
        <v>0</v>
      </c>
      <c r="X9" s="6">
        <f>SUM(X10:X18)</f>
        <v>0</v>
      </c>
      <c r="Y9" s="6">
        <f>W9-X9</f>
        <v>0</v>
      </c>
      <c r="Z9" s="6">
        <f>SUM(Z10:Z18)</f>
        <v>0</v>
      </c>
      <c r="AA9" s="6">
        <f>SUM(AA10:AA18)</f>
        <v>0</v>
      </c>
      <c r="AB9" s="6">
        <f>Z9-AA9</f>
        <v>0</v>
      </c>
      <c r="AC9" s="6">
        <f>SUM(AC10:AC18)</f>
        <v>0</v>
      </c>
      <c r="AD9" s="6">
        <f>SUM(AD10:AD18)</f>
        <v>0</v>
      </c>
      <c r="AE9" s="6">
        <f>AC9-AD9</f>
        <v>0</v>
      </c>
      <c r="AF9" s="6">
        <f>SUM(AF10:AF18)</f>
        <v>0</v>
      </c>
      <c r="AG9" s="6">
        <f>SUM(AG10:AG18)</f>
        <v>0</v>
      </c>
      <c r="AH9" s="6">
        <f>AF9-AG9</f>
        <v>0</v>
      </c>
      <c r="AI9" s="6">
        <f>SUM(AI10:AI18)</f>
        <v>0</v>
      </c>
      <c r="AJ9" s="6">
        <f>SUM(AJ10:AJ18)</f>
        <v>0</v>
      </c>
      <c r="AK9" s="6">
        <f>AI9-AJ9</f>
        <v>0</v>
      </c>
      <c r="AL9" s="6">
        <f>SUM(AL10:AL18)</f>
        <v>0</v>
      </c>
      <c r="AM9" s="6">
        <f>SUM(AM10:AM18)</f>
        <v>0</v>
      </c>
      <c r="AN9" s="6">
        <f>AL9-AM9</f>
        <v>0</v>
      </c>
    </row>
    <row r="10" spans="1:40" ht="15.75" hidden="1" customHeight="1" outlineLevel="1" x14ac:dyDescent="0.25">
      <c r="A10" s="10" t="s">
        <v>29</v>
      </c>
      <c r="B10" s="11"/>
      <c r="C10" s="11"/>
      <c r="D10" s="7">
        <f t="shared" ref="D10:D62" si="11">B10-C10</f>
        <v>0</v>
      </c>
      <c r="E10" s="7"/>
      <c r="F10" s="7"/>
      <c r="G10" s="7">
        <f t="shared" ref="G10:G73" si="12">E10-F10</f>
        <v>0</v>
      </c>
      <c r="H10" s="7"/>
      <c r="I10" s="7"/>
      <c r="J10" s="7">
        <f t="shared" ref="J10:J62" si="13">H10-I10</f>
        <v>0</v>
      </c>
      <c r="K10" s="7"/>
      <c r="L10" s="7"/>
      <c r="M10" s="7">
        <f t="shared" ref="M10:M11" si="14">K10-L10</f>
        <v>0</v>
      </c>
      <c r="N10" s="7"/>
      <c r="O10" s="7"/>
      <c r="P10" s="7">
        <f t="shared" ref="P10:P11" si="15">N10-O10</f>
        <v>0</v>
      </c>
      <c r="Q10" s="7"/>
      <c r="R10" s="7"/>
      <c r="S10" s="7">
        <f t="shared" ref="S10:S11" si="16">Q10-R10</f>
        <v>0</v>
      </c>
      <c r="T10" s="7"/>
      <c r="U10" s="7"/>
      <c r="V10" s="7">
        <f t="shared" ref="V10:V11" si="17">T10-U10</f>
        <v>0</v>
      </c>
      <c r="W10" s="7"/>
      <c r="X10" s="7"/>
      <c r="Y10" s="7">
        <f t="shared" ref="Y10:Y11" si="18">W10-X10</f>
        <v>0</v>
      </c>
      <c r="Z10" s="7"/>
      <c r="AA10" s="7"/>
      <c r="AB10" s="7">
        <f t="shared" ref="AB10:AB11" si="19">Z10-AA10</f>
        <v>0</v>
      </c>
      <c r="AC10" s="7"/>
      <c r="AD10" s="7"/>
      <c r="AE10" s="7">
        <f t="shared" ref="AE10:AE11" si="20">AC10-AD10</f>
        <v>0</v>
      </c>
      <c r="AF10" s="7"/>
      <c r="AG10" s="7"/>
      <c r="AH10" s="7">
        <f t="shared" ref="AH10:AH11" si="21">AF10-AG10</f>
        <v>0</v>
      </c>
      <c r="AI10" s="7"/>
      <c r="AJ10" s="7"/>
      <c r="AK10" s="7">
        <f t="shared" ref="AK10:AK11" si="22">AI10-AJ10</f>
        <v>0</v>
      </c>
      <c r="AL10" s="8">
        <f>B10+E10+H10+K10+N10+Q10+T10+W10+Z10+AC10+AF10+AI10</f>
        <v>0</v>
      </c>
      <c r="AM10" s="8">
        <f>C10+F10+I10+L10+O10+R10+U10+X10+AA10+AD10+AG10+AJ10</f>
        <v>0</v>
      </c>
      <c r="AN10" s="6">
        <f t="shared" ref="AN10:AN56" si="23">AL10-AM10</f>
        <v>0</v>
      </c>
    </row>
    <row r="11" spans="1:40" ht="15.75" hidden="1" customHeight="1" outlineLevel="1" x14ac:dyDescent="0.25">
      <c r="A11" s="10" t="s">
        <v>30</v>
      </c>
      <c r="B11" s="11"/>
      <c r="C11" s="11"/>
      <c r="D11" s="7">
        <f t="shared" si="11"/>
        <v>0</v>
      </c>
      <c r="E11" s="7"/>
      <c r="F11" s="7"/>
      <c r="G11" s="7">
        <f t="shared" si="12"/>
        <v>0</v>
      </c>
      <c r="H11" s="7"/>
      <c r="I11" s="7"/>
      <c r="J11" s="7">
        <f t="shared" si="13"/>
        <v>0</v>
      </c>
      <c r="K11" s="7"/>
      <c r="L11" s="7"/>
      <c r="M11" s="7">
        <f t="shared" si="14"/>
        <v>0</v>
      </c>
      <c r="N11" s="7"/>
      <c r="O11" s="7"/>
      <c r="P11" s="7">
        <f t="shared" si="15"/>
        <v>0</v>
      </c>
      <c r="Q11" s="7"/>
      <c r="R11" s="7"/>
      <c r="S11" s="7">
        <f t="shared" si="16"/>
        <v>0</v>
      </c>
      <c r="T11" s="7"/>
      <c r="U11" s="7"/>
      <c r="V11" s="7">
        <f t="shared" si="17"/>
        <v>0</v>
      </c>
      <c r="W11" s="7"/>
      <c r="X11" s="7"/>
      <c r="Y11" s="7">
        <f t="shared" si="18"/>
        <v>0</v>
      </c>
      <c r="Z11" s="7"/>
      <c r="AA11" s="7"/>
      <c r="AB11" s="7">
        <f t="shared" si="19"/>
        <v>0</v>
      </c>
      <c r="AC11" s="7"/>
      <c r="AD11" s="7"/>
      <c r="AE11" s="7">
        <f t="shared" si="20"/>
        <v>0</v>
      </c>
      <c r="AF11" s="7"/>
      <c r="AG11" s="7"/>
      <c r="AH11" s="7">
        <f t="shared" si="21"/>
        <v>0</v>
      </c>
      <c r="AI11" s="7"/>
      <c r="AJ11" s="7"/>
      <c r="AK11" s="7">
        <f t="shared" si="22"/>
        <v>0</v>
      </c>
      <c r="AL11" s="8">
        <f t="shared" ref="AL11" si="24">B11+E11+H11+K11+N11+Q11+T11+W11+Z11+AC11+AF11+AI11</f>
        <v>0</v>
      </c>
      <c r="AM11" s="8">
        <f>C11+F11+I11+L11+O11+R11+U11+X11+AA11+AD11+AG11+AJ11</f>
        <v>0</v>
      </c>
      <c r="AN11" s="6">
        <f t="shared" si="23"/>
        <v>0</v>
      </c>
    </row>
    <row r="12" spans="1:40" ht="15.75" hidden="1" customHeight="1" outlineLevel="1" x14ac:dyDescent="0.25">
      <c r="A12" s="10" t="s">
        <v>3</v>
      </c>
      <c r="B12" s="11"/>
      <c r="C12" s="11"/>
      <c r="D12" s="7">
        <f>B12-C12</f>
        <v>0</v>
      </c>
      <c r="E12" s="7"/>
      <c r="F12" s="7"/>
      <c r="G12" s="7">
        <f>E12-F12</f>
        <v>0</v>
      </c>
      <c r="H12" s="7"/>
      <c r="I12" s="7"/>
      <c r="J12" s="7">
        <f>H12-I12</f>
        <v>0</v>
      </c>
      <c r="K12" s="7"/>
      <c r="L12" s="7"/>
      <c r="M12" s="7">
        <f>K12-L12</f>
        <v>0</v>
      </c>
      <c r="N12" s="7"/>
      <c r="O12" s="7"/>
      <c r="P12" s="7">
        <f>N12-O12</f>
        <v>0</v>
      </c>
      <c r="Q12" s="7"/>
      <c r="R12" s="7"/>
      <c r="S12" s="7">
        <f>Q12-R12</f>
        <v>0</v>
      </c>
      <c r="T12" s="7"/>
      <c r="U12" s="7"/>
      <c r="V12" s="7">
        <f>T12-U12</f>
        <v>0</v>
      </c>
      <c r="W12" s="7"/>
      <c r="X12" s="7"/>
      <c r="Y12" s="7">
        <f>W12-X12</f>
        <v>0</v>
      </c>
      <c r="Z12" s="7"/>
      <c r="AA12" s="7"/>
      <c r="AB12" s="7">
        <f>Z12-AA12</f>
        <v>0</v>
      </c>
      <c r="AC12" s="7"/>
      <c r="AD12" s="7"/>
      <c r="AE12" s="7">
        <f>AC12-AD12</f>
        <v>0</v>
      </c>
      <c r="AF12" s="7"/>
      <c r="AG12" s="7"/>
      <c r="AH12" s="7">
        <f>AF12-AG12</f>
        <v>0</v>
      </c>
      <c r="AI12" s="7"/>
      <c r="AJ12" s="7"/>
      <c r="AK12" s="7">
        <f>AI12-AJ12</f>
        <v>0</v>
      </c>
      <c r="AL12" s="8">
        <f>B12+E12+H12+K12+N12+Q12+T12+W12+Z12+AC12+AF12+AI12</f>
        <v>0</v>
      </c>
      <c r="AM12" s="8">
        <f>C12+F12+I12+L12+O12+R12+U12+X12+AA12+AD12+AG12+AJ12</f>
        <v>0</v>
      </c>
      <c r="AN12" s="6">
        <f>AL12-AM12</f>
        <v>0</v>
      </c>
    </row>
    <row r="13" spans="1:40" ht="15.75" hidden="1" customHeight="1" outlineLevel="1" x14ac:dyDescent="0.25">
      <c r="A13" s="10" t="s">
        <v>31</v>
      </c>
      <c r="B13" s="11"/>
      <c r="C13" s="11"/>
      <c r="D13" s="7">
        <f>B13-C13</f>
        <v>0</v>
      </c>
      <c r="E13" s="7"/>
      <c r="F13" s="7"/>
      <c r="G13" s="7">
        <f t="shared" ref="G13:G18" si="25">E13-F13</f>
        <v>0</v>
      </c>
      <c r="H13" s="7"/>
      <c r="I13" s="7"/>
      <c r="J13" s="7">
        <f t="shared" ref="J13:J18" si="26">H13-I13</f>
        <v>0</v>
      </c>
      <c r="K13" s="7"/>
      <c r="L13" s="7"/>
      <c r="M13" s="7">
        <f t="shared" ref="M13:M18" si="27">K13-L13</f>
        <v>0</v>
      </c>
      <c r="N13" s="7"/>
      <c r="O13" s="7"/>
      <c r="P13" s="7">
        <f t="shared" ref="P13:P18" si="28">N13-O13</f>
        <v>0</v>
      </c>
      <c r="Q13" s="7"/>
      <c r="R13" s="7"/>
      <c r="S13" s="7">
        <f t="shared" ref="S13:S18" si="29">Q13-R13</f>
        <v>0</v>
      </c>
      <c r="T13" s="7"/>
      <c r="U13" s="7"/>
      <c r="V13" s="7">
        <f t="shared" ref="V13:V18" si="30">T13-U13</f>
        <v>0</v>
      </c>
      <c r="W13" s="7"/>
      <c r="X13" s="7"/>
      <c r="Y13" s="7">
        <f t="shared" ref="Y13:Y18" si="31">W13-X13</f>
        <v>0</v>
      </c>
      <c r="Z13" s="7"/>
      <c r="AA13" s="7"/>
      <c r="AB13" s="7">
        <f t="shared" ref="AB13:AB18" si="32">Z13-AA13</f>
        <v>0</v>
      </c>
      <c r="AC13" s="7"/>
      <c r="AD13" s="7"/>
      <c r="AE13" s="7">
        <f t="shared" ref="AE13:AE18" si="33">AC13-AD13</f>
        <v>0</v>
      </c>
      <c r="AF13" s="7"/>
      <c r="AG13" s="7"/>
      <c r="AH13" s="7">
        <f t="shared" ref="AH13:AH18" si="34">AF13-AG13</f>
        <v>0</v>
      </c>
      <c r="AI13" s="7"/>
      <c r="AJ13" s="7"/>
      <c r="AK13" s="7">
        <f t="shared" ref="AK13:AK18" si="35">AI13-AJ13</f>
        <v>0</v>
      </c>
      <c r="AL13" s="8">
        <f t="shared" ref="AL13:AL18" si="36">B13+E13+H13+K13+N13+Q13+T13+W13+Z13+AC13+AF13+AI13</f>
        <v>0</v>
      </c>
      <c r="AM13" s="8">
        <f t="shared" ref="AM13:AM18" si="37">C13+F13+I13+L13+O13+R13+U13+X13+AA13+AD13+AG13+AJ13</f>
        <v>0</v>
      </c>
      <c r="AN13" s="6">
        <f t="shared" ref="AN13:AN18" si="38">AL13-AM13</f>
        <v>0</v>
      </c>
    </row>
    <row r="14" spans="1:40" ht="15.75" hidden="1" customHeight="1" outlineLevel="1" x14ac:dyDescent="0.25">
      <c r="A14" s="10" t="s">
        <v>32</v>
      </c>
      <c r="B14" s="11"/>
      <c r="C14" s="11"/>
      <c r="D14" s="7">
        <f>B14-C14</f>
        <v>0</v>
      </c>
      <c r="E14" s="7"/>
      <c r="F14" s="7"/>
      <c r="G14" s="7">
        <f t="shared" si="25"/>
        <v>0</v>
      </c>
      <c r="H14" s="7"/>
      <c r="I14" s="7"/>
      <c r="J14" s="7">
        <f t="shared" si="26"/>
        <v>0</v>
      </c>
      <c r="K14" s="7"/>
      <c r="L14" s="7"/>
      <c r="M14" s="7">
        <f t="shared" si="27"/>
        <v>0</v>
      </c>
      <c r="N14" s="7"/>
      <c r="O14" s="7"/>
      <c r="P14" s="7">
        <f t="shared" si="28"/>
        <v>0</v>
      </c>
      <c r="Q14" s="7"/>
      <c r="R14" s="7"/>
      <c r="S14" s="7">
        <f t="shared" si="29"/>
        <v>0</v>
      </c>
      <c r="T14" s="7"/>
      <c r="U14" s="7"/>
      <c r="V14" s="7">
        <f t="shared" si="30"/>
        <v>0</v>
      </c>
      <c r="W14" s="7"/>
      <c r="X14" s="7"/>
      <c r="Y14" s="7">
        <f t="shared" si="31"/>
        <v>0</v>
      </c>
      <c r="Z14" s="7"/>
      <c r="AA14" s="7"/>
      <c r="AB14" s="7">
        <f t="shared" si="32"/>
        <v>0</v>
      </c>
      <c r="AC14" s="7"/>
      <c r="AD14" s="7"/>
      <c r="AE14" s="7">
        <f t="shared" si="33"/>
        <v>0</v>
      </c>
      <c r="AF14" s="7"/>
      <c r="AG14" s="7"/>
      <c r="AH14" s="7">
        <f t="shared" si="34"/>
        <v>0</v>
      </c>
      <c r="AI14" s="7"/>
      <c r="AJ14" s="7"/>
      <c r="AK14" s="7">
        <f t="shared" si="35"/>
        <v>0</v>
      </c>
      <c r="AL14" s="8">
        <f t="shared" si="36"/>
        <v>0</v>
      </c>
      <c r="AM14" s="8">
        <f t="shared" si="37"/>
        <v>0</v>
      </c>
      <c r="AN14" s="6">
        <f t="shared" si="38"/>
        <v>0</v>
      </c>
    </row>
    <row r="15" spans="1:40" ht="15.75" hidden="1" customHeight="1" outlineLevel="1" x14ac:dyDescent="0.25">
      <c r="A15" s="10" t="s">
        <v>33</v>
      </c>
      <c r="B15" s="11"/>
      <c r="C15" s="11"/>
      <c r="D15" s="7">
        <f t="shared" ref="D15:D18" si="39">B15-C15</f>
        <v>0</v>
      </c>
      <c r="E15" s="7"/>
      <c r="F15" s="7"/>
      <c r="G15" s="7">
        <f t="shared" si="25"/>
        <v>0</v>
      </c>
      <c r="H15" s="7"/>
      <c r="I15" s="7"/>
      <c r="J15" s="7">
        <f t="shared" si="26"/>
        <v>0</v>
      </c>
      <c r="K15" s="7"/>
      <c r="L15" s="7"/>
      <c r="M15" s="7">
        <f t="shared" si="27"/>
        <v>0</v>
      </c>
      <c r="N15" s="7"/>
      <c r="O15" s="7"/>
      <c r="P15" s="7">
        <f t="shared" si="28"/>
        <v>0</v>
      </c>
      <c r="Q15" s="7"/>
      <c r="R15" s="7"/>
      <c r="S15" s="7">
        <f t="shared" si="29"/>
        <v>0</v>
      </c>
      <c r="T15" s="7"/>
      <c r="U15" s="7"/>
      <c r="V15" s="7">
        <f t="shared" si="30"/>
        <v>0</v>
      </c>
      <c r="W15" s="7"/>
      <c r="X15" s="7"/>
      <c r="Y15" s="7">
        <f t="shared" si="31"/>
        <v>0</v>
      </c>
      <c r="Z15" s="7"/>
      <c r="AA15" s="7"/>
      <c r="AB15" s="7">
        <f t="shared" si="32"/>
        <v>0</v>
      </c>
      <c r="AC15" s="7"/>
      <c r="AD15" s="7"/>
      <c r="AE15" s="7">
        <f t="shared" si="33"/>
        <v>0</v>
      </c>
      <c r="AF15" s="7"/>
      <c r="AG15" s="7"/>
      <c r="AH15" s="7">
        <f t="shared" si="34"/>
        <v>0</v>
      </c>
      <c r="AI15" s="7"/>
      <c r="AJ15" s="7"/>
      <c r="AK15" s="7">
        <f t="shared" si="35"/>
        <v>0</v>
      </c>
      <c r="AL15" s="8">
        <f t="shared" si="36"/>
        <v>0</v>
      </c>
      <c r="AM15" s="8">
        <f t="shared" si="37"/>
        <v>0</v>
      </c>
      <c r="AN15" s="6">
        <f t="shared" si="38"/>
        <v>0</v>
      </c>
    </row>
    <row r="16" spans="1:40" ht="15.75" hidden="1" customHeight="1" outlineLevel="1" x14ac:dyDescent="0.25">
      <c r="A16" s="10" t="s">
        <v>40</v>
      </c>
      <c r="B16" s="11"/>
      <c r="C16" s="11"/>
      <c r="D16" s="7">
        <f t="shared" si="39"/>
        <v>0</v>
      </c>
      <c r="E16" s="7"/>
      <c r="F16" s="7"/>
      <c r="G16" s="7">
        <f t="shared" si="25"/>
        <v>0</v>
      </c>
      <c r="H16" s="7"/>
      <c r="I16" s="7"/>
      <c r="J16" s="7">
        <f t="shared" si="26"/>
        <v>0</v>
      </c>
      <c r="K16" s="7"/>
      <c r="L16" s="7"/>
      <c r="M16" s="7">
        <f t="shared" si="27"/>
        <v>0</v>
      </c>
      <c r="N16" s="7"/>
      <c r="O16" s="7"/>
      <c r="P16" s="7">
        <f t="shared" si="28"/>
        <v>0</v>
      </c>
      <c r="Q16" s="7"/>
      <c r="R16" s="7"/>
      <c r="S16" s="7">
        <f t="shared" si="29"/>
        <v>0</v>
      </c>
      <c r="T16" s="7"/>
      <c r="U16" s="7"/>
      <c r="V16" s="7">
        <f t="shared" si="30"/>
        <v>0</v>
      </c>
      <c r="W16" s="7"/>
      <c r="X16" s="7"/>
      <c r="Y16" s="7">
        <f t="shared" si="31"/>
        <v>0</v>
      </c>
      <c r="Z16" s="7"/>
      <c r="AA16" s="7"/>
      <c r="AB16" s="7">
        <f t="shared" si="32"/>
        <v>0</v>
      </c>
      <c r="AC16" s="7"/>
      <c r="AD16" s="7"/>
      <c r="AE16" s="7">
        <f t="shared" si="33"/>
        <v>0</v>
      </c>
      <c r="AF16" s="7"/>
      <c r="AG16" s="7"/>
      <c r="AH16" s="7">
        <f t="shared" si="34"/>
        <v>0</v>
      </c>
      <c r="AI16" s="7"/>
      <c r="AJ16" s="7"/>
      <c r="AK16" s="7">
        <f t="shared" si="35"/>
        <v>0</v>
      </c>
      <c r="AL16" s="8">
        <f t="shared" si="36"/>
        <v>0</v>
      </c>
      <c r="AM16" s="8">
        <f t="shared" si="37"/>
        <v>0</v>
      </c>
      <c r="AN16" s="6">
        <f t="shared" si="38"/>
        <v>0</v>
      </c>
    </row>
    <row r="17" spans="1:40" ht="15.75" hidden="1" customHeight="1" outlineLevel="1" x14ac:dyDescent="0.25">
      <c r="A17" s="10"/>
      <c r="B17" s="11"/>
      <c r="C17" s="11"/>
      <c r="D17" s="7">
        <f t="shared" si="39"/>
        <v>0</v>
      </c>
      <c r="E17" s="7"/>
      <c r="F17" s="7"/>
      <c r="G17" s="7">
        <f t="shared" si="25"/>
        <v>0</v>
      </c>
      <c r="H17" s="7"/>
      <c r="I17" s="7"/>
      <c r="J17" s="7">
        <f>H17-I17</f>
        <v>0</v>
      </c>
      <c r="K17" s="7"/>
      <c r="L17" s="7"/>
      <c r="M17" s="7">
        <f>K17-L17</f>
        <v>0</v>
      </c>
      <c r="N17" s="7"/>
      <c r="O17" s="7"/>
      <c r="P17" s="7">
        <f>N17-O17</f>
        <v>0</v>
      </c>
      <c r="Q17" s="7"/>
      <c r="R17" s="7"/>
      <c r="S17" s="7">
        <f>Q17-R17</f>
        <v>0</v>
      </c>
      <c r="T17" s="7"/>
      <c r="U17" s="7"/>
      <c r="V17" s="7">
        <f>T17-U17</f>
        <v>0</v>
      </c>
      <c r="W17" s="7"/>
      <c r="X17" s="7"/>
      <c r="Y17" s="7">
        <f>W17-X17</f>
        <v>0</v>
      </c>
      <c r="Z17" s="7"/>
      <c r="AA17" s="7"/>
      <c r="AB17" s="7">
        <f>Z17-AA17</f>
        <v>0</v>
      </c>
      <c r="AC17" s="7"/>
      <c r="AD17" s="7"/>
      <c r="AE17" s="7">
        <f>AC17-AD17</f>
        <v>0</v>
      </c>
      <c r="AF17" s="7"/>
      <c r="AG17" s="7"/>
      <c r="AH17" s="7">
        <f>AF17-AG17</f>
        <v>0</v>
      </c>
      <c r="AI17" s="7"/>
      <c r="AJ17" s="7"/>
      <c r="AK17" s="7">
        <f>AI17-AJ17</f>
        <v>0</v>
      </c>
      <c r="AL17" s="8">
        <f t="shared" si="36"/>
        <v>0</v>
      </c>
      <c r="AM17" s="8">
        <f t="shared" si="37"/>
        <v>0</v>
      </c>
      <c r="AN17" s="6">
        <f t="shared" si="38"/>
        <v>0</v>
      </c>
    </row>
    <row r="18" spans="1:40" ht="15.75" hidden="1" customHeight="1" outlineLevel="1" x14ac:dyDescent="0.25">
      <c r="A18" s="10"/>
      <c r="B18" s="11"/>
      <c r="C18" s="11"/>
      <c r="D18" s="7">
        <f t="shared" si="39"/>
        <v>0</v>
      </c>
      <c r="E18" s="7"/>
      <c r="F18" s="7"/>
      <c r="G18" s="7">
        <f t="shared" si="25"/>
        <v>0</v>
      </c>
      <c r="H18" s="7"/>
      <c r="I18" s="7"/>
      <c r="J18" s="7">
        <f t="shared" si="26"/>
        <v>0</v>
      </c>
      <c r="K18" s="7"/>
      <c r="L18" s="7"/>
      <c r="M18" s="7">
        <f t="shared" si="27"/>
        <v>0</v>
      </c>
      <c r="N18" s="7"/>
      <c r="O18" s="7"/>
      <c r="P18" s="7">
        <f t="shared" si="28"/>
        <v>0</v>
      </c>
      <c r="Q18" s="7"/>
      <c r="R18" s="7"/>
      <c r="S18" s="7">
        <f t="shared" si="29"/>
        <v>0</v>
      </c>
      <c r="T18" s="7"/>
      <c r="U18" s="7"/>
      <c r="V18" s="7">
        <f t="shared" si="30"/>
        <v>0</v>
      </c>
      <c r="W18" s="7"/>
      <c r="X18" s="7"/>
      <c r="Y18" s="7">
        <f t="shared" si="31"/>
        <v>0</v>
      </c>
      <c r="Z18" s="7"/>
      <c r="AA18" s="7"/>
      <c r="AB18" s="7">
        <f t="shared" si="32"/>
        <v>0</v>
      </c>
      <c r="AC18" s="7"/>
      <c r="AD18" s="7"/>
      <c r="AE18" s="7">
        <f t="shared" si="33"/>
        <v>0</v>
      </c>
      <c r="AF18" s="7"/>
      <c r="AG18" s="7"/>
      <c r="AH18" s="7">
        <f t="shared" si="34"/>
        <v>0</v>
      </c>
      <c r="AI18" s="7"/>
      <c r="AJ18" s="7"/>
      <c r="AK18" s="7">
        <f t="shared" si="35"/>
        <v>0</v>
      </c>
      <c r="AL18" s="8">
        <f t="shared" si="36"/>
        <v>0</v>
      </c>
      <c r="AM18" s="8">
        <f t="shared" si="37"/>
        <v>0</v>
      </c>
      <c r="AN18" s="6">
        <f t="shared" si="38"/>
        <v>0</v>
      </c>
    </row>
    <row r="19" spans="1:40" s="27" customFormat="1" ht="15" customHeight="1" collapsed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</row>
    <row r="20" spans="1:40" ht="15.75" customHeight="1" x14ac:dyDescent="0.25">
      <c r="A20" s="32" t="s">
        <v>24</v>
      </c>
      <c r="B20" s="6">
        <f>SUM(B21:B29)</f>
        <v>0</v>
      </c>
      <c r="C20" s="6">
        <f>SUM(C21:C29)</f>
        <v>0</v>
      </c>
      <c r="D20" s="6">
        <f t="shared" si="11"/>
        <v>0</v>
      </c>
      <c r="E20" s="6">
        <f>SUM(E21:E29)</f>
        <v>0</v>
      </c>
      <c r="F20" s="6">
        <f>SUM(F21:F29)</f>
        <v>0</v>
      </c>
      <c r="G20" s="6">
        <f t="shared" si="12"/>
        <v>0</v>
      </c>
      <c r="H20" s="6">
        <f>SUM(H21:H29)</f>
        <v>0</v>
      </c>
      <c r="I20" s="6">
        <f>SUM(I21:I29)</f>
        <v>0</v>
      </c>
      <c r="J20" s="6">
        <f t="shared" si="13"/>
        <v>0</v>
      </c>
      <c r="K20" s="6">
        <f>SUM(K21:K29)</f>
        <v>0</v>
      </c>
      <c r="L20" s="6">
        <f>SUM(L21:L29)</f>
        <v>0</v>
      </c>
      <c r="M20" s="6">
        <f t="shared" ref="M20:M62" si="40">K20-L20</f>
        <v>0</v>
      </c>
      <c r="N20" s="6">
        <f>SUM(N21:N29)</f>
        <v>0</v>
      </c>
      <c r="O20" s="6">
        <f>SUM(O21:O29)</f>
        <v>0</v>
      </c>
      <c r="P20" s="6">
        <f t="shared" ref="P20:P62" si="41">N20-O20</f>
        <v>0</v>
      </c>
      <c r="Q20" s="6">
        <f>SUM(Q21:Q29)</f>
        <v>0</v>
      </c>
      <c r="R20" s="6">
        <f>SUM(R21:R29)</f>
        <v>0</v>
      </c>
      <c r="S20" s="6">
        <f t="shared" ref="S20:S62" si="42">Q20-R20</f>
        <v>0</v>
      </c>
      <c r="T20" s="6">
        <f>SUM(T21:T29)</f>
        <v>0</v>
      </c>
      <c r="U20" s="6">
        <f>SUM(U21:U29)</f>
        <v>0</v>
      </c>
      <c r="V20" s="6">
        <f t="shared" ref="V20:V62" si="43">T20-U20</f>
        <v>0</v>
      </c>
      <c r="W20" s="6">
        <f>SUM(W21:W29)</f>
        <v>0</v>
      </c>
      <c r="X20" s="6">
        <f>SUM(X21:X29)</f>
        <v>0</v>
      </c>
      <c r="Y20" s="6">
        <f t="shared" ref="Y20:Y62" si="44">W20-X20</f>
        <v>0</v>
      </c>
      <c r="Z20" s="6">
        <f>SUM(Z21:Z29)</f>
        <v>0</v>
      </c>
      <c r="AA20" s="6">
        <f>SUM(AA21:AA29)</f>
        <v>0</v>
      </c>
      <c r="AB20" s="6">
        <f t="shared" ref="AB20:AB62" si="45">Z20-AA20</f>
        <v>0</v>
      </c>
      <c r="AC20" s="6">
        <f>SUM(AC21:AC29)</f>
        <v>0</v>
      </c>
      <c r="AD20" s="6">
        <f>SUM(AD21:AD29)</f>
        <v>0</v>
      </c>
      <c r="AE20" s="6">
        <f t="shared" ref="AE20:AE62" si="46">AC20-AD20</f>
        <v>0</v>
      </c>
      <c r="AF20" s="6">
        <f>SUM(AF21:AF29)</f>
        <v>0</v>
      </c>
      <c r="AG20" s="6">
        <f>SUM(AG21:AG29)</f>
        <v>0</v>
      </c>
      <c r="AH20" s="6">
        <f t="shared" ref="AH20:AH62" si="47">AF20-AG20</f>
        <v>0</v>
      </c>
      <c r="AI20" s="6">
        <f>SUM(AI21:AI29)</f>
        <v>0</v>
      </c>
      <c r="AJ20" s="6">
        <f>SUM(AJ21:AJ29)</f>
        <v>0</v>
      </c>
      <c r="AK20" s="6">
        <f t="shared" ref="AK20:AK62" si="48">AI20-AJ20</f>
        <v>0</v>
      </c>
      <c r="AL20" s="6">
        <f>SUM(AL21:AL29)</f>
        <v>0</v>
      </c>
      <c r="AM20" s="6">
        <f>SUM(AM21:AM29)</f>
        <v>0</v>
      </c>
      <c r="AN20" s="6">
        <f t="shared" si="23"/>
        <v>0</v>
      </c>
    </row>
    <row r="21" spans="1:40" ht="15.75" hidden="1" customHeight="1" outlineLevel="1" x14ac:dyDescent="0.25">
      <c r="A21" s="10" t="s">
        <v>47</v>
      </c>
      <c r="B21" s="11"/>
      <c r="C21" s="11"/>
      <c r="D21" s="7">
        <f>B21-C21</f>
        <v>0</v>
      </c>
      <c r="E21" s="7"/>
      <c r="F21" s="7"/>
      <c r="G21" s="7">
        <f t="shared" si="12"/>
        <v>0</v>
      </c>
      <c r="H21" s="7"/>
      <c r="I21" s="7"/>
      <c r="J21" s="7">
        <f t="shared" si="13"/>
        <v>0</v>
      </c>
      <c r="K21" s="7"/>
      <c r="L21" s="7"/>
      <c r="M21" s="7">
        <f t="shared" si="40"/>
        <v>0</v>
      </c>
      <c r="N21" s="7"/>
      <c r="O21" s="7"/>
      <c r="P21" s="7">
        <f t="shared" si="41"/>
        <v>0</v>
      </c>
      <c r="Q21" s="7"/>
      <c r="R21" s="7"/>
      <c r="S21" s="7">
        <f t="shared" si="42"/>
        <v>0</v>
      </c>
      <c r="T21" s="7"/>
      <c r="U21" s="7"/>
      <c r="V21" s="7">
        <f t="shared" si="43"/>
        <v>0</v>
      </c>
      <c r="W21" s="7"/>
      <c r="X21" s="7"/>
      <c r="Y21" s="7">
        <f t="shared" si="44"/>
        <v>0</v>
      </c>
      <c r="Z21" s="7"/>
      <c r="AA21" s="7"/>
      <c r="AB21" s="7">
        <f t="shared" si="45"/>
        <v>0</v>
      </c>
      <c r="AC21" s="7"/>
      <c r="AD21" s="7"/>
      <c r="AE21" s="7">
        <f t="shared" si="46"/>
        <v>0</v>
      </c>
      <c r="AF21" s="7"/>
      <c r="AG21" s="7"/>
      <c r="AH21" s="7">
        <f t="shared" si="47"/>
        <v>0</v>
      </c>
      <c r="AI21" s="7"/>
      <c r="AJ21" s="7"/>
      <c r="AK21" s="7">
        <f t="shared" si="48"/>
        <v>0</v>
      </c>
      <c r="AL21" s="8">
        <f t="shared" ref="AL21:AL23" si="49">B21+E21+H21+K21+N21+Q21+T21+W21+Z21+AC21+AF21+AI21</f>
        <v>0</v>
      </c>
      <c r="AM21" s="8">
        <f>C21+F21+I21+L21+O21+R21+U21+X21+AA21+AD21+AG21+AJ21</f>
        <v>0</v>
      </c>
      <c r="AN21" s="9">
        <f>AL21-AM21</f>
        <v>0</v>
      </c>
    </row>
    <row r="22" spans="1:40" ht="15.75" hidden="1" customHeight="1" outlineLevel="1" x14ac:dyDescent="0.25">
      <c r="A22" s="10" t="s">
        <v>34</v>
      </c>
      <c r="B22" s="11"/>
      <c r="C22" s="11"/>
      <c r="D22" s="7">
        <f t="shared" si="11"/>
        <v>0</v>
      </c>
      <c r="E22" s="7"/>
      <c r="F22" s="7"/>
      <c r="G22" s="7">
        <f t="shared" si="12"/>
        <v>0</v>
      </c>
      <c r="H22" s="7"/>
      <c r="I22" s="7"/>
      <c r="J22" s="7">
        <f t="shared" si="13"/>
        <v>0</v>
      </c>
      <c r="K22" s="7"/>
      <c r="L22" s="7"/>
      <c r="M22" s="7">
        <f t="shared" si="40"/>
        <v>0</v>
      </c>
      <c r="N22" s="7"/>
      <c r="O22" s="7"/>
      <c r="P22" s="7">
        <f t="shared" si="41"/>
        <v>0</v>
      </c>
      <c r="Q22" s="7"/>
      <c r="R22" s="7"/>
      <c r="S22" s="7">
        <f t="shared" si="42"/>
        <v>0</v>
      </c>
      <c r="T22" s="7"/>
      <c r="U22" s="7"/>
      <c r="V22" s="7">
        <f t="shared" si="43"/>
        <v>0</v>
      </c>
      <c r="W22" s="7"/>
      <c r="X22" s="7"/>
      <c r="Y22" s="7">
        <f t="shared" si="44"/>
        <v>0</v>
      </c>
      <c r="Z22" s="7"/>
      <c r="AA22" s="7"/>
      <c r="AB22" s="7">
        <f t="shared" si="45"/>
        <v>0</v>
      </c>
      <c r="AC22" s="7"/>
      <c r="AD22" s="7"/>
      <c r="AE22" s="7">
        <f t="shared" si="46"/>
        <v>0</v>
      </c>
      <c r="AF22" s="7"/>
      <c r="AG22" s="7"/>
      <c r="AH22" s="7">
        <f t="shared" si="47"/>
        <v>0</v>
      </c>
      <c r="AI22" s="7"/>
      <c r="AJ22" s="7"/>
      <c r="AK22" s="7">
        <f t="shared" si="48"/>
        <v>0</v>
      </c>
      <c r="AL22" s="8">
        <f t="shared" si="49"/>
        <v>0</v>
      </c>
      <c r="AM22" s="8">
        <f>C22+F22+I22+L22+O22+R22+U22+X22+AA22+AD22+AG22+AJ22</f>
        <v>0</v>
      </c>
      <c r="AN22" s="6">
        <f t="shared" si="23"/>
        <v>0</v>
      </c>
    </row>
    <row r="23" spans="1:40" ht="15.75" hidden="1" customHeight="1" outlineLevel="1" x14ac:dyDescent="0.25">
      <c r="A23" s="10" t="s">
        <v>48</v>
      </c>
      <c r="B23" s="11"/>
      <c r="C23" s="11"/>
      <c r="D23" s="7">
        <f t="shared" si="11"/>
        <v>0</v>
      </c>
      <c r="E23" s="7"/>
      <c r="F23" s="7"/>
      <c r="G23" s="7">
        <f t="shared" si="12"/>
        <v>0</v>
      </c>
      <c r="H23" s="7"/>
      <c r="I23" s="7"/>
      <c r="J23" s="7">
        <f t="shared" si="13"/>
        <v>0</v>
      </c>
      <c r="K23" s="7"/>
      <c r="L23" s="7"/>
      <c r="M23" s="7">
        <f t="shared" si="40"/>
        <v>0</v>
      </c>
      <c r="N23" s="7"/>
      <c r="O23" s="7"/>
      <c r="P23" s="7">
        <f t="shared" si="41"/>
        <v>0</v>
      </c>
      <c r="Q23" s="7"/>
      <c r="R23" s="7"/>
      <c r="S23" s="7">
        <f t="shared" si="42"/>
        <v>0</v>
      </c>
      <c r="T23" s="7"/>
      <c r="U23" s="7"/>
      <c r="V23" s="7">
        <f t="shared" si="43"/>
        <v>0</v>
      </c>
      <c r="W23" s="7"/>
      <c r="X23" s="7"/>
      <c r="Y23" s="7">
        <f t="shared" si="44"/>
        <v>0</v>
      </c>
      <c r="Z23" s="7"/>
      <c r="AA23" s="7"/>
      <c r="AB23" s="7">
        <f t="shared" si="45"/>
        <v>0</v>
      </c>
      <c r="AC23" s="7"/>
      <c r="AD23" s="7"/>
      <c r="AE23" s="7">
        <f t="shared" si="46"/>
        <v>0</v>
      </c>
      <c r="AF23" s="7"/>
      <c r="AG23" s="7"/>
      <c r="AH23" s="7">
        <f t="shared" si="47"/>
        <v>0</v>
      </c>
      <c r="AI23" s="7"/>
      <c r="AJ23" s="7"/>
      <c r="AK23" s="7">
        <f t="shared" si="48"/>
        <v>0</v>
      </c>
      <c r="AL23" s="8">
        <f t="shared" si="49"/>
        <v>0</v>
      </c>
      <c r="AM23" s="8">
        <f>C23+F23+I23+L23+O23+R23+U23+X23+AA23+AD23+AG23+AJ23</f>
        <v>0</v>
      </c>
      <c r="AN23" s="6">
        <f t="shared" si="23"/>
        <v>0</v>
      </c>
    </row>
    <row r="24" spans="1:40" ht="15.75" hidden="1" customHeight="1" outlineLevel="1" x14ac:dyDescent="0.25">
      <c r="A24" s="10" t="s">
        <v>40</v>
      </c>
      <c r="B24" s="11"/>
      <c r="C24" s="11"/>
      <c r="D24" s="7">
        <f t="shared" si="11"/>
        <v>0</v>
      </c>
      <c r="E24" s="7"/>
      <c r="F24" s="7"/>
      <c r="G24" s="7">
        <f t="shared" si="12"/>
        <v>0</v>
      </c>
      <c r="H24" s="7"/>
      <c r="I24" s="7"/>
      <c r="J24" s="7">
        <f t="shared" si="13"/>
        <v>0</v>
      </c>
      <c r="K24" s="7"/>
      <c r="L24" s="7"/>
      <c r="M24" s="7">
        <f t="shared" si="40"/>
        <v>0</v>
      </c>
      <c r="N24" s="7"/>
      <c r="O24" s="7"/>
      <c r="P24" s="7">
        <f t="shared" si="41"/>
        <v>0</v>
      </c>
      <c r="Q24" s="7"/>
      <c r="R24" s="7"/>
      <c r="S24" s="7">
        <f t="shared" si="42"/>
        <v>0</v>
      </c>
      <c r="T24" s="7"/>
      <c r="U24" s="7"/>
      <c r="V24" s="7">
        <f t="shared" si="43"/>
        <v>0</v>
      </c>
      <c r="W24" s="7"/>
      <c r="X24" s="7"/>
      <c r="Y24" s="7">
        <f t="shared" si="44"/>
        <v>0</v>
      </c>
      <c r="Z24" s="7"/>
      <c r="AA24" s="7"/>
      <c r="AB24" s="7">
        <f t="shared" si="45"/>
        <v>0</v>
      </c>
      <c r="AC24" s="7"/>
      <c r="AD24" s="7"/>
      <c r="AE24" s="7">
        <f t="shared" si="46"/>
        <v>0</v>
      </c>
      <c r="AF24" s="7"/>
      <c r="AG24" s="7"/>
      <c r="AH24" s="7">
        <f t="shared" si="47"/>
        <v>0</v>
      </c>
      <c r="AI24" s="7"/>
      <c r="AJ24" s="7"/>
      <c r="AK24" s="7">
        <f t="shared" si="48"/>
        <v>0</v>
      </c>
      <c r="AL24" s="8">
        <f>B24+E24+H24+K24+N24+Q24+T24+W24+Z24+AC24+AF24+AI24</f>
        <v>0</v>
      </c>
      <c r="AM24" s="8">
        <f>C24+F24+I24+L24+O24+R24+U24+X24+AA24+AD24+AG24+AJ24</f>
        <v>0</v>
      </c>
      <c r="AN24" s="6">
        <f t="shared" si="23"/>
        <v>0</v>
      </c>
    </row>
    <row r="25" spans="1:40" ht="15.75" hidden="1" customHeight="1" outlineLevel="1" x14ac:dyDescent="0.25">
      <c r="A25" s="10"/>
      <c r="B25" s="11"/>
      <c r="C25" s="11"/>
      <c r="D25" s="7">
        <f t="shared" si="11"/>
        <v>0</v>
      </c>
      <c r="E25" s="7"/>
      <c r="F25" s="7"/>
      <c r="G25" s="7">
        <f t="shared" si="12"/>
        <v>0</v>
      </c>
      <c r="H25" s="7"/>
      <c r="I25" s="7"/>
      <c r="J25" s="7">
        <f t="shared" si="13"/>
        <v>0</v>
      </c>
      <c r="K25" s="7"/>
      <c r="L25" s="7"/>
      <c r="M25" s="7">
        <f t="shared" si="40"/>
        <v>0</v>
      </c>
      <c r="N25" s="7"/>
      <c r="O25" s="7"/>
      <c r="P25" s="7">
        <f t="shared" si="41"/>
        <v>0</v>
      </c>
      <c r="Q25" s="7"/>
      <c r="R25" s="7"/>
      <c r="S25" s="7">
        <f t="shared" si="42"/>
        <v>0</v>
      </c>
      <c r="T25" s="7"/>
      <c r="U25" s="7"/>
      <c r="V25" s="7">
        <f t="shared" si="43"/>
        <v>0</v>
      </c>
      <c r="W25" s="7"/>
      <c r="X25" s="7"/>
      <c r="Y25" s="7">
        <f t="shared" si="44"/>
        <v>0</v>
      </c>
      <c r="Z25" s="7"/>
      <c r="AA25" s="7"/>
      <c r="AB25" s="7">
        <f>Z25-AA25</f>
        <v>0</v>
      </c>
      <c r="AC25" s="7"/>
      <c r="AD25" s="7"/>
      <c r="AE25" s="7">
        <f>AC25-AD25</f>
        <v>0</v>
      </c>
      <c r="AF25" s="7"/>
      <c r="AG25" s="7"/>
      <c r="AH25" s="7">
        <f>AF25-AG25</f>
        <v>0</v>
      </c>
      <c r="AI25" s="7"/>
      <c r="AJ25" s="7"/>
      <c r="AK25" s="7">
        <f>AI25-AJ25</f>
        <v>0</v>
      </c>
      <c r="AL25" s="8">
        <f t="shared" ref="AL25:AL29" si="50">B25+E25+H25+K25+N25+Q25+T25+W25+Z25+AC25+AF25+AI25</f>
        <v>0</v>
      </c>
      <c r="AM25" s="8">
        <f t="shared" ref="AM25:AM29" si="51">C25+F25+I25+L25+O25+R25+U25+X25+AA25+AD25+AG25+AJ25</f>
        <v>0</v>
      </c>
      <c r="AN25" s="6">
        <f t="shared" ref="AN25:AN29" si="52">AL25-AM25</f>
        <v>0</v>
      </c>
    </row>
    <row r="26" spans="1:40" ht="15.75" hidden="1" customHeight="1" outlineLevel="1" x14ac:dyDescent="0.25">
      <c r="A26" s="10"/>
      <c r="B26" s="11"/>
      <c r="C26" s="11"/>
      <c r="D26" s="7">
        <f t="shared" si="11"/>
        <v>0</v>
      </c>
      <c r="E26" s="7"/>
      <c r="F26" s="7"/>
      <c r="G26" s="7">
        <f t="shared" si="12"/>
        <v>0</v>
      </c>
      <c r="H26" s="7"/>
      <c r="I26" s="7"/>
      <c r="J26" s="7">
        <f t="shared" si="13"/>
        <v>0</v>
      </c>
      <c r="K26" s="7"/>
      <c r="L26" s="7"/>
      <c r="M26" s="7">
        <f t="shared" si="40"/>
        <v>0</v>
      </c>
      <c r="N26" s="7"/>
      <c r="O26" s="7"/>
      <c r="P26" s="7">
        <f t="shared" si="41"/>
        <v>0</v>
      </c>
      <c r="Q26" s="7"/>
      <c r="R26" s="7"/>
      <c r="S26" s="7">
        <f t="shared" si="42"/>
        <v>0</v>
      </c>
      <c r="T26" s="7"/>
      <c r="U26" s="7"/>
      <c r="V26" s="7">
        <f t="shared" si="43"/>
        <v>0</v>
      </c>
      <c r="W26" s="7"/>
      <c r="X26" s="7"/>
      <c r="Y26" s="7">
        <f t="shared" si="44"/>
        <v>0</v>
      </c>
      <c r="Z26" s="7"/>
      <c r="AA26" s="7"/>
      <c r="AB26" s="7">
        <f t="shared" ref="AB26:AB29" si="53">Z26-AA26</f>
        <v>0</v>
      </c>
      <c r="AC26" s="7"/>
      <c r="AD26" s="7"/>
      <c r="AE26" s="7">
        <f t="shared" ref="AE26:AE29" si="54">AC26-AD26</f>
        <v>0</v>
      </c>
      <c r="AF26" s="7"/>
      <c r="AG26" s="7"/>
      <c r="AH26" s="7">
        <f t="shared" ref="AH26:AH29" si="55">AF26-AG26</f>
        <v>0</v>
      </c>
      <c r="AI26" s="7"/>
      <c r="AJ26" s="7"/>
      <c r="AK26" s="7">
        <f t="shared" ref="AK26:AK29" si="56">AI26-AJ26</f>
        <v>0</v>
      </c>
      <c r="AL26" s="8">
        <f t="shared" si="50"/>
        <v>0</v>
      </c>
      <c r="AM26" s="8">
        <f t="shared" si="51"/>
        <v>0</v>
      </c>
      <c r="AN26" s="6">
        <f t="shared" si="52"/>
        <v>0</v>
      </c>
    </row>
    <row r="27" spans="1:40" ht="15.75" hidden="1" customHeight="1" outlineLevel="1" x14ac:dyDescent="0.25">
      <c r="A27" s="10"/>
      <c r="B27" s="11"/>
      <c r="C27" s="11"/>
      <c r="D27" s="7">
        <f t="shared" si="11"/>
        <v>0</v>
      </c>
      <c r="E27" s="7"/>
      <c r="F27" s="7"/>
      <c r="G27" s="7">
        <f t="shared" si="12"/>
        <v>0</v>
      </c>
      <c r="H27" s="7"/>
      <c r="I27" s="7"/>
      <c r="J27" s="7">
        <f t="shared" si="13"/>
        <v>0</v>
      </c>
      <c r="K27" s="7"/>
      <c r="L27" s="7"/>
      <c r="M27" s="7">
        <f t="shared" si="40"/>
        <v>0</v>
      </c>
      <c r="N27" s="7"/>
      <c r="O27" s="7"/>
      <c r="P27" s="7">
        <f t="shared" si="41"/>
        <v>0</v>
      </c>
      <c r="Q27" s="7"/>
      <c r="R27" s="7"/>
      <c r="S27" s="7">
        <f t="shared" si="42"/>
        <v>0</v>
      </c>
      <c r="T27" s="7"/>
      <c r="U27" s="7"/>
      <c r="V27" s="7">
        <f t="shared" si="43"/>
        <v>0</v>
      </c>
      <c r="W27" s="7"/>
      <c r="X27" s="7"/>
      <c r="Y27" s="7">
        <f t="shared" si="44"/>
        <v>0</v>
      </c>
      <c r="Z27" s="7"/>
      <c r="AA27" s="7"/>
      <c r="AB27" s="7">
        <f t="shared" si="53"/>
        <v>0</v>
      </c>
      <c r="AC27" s="7"/>
      <c r="AD27" s="7"/>
      <c r="AE27" s="7">
        <f t="shared" si="54"/>
        <v>0</v>
      </c>
      <c r="AF27" s="7"/>
      <c r="AG27" s="7"/>
      <c r="AH27" s="7">
        <f t="shared" si="55"/>
        <v>0</v>
      </c>
      <c r="AI27" s="7"/>
      <c r="AJ27" s="7"/>
      <c r="AK27" s="7">
        <f t="shared" si="56"/>
        <v>0</v>
      </c>
      <c r="AL27" s="8">
        <f t="shared" si="50"/>
        <v>0</v>
      </c>
      <c r="AM27" s="8">
        <f t="shared" si="51"/>
        <v>0</v>
      </c>
      <c r="AN27" s="6">
        <f t="shared" si="52"/>
        <v>0</v>
      </c>
    </row>
    <row r="28" spans="1:40" ht="15.75" hidden="1" customHeight="1" outlineLevel="1" x14ac:dyDescent="0.25">
      <c r="A28" s="10"/>
      <c r="B28" s="11"/>
      <c r="C28" s="11"/>
      <c r="D28" s="7">
        <f t="shared" si="11"/>
        <v>0</v>
      </c>
      <c r="E28" s="7"/>
      <c r="F28" s="7"/>
      <c r="G28" s="7">
        <f t="shared" si="12"/>
        <v>0</v>
      </c>
      <c r="H28" s="7"/>
      <c r="I28" s="7"/>
      <c r="J28" s="7">
        <f t="shared" si="13"/>
        <v>0</v>
      </c>
      <c r="K28" s="7"/>
      <c r="L28" s="7"/>
      <c r="M28" s="7">
        <f t="shared" si="40"/>
        <v>0</v>
      </c>
      <c r="N28" s="7"/>
      <c r="O28" s="7"/>
      <c r="P28" s="7">
        <f t="shared" si="41"/>
        <v>0</v>
      </c>
      <c r="Q28" s="7"/>
      <c r="R28" s="7"/>
      <c r="S28" s="7">
        <f t="shared" si="42"/>
        <v>0</v>
      </c>
      <c r="T28" s="7"/>
      <c r="U28" s="7"/>
      <c r="V28" s="7">
        <f t="shared" si="43"/>
        <v>0</v>
      </c>
      <c r="W28" s="7"/>
      <c r="X28" s="7"/>
      <c r="Y28" s="7">
        <f t="shared" si="44"/>
        <v>0</v>
      </c>
      <c r="Z28" s="7"/>
      <c r="AA28" s="7"/>
      <c r="AB28" s="7">
        <f t="shared" si="53"/>
        <v>0</v>
      </c>
      <c r="AC28" s="7"/>
      <c r="AD28" s="7"/>
      <c r="AE28" s="7">
        <f t="shared" si="54"/>
        <v>0</v>
      </c>
      <c r="AF28" s="7"/>
      <c r="AG28" s="7"/>
      <c r="AH28" s="7">
        <f t="shared" si="55"/>
        <v>0</v>
      </c>
      <c r="AI28" s="7"/>
      <c r="AJ28" s="7"/>
      <c r="AK28" s="7">
        <f t="shared" si="56"/>
        <v>0</v>
      </c>
      <c r="AL28" s="8">
        <f t="shared" si="50"/>
        <v>0</v>
      </c>
      <c r="AM28" s="8">
        <f t="shared" si="51"/>
        <v>0</v>
      </c>
      <c r="AN28" s="6">
        <f t="shared" si="52"/>
        <v>0</v>
      </c>
    </row>
    <row r="29" spans="1:40" ht="15.75" hidden="1" customHeight="1" outlineLevel="1" x14ac:dyDescent="0.25">
      <c r="A29" s="10"/>
      <c r="B29" s="11"/>
      <c r="C29" s="11"/>
      <c r="D29" s="7">
        <f t="shared" si="11"/>
        <v>0</v>
      </c>
      <c r="E29" s="7"/>
      <c r="F29" s="7"/>
      <c r="G29" s="7">
        <f t="shared" si="12"/>
        <v>0</v>
      </c>
      <c r="H29" s="7"/>
      <c r="I29" s="7"/>
      <c r="J29" s="7">
        <f t="shared" si="13"/>
        <v>0</v>
      </c>
      <c r="K29" s="7"/>
      <c r="L29" s="7"/>
      <c r="M29" s="7">
        <f t="shared" si="40"/>
        <v>0</v>
      </c>
      <c r="N29" s="7"/>
      <c r="O29" s="7"/>
      <c r="P29" s="7">
        <f t="shared" si="41"/>
        <v>0</v>
      </c>
      <c r="Q29" s="7"/>
      <c r="R29" s="7"/>
      <c r="S29" s="7">
        <f t="shared" si="42"/>
        <v>0</v>
      </c>
      <c r="T29" s="7"/>
      <c r="U29" s="7"/>
      <c r="V29" s="7">
        <f t="shared" si="43"/>
        <v>0</v>
      </c>
      <c r="W29" s="7"/>
      <c r="X29" s="7"/>
      <c r="Y29" s="7">
        <f t="shared" si="44"/>
        <v>0</v>
      </c>
      <c r="Z29" s="7"/>
      <c r="AA29" s="7"/>
      <c r="AB29" s="7">
        <f t="shared" si="53"/>
        <v>0</v>
      </c>
      <c r="AC29" s="7"/>
      <c r="AD29" s="7"/>
      <c r="AE29" s="7">
        <f t="shared" si="54"/>
        <v>0</v>
      </c>
      <c r="AF29" s="7"/>
      <c r="AG29" s="7"/>
      <c r="AH29" s="7">
        <f t="shared" si="55"/>
        <v>0</v>
      </c>
      <c r="AI29" s="7"/>
      <c r="AJ29" s="7"/>
      <c r="AK29" s="7">
        <f t="shared" si="56"/>
        <v>0</v>
      </c>
      <c r="AL29" s="8">
        <f t="shared" si="50"/>
        <v>0</v>
      </c>
      <c r="AM29" s="8">
        <f t="shared" si="51"/>
        <v>0</v>
      </c>
      <c r="AN29" s="6">
        <f t="shared" si="52"/>
        <v>0</v>
      </c>
    </row>
    <row r="30" spans="1:40" s="27" customFormat="1" ht="15" customHeight="1" collapsed="1" x14ac:dyDescent="0.25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</row>
    <row r="31" spans="1:40" ht="15" customHeight="1" x14ac:dyDescent="0.25">
      <c r="A31" s="32" t="s">
        <v>25</v>
      </c>
      <c r="B31" s="6">
        <f>SUM(B32:B40)</f>
        <v>0</v>
      </c>
      <c r="C31" s="6">
        <f>SUM(C32:C40)</f>
        <v>0</v>
      </c>
      <c r="D31" s="6">
        <f t="shared" si="11"/>
        <v>0</v>
      </c>
      <c r="E31" s="6">
        <f>SUM(E32:E40)</f>
        <v>0</v>
      </c>
      <c r="F31" s="6">
        <f>SUM(F32:F40)</f>
        <v>0</v>
      </c>
      <c r="G31" s="6">
        <f t="shared" si="12"/>
        <v>0</v>
      </c>
      <c r="H31" s="6">
        <f>SUM(H32:H40)</f>
        <v>0</v>
      </c>
      <c r="I31" s="6">
        <f>SUM(I32:I40)</f>
        <v>0</v>
      </c>
      <c r="J31" s="6">
        <f t="shared" si="13"/>
        <v>0</v>
      </c>
      <c r="K31" s="6">
        <f>SUM(K32:K40)</f>
        <v>0</v>
      </c>
      <c r="L31" s="6">
        <f>SUM(L32:L40)</f>
        <v>0</v>
      </c>
      <c r="M31" s="6">
        <f t="shared" si="40"/>
        <v>0</v>
      </c>
      <c r="N31" s="6">
        <f>SUM(N32:N40)</f>
        <v>0</v>
      </c>
      <c r="O31" s="6">
        <f>SUM(O32:O40)</f>
        <v>0</v>
      </c>
      <c r="P31" s="6">
        <f t="shared" si="41"/>
        <v>0</v>
      </c>
      <c r="Q31" s="6">
        <f>SUM(Q32:Q40)</f>
        <v>0</v>
      </c>
      <c r="R31" s="6">
        <f>SUM(R32:R40)</f>
        <v>0</v>
      </c>
      <c r="S31" s="6">
        <f t="shared" si="42"/>
        <v>0</v>
      </c>
      <c r="T31" s="6">
        <f>SUM(T32:T40)</f>
        <v>0</v>
      </c>
      <c r="U31" s="6">
        <f>SUM(U32:U40)</f>
        <v>0</v>
      </c>
      <c r="V31" s="6">
        <f t="shared" si="43"/>
        <v>0</v>
      </c>
      <c r="W31" s="6">
        <f>SUM(W32:W40)</f>
        <v>0</v>
      </c>
      <c r="X31" s="6">
        <f>SUM(X32:X40)</f>
        <v>0</v>
      </c>
      <c r="Y31" s="6">
        <f t="shared" si="44"/>
        <v>0</v>
      </c>
      <c r="Z31" s="6">
        <f>SUM(Z32:Z40)</f>
        <v>0</v>
      </c>
      <c r="AA31" s="6">
        <f>SUM(AA32:AA40)</f>
        <v>0</v>
      </c>
      <c r="AB31" s="6">
        <f t="shared" si="45"/>
        <v>0</v>
      </c>
      <c r="AC31" s="6">
        <f>SUM(AC32:AC40)</f>
        <v>0</v>
      </c>
      <c r="AD31" s="6">
        <f>SUM(AD32:AD40)</f>
        <v>0</v>
      </c>
      <c r="AE31" s="6">
        <f t="shared" si="46"/>
        <v>0</v>
      </c>
      <c r="AF31" s="6">
        <f>SUM(AF32:AF40)</f>
        <v>0</v>
      </c>
      <c r="AG31" s="6">
        <f>SUM(AG32:AG40)</f>
        <v>0</v>
      </c>
      <c r="AH31" s="6">
        <f t="shared" si="47"/>
        <v>0</v>
      </c>
      <c r="AI31" s="6">
        <f>SUM(AI32:AI40)</f>
        <v>0</v>
      </c>
      <c r="AJ31" s="6">
        <f>SUM(AJ32:AJ40)</f>
        <v>0</v>
      </c>
      <c r="AK31" s="6">
        <f t="shared" si="48"/>
        <v>0</v>
      </c>
      <c r="AL31" s="6">
        <f>SUM(AL32:AL40)</f>
        <v>0</v>
      </c>
      <c r="AM31" s="6">
        <f>SUM(AM32:AM40)</f>
        <v>0</v>
      </c>
      <c r="AN31" s="6">
        <f t="shared" si="23"/>
        <v>0</v>
      </c>
    </row>
    <row r="32" spans="1:40" ht="15" hidden="1" customHeight="1" outlineLevel="1" x14ac:dyDescent="0.25">
      <c r="A32" s="10" t="s">
        <v>35</v>
      </c>
      <c r="B32" s="11"/>
      <c r="C32" s="11"/>
      <c r="D32" s="7">
        <f t="shared" si="11"/>
        <v>0</v>
      </c>
      <c r="E32" s="7"/>
      <c r="F32" s="7"/>
      <c r="G32" s="7">
        <f t="shared" si="12"/>
        <v>0</v>
      </c>
      <c r="H32" s="7"/>
      <c r="I32" s="7"/>
      <c r="J32" s="7">
        <f t="shared" si="13"/>
        <v>0</v>
      </c>
      <c r="K32" s="7"/>
      <c r="L32" s="7"/>
      <c r="M32" s="7">
        <f t="shared" si="40"/>
        <v>0</v>
      </c>
      <c r="N32" s="7"/>
      <c r="O32" s="7"/>
      <c r="P32" s="7">
        <f t="shared" si="41"/>
        <v>0</v>
      </c>
      <c r="Q32" s="7"/>
      <c r="R32" s="7"/>
      <c r="S32" s="7">
        <f t="shared" si="42"/>
        <v>0</v>
      </c>
      <c r="T32" s="7"/>
      <c r="U32" s="7"/>
      <c r="V32" s="7">
        <f t="shared" si="43"/>
        <v>0</v>
      </c>
      <c r="W32" s="7"/>
      <c r="X32" s="7"/>
      <c r="Y32" s="7">
        <f t="shared" si="44"/>
        <v>0</v>
      </c>
      <c r="Z32" s="7"/>
      <c r="AA32" s="7"/>
      <c r="AB32" s="7">
        <f t="shared" si="45"/>
        <v>0</v>
      </c>
      <c r="AC32" s="7"/>
      <c r="AD32" s="7"/>
      <c r="AE32" s="7">
        <f t="shared" si="46"/>
        <v>0</v>
      </c>
      <c r="AF32" s="7"/>
      <c r="AG32" s="7"/>
      <c r="AH32" s="7">
        <f t="shared" si="47"/>
        <v>0</v>
      </c>
      <c r="AI32" s="7"/>
      <c r="AJ32" s="7"/>
      <c r="AK32" s="7">
        <f t="shared" si="48"/>
        <v>0</v>
      </c>
      <c r="AL32" s="8">
        <f>B32+E32+H32+K32+N32+Q32+T32+W32+Z32+AC32+AF32+AI32</f>
        <v>0</v>
      </c>
      <c r="AM32" s="8">
        <f>C32+F32+I32+L32+O32+R32+U32+X32+AA32+AD32+AG32+AJ32</f>
        <v>0</v>
      </c>
      <c r="AN32" s="6">
        <f t="shared" si="23"/>
        <v>0</v>
      </c>
    </row>
    <row r="33" spans="1:40" ht="15" hidden="1" customHeight="1" outlineLevel="1" x14ac:dyDescent="0.25">
      <c r="A33" s="10" t="s">
        <v>36</v>
      </c>
      <c r="B33" s="11"/>
      <c r="C33" s="11"/>
      <c r="D33" s="7">
        <f t="shared" si="11"/>
        <v>0</v>
      </c>
      <c r="E33" s="7"/>
      <c r="F33" s="7"/>
      <c r="G33" s="7">
        <f t="shared" si="12"/>
        <v>0</v>
      </c>
      <c r="H33" s="7"/>
      <c r="I33" s="7"/>
      <c r="J33" s="7">
        <f t="shared" si="13"/>
        <v>0</v>
      </c>
      <c r="K33" s="7"/>
      <c r="L33" s="7"/>
      <c r="M33" s="7">
        <f t="shared" si="40"/>
        <v>0</v>
      </c>
      <c r="N33" s="7"/>
      <c r="O33" s="7"/>
      <c r="P33" s="7">
        <f t="shared" si="41"/>
        <v>0</v>
      </c>
      <c r="Q33" s="7"/>
      <c r="R33" s="7"/>
      <c r="S33" s="7">
        <f t="shared" si="42"/>
        <v>0</v>
      </c>
      <c r="T33" s="7"/>
      <c r="U33" s="7"/>
      <c r="V33" s="7">
        <f t="shared" si="43"/>
        <v>0</v>
      </c>
      <c r="W33" s="7"/>
      <c r="X33" s="7"/>
      <c r="Y33" s="7">
        <f t="shared" si="44"/>
        <v>0</v>
      </c>
      <c r="Z33" s="7"/>
      <c r="AA33" s="7"/>
      <c r="AB33" s="7">
        <f t="shared" si="45"/>
        <v>0</v>
      </c>
      <c r="AC33" s="7"/>
      <c r="AD33" s="7"/>
      <c r="AE33" s="7">
        <f t="shared" si="46"/>
        <v>0</v>
      </c>
      <c r="AF33" s="7"/>
      <c r="AG33" s="7"/>
      <c r="AH33" s="7">
        <f t="shared" si="47"/>
        <v>0</v>
      </c>
      <c r="AI33" s="7"/>
      <c r="AJ33" s="7"/>
      <c r="AK33" s="7">
        <f t="shared" si="48"/>
        <v>0</v>
      </c>
      <c r="AL33" s="8">
        <f t="shared" ref="AL33:AL36" si="57">B33+E33+H33+K33+N33+Q33+T33+W33+Z33+AC33+AF33+AI33</f>
        <v>0</v>
      </c>
      <c r="AM33" s="8">
        <f t="shared" ref="AM33:AM36" si="58">C33+F33+I33+L33+O33+R33+U33+X33+AA33+AD33+AG33+AJ33</f>
        <v>0</v>
      </c>
      <c r="AN33" s="6">
        <f t="shared" si="23"/>
        <v>0</v>
      </c>
    </row>
    <row r="34" spans="1:40" ht="15" hidden="1" customHeight="1" outlineLevel="1" x14ac:dyDescent="0.25">
      <c r="A34" s="10" t="s">
        <v>37</v>
      </c>
      <c r="B34" s="11"/>
      <c r="C34" s="11"/>
      <c r="D34" s="7">
        <f t="shared" si="11"/>
        <v>0</v>
      </c>
      <c r="E34" s="7"/>
      <c r="F34" s="7"/>
      <c r="G34" s="7">
        <f t="shared" si="12"/>
        <v>0</v>
      </c>
      <c r="H34" s="7"/>
      <c r="I34" s="7"/>
      <c r="J34" s="7">
        <f t="shared" si="13"/>
        <v>0</v>
      </c>
      <c r="K34" s="7"/>
      <c r="L34" s="7"/>
      <c r="M34" s="7">
        <f t="shared" si="40"/>
        <v>0</v>
      </c>
      <c r="N34" s="7"/>
      <c r="O34" s="7"/>
      <c r="P34" s="7">
        <f t="shared" si="41"/>
        <v>0</v>
      </c>
      <c r="Q34" s="7"/>
      <c r="R34" s="7"/>
      <c r="S34" s="7">
        <f t="shared" si="42"/>
        <v>0</v>
      </c>
      <c r="T34" s="7"/>
      <c r="U34" s="7"/>
      <c r="V34" s="7">
        <f t="shared" si="43"/>
        <v>0</v>
      </c>
      <c r="W34" s="7"/>
      <c r="X34" s="7"/>
      <c r="Y34" s="7">
        <f t="shared" si="44"/>
        <v>0</v>
      </c>
      <c r="Z34" s="7"/>
      <c r="AA34" s="7"/>
      <c r="AB34" s="7">
        <f t="shared" si="45"/>
        <v>0</v>
      </c>
      <c r="AC34" s="7"/>
      <c r="AD34" s="7"/>
      <c r="AE34" s="7">
        <f t="shared" si="46"/>
        <v>0</v>
      </c>
      <c r="AF34" s="7"/>
      <c r="AG34" s="7"/>
      <c r="AH34" s="7">
        <f t="shared" si="47"/>
        <v>0</v>
      </c>
      <c r="AI34" s="7"/>
      <c r="AJ34" s="7"/>
      <c r="AK34" s="7">
        <f t="shared" si="48"/>
        <v>0</v>
      </c>
      <c r="AL34" s="8">
        <f t="shared" si="57"/>
        <v>0</v>
      </c>
      <c r="AM34" s="8">
        <f t="shared" si="58"/>
        <v>0</v>
      </c>
      <c r="AN34" s="6">
        <f t="shared" si="23"/>
        <v>0</v>
      </c>
    </row>
    <row r="35" spans="1:40" ht="15" hidden="1" customHeight="1" outlineLevel="1" x14ac:dyDescent="0.25">
      <c r="A35" s="10" t="s">
        <v>38</v>
      </c>
      <c r="B35" s="11"/>
      <c r="C35" s="11"/>
      <c r="D35" s="7">
        <f t="shared" si="11"/>
        <v>0</v>
      </c>
      <c r="E35" s="7"/>
      <c r="F35" s="7"/>
      <c r="G35" s="7">
        <f t="shared" si="12"/>
        <v>0</v>
      </c>
      <c r="H35" s="7"/>
      <c r="I35" s="7"/>
      <c r="J35" s="7">
        <f t="shared" si="13"/>
        <v>0</v>
      </c>
      <c r="K35" s="7"/>
      <c r="L35" s="7"/>
      <c r="M35" s="7">
        <f t="shared" si="40"/>
        <v>0</v>
      </c>
      <c r="N35" s="7"/>
      <c r="O35" s="7"/>
      <c r="P35" s="7">
        <f t="shared" si="41"/>
        <v>0</v>
      </c>
      <c r="Q35" s="7"/>
      <c r="R35" s="7"/>
      <c r="S35" s="7">
        <f t="shared" si="42"/>
        <v>0</v>
      </c>
      <c r="T35" s="7"/>
      <c r="U35" s="7"/>
      <c r="V35" s="7">
        <f t="shared" si="43"/>
        <v>0</v>
      </c>
      <c r="W35" s="7"/>
      <c r="X35" s="7"/>
      <c r="Y35" s="7">
        <f t="shared" si="44"/>
        <v>0</v>
      </c>
      <c r="Z35" s="7"/>
      <c r="AA35" s="7"/>
      <c r="AB35" s="7">
        <f t="shared" si="45"/>
        <v>0</v>
      </c>
      <c r="AC35" s="7"/>
      <c r="AD35" s="7"/>
      <c r="AE35" s="7">
        <f t="shared" si="46"/>
        <v>0</v>
      </c>
      <c r="AF35" s="7"/>
      <c r="AG35" s="7"/>
      <c r="AH35" s="7">
        <f t="shared" si="47"/>
        <v>0</v>
      </c>
      <c r="AI35" s="7"/>
      <c r="AJ35" s="7"/>
      <c r="AK35" s="7">
        <f t="shared" si="48"/>
        <v>0</v>
      </c>
      <c r="AL35" s="8">
        <f t="shared" si="57"/>
        <v>0</v>
      </c>
      <c r="AM35" s="8">
        <f t="shared" si="58"/>
        <v>0</v>
      </c>
      <c r="AN35" s="6">
        <f t="shared" si="23"/>
        <v>0</v>
      </c>
    </row>
    <row r="36" spans="1:40" ht="15" hidden="1" customHeight="1" outlineLevel="1" x14ac:dyDescent="0.25">
      <c r="A36" s="10" t="s">
        <v>39</v>
      </c>
      <c r="B36" s="11"/>
      <c r="C36" s="11"/>
      <c r="D36" s="7">
        <f t="shared" si="11"/>
        <v>0</v>
      </c>
      <c r="E36" s="7"/>
      <c r="F36" s="7"/>
      <c r="G36" s="7">
        <f t="shared" si="12"/>
        <v>0</v>
      </c>
      <c r="H36" s="7"/>
      <c r="I36" s="7"/>
      <c r="J36" s="7">
        <f t="shared" si="13"/>
        <v>0</v>
      </c>
      <c r="K36" s="7"/>
      <c r="L36" s="7"/>
      <c r="M36" s="7">
        <f t="shared" si="40"/>
        <v>0</v>
      </c>
      <c r="N36" s="7"/>
      <c r="O36" s="7"/>
      <c r="P36" s="7">
        <f t="shared" si="41"/>
        <v>0</v>
      </c>
      <c r="Q36" s="7"/>
      <c r="R36" s="7"/>
      <c r="S36" s="7">
        <f t="shared" si="42"/>
        <v>0</v>
      </c>
      <c r="T36" s="7"/>
      <c r="U36" s="7"/>
      <c r="V36" s="7">
        <f t="shared" si="43"/>
        <v>0</v>
      </c>
      <c r="W36" s="7"/>
      <c r="X36" s="7"/>
      <c r="Y36" s="7">
        <f t="shared" si="44"/>
        <v>0</v>
      </c>
      <c r="Z36" s="7"/>
      <c r="AA36" s="7"/>
      <c r="AB36" s="7">
        <f t="shared" si="45"/>
        <v>0</v>
      </c>
      <c r="AC36" s="7"/>
      <c r="AD36" s="7"/>
      <c r="AE36" s="7">
        <f t="shared" si="46"/>
        <v>0</v>
      </c>
      <c r="AF36" s="7"/>
      <c r="AG36" s="7"/>
      <c r="AH36" s="7">
        <f t="shared" si="47"/>
        <v>0</v>
      </c>
      <c r="AI36" s="7"/>
      <c r="AJ36" s="7"/>
      <c r="AK36" s="7">
        <f t="shared" si="48"/>
        <v>0</v>
      </c>
      <c r="AL36" s="8">
        <f t="shared" si="57"/>
        <v>0</v>
      </c>
      <c r="AM36" s="8">
        <f t="shared" si="58"/>
        <v>0</v>
      </c>
      <c r="AN36" s="6">
        <f t="shared" si="23"/>
        <v>0</v>
      </c>
    </row>
    <row r="37" spans="1:40" ht="15" hidden="1" customHeight="1" outlineLevel="1" x14ac:dyDescent="0.25">
      <c r="A37" s="10" t="s">
        <v>40</v>
      </c>
      <c r="B37" s="11"/>
      <c r="C37" s="11"/>
      <c r="D37" s="7">
        <f t="shared" si="11"/>
        <v>0</v>
      </c>
      <c r="E37" s="7"/>
      <c r="F37" s="7"/>
      <c r="G37" s="7">
        <f t="shared" si="12"/>
        <v>0</v>
      </c>
      <c r="H37" s="7"/>
      <c r="I37" s="7"/>
      <c r="J37" s="7">
        <f t="shared" si="13"/>
        <v>0</v>
      </c>
      <c r="K37" s="7"/>
      <c r="L37" s="7"/>
      <c r="M37" s="7">
        <f t="shared" si="40"/>
        <v>0</v>
      </c>
      <c r="N37" s="7"/>
      <c r="O37" s="7"/>
      <c r="P37" s="7">
        <f t="shared" si="41"/>
        <v>0</v>
      </c>
      <c r="Q37" s="7"/>
      <c r="R37" s="7"/>
      <c r="S37" s="7">
        <f t="shared" si="42"/>
        <v>0</v>
      </c>
      <c r="T37" s="7"/>
      <c r="U37" s="7"/>
      <c r="V37" s="7">
        <f t="shared" si="43"/>
        <v>0</v>
      </c>
      <c r="W37" s="7"/>
      <c r="X37" s="7"/>
      <c r="Y37" s="7">
        <f t="shared" si="44"/>
        <v>0</v>
      </c>
      <c r="Z37" s="7"/>
      <c r="AA37" s="7"/>
      <c r="AB37" s="7">
        <f t="shared" si="45"/>
        <v>0</v>
      </c>
      <c r="AC37" s="7"/>
      <c r="AD37" s="7"/>
      <c r="AE37" s="7">
        <f t="shared" si="46"/>
        <v>0</v>
      </c>
      <c r="AF37" s="7"/>
      <c r="AG37" s="7"/>
      <c r="AH37" s="7">
        <f t="shared" si="47"/>
        <v>0</v>
      </c>
      <c r="AI37" s="7"/>
      <c r="AJ37" s="7"/>
      <c r="AK37" s="7">
        <f t="shared" si="48"/>
        <v>0</v>
      </c>
      <c r="AL37" s="8">
        <f>B37+E37+H37+K37+N37+Q37+T37+W37+Z37+AC37+AF37+AI37</f>
        <v>0</v>
      </c>
      <c r="AM37" s="8">
        <f>C37+F37+I37+L37+O37+R37+U37+X37+AA37+AD37+AG37+AJ37</f>
        <v>0</v>
      </c>
      <c r="AN37" s="6">
        <f>AL37-AM37</f>
        <v>0</v>
      </c>
    </row>
    <row r="38" spans="1:40" ht="15" hidden="1" customHeight="1" outlineLevel="1" x14ac:dyDescent="0.25">
      <c r="A38" s="10"/>
      <c r="B38" s="11"/>
      <c r="C38" s="11"/>
      <c r="D38" s="7">
        <f t="shared" si="11"/>
        <v>0</v>
      </c>
      <c r="E38" s="7"/>
      <c r="F38" s="7"/>
      <c r="G38" s="7">
        <f t="shared" si="12"/>
        <v>0</v>
      </c>
      <c r="H38" s="7"/>
      <c r="I38" s="7"/>
      <c r="J38" s="7">
        <f t="shared" si="13"/>
        <v>0</v>
      </c>
      <c r="K38" s="7"/>
      <c r="L38" s="7"/>
      <c r="M38" s="7">
        <f t="shared" si="40"/>
        <v>0</v>
      </c>
      <c r="N38" s="7"/>
      <c r="O38" s="7"/>
      <c r="P38" s="7">
        <f t="shared" si="41"/>
        <v>0</v>
      </c>
      <c r="Q38" s="7"/>
      <c r="R38" s="7"/>
      <c r="S38" s="7">
        <f t="shared" si="42"/>
        <v>0</v>
      </c>
      <c r="T38" s="7"/>
      <c r="U38" s="7"/>
      <c r="V38" s="7">
        <f t="shared" si="43"/>
        <v>0</v>
      </c>
      <c r="W38" s="7"/>
      <c r="X38" s="7"/>
      <c r="Y38" s="7">
        <f t="shared" si="44"/>
        <v>0</v>
      </c>
      <c r="Z38" s="7"/>
      <c r="AA38" s="7"/>
      <c r="AB38" s="7">
        <f t="shared" si="45"/>
        <v>0</v>
      </c>
      <c r="AC38" s="7"/>
      <c r="AD38" s="7"/>
      <c r="AE38" s="7">
        <f t="shared" si="46"/>
        <v>0</v>
      </c>
      <c r="AF38" s="7"/>
      <c r="AG38" s="7"/>
      <c r="AH38" s="7">
        <f t="shared" si="47"/>
        <v>0</v>
      </c>
      <c r="AI38" s="7"/>
      <c r="AJ38" s="7"/>
      <c r="AK38" s="7">
        <f t="shared" si="48"/>
        <v>0</v>
      </c>
      <c r="AL38" s="8">
        <f t="shared" ref="AL38:AL40" si="59">B38+E38+H38+K38+N38+Q38+T38+W38+Z38+AC38+AF38+AI38</f>
        <v>0</v>
      </c>
      <c r="AM38" s="8">
        <f t="shared" ref="AM38:AM40" si="60">C38+F38+I38+L38+O38+R38+U38+X38+AA38+AD38+AG38+AJ38</f>
        <v>0</v>
      </c>
      <c r="AN38" s="6">
        <f t="shared" ref="AN38:AN40" si="61">AL38-AM38</f>
        <v>0</v>
      </c>
    </row>
    <row r="39" spans="1:40" ht="15" hidden="1" customHeight="1" outlineLevel="1" x14ac:dyDescent="0.25">
      <c r="A39" s="10"/>
      <c r="B39" s="11"/>
      <c r="C39" s="11"/>
      <c r="D39" s="7">
        <f t="shared" si="11"/>
        <v>0</v>
      </c>
      <c r="E39" s="7"/>
      <c r="F39" s="7"/>
      <c r="G39" s="7">
        <f t="shared" si="12"/>
        <v>0</v>
      </c>
      <c r="H39" s="7"/>
      <c r="I39" s="7"/>
      <c r="J39" s="7">
        <f t="shared" si="13"/>
        <v>0</v>
      </c>
      <c r="K39" s="7"/>
      <c r="L39" s="7"/>
      <c r="M39" s="7">
        <f t="shared" si="40"/>
        <v>0</v>
      </c>
      <c r="N39" s="7"/>
      <c r="O39" s="7"/>
      <c r="P39" s="7">
        <f t="shared" si="41"/>
        <v>0</v>
      </c>
      <c r="Q39" s="7"/>
      <c r="R39" s="7"/>
      <c r="S39" s="7">
        <f t="shared" si="42"/>
        <v>0</v>
      </c>
      <c r="T39" s="7"/>
      <c r="U39" s="7"/>
      <c r="V39" s="7">
        <f t="shared" si="43"/>
        <v>0</v>
      </c>
      <c r="W39" s="7"/>
      <c r="X39" s="7"/>
      <c r="Y39" s="7">
        <f t="shared" si="44"/>
        <v>0</v>
      </c>
      <c r="Z39" s="7"/>
      <c r="AA39" s="7"/>
      <c r="AB39" s="7">
        <f t="shared" si="45"/>
        <v>0</v>
      </c>
      <c r="AC39" s="7"/>
      <c r="AD39" s="7"/>
      <c r="AE39" s="7">
        <f t="shared" si="46"/>
        <v>0</v>
      </c>
      <c r="AF39" s="7"/>
      <c r="AG39" s="7"/>
      <c r="AH39" s="7">
        <f t="shared" si="47"/>
        <v>0</v>
      </c>
      <c r="AI39" s="7"/>
      <c r="AJ39" s="7"/>
      <c r="AK39" s="7">
        <f t="shared" si="48"/>
        <v>0</v>
      </c>
      <c r="AL39" s="8">
        <f t="shared" si="59"/>
        <v>0</v>
      </c>
      <c r="AM39" s="8">
        <f t="shared" si="60"/>
        <v>0</v>
      </c>
      <c r="AN39" s="6">
        <f t="shared" si="61"/>
        <v>0</v>
      </c>
    </row>
    <row r="40" spans="1:40" ht="15" hidden="1" customHeight="1" outlineLevel="1" x14ac:dyDescent="0.25">
      <c r="A40" s="10"/>
      <c r="B40" s="11"/>
      <c r="C40" s="11"/>
      <c r="D40" s="7">
        <f t="shared" si="11"/>
        <v>0</v>
      </c>
      <c r="E40" s="7"/>
      <c r="F40" s="7"/>
      <c r="G40" s="7">
        <f t="shared" si="12"/>
        <v>0</v>
      </c>
      <c r="H40" s="7"/>
      <c r="I40" s="7"/>
      <c r="J40" s="7">
        <f t="shared" si="13"/>
        <v>0</v>
      </c>
      <c r="K40" s="7"/>
      <c r="L40" s="7"/>
      <c r="M40" s="7">
        <f t="shared" si="40"/>
        <v>0</v>
      </c>
      <c r="N40" s="7"/>
      <c r="O40" s="7"/>
      <c r="P40" s="7">
        <f t="shared" si="41"/>
        <v>0</v>
      </c>
      <c r="Q40" s="7"/>
      <c r="R40" s="7"/>
      <c r="S40" s="7">
        <f t="shared" si="42"/>
        <v>0</v>
      </c>
      <c r="T40" s="7"/>
      <c r="U40" s="7"/>
      <c r="V40" s="7">
        <f t="shared" si="43"/>
        <v>0</v>
      </c>
      <c r="W40" s="7"/>
      <c r="X40" s="7"/>
      <c r="Y40" s="7">
        <f t="shared" si="44"/>
        <v>0</v>
      </c>
      <c r="Z40" s="7"/>
      <c r="AA40" s="7"/>
      <c r="AB40" s="7">
        <f t="shared" si="45"/>
        <v>0</v>
      </c>
      <c r="AC40" s="7"/>
      <c r="AD40" s="7"/>
      <c r="AE40" s="7">
        <f t="shared" si="46"/>
        <v>0</v>
      </c>
      <c r="AF40" s="7"/>
      <c r="AG40" s="7"/>
      <c r="AH40" s="7">
        <f t="shared" si="47"/>
        <v>0</v>
      </c>
      <c r="AI40" s="7"/>
      <c r="AJ40" s="7"/>
      <c r="AK40" s="7">
        <f t="shared" si="48"/>
        <v>0</v>
      </c>
      <c r="AL40" s="8">
        <f t="shared" si="59"/>
        <v>0</v>
      </c>
      <c r="AM40" s="8">
        <f t="shared" si="60"/>
        <v>0</v>
      </c>
      <c r="AN40" s="6">
        <f t="shared" si="61"/>
        <v>0</v>
      </c>
    </row>
    <row r="41" spans="1:40" s="27" customFormat="1" ht="15" customHeight="1" collapsed="1" x14ac:dyDescent="0.25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</row>
    <row r="42" spans="1:40" ht="15" customHeight="1" x14ac:dyDescent="0.25">
      <c r="A42" s="32" t="s">
        <v>26</v>
      </c>
      <c r="B42" s="6">
        <f>SUM(B43:B51)</f>
        <v>0</v>
      </c>
      <c r="C42" s="6">
        <f>SUM(C43:C51)</f>
        <v>0</v>
      </c>
      <c r="D42" s="6">
        <f t="shared" si="11"/>
        <v>0</v>
      </c>
      <c r="E42" s="6">
        <f>SUM(E43:E51)</f>
        <v>0</v>
      </c>
      <c r="F42" s="6">
        <f>SUM(F43:F51)</f>
        <v>0</v>
      </c>
      <c r="G42" s="6">
        <f t="shared" si="12"/>
        <v>0</v>
      </c>
      <c r="H42" s="6">
        <f>SUM(H43:H51)</f>
        <v>0</v>
      </c>
      <c r="I42" s="6">
        <f>SUM(I43:I51)</f>
        <v>0</v>
      </c>
      <c r="J42" s="6">
        <f t="shared" si="13"/>
        <v>0</v>
      </c>
      <c r="K42" s="6">
        <f>SUM(K43:K51)</f>
        <v>0</v>
      </c>
      <c r="L42" s="6">
        <f>SUM(L43:L51)</f>
        <v>0</v>
      </c>
      <c r="M42" s="6">
        <f t="shared" si="40"/>
        <v>0</v>
      </c>
      <c r="N42" s="6">
        <f>SUM(N43:N51)</f>
        <v>0</v>
      </c>
      <c r="O42" s="6">
        <f>SUM(O43:O51)</f>
        <v>0</v>
      </c>
      <c r="P42" s="6">
        <f t="shared" si="41"/>
        <v>0</v>
      </c>
      <c r="Q42" s="6">
        <f>SUM(Q43:Q51)</f>
        <v>0</v>
      </c>
      <c r="R42" s="6">
        <f>SUM(R43:R51)</f>
        <v>0</v>
      </c>
      <c r="S42" s="6">
        <f t="shared" si="42"/>
        <v>0</v>
      </c>
      <c r="T42" s="6">
        <f>SUM(T43:T51)</f>
        <v>0</v>
      </c>
      <c r="U42" s="6">
        <f>SUM(U43:U51)</f>
        <v>0</v>
      </c>
      <c r="V42" s="6">
        <f t="shared" si="43"/>
        <v>0</v>
      </c>
      <c r="W42" s="6">
        <f>SUM(W43:W51)</f>
        <v>0</v>
      </c>
      <c r="X42" s="6">
        <f>SUM(X43:X51)</f>
        <v>0</v>
      </c>
      <c r="Y42" s="6">
        <f t="shared" si="44"/>
        <v>0</v>
      </c>
      <c r="Z42" s="6">
        <f>SUM(Z43:Z51)</f>
        <v>0</v>
      </c>
      <c r="AA42" s="6">
        <f>SUM(AA43:AA51)</f>
        <v>0</v>
      </c>
      <c r="AB42" s="6">
        <f t="shared" si="45"/>
        <v>0</v>
      </c>
      <c r="AC42" s="6">
        <f>SUM(AC43:AC51)</f>
        <v>0</v>
      </c>
      <c r="AD42" s="6">
        <f>SUM(AD43:AD51)</f>
        <v>0</v>
      </c>
      <c r="AE42" s="6">
        <f t="shared" si="46"/>
        <v>0</v>
      </c>
      <c r="AF42" s="6">
        <f>SUM(AF43:AF51)</f>
        <v>0</v>
      </c>
      <c r="AG42" s="6">
        <f>SUM(AG43:AG51)</f>
        <v>0</v>
      </c>
      <c r="AH42" s="6">
        <f t="shared" si="47"/>
        <v>0</v>
      </c>
      <c r="AI42" s="6">
        <f>SUM(AI43:AI51)</f>
        <v>0</v>
      </c>
      <c r="AJ42" s="6">
        <f>SUM(AJ43:AJ51)</f>
        <v>0</v>
      </c>
      <c r="AK42" s="6">
        <f t="shared" si="48"/>
        <v>0</v>
      </c>
      <c r="AL42" s="6">
        <f>SUM(AL43:AL51)</f>
        <v>0</v>
      </c>
      <c r="AM42" s="6">
        <f>SUM(AM43:AM51)</f>
        <v>0</v>
      </c>
      <c r="AN42" s="6">
        <f t="shared" si="23"/>
        <v>0</v>
      </c>
    </row>
    <row r="43" spans="1:40" ht="15" hidden="1" customHeight="1" outlineLevel="1" x14ac:dyDescent="0.25">
      <c r="A43" s="10" t="s">
        <v>0</v>
      </c>
      <c r="B43" s="11"/>
      <c r="C43" s="11"/>
      <c r="D43" s="7">
        <f t="shared" si="11"/>
        <v>0</v>
      </c>
      <c r="E43" s="7"/>
      <c r="F43" s="7"/>
      <c r="G43" s="7">
        <f t="shared" si="12"/>
        <v>0</v>
      </c>
      <c r="H43" s="7"/>
      <c r="I43" s="7"/>
      <c r="J43" s="7">
        <f t="shared" si="13"/>
        <v>0</v>
      </c>
      <c r="K43" s="7"/>
      <c r="L43" s="7"/>
      <c r="M43" s="7">
        <f t="shared" si="40"/>
        <v>0</v>
      </c>
      <c r="N43" s="7"/>
      <c r="O43" s="7"/>
      <c r="P43" s="7">
        <f t="shared" si="41"/>
        <v>0</v>
      </c>
      <c r="Q43" s="7"/>
      <c r="R43" s="7"/>
      <c r="S43" s="7">
        <f t="shared" si="42"/>
        <v>0</v>
      </c>
      <c r="T43" s="7"/>
      <c r="U43" s="7"/>
      <c r="V43" s="7">
        <f t="shared" si="43"/>
        <v>0</v>
      </c>
      <c r="W43" s="7"/>
      <c r="X43" s="7"/>
      <c r="Y43" s="7">
        <f t="shared" si="44"/>
        <v>0</v>
      </c>
      <c r="Z43" s="7"/>
      <c r="AA43" s="7"/>
      <c r="AB43" s="7">
        <f t="shared" si="45"/>
        <v>0</v>
      </c>
      <c r="AC43" s="7"/>
      <c r="AD43" s="7"/>
      <c r="AE43" s="7">
        <f t="shared" si="46"/>
        <v>0</v>
      </c>
      <c r="AF43" s="7"/>
      <c r="AG43" s="7"/>
      <c r="AH43" s="7">
        <f t="shared" si="47"/>
        <v>0</v>
      </c>
      <c r="AI43" s="7"/>
      <c r="AJ43" s="7"/>
      <c r="AK43" s="7">
        <f t="shared" si="48"/>
        <v>0</v>
      </c>
      <c r="AL43" s="8">
        <f t="shared" ref="AL43" si="62">B43+E43+H43+K43+N43+Q43+T43+W43+Z43+AC43+AF43+AI43</f>
        <v>0</v>
      </c>
      <c r="AM43" s="8">
        <f t="shared" ref="AM43" si="63">C43+F43+I43+L43+O43+R43+U43+X43+AA43+AD43+AG43+AJ43</f>
        <v>0</v>
      </c>
      <c r="AN43" s="6">
        <f t="shared" si="23"/>
        <v>0</v>
      </c>
    </row>
    <row r="44" spans="1:40" ht="15" hidden="1" customHeight="1" outlineLevel="1" x14ac:dyDescent="0.25">
      <c r="A44" s="10" t="s">
        <v>43</v>
      </c>
      <c r="B44" s="11"/>
      <c r="C44" s="11"/>
      <c r="D44" s="7">
        <f t="shared" si="11"/>
        <v>0</v>
      </c>
      <c r="E44" s="7"/>
      <c r="F44" s="7"/>
      <c r="G44" s="7">
        <f t="shared" si="12"/>
        <v>0</v>
      </c>
      <c r="H44" s="7"/>
      <c r="I44" s="7"/>
      <c r="J44" s="7">
        <f t="shared" si="13"/>
        <v>0</v>
      </c>
      <c r="K44" s="7"/>
      <c r="L44" s="7"/>
      <c r="M44" s="7">
        <f t="shared" si="40"/>
        <v>0</v>
      </c>
      <c r="N44" s="7"/>
      <c r="O44" s="7"/>
      <c r="P44" s="7">
        <f t="shared" si="41"/>
        <v>0</v>
      </c>
      <c r="Q44" s="7"/>
      <c r="R44" s="7"/>
      <c r="S44" s="7">
        <f t="shared" si="42"/>
        <v>0</v>
      </c>
      <c r="T44" s="7"/>
      <c r="U44" s="7"/>
      <c r="V44" s="7">
        <f t="shared" si="43"/>
        <v>0</v>
      </c>
      <c r="W44" s="7"/>
      <c r="X44" s="7"/>
      <c r="Y44" s="7">
        <f t="shared" si="44"/>
        <v>0</v>
      </c>
      <c r="Z44" s="7"/>
      <c r="AA44" s="7"/>
      <c r="AB44" s="7">
        <f t="shared" si="45"/>
        <v>0</v>
      </c>
      <c r="AC44" s="7"/>
      <c r="AD44" s="7"/>
      <c r="AE44" s="7">
        <f t="shared" si="46"/>
        <v>0</v>
      </c>
      <c r="AF44" s="7"/>
      <c r="AG44" s="7"/>
      <c r="AH44" s="7">
        <f t="shared" si="47"/>
        <v>0</v>
      </c>
      <c r="AI44" s="7"/>
      <c r="AJ44" s="7"/>
      <c r="AK44" s="7">
        <f t="shared" si="48"/>
        <v>0</v>
      </c>
      <c r="AL44" s="8">
        <f t="shared" ref="AL44:AL51" si="64">B44+E44+H44+K44+N44+Q44+T44+W44+Z44+AC44+AF44+AI44</f>
        <v>0</v>
      </c>
      <c r="AM44" s="8">
        <f t="shared" ref="AM44:AM51" si="65">C44+F44+I44+L44+O44+R44+U44+X44+AA44+AD44+AG44+AJ44</f>
        <v>0</v>
      </c>
      <c r="AN44" s="6">
        <f t="shared" ref="AN44:AN51" si="66">AL44-AM44</f>
        <v>0</v>
      </c>
    </row>
    <row r="45" spans="1:40" ht="15" hidden="1" customHeight="1" outlineLevel="1" x14ac:dyDescent="0.25">
      <c r="A45" s="10" t="s">
        <v>1</v>
      </c>
      <c r="B45" s="11"/>
      <c r="C45" s="11"/>
      <c r="D45" s="7">
        <f t="shared" si="11"/>
        <v>0</v>
      </c>
      <c r="E45" s="7"/>
      <c r="F45" s="7"/>
      <c r="G45" s="7">
        <f t="shared" si="12"/>
        <v>0</v>
      </c>
      <c r="H45" s="7"/>
      <c r="I45" s="7"/>
      <c r="J45" s="7">
        <f t="shared" si="13"/>
        <v>0</v>
      </c>
      <c r="K45" s="7"/>
      <c r="L45" s="7"/>
      <c r="M45" s="7">
        <f t="shared" si="40"/>
        <v>0</v>
      </c>
      <c r="N45" s="7"/>
      <c r="O45" s="7"/>
      <c r="P45" s="7">
        <f t="shared" si="41"/>
        <v>0</v>
      </c>
      <c r="Q45" s="7"/>
      <c r="R45" s="7"/>
      <c r="S45" s="7">
        <f t="shared" si="42"/>
        <v>0</v>
      </c>
      <c r="T45" s="7"/>
      <c r="U45" s="7"/>
      <c r="V45" s="7">
        <f t="shared" si="43"/>
        <v>0</v>
      </c>
      <c r="W45" s="7"/>
      <c r="X45" s="7"/>
      <c r="Y45" s="7">
        <f t="shared" si="44"/>
        <v>0</v>
      </c>
      <c r="Z45" s="7"/>
      <c r="AA45" s="7"/>
      <c r="AB45" s="7">
        <f t="shared" si="45"/>
        <v>0</v>
      </c>
      <c r="AC45" s="7"/>
      <c r="AD45" s="7"/>
      <c r="AE45" s="7">
        <f t="shared" si="46"/>
        <v>0</v>
      </c>
      <c r="AF45" s="7"/>
      <c r="AG45" s="7"/>
      <c r="AH45" s="7">
        <f t="shared" si="47"/>
        <v>0</v>
      </c>
      <c r="AI45" s="7"/>
      <c r="AJ45" s="7"/>
      <c r="AK45" s="7">
        <f t="shared" si="48"/>
        <v>0</v>
      </c>
      <c r="AL45" s="8">
        <f t="shared" si="64"/>
        <v>0</v>
      </c>
      <c r="AM45" s="8">
        <f t="shared" si="65"/>
        <v>0</v>
      </c>
      <c r="AN45" s="6">
        <f t="shared" si="66"/>
        <v>0</v>
      </c>
    </row>
    <row r="46" spans="1:40" ht="15" hidden="1" customHeight="1" outlineLevel="1" x14ac:dyDescent="0.25">
      <c r="A46" s="10" t="s">
        <v>2</v>
      </c>
      <c r="B46" s="11"/>
      <c r="C46" s="11"/>
      <c r="D46" s="7">
        <f t="shared" si="11"/>
        <v>0</v>
      </c>
      <c r="E46" s="7"/>
      <c r="F46" s="7"/>
      <c r="G46" s="7">
        <f t="shared" si="12"/>
        <v>0</v>
      </c>
      <c r="H46" s="7"/>
      <c r="I46" s="7"/>
      <c r="J46" s="7">
        <f t="shared" si="13"/>
        <v>0</v>
      </c>
      <c r="K46" s="7"/>
      <c r="L46" s="7"/>
      <c r="M46" s="7">
        <f t="shared" si="40"/>
        <v>0</v>
      </c>
      <c r="N46" s="7"/>
      <c r="O46" s="7"/>
      <c r="P46" s="7">
        <f t="shared" si="41"/>
        <v>0</v>
      </c>
      <c r="Q46" s="7"/>
      <c r="R46" s="7"/>
      <c r="S46" s="7">
        <f t="shared" si="42"/>
        <v>0</v>
      </c>
      <c r="T46" s="7"/>
      <c r="U46" s="7"/>
      <c r="V46" s="7">
        <f t="shared" si="43"/>
        <v>0</v>
      </c>
      <c r="W46" s="7"/>
      <c r="X46" s="7"/>
      <c r="Y46" s="7">
        <f t="shared" si="44"/>
        <v>0</v>
      </c>
      <c r="Z46" s="7"/>
      <c r="AA46" s="7"/>
      <c r="AB46" s="7">
        <f t="shared" si="45"/>
        <v>0</v>
      </c>
      <c r="AC46" s="7"/>
      <c r="AD46" s="7"/>
      <c r="AE46" s="7">
        <f t="shared" si="46"/>
        <v>0</v>
      </c>
      <c r="AF46" s="7"/>
      <c r="AG46" s="7"/>
      <c r="AH46" s="7">
        <f t="shared" si="47"/>
        <v>0</v>
      </c>
      <c r="AI46" s="7"/>
      <c r="AJ46" s="7"/>
      <c r="AK46" s="7">
        <f t="shared" si="48"/>
        <v>0</v>
      </c>
      <c r="AL46" s="8">
        <f t="shared" si="64"/>
        <v>0</v>
      </c>
      <c r="AM46" s="8">
        <f t="shared" si="65"/>
        <v>0</v>
      </c>
      <c r="AN46" s="6">
        <f t="shared" si="66"/>
        <v>0</v>
      </c>
    </row>
    <row r="47" spans="1:40" ht="15" hidden="1" customHeight="1" outlineLevel="1" x14ac:dyDescent="0.25">
      <c r="A47" s="10" t="s">
        <v>44</v>
      </c>
      <c r="B47" s="11"/>
      <c r="C47" s="11"/>
      <c r="D47" s="7">
        <f t="shared" si="11"/>
        <v>0</v>
      </c>
      <c r="E47" s="7"/>
      <c r="F47" s="7"/>
      <c r="G47" s="7">
        <f t="shared" si="12"/>
        <v>0</v>
      </c>
      <c r="H47" s="7"/>
      <c r="I47" s="7"/>
      <c r="J47" s="7">
        <f t="shared" si="13"/>
        <v>0</v>
      </c>
      <c r="K47" s="7"/>
      <c r="L47" s="7"/>
      <c r="M47" s="7">
        <f t="shared" si="40"/>
        <v>0</v>
      </c>
      <c r="N47" s="7"/>
      <c r="O47" s="7"/>
      <c r="P47" s="7">
        <f t="shared" si="41"/>
        <v>0</v>
      </c>
      <c r="Q47" s="7"/>
      <c r="R47" s="7"/>
      <c r="S47" s="7">
        <f t="shared" si="42"/>
        <v>0</v>
      </c>
      <c r="T47" s="7"/>
      <c r="U47" s="7"/>
      <c r="V47" s="7">
        <f t="shared" si="43"/>
        <v>0</v>
      </c>
      <c r="W47" s="7"/>
      <c r="X47" s="7"/>
      <c r="Y47" s="7">
        <f t="shared" si="44"/>
        <v>0</v>
      </c>
      <c r="Z47" s="7"/>
      <c r="AA47" s="7"/>
      <c r="AB47" s="7">
        <f t="shared" si="45"/>
        <v>0</v>
      </c>
      <c r="AC47" s="7"/>
      <c r="AD47" s="7"/>
      <c r="AE47" s="7">
        <f t="shared" si="46"/>
        <v>0</v>
      </c>
      <c r="AF47" s="7"/>
      <c r="AG47" s="7"/>
      <c r="AH47" s="7">
        <f t="shared" si="47"/>
        <v>0</v>
      </c>
      <c r="AI47" s="7"/>
      <c r="AJ47" s="7"/>
      <c r="AK47" s="7">
        <f t="shared" si="48"/>
        <v>0</v>
      </c>
      <c r="AL47" s="8">
        <f t="shared" si="64"/>
        <v>0</v>
      </c>
      <c r="AM47" s="8">
        <f t="shared" si="65"/>
        <v>0</v>
      </c>
      <c r="AN47" s="6">
        <f t="shared" si="66"/>
        <v>0</v>
      </c>
    </row>
    <row r="48" spans="1:40" ht="15" hidden="1" customHeight="1" outlineLevel="1" x14ac:dyDescent="0.25">
      <c r="A48" s="10" t="s">
        <v>45</v>
      </c>
      <c r="B48" s="11"/>
      <c r="C48" s="11"/>
      <c r="D48" s="7">
        <f>B48-C48</f>
        <v>0</v>
      </c>
      <c r="E48" s="7"/>
      <c r="F48" s="7"/>
      <c r="G48" s="7">
        <f t="shared" si="12"/>
        <v>0</v>
      </c>
      <c r="H48" s="7"/>
      <c r="I48" s="7"/>
      <c r="J48" s="7">
        <f t="shared" si="13"/>
        <v>0</v>
      </c>
      <c r="K48" s="7"/>
      <c r="L48" s="7"/>
      <c r="M48" s="7">
        <f t="shared" si="40"/>
        <v>0</v>
      </c>
      <c r="N48" s="7"/>
      <c r="O48" s="7"/>
      <c r="P48" s="7">
        <f t="shared" si="41"/>
        <v>0</v>
      </c>
      <c r="Q48" s="7"/>
      <c r="R48" s="7"/>
      <c r="S48" s="7">
        <f t="shared" si="42"/>
        <v>0</v>
      </c>
      <c r="T48" s="7"/>
      <c r="U48" s="7"/>
      <c r="V48" s="7">
        <f t="shared" si="43"/>
        <v>0</v>
      </c>
      <c r="W48" s="7"/>
      <c r="X48" s="7"/>
      <c r="Y48" s="7">
        <f t="shared" si="44"/>
        <v>0</v>
      </c>
      <c r="Z48" s="7"/>
      <c r="AA48" s="7"/>
      <c r="AB48" s="7">
        <f t="shared" si="45"/>
        <v>0</v>
      </c>
      <c r="AC48" s="7"/>
      <c r="AD48" s="7"/>
      <c r="AE48" s="7">
        <f t="shared" si="46"/>
        <v>0</v>
      </c>
      <c r="AF48" s="7"/>
      <c r="AG48" s="7"/>
      <c r="AH48" s="7">
        <f t="shared" si="47"/>
        <v>0</v>
      </c>
      <c r="AI48" s="7"/>
      <c r="AJ48" s="7"/>
      <c r="AK48" s="7">
        <f t="shared" si="48"/>
        <v>0</v>
      </c>
      <c r="AL48" s="8">
        <f t="shared" si="64"/>
        <v>0</v>
      </c>
      <c r="AM48" s="8">
        <f t="shared" si="65"/>
        <v>0</v>
      </c>
      <c r="AN48" s="6">
        <f t="shared" si="66"/>
        <v>0</v>
      </c>
    </row>
    <row r="49" spans="1:40" ht="15" hidden="1" customHeight="1" outlineLevel="1" x14ac:dyDescent="0.25">
      <c r="A49" s="10" t="s">
        <v>46</v>
      </c>
      <c r="B49" s="11"/>
      <c r="C49" s="11"/>
      <c r="D49" s="7">
        <f>B49-C49</f>
        <v>0</v>
      </c>
      <c r="E49" s="7"/>
      <c r="F49" s="7"/>
      <c r="G49" s="7">
        <f t="shared" si="12"/>
        <v>0</v>
      </c>
      <c r="H49" s="7"/>
      <c r="I49" s="7"/>
      <c r="J49" s="7">
        <f t="shared" si="13"/>
        <v>0</v>
      </c>
      <c r="K49" s="7"/>
      <c r="L49" s="7"/>
      <c r="M49" s="7">
        <f t="shared" si="40"/>
        <v>0</v>
      </c>
      <c r="N49" s="7"/>
      <c r="O49" s="7"/>
      <c r="P49" s="7">
        <f t="shared" si="41"/>
        <v>0</v>
      </c>
      <c r="Q49" s="7"/>
      <c r="R49" s="7"/>
      <c r="S49" s="7">
        <f t="shared" si="42"/>
        <v>0</v>
      </c>
      <c r="T49" s="7"/>
      <c r="U49" s="7"/>
      <c r="V49" s="7">
        <f t="shared" si="43"/>
        <v>0</v>
      </c>
      <c r="W49" s="7"/>
      <c r="X49" s="7"/>
      <c r="Y49" s="7">
        <f t="shared" si="44"/>
        <v>0</v>
      </c>
      <c r="Z49" s="7"/>
      <c r="AA49" s="7"/>
      <c r="AB49" s="7">
        <f t="shared" si="45"/>
        <v>0</v>
      </c>
      <c r="AC49" s="7"/>
      <c r="AD49" s="7"/>
      <c r="AE49" s="7">
        <f t="shared" si="46"/>
        <v>0</v>
      </c>
      <c r="AF49" s="7"/>
      <c r="AG49" s="7"/>
      <c r="AH49" s="7">
        <f t="shared" si="47"/>
        <v>0</v>
      </c>
      <c r="AI49" s="7"/>
      <c r="AJ49" s="7"/>
      <c r="AK49" s="7">
        <f t="shared" si="48"/>
        <v>0</v>
      </c>
      <c r="AL49" s="8">
        <f t="shared" si="64"/>
        <v>0</v>
      </c>
      <c r="AM49" s="8">
        <f t="shared" si="65"/>
        <v>0</v>
      </c>
      <c r="AN49" s="6">
        <f t="shared" si="66"/>
        <v>0</v>
      </c>
    </row>
    <row r="50" spans="1:40" ht="15" hidden="1" customHeight="1" outlineLevel="1" x14ac:dyDescent="0.25">
      <c r="A50" s="10"/>
      <c r="B50" s="11"/>
      <c r="C50" s="11"/>
      <c r="D50" s="7">
        <f t="shared" si="11"/>
        <v>0</v>
      </c>
      <c r="E50" s="7"/>
      <c r="F50" s="7"/>
      <c r="G50" s="7">
        <f t="shared" si="12"/>
        <v>0</v>
      </c>
      <c r="H50" s="7"/>
      <c r="I50" s="7"/>
      <c r="J50" s="7">
        <f t="shared" si="13"/>
        <v>0</v>
      </c>
      <c r="K50" s="7"/>
      <c r="L50" s="7"/>
      <c r="M50" s="7">
        <f t="shared" si="40"/>
        <v>0</v>
      </c>
      <c r="N50" s="7"/>
      <c r="O50" s="7"/>
      <c r="P50" s="7">
        <f t="shared" si="41"/>
        <v>0</v>
      </c>
      <c r="Q50" s="7"/>
      <c r="R50" s="7"/>
      <c r="S50" s="7">
        <f t="shared" si="42"/>
        <v>0</v>
      </c>
      <c r="T50" s="7"/>
      <c r="U50" s="7"/>
      <c r="V50" s="7">
        <f t="shared" si="43"/>
        <v>0</v>
      </c>
      <c r="W50" s="7"/>
      <c r="X50" s="7"/>
      <c r="Y50" s="7">
        <f t="shared" si="44"/>
        <v>0</v>
      </c>
      <c r="Z50" s="7"/>
      <c r="AA50" s="7"/>
      <c r="AB50" s="7">
        <f t="shared" si="45"/>
        <v>0</v>
      </c>
      <c r="AC50" s="7"/>
      <c r="AD50" s="7"/>
      <c r="AE50" s="7">
        <f t="shared" si="46"/>
        <v>0</v>
      </c>
      <c r="AF50" s="7"/>
      <c r="AG50" s="7"/>
      <c r="AH50" s="7">
        <f t="shared" si="47"/>
        <v>0</v>
      </c>
      <c r="AI50" s="7"/>
      <c r="AJ50" s="7"/>
      <c r="AK50" s="7">
        <f t="shared" si="48"/>
        <v>0</v>
      </c>
      <c r="AL50" s="8">
        <f t="shared" si="64"/>
        <v>0</v>
      </c>
      <c r="AM50" s="8">
        <f t="shared" si="65"/>
        <v>0</v>
      </c>
      <c r="AN50" s="6">
        <f t="shared" si="66"/>
        <v>0</v>
      </c>
    </row>
    <row r="51" spans="1:40" ht="15" hidden="1" customHeight="1" outlineLevel="1" x14ac:dyDescent="0.25">
      <c r="A51" s="10"/>
      <c r="B51" s="11"/>
      <c r="C51" s="11"/>
      <c r="D51" s="7">
        <f t="shared" si="11"/>
        <v>0</v>
      </c>
      <c r="E51" s="7"/>
      <c r="F51" s="7"/>
      <c r="G51" s="7">
        <f t="shared" si="12"/>
        <v>0</v>
      </c>
      <c r="H51" s="7"/>
      <c r="I51" s="7"/>
      <c r="J51" s="7">
        <f t="shared" si="13"/>
        <v>0</v>
      </c>
      <c r="K51" s="7"/>
      <c r="L51" s="7"/>
      <c r="M51" s="7">
        <f t="shared" si="40"/>
        <v>0</v>
      </c>
      <c r="N51" s="7"/>
      <c r="O51" s="7"/>
      <c r="P51" s="7">
        <f t="shared" si="41"/>
        <v>0</v>
      </c>
      <c r="Q51" s="7"/>
      <c r="R51" s="7"/>
      <c r="S51" s="7">
        <f t="shared" si="42"/>
        <v>0</v>
      </c>
      <c r="T51" s="7"/>
      <c r="U51" s="7"/>
      <c r="V51" s="7">
        <f t="shared" si="43"/>
        <v>0</v>
      </c>
      <c r="W51" s="7"/>
      <c r="X51" s="7"/>
      <c r="Y51" s="7">
        <f t="shared" si="44"/>
        <v>0</v>
      </c>
      <c r="Z51" s="7"/>
      <c r="AA51" s="7"/>
      <c r="AB51" s="7">
        <f t="shared" si="45"/>
        <v>0</v>
      </c>
      <c r="AC51" s="7"/>
      <c r="AD51" s="7"/>
      <c r="AE51" s="7">
        <f t="shared" si="46"/>
        <v>0</v>
      </c>
      <c r="AF51" s="7"/>
      <c r="AG51" s="7"/>
      <c r="AH51" s="7">
        <f t="shared" si="47"/>
        <v>0</v>
      </c>
      <c r="AI51" s="7"/>
      <c r="AJ51" s="7"/>
      <c r="AK51" s="7">
        <f t="shared" si="48"/>
        <v>0</v>
      </c>
      <c r="AL51" s="8">
        <f t="shared" si="64"/>
        <v>0</v>
      </c>
      <c r="AM51" s="8">
        <f t="shared" si="65"/>
        <v>0</v>
      </c>
      <c r="AN51" s="6">
        <f t="shared" si="66"/>
        <v>0</v>
      </c>
    </row>
    <row r="52" spans="1:40" s="27" customFormat="1" ht="14.25" customHeight="1" collapsed="1" x14ac:dyDescent="0.25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</row>
    <row r="53" spans="1:40" ht="15" customHeight="1" x14ac:dyDescent="0.25">
      <c r="A53" s="32" t="s">
        <v>27</v>
      </c>
      <c r="B53" s="6">
        <f>SUM(B54:B62)</f>
        <v>0</v>
      </c>
      <c r="C53" s="6">
        <f>SUM(C54:C62)</f>
        <v>0</v>
      </c>
      <c r="D53" s="6">
        <f>B53-C53</f>
        <v>0</v>
      </c>
      <c r="E53" s="6">
        <f>SUM(E54:E62)</f>
        <v>0</v>
      </c>
      <c r="F53" s="6">
        <f>SUM(F54:F62)</f>
        <v>0</v>
      </c>
      <c r="G53" s="6">
        <f t="shared" si="12"/>
        <v>0</v>
      </c>
      <c r="H53" s="6">
        <f>SUM(H54:H62)</f>
        <v>0</v>
      </c>
      <c r="I53" s="6">
        <f>SUM(I54:I62)</f>
        <v>0</v>
      </c>
      <c r="J53" s="6">
        <f t="shared" si="13"/>
        <v>0</v>
      </c>
      <c r="K53" s="6">
        <f>SUM(K54:K62)</f>
        <v>0</v>
      </c>
      <c r="L53" s="6">
        <f>SUM(L54:L62)</f>
        <v>0</v>
      </c>
      <c r="M53" s="6">
        <f t="shared" si="40"/>
        <v>0</v>
      </c>
      <c r="N53" s="6">
        <f>SUM(N54:N62)</f>
        <v>0</v>
      </c>
      <c r="O53" s="6">
        <f>SUM(O54:O62)</f>
        <v>0</v>
      </c>
      <c r="P53" s="6">
        <f t="shared" si="41"/>
        <v>0</v>
      </c>
      <c r="Q53" s="6">
        <f>SUM(Q54:Q62)</f>
        <v>0</v>
      </c>
      <c r="R53" s="6">
        <f>SUM(R54:R62)</f>
        <v>0</v>
      </c>
      <c r="S53" s="6">
        <f t="shared" si="42"/>
        <v>0</v>
      </c>
      <c r="T53" s="6">
        <f>SUM(T54:T62)</f>
        <v>0</v>
      </c>
      <c r="U53" s="6">
        <f>SUM(U54:U62)</f>
        <v>0</v>
      </c>
      <c r="V53" s="6">
        <f t="shared" si="43"/>
        <v>0</v>
      </c>
      <c r="W53" s="6">
        <f>SUM(W54:W62)</f>
        <v>0</v>
      </c>
      <c r="X53" s="6">
        <f>SUM(X54:X62)</f>
        <v>0</v>
      </c>
      <c r="Y53" s="6">
        <f t="shared" si="44"/>
        <v>0</v>
      </c>
      <c r="Z53" s="6">
        <f>SUM(Z54:Z62)</f>
        <v>0</v>
      </c>
      <c r="AA53" s="6">
        <f>SUM(AA54:AA62)</f>
        <v>0</v>
      </c>
      <c r="AB53" s="6">
        <f t="shared" si="45"/>
        <v>0</v>
      </c>
      <c r="AC53" s="6">
        <f>SUM(AC54:AC62)</f>
        <v>0</v>
      </c>
      <c r="AD53" s="6">
        <f>SUM(AD54:AD62)</f>
        <v>0</v>
      </c>
      <c r="AE53" s="6">
        <f t="shared" si="46"/>
        <v>0</v>
      </c>
      <c r="AF53" s="6">
        <f>SUM(AF54:AF62)</f>
        <v>0</v>
      </c>
      <c r="AG53" s="6">
        <f>SUM(AG54:AG62)</f>
        <v>0</v>
      </c>
      <c r="AH53" s="6">
        <f t="shared" si="47"/>
        <v>0</v>
      </c>
      <c r="AI53" s="6">
        <f>SUM(AI54:AI62)</f>
        <v>0</v>
      </c>
      <c r="AJ53" s="6">
        <f>SUM(AJ54:AJ62)</f>
        <v>0</v>
      </c>
      <c r="AK53" s="6">
        <f t="shared" si="48"/>
        <v>0</v>
      </c>
      <c r="AL53" s="6">
        <f>SUM(AL54:AL62)</f>
        <v>0</v>
      </c>
      <c r="AM53" s="6">
        <f>SUM(AM54:AM62)</f>
        <v>0</v>
      </c>
      <c r="AN53" s="6">
        <f t="shared" si="23"/>
        <v>0</v>
      </c>
    </row>
    <row r="54" spans="1:40" ht="15" hidden="1" customHeight="1" outlineLevel="1" x14ac:dyDescent="0.25">
      <c r="A54" s="10" t="s">
        <v>41</v>
      </c>
      <c r="B54" s="11"/>
      <c r="C54" s="11"/>
      <c r="D54" s="7">
        <f t="shared" si="11"/>
        <v>0</v>
      </c>
      <c r="E54" s="7"/>
      <c r="F54" s="7"/>
      <c r="G54" s="7">
        <f t="shared" si="12"/>
        <v>0</v>
      </c>
      <c r="H54" s="7"/>
      <c r="I54" s="7"/>
      <c r="J54" s="7">
        <f t="shared" si="13"/>
        <v>0</v>
      </c>
      <c r="K54" s="7"/>
      <c r="L54" s="7"/>
      <c r="M54" s="7">
        <f t="shared" si="40"/>
        <v>0</v>
      </c>
      <c r="N54" s="7"/>
      <c r="O54" s="7"/>
      <c r="P54" s="7">
        <f t="shared" si="41"/>
        <v>0</v>
      </c>
      <c r="Q54" s="7"/>
      <c r="R54" s="7"/>
      <c r="S54" s="7">
        <f t="shared" si="42"/>
        <v>0</v>
      </c>
      <c r="T54" s="7"/>
      <c r="U54" s="7"/>
      <c r="V54" s="7">
        <f t="shared" si="43"/>
        <v>0</v>
      </c>
      <c r="W54" s="7"/>
      <c r="X54" s="7"/>
      <c r="Y54" s="7">
        <f t="shared" si="44"/>
        <v>0</v>
      </c>
      <c r="Z54" s="7"/>
      <c r="AA54" s="7"/>
      <c r="AB54" s="7">
        <f t="shared" si="45"/>
        <v>0</v>
      </c>
      <c r="AC54" s="7"/>
      <c r="AD54" s="7"/>
      <c r="AE54" s="7">
        <f t="shared" si="46"/>
        <v>0</v>
      </c>
      <c r="AF54" s="7"/>
      <c r="AG54" s="7"/>
      <c r="AH54" s="7">
        <f t="shared" si="47"/>
        <v>0</v>
      </c>
      <c r="AI54" s="7"/>
      <c r="AJ54" s="7"/>
      <c r="AK54" s="7">
        <f t="shared" si="48"/>
        <v>0</v>
      </c>
      <c r="AL54" s="8">
        <f t="shared" ref="AL54" si="67">B54+E54+H54+K54+N54+Q54+T54+W54+Z54+AC54+AF54+AI54</f>
        <v>0</v>
      </c>
      <c r="AM54" s="8">
        <f t="shared" ref="AM54" si="68">C54+F54+I54+L54+O54+R54+U54+X54+AA54+AD54+AG54+AJ54</f>
        <v>0</v>
      </c>
      <c r="AN54" s="6">
        <f t="shared" si="23"/>
        <v>0</v>
      </c>
    </row>
    <row r="55" spans="1:40" ht="15" hidden="1" customHeight="1" outlineLevel="1" x14ac:dyDescent="0.25">
      <c r="A55" s="10" t="s">
        <v>42</v>
      </c>
      <c r="B55" s="11"/>
      <c r="C55" s="11"/>
      <c r="D55" s="7">
        <f t="shared" si="11"/>
        <v>0</v>
      </c>
      <c r="E55" s="7"/>
      <c r="F55" s="7"/>
      <c r="G55" s="7">
        <f t="shared" si="12"/>
        <v>0</v>
      </c>
      <c r="H55" s="7"/>
      <c r="I55" s="7"/>
      <c r="J55" s="7">
        <f t="shared" si="13"/>
        <v>0</v>
      </c>
      <c r="K55" s="7"/>
      <c r="L55" s="7"/>
      <c r="M55" s="7">
        <f t="shared" si="40"/>
        <v>0</v>
      </c>
      <c r="N55" s="7"/>
      <c r="O55" s="7"/>
      <c r="P55" s="7">
        <f t="shared" si="41"/>
        <v>0</v>
      </c>
      <c r="Q55" s="7"/>
      <c r="R55" s="7"/>
      <c r="S55" s="7">
        <f t="shared" si="42"/>
        <v>0</v>
      </c>
      <c r="T55" s="7"/>
      <c r="U55" s="7"/>
      <c r="V55" s="7">
        <f t="shared" si="43"/>
        <v>0</v>
      </c>
      <c r="W55" s="7"/>
      <c r="X55" s="7"/>
      <c r="Y55" s="7">
        <f t="shared" si="44"/>
        <v>0</v>
      </c>
      <c r="Z55" s="7"/>
      <c r="AA55" s="7"/>
      <c r="AB55" s="7">
        <f t="shared" si="45"/>
        <v>0</v>
      </c>
      <c r="AC55" s="7"/>
      <c r="AD55" s="7"/>
      <c r="AE55" s="7">
        <f t="shared" si="46"/>
        <v>0</v>
      </c>
      <c r="AF55" s="7"/>
      <c r="AG55" s="7"/>
      <c r="AH55" s="7">
        <f t="shared" si="47"/>
        <v>0</v>
      </c>
      <c r="AI55" s="7"/>
      <c r="AJ55" s="7"/>
      <c r="AK55" s="7">
        <f t="shared" si="48"/>
        <v>0</v>
      </c>
      <c r="AL55" s="8">
        <f t="shared" ref="AL55:AL56" si="69">B55+E55+H55+K55+N55+Q55+T55+W55+Z55+AC55+AF55+AI55</f>
        <v>0</v>
      </c>
      <c r="AM55" s="8">
        <f t="shared" ref="AM55:AM56" si="70">C55+F55+I55+L55+O55+R55+U55+X55+AA55+AD55+AG55+AJ55</f>
        <v>0</v>
      </c>
      <c r="AN55" s="6">
        <f t="shared" si="23"/>
        <v>0</v>
      </c>
    </row>
    <row r="56" spans="1:40" ht="15" hidden="1" customHeight="1" outlineLevel="1" x14ac:dyDescent="0.25">
      <c r="A56" s="10" t="s">
        <v>54</v>
      </c>
      <c r="B56" s="11"/>
      <c r="C56" s="11"/>
      <c r="D56" s="7">
        <f t="shared" si="11"/>
        <v>0</v>
      </c>
      <c r="E56" s="7"/>
      <c r="F56" s="7"/>
      <c r="G56" s="7">
        <f t="shared" si="12"/>
        <v>0</v>
      </c>
      <c r="H56" s="7"/>
      <c r="I56" s="7"/>
      <c r="J56" s="7">
        <f t="shared" si="13"/>
        <v>0</v>
      </c>
      <c r="K56" s="7"/>
      <c r="L56" s="7"/>
      <c r="M56" s="7">
        <f t="shared" si="40"/>
        <v>0</v>
      </c>
      <c r="N56" s="7"/>
      <c r="O56" s="7"/>
      <c r="P56" s="7">
        <f t="shared" si="41"/>
        <v>0</v>
      </c>
      <c r="Q56" s="7"/>
      <c r="R56" s="7"/>
      <c r="S56" s="7">
        <f t="shared" si="42"/>
        <v>0</v>
      </c>
      <c r="T56" s="7"/>
      <c r="U56" s="7"/>
      <c r="V56" s="7">
        <f t="shared" si="43"/>
        <v>0</v>
      </c>
      <c r="W56" s="7"/>
      <c r="X56" s="7"/>
      <c r="Y56" s="7">
        <f t="shared" si="44"/>
        <v>0</v>
      </c>
      <c r="Z56" s="7"/>
      <c r="AA56" s="7"/>
      <c r="AB56" s="7">
        <f t="shared" si="45"/>
        <v>0</v>
      </c>
      <c r="AC56" s="7"/>
      <c r="AD56" s="7"/>
      <c r="AE56" s="7">
        <f t="shared" si="46"/>
        <v>0</v>
      </c>
      <c r="AF56" s="7"/>
      <c r="AG56" s="7"/>
      <c r="AH56" s="7">
        <f t="shared" si="47"/>
        <v>0</v>
      </c>
      <c r="AI56" s="7"/>
      <c r="AJ56" s="7"/>
      <c r="AK56" s="7">
        <f t="shared" si="48"/>
        <v>0</v>
      </c>
      <c r="AL56" s="8">
        <f t="shared" si="69"/>
        <v>0</v>
      </c>
      <c r="AM56" s="8">
        <f t="shared" si="70"/>
        <v>0</v>
      </c>
      <c r="AN56" s="6">
        <f t="shared" si="23"/>
        <v>0</v>
      </c>
    </row>
    <row r="57" spans="1:40" ht="15" hidden="1" customHeight="1" outlineLevel="1" x14ac:dyDescent="0.25">
      <c r="A57" s="10" t="s">
        <v>46</v>
      </c>
      <c r="B57" s="11"/>
      <c r="C57" s="11"/>
      <c r="D57" s="7">
        <f t="shared" si="11"/>
        <v>0</v>
      </c>
      <c r="E57" s="7"/>
      <c r="F57" s="7"/>
      <c r="G57" s="7">
        <f t="shared" si="12"/>
        <v>0</v>
      </c>
      <c r="H57" s="7"/>
      <c r="I57" s="7"/>
      <c r="J57" s="7">
        <f t="shared" si="13"/>
        <v>0</v>
      </c>
      <c r="K57" s="7"/>
      <c r="L57" s="7"/>
      <c r="M57" s="7">
        <f t="shared" si="40"/>
        <v>0</v>
      </c>
      <c r="N57" s="7"/>
      <c r="O57" s="7"/>
      <c r="P57" s="7">
        <f t="shared" si="41"/>
        <v>0</v>
      </c>
      <c r="Q57" s="7"/>
      <c r="R57" s="7"/>
      <c r="S57" s="7">
        <f t="shared" si="42"/>
        <v>0</v>
      </c>
      <c r="T57" s="7"/>
      <c r="U57" s="7"/>
      <c r="V57" s="7">
        <f t="shared" si="43"/>
        <v>0</v>
      </c>
      <c r="W57" s="7"/>
      <c r="X57" s="7"/>
      <c r="Y57" s="7">
        <f t="shared" si="44"/>
        <v>0</v>
      </c>
      <c r="Z57" s="7"/>
      <c r="AA57" s="7"/>
      <c r="AB57" s="7">
        <f t="shared" si="45"/>
        <v>0</v>
      </c>
      <c r="AC57" s="7"/>
      <c r="AD57" s="7"/>
      <c r="AE57" s="7">
        <f t="shared" si="46"/>
        <v>0</v>
      </c>
      <c r="AF57" s="7"/>
      <c r="AG57" s="7"/>
      <c r="AH57" s="7">
        <f t="shared" si="47"/>
        <v>0</v>
      </c>
      <c r="AI57" s="7"/>
      <c r="AJ57" s="7"/>
      <c r="AK57" s="7">
        <f t="shared" si="48"/>
        <v>0</v>
      </c>
      <c r="AL57" s="8">
        <f t="shared" ref="AL57:AL62" si="71">B57+E57+H57+K57+N57+Q57+T57+W57+Z57+AC57+AF57+AI57</f>
        <v>0</v>
      </c>
      <c r="AM57" s="8">
        <f t="shared" ref="AM57:AM62" si="72">C57+F57+I57+L57+O57+R57+U57+X57+AA57+AD57+AG57+AJ57</f>
        <v>0</v>
      </c>
      <c r="AN57" s="6">
        <f t="shared" ref="AN57:AN62" si="73">AL57-AM57</f>
        <v>0</v>
      </c>
    </row>
    <row r="58" spans="1:40" ht="15" hidden="1" customHeight="1" outlineLevel="1" x14ac:dyDescent="0.25">
      <c r="A58" s="10"/>
      <c r="B58" s="11"/>
      <c r="C58" s="11"/>
      <c r="D58" s="7">
        <f t="shared" si="11"/>
        <v>0</v>
      </c>
      <c r="E58" s="7"/>
      <c r="F58" s="7"/>
      <c r="G58" s="7">
        <f t="shared" si="12"/>
        <v>0</v>
      </c>
      <c r="H58" s="7"/>
      <c r="I58" s="7"/>
      <c r="J58" s="7">
        <f t="shared" si="13"/>
        <v>0</v>
      </c>
      <c r="K58" s="7"/>
      <c r="L58" s="7"/>
      <c r="M58" s="7">
        <f t="shared" si="40"/>
        <v>0</v>
      </c>
      <c r="N58" s="7"/>
      <c r="O58" s="7"/>
      <c r="P58" s="7">
        <f t="shared" si="41"/>
        <v>0</v>
      </c>
      <c r="Q58" s="7"/>
      <c r="R58" s="7"/>
      <c r="S58" s="7">
        <f t="shared" si="42"/>
        <v>0</v>
      </c>
      <c r="T58" s="7"/>
      <c r="U58" s="7"/>
      <c r="V58" s="7">
        <f t="shared" si="43"/>
        <v>0</v>
      </c>
      <c r="W58" s="7"/>
      <c r="X58" s="7"/>
      <c r="Y58" s="7">
        <f t="shared" si="44"/>
        <v>0</v>
      </c>
      <c r="Z58" s="7"/>
      <c r="AA58" s="7"/>
      <c r="AB58" s="7">
        <f t="shared" si="45"/>
        <v>0</v>
      </c>
      <c r="AC58" s="7"/>
      <c r="AD58" s="7"/>
      <c r="AE58" s="7">
        <f t="shared" si="46"/>
        <v>0</v>
      </c>
      <c r="AF58" s="7"/>
      <c r="AG58" s="7"/>
      <c r="AH58" s="7">
        <f t="shared" si="47"/>
        <v>0</v>
      </c>
      <c r="AI58" s="7"/>
      <c r="AJ58" s="7"/>
      <c r="AK58" s="7">
        <f t="shared" si="48"/>
        <v>0</v>
      </c>
      <c r="AL58" s="8">
        <f t="shared" si="71"/>
        <v>0</v>
      </c>
      <c r="AM58" s="8">
        <f t="shared" si="72"/>
        <v>0</v>
      </c>
      <c r="AN58" s="6">
        <f t="shared" si="73"/>
        <v>0</v>
      </c>
    </row>
    <row r="59" spans="1:40" ht="15" hidden="1" customHeight="1" outlineLevel="1" x14ac:dyDescent="0.25">
      <c r="A59" s="10"/>
      <c r="B59" s="11"/>
      <c r="C59" s="11"/>
      <c r="D59" s="7">
        <f t="shared" si="11"/>
        <v>0</v>
      </c>
      <c r="E59" s="7"/>
      <c r="F59" s="7"/>
      <c r="G59" s="7">
        <f t="shared" si="12"/>
        <v>0</v>
      </c>
      <c r="H59" s="7"/>
      <c r="I59" s="7"/>
      <c r="J59" s="7">
        <f t="shared" si="13"/>
        <v>0</v>
      </c>
      <c r="K59" s="7"/>
      <c r="L59" s="7"/>
      <c r="M59" s="7">
        <f t="shared" si="40"/>
        <v>0</v>
      </c>
      <c r="N59" s="7"/>
      <c r="O59" s="7"/>
      <c r="P59" s="7">
        <f t="shared" si="41"/>
        <v>0</v>
      </c>
      <c r="Q59" s="7"/>
      <c r="R59" s="7"/>
      <c r="S59" s="7">
        <f t="shared" si="42"/>
        <v>0</v>
      </c>
      <c r="T59" s="7"/>
      <c r="U59" s="7"/>
      <c r="V59" s="7">
        <f t="shared" si="43"/>
        <v>0</v>
      </c>
      <c r="W59" s="7"/>
      <c r="X59" s="7"/>
      <c r="Y59" s="7">
        <f t="shared" si="44"/>
        <v>0</v>
      </c>
      <c r="Z59" s="7"/>
      <c r="AA59" s="7"/>
      <c r="AB59" s="7">
        <f t="shared" si="45"/>
        <v>0</v>
      </c>
      <c r="AC59" s="7"/>
      <c r="AD59" s="7"/>
      <c r="AE59" s="7">
        <f t="shared" si="46"/>
        <v>0</v>
      </c>
      <c r="AF59" s="7"/>
      <c r="AG59" s="7"/>
      <c r="AH59" s="7">
        <f t="shared" si="47"/>
        <v>0</v>
      </c>
      <c r="AI59" s="7"/>
      <c r="AJ59" s="7"/>
      <c r="AK59" s="7">
        <f t="shared" si="48"/>
        <v>0</v>
      </c>
      <c r="AL59" s="8">
        <f t="shared" si="71"/>
        <v>0</v>
      </c>
      <c r="AM59" s="8">
        <f t="shared" si="72"/>
        <v>0</v>
      </c>
      <c r="AN59" s="6">
        <f t="shared" si="73"/>
        <v>0</v>
      </c>
    </row>
    <row r="60" spans="1:40" ht="15" hidden="1" customHeight="1" outlineLevel="1" x14ac:dyDescent="0.25">
      <c r="A60" s="10"/>
      <c r="B60" s="11"/>
      <c r="C60" s="11"/>
      <c r="D60" s="7">
        <f t="shared" si="11"/>
        <v>0</v>
      </c>
      <c r="E60" s="7"/>
      <c r="F60" s="7"/>
      <c r="G60" s="7">
        <f t="shared" si="12"/>
        <v>0</v>
      </c>
      <c r="H60" s="7"/>
      <c r="I60" s="7"/>
      <c r="J60" s="7">
        <f t="shared" si="13"/>
        <v>0</v>
      </c>
      <c r="K60" s="7"/>
      <c r="L60" s="7"/>
      <c r="M60" s="7">
        <f t="shared" si="40"/>
        <v>0</v>
      </c>
      <c r="N60" s="7"/>
      <c r="O60" s="7"/>
      <c r="P60" s="7">
        <f t="shared" si="41"/>
        <v>0</v>
      </c>
      <c r="Q60" s="7"/>
      <c r="R60" s="7"/>
      <c r="S60" s="7">
        <f t="shared" si="42"/>
        <v>0</v>
      </c>
      <c r="T60" s="7"/>
      <c r="U60" s="7"/>
      <c r="V60" s="7">
        <f t="shared" si="43"/>
        <v>0</v>
      </c>
      <c r="W60" s="7"/>
      <c r="X60" s="7"/>
      <c r="Y60" s="7">
        <f t="shared" si="44"/>
        <v>0</v>
      </c>
      <c r="Z60" s="7"/>
      <c r="AA60" s="7"/>
      <c r="AB60" s="7">
        <f t="shared" si="45"/>
        <v>0</v>
      </c>
      <c r="AC60" s="7"/>
      <c r="AD60" s="7"/>
      <c r="AE60" s="7">
        <f t="shared" si="46"/>
        <v>0</v>
      </c>
      <c r="AF60" s="7"/>
      <c r="AG60" s="7"/>
      <c r="AH60" s="7">
        <f t="shared" si="47"/>
        <v>0</v>
      </c>
      <c r="AI60" s="7"/>
      <c r="AJ60" s="7"/>
      <c r="AK60" s="7">
        <f t="shared" si="48"/>
        <v>0</v>
      </c>
      <c r="AL60" s="8">
        <f t="shared" si="71"/>
        <v>0</v>
      </c>
      <c r="AM60" s="8">
        <f t="shared" si="72"/>
        <v>0</v>
      </c>
      <c r="AN60" s="6">
        <f t="shared" si="73"/>
        <v>0</v>
      </c>
    </row>
    <row r="61" spans="1:40" ht="15" hidden="1" customHeight="1" outlineLevel="1" x14ac:dyDescent="0.25">
      <c r="A61" s="10"/>
      <c r="B61" s="11"/>
      <c r="C61" s="11"/>
      <c r="D61" s="7">
        <f t="shared" si="11"/>
        <v>0</v>
      </c>
      <c r="E61" s="7"/>
      <c r="F61" s="7"/>
      <c r="G61" s="7">
        <f t="shared" si="12"/>
        <v>0</v>
      </c>
      <c r="H61" s="7"/>
      <c r="I61" s="7"/>
      <c r="J61" s="7">
        <f t="shared" si="13"/>
        <v>0</v>
      </c>
      <c r="K61" s="7"/>
      <c r="L61" s="7"/>
      <c r="M61" s="7">
        <f t="shared" si="40"/>
        <v>0</v>
      </c>
      <c r="N61" s="7"/>
      <c r="O61" s="7"/>
      <c r="P61" s="7">
        <f t="shared" si="41"/>
        <v>0</v>
      </c>
      <c r="Q61" s="7"/>
      <c r="R61" s="7"/>
      <c r="S61" s="7">
        <f t="shared" si="42"/>
        <v>0</v>
      </c>
      <c r="T61" s="7"/>
      <c r="U61" s="7"/>
      <c r="V61" s="7">
        <f t="shared" si="43"/>
        <v>0</v>
      </c>
      <c r="W61" s="7"/>
      <c r="X61" s="7"/>
      <c r="Y61" s="7">
        <f t="shared" si="44"/>
        <v>0</v>
      </c>
      <c r="Z61" s="7"/>
      <c r="AA61" s="7"/>
      <c r="AB61" s="7">
        <f t="shared" si="45"/>
        <v>0</v>
      </c>
      <c r="AC61" s="7"/>
      <c r="AD61" s="7"/>
      <c r="AE61" s="7">
        <f t="shared" si="46"/>
        <v>0</v>
      </c>
      <c r="AF61" s="7"/>
      <c r="AG61" s="7"/>
      <c r="AH61" s="7">
        <f t="shared" si="47"/>
        <v>0</v>
      </c>
      <c r="AI61" s="7"/>
      <c r="AJ61" s="7"/>
      <c r="AK61" s="7">
        <f t="shared" si="48"/>
        <v>0</v>
      </c>
      <c r="AL61" s="8">
        <f t="shared" si="71"/>
        <v>0</v>
      </c>
      <c r="AM61" s="8">
        <f t="shared" si="72"/>
        <v>0</v>
      </c>
      <c r="AN61" s="6">
        <f t="shared" si="73"/>
        <v>0</v>
      </c>
    </row>
    <row r="62" spans="1:40" ht="15" hidden="1" customHeight="1" outlineLevel="1" x14ac:dyDescent="0.25">
      <c r="A62" s="10"/>
      <c r="B62" s="11"/>
      <c r="C62" s="11"/>
      <c r="D62" s="7">
        <f t="shared" si="11"/>
        <v>0</v>
      </c>
      <c r="E62" s="7"/>
      <c r="F62" s="7"/>
      <c r="G62" s="7">
        <f t="shared" si="12"/>
        <v>0</v>
      </c>
      <c r="H62" s="7"/>
      <c r="I62" s="7"/>
      <c r="J62" s="7">
        <f t="shared" si="13"/>
        <v>0</v>
      </c>
      <c r="K62" s="7"/>
      <c r="L62" s="7"/>
      <c r="M62" s="7">
        <f t="shared" si="40"/>
        <v>0</v>
      </c>
      <c r="N62" s="7"/>
      <c r="O62" s="7"/>
      <c r="P62" s="7">
        <f t="shared" si="41"/>
        <v>0</v>
      </c>
      <c r="Q62" s="7"/>
      <c r="R62" s="7"/>
      <c r="S62" s="7">
        <f t="shared" si="42"/>
        <v>0</v>
      </c>
      <c r="T62" s="7"/>
      <c r="U62" s="7"/>
      <c r="V62" s="7">
        <f t="shared" si="43"/>
        <v>0</v>
      </c>
      <c r="W62" s="7"/>
      <c r="X62" s="7"/>
      <c r="Y62" s="7">
        <f t="shared" si="44"/>
        <v>0</v>
      </c>
      <c r="Z62" s="7"/>
      <c r="AA62" s="7"/>
      <c r="AB62" s="7">
        <f t="shared" si="45"/>
        <v>0</v>
      </c>
      <c r="AC62" s="7"/>
      <c r="AD62" s="7"/>
      <c r="AE62" s="7">
        <f t="shared" si="46"/>
        <v>0</v>
      </c>
      <c r="AF62" s="7"/>
      <c r="AG62" s="7"/>
      <c r="AH62" s="7">
        <f t="shared" si="47"/>
        <v>0</v>
      </c>
      <c r="AI62" s="7"/>
      <c r="AJ62" s="7"/>
      <c r="AK62" s="7">
        <f t="shared" si="48"/>
        <v>0</v>
      </c>
      <c r="AL62" s="8">
        <f t="shared" si="71"/>
        <v>0</v>
      </c>
      <c r="AM62" s="8">
        <f t="shared" si="72"/>
        <v>0</v>
      </c>
      <c r="AN62" s="6">
        <f t="shared" si="73"/>
        <v>0</v>
      </c>
    </row>
    <row r="63" spans="1:40" s="27" customFormat="1" ht="15" customHeight="1" collapsed="1" x14ac:dyDescent="0.25">
      <c r="A63" s="29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</row>
    <row r="64" spans="1:40" ht="15" customHeight="1" x14ac:dyDescent="0.25">
      <c r="A64" s="32" t="s">
        <v>28</v>
      </c>
      <c r="B64" s="6">
        <f>SUM(B65:B74)</f>
        <v>0</v>
      </c>
      <c r="C64" s="6">
        <f>SUM(C65:C74)</f>
        <v>0</v>
      </c>
      <c r="D64" s="6">
        <f t="shared" ref="D64:D67" si="74">B64-C64</f>
        <v>0</v>
      </c>
      <c r="E64" s="6">
        <f>SUM(E65:E74)</f>
        <v>0</v>
      </c>
      <c r="F64" s="6">
        <f>SUM(F65:F74)</f>
        <v>0</v>
      </c>
      <c r="G64" s="6">
        <f t="shared" ref="G64" si="75">E64-F64</f>
        <v>0</v>
      </c>
      <c r="H64" s="6">
        <f>SUM(H65:H74)</f>
        <v>0</v>
      </c>
      <c r="I64" s="6">
        <f>SUM(I65:I74)</f>
        <v>0</v>
      </c>
      <c r="J64" s="6">
        <f t="shared" ref="J64:J73" si="76">H64-I64</f>
        <v>0</v>
      </c>
      <c r="K64" s="6">
        <f>SUM(K65:K74)</f>
        <v>0</v>
      </c>
      <c r="L64" s="6">
        <f>SUM(L65:L74)</f>
        <v>0</v>
      </c>
      <c r="M64" s="6">
        <f t="shared" ref="M64:M73" si="77">K64-L64</f>
        <v>0</v>
      </c>
      <c r="N64" s="6">
        <f>SUM(N65:N74)</f>
        <v>0</v>
      </c>
      <c r="O64" s="6">
        <f>SUM(O65:O74)</f>
        <v>0</v>
      </c>
      <c r="P64" s="6">
        <f t="shared" ref="P64:P73" si="78">N64-O64</f>
        <v>0</v>
      </c>
      <c r="Q64" s="6">
        <f>SUM(Q65:Q74)</f>
        <v>0</v>
      </c>
      <c r="R64" s="6">
        <f>SUM(R65:R74)</f>
        <v>0</v>
      </c>
      <c r="S64" s="6">
        <f t="shared" ref="S64:S73" si="79">Q64-R64</f>
        <v>0</v>
      </c>
      <c r="T64" s="6">
        <f>SUM(T65:T74)</f>
        <v>0</v>
      </c>
      <c r="U64" s="6">
        <f>SUM(U65:U74)</f>
        <v>0</v>
      </c>
      <c r="V64" s="6">
        <f t="shared" ref="V64:V73" si="80">T64-U64</f>
        <v>0</v>
      </c>
      <c r="W64" s="6">
        <f>SUM(W65:W74)</f>
        <v>0</v>
      </c>
      <c r="X64" s="6">
        <f>SUM(X65:X74)</f>
        <v>0</v>
      </c>
      <c r="Y64" s="6">
        <f t="shared" ref="Y64:Y73" si="81">W64-X64</f>
        <v>0</v>
      </c>
      <c r="Z64" s="6">
        <f>SUM(Z65:Z74)</f>
        <v>0</v>
      </c>
      <c r="AA64" s="6">
        <f>SUM(AA65:AA74)</f>
        <v>0</v>
      </c>
      <c r="AB64" s="6">
        <f t="shared" ref="AB64:AB73" si="82">Z64-AA64</f>
        <v>0</v>
      </c>
      <c r="AC64" s="6">
        <f>SUM(AC65:AC74)</f>
        <v>0</v>
      </c>
      <c r="AD64" s="6">
        <f>SUM(AD65:AD74)</f>
        <v>0</v>
      </c>
      <c r="AE64" s="6">
        <f t="shared" ref="AE64:AE73" si="83">AC64-AD64</f>
        <v>0</v>
      </c>
      <c r="AF64" s="6">
        <f>SUM(AF65:AF74)</f>
        <v>0</v>
      </c>
      <c r="AG64" s="6">
        <f>SUM(AG65:AG74)</f>
        <v>0</v>
      </c>
      <c r="AH64" s="6">
        <f t="shared" ref="AH64:AH73" si="84">AF64-AG64</f>
        <v>0</v>
      </c>
      <c r="AI64" s="6">
        <f>SUM(AI65:AI74)</f>
        <v>0</v>
      </c>
      <c r="AJ64" s="6">
        <f>SUM(AJ65:AJ74)</f>
        <v>0</v>
      </c>
      <c r="AK64" s="6">
        <f t="shared" ref="AK64:AK73" si="85">AI64-AJ64</f>
        <v>0</v>
      </c>
      <c r="AL64" s="6">
        <f>SUM(AL65:AL74)</f>
        <v>0</v>
      </c>
      <c r="AM64" s="6">
        <f>SUM(AM65:AM74)</f>
        <v>0</v>
      </c>
      <c r="AN64" s="6">
        <f t="shared" ref="AN64:AN66" si="86">AL64-AM64</f>
        <v>0</v>
      </c>
    </row>
    <row r="65" spans="1:40" ht="15" hidden="1" customHeight="1" outlineLevel="1" x14ac:dyDescent="0.25">
      <c r="A65" s="10" t="s">
        <v>49</v>
      </c>
      <c r="B65" s="11"/>
      <c r="C65" s="11"/>
      <c r="D65" s="7">
        <f t="shared" si="74"/>
        <v>0</v>
      </c>
      <c r="E65" s="7"/>
      <c r="F65" s="7"/>
      <c r="G65" s="7">
        <f t="shared" si="12"/>
        <v>0</v>
      </c>
      <c r="H65" s="7"/>
      <c r="I65" s="7"/>
      <c r="J65" s="7">
        <f t="shared" si="76"/>
        <v>0</v>
      </c>
      <c r="K65" s="7"/>
      <c r="L65" s="7"/>
      <c r="M65" s="7">
        <f t="shared" si="77"/>
        <v>0</v>
      </c>
      <c r="N65" s="7"/>
      <c r="O65" s="7"/>
      <c r="P65" s="7">
        <f t="shared" si="78"/>
        <v>0</v>
      </c>
      <c r="Q65" s="7"/>
      <c r="R65" s="7"/>
      <c r="S65" s="7">
        <f t="shared" si="79"/>
        <v>0</v>
      </c>
      <c r="T65" s="7"/>
      <c r="U65" s="7"/>
      <c r="V65" s="7">
        <f t="shared" si="80"/>
        <v>0</v>
      </c>
      <c r="W65" s="7"/>
      <c r="X65" s="7"/>
      <c r="Y65" s="7">
        <f t="shared" si="81"/>
        <v>0</v>
      </c>
      <c r="Z65" s="7"/>
      <c r="AA65" s="7"/>
      <c r="AB65" s="7">
        <f t="shared" si="82"/>
        <v>0</v>
      </c>
      <c r="AC65" s="7"/>
      <c r="AD65" s="7"/>
      <c r="AE65" s="7">
        <f t="shared" si="83"/>
        <v>0</v>
      </c>
      <c r="AF65" s="7"/>
      <c r="AG65" s="7"/>
      <c r="AH65" s="7">
        <f t="shared" si="84"/>
        <v>0</v>
      </c>
      <c r="AI65" s="7"/>
      <c r="AJ65" s="7"/>
      <c r="AK65" s="7">
        <f t="shared" si="85"/>
        <v>0</v>
      </c>
      <c r="AL65" s="8">
        <f t="shared" ref="AL65:AL66" si="87">B65+E65+H65+K65+N65+Q65+T65+W65+Z65+AC65+AF65+AI65</f>
        <v>0</v>
      </c>
      <c r="AM65" s="8">
        <f t="shared" ref="AM65:AM66" si="88">C65+F65+I65+L65+O65+R65+U65+X65+AA65+AD65+AG65+AJ65</f>
        <v>0</v>
      </c>
      <c r="AN65" s="6">
        <f t="shared" si="86"/>
        <v>0</v>
      </c>
    </row>
    <row r="66" spans="1:40" ht="15" hidden="1" customHeight="1" outlineLevel="1" x14ac:dyDescent="0.25">
      <c r="A66" s="10" t="s">
        <v>50</v>
      </c>
      <c r="B66" s="11"/>
      <c r="C66" s="11"/>
      <c r="D66" s="7">
        <f t="shared" si="74"/>
        <v>0</v>
      </c>
      <c r="E66" s="7"/>
      <c r="F66" s="7"/>
      <c r="G66" s="7">
        <f t="shared" si="12"/>
        <v>0</v>
      </c>
      <c r="H66" s="7"/>
      <c r="I66" s="7"/>
      <c r="J66" s="7">
        <f t="shared" si="76"/>
        <v>0</v>
      </c>
      <c r="K66" s="7"/>
      <c r="L66" s="7"/>
      <c r="M66" s="7">
        <f t="shared" si="77"/>
        <v>0</v>
      </c>
      <c r="N66" s="7"/>
      <c r="O66" s="7"/>
      <c r="P66" s="7">
        <f t="shared" si="78"/>
        <v>0</v>
      </c>
      <c r="Q66" s="7"/>
      <c r="R66" s="7"/>
      <c r="S66" s="7">
        <f t="shared" si="79"/>
        <v>0</v>
      </c>
      <c r="T66" s="7"/>
      <c r="U66" s="7"/>
      <c r="V66" s="7">
        <f t="shared" si="80"/>
        <v>0</v>
      </c>
      <c r="W66" s="7"/>
      <c r="X66" s="7"/>
      <c r="Y66" s="7">
        <f t="shared" si="81"/>
        <v>0</v>
      </c>
      <c r="Z66" s="7"/>
      <c r="AA66" s="7"/>
      <c r="AB66" s="7">
        <f t="shared" si="82"/>
        <v>0</v>
      </c>
      <c r="AC66" s="7"/>
      <c r="AD66" s="7"/>
      <c r="AE66" s="7">
        <f t="shared" si="83"/>
        <v>0</v>
      </c>
      <c r="AF66" s="7"/>
      <c r="AG66" s="7"/>
      <c r="AH66" s="7">
        <f t="shared" si="84"/>
        <v>0</v>
      </c>
      <c r="AI66" s="7"/>
      <c r="AJ66" s="7"/>
      <c r="AK66" s="7">
        <f t="shared" si="85"/>
        <v>0</v>
      </c>
      <c r="AL66" s="8">
        <f t="shared" si="87"/>
        <v>0</v>
      </c>
      <c r="AM66" s="8">
        <f t="shared" si="88"/>
        <v>0</v>
      </c>
      <c r="AN66" s="6">
        <f t="shared" si="86"/>
        <v>0</v>
      </c>
    </row>
    <row r="67" spans="1:40" ht="15" hidden="1" customHeight="1" outlineLevel="1" x14ac:dyDescent="0.25">
      <c r="A67" s="10" t="s">
        <v>51</v>
      </c>
      <c r="B67" s="11"/>
      <c r="C67" s="11"/>
      <c r="D67" s="7">
        <f t="shared" si="74"/>
        <v>0</v>
      </c>
      <c r="E67" s="7"/>
      <c r="F67" s="7"/>
      <c r="G67" s="7">
        <f t="shared" si="12"/>
        <v>0</v>
      </c>
      <c r="H67" s="7"/>
      <c r="I67" s="7"/>
      <c r="J67" s="7">
        <f t="shared" si="76"/>
        <v>0</v>
      </c>
      <c r="K67" s="7"/>
      <c r="L67" s="7"/>
      <c r="M67" s="7">
        <f t="shared" si="77"/>
        <v>0</v>
      </c>
      <c r="N67" s="7"/>
      <c r="O67" s="7"/>
      <c r="P67" s="7">
        <f t="shared" si="78"/>
        <v>0</v>
      </c>
      <c r="Q67" s="7"/>
      <c r="R67" s="7"/>
      <c r="S67" s="7">
        <f t="shared" si="79"/>
        <v>0</v>
      </c>
      <c r="T67" s="7"/>
      <c r="U67" s="7"/>
      <c r="V67" s="7">
        <f t="shared" si="80"/>
        <v>0</v>
      </c>
      <c r="W67" s="7"/>
      <c r="X67" s="7"/>
      <c r="Y67" s="7">
        <f t="shared" si="81"/>
        <v>0</v>
      </c>
      <c r="Z67" s="7"/>
      <c r="AA67" s="7"/>
      <c r="AB67" s="7">
        <f t="shared" si="82"/>
        <v>0</v>
      </c>
      <c r="AC67" s="7"/>
      <c r="AD67" s="7"/>
      <c r="AE67" s="7">
        <f t="shared" si="83"/>
        <v>0</v>
      </c>
      <c r="AF67" s="7"/>
      <c r="AG67" s="7"/>
      <c r="AH67" s="7">
        <f t="shared" si="84"/>
        <v>0</v>
      </c>
      <c r="AI67" s="7"/>
      <c r="AJ67" s="7"/>
      <c r="AK67" s="7">
        <f t="shared" si="85"/>
        <v>0</v>
      </c>
      <c r="AL67" s="8">
        <f t="shared" ref="AL67:AL73" si="89">B67+E67+H67+K67+N67+Q67+T67+W67+Z67+AC67+AF67+AI67</f>
        <v>0</v>
      </c>
      <c r="AM67" s="8">
        <f t="shared" ref="AM67:AM73" si="90">C67+F67+I67+L67+O67+R67+U67+X67+AA67+AD67+AG67+AJ67</f>
        <v>0</v>
      </c>
      <c r="AN67" s="6">
        <f t="shared" ref="AN67:AN73" si="91">AL67-AM67</f>
        <v>0</v>
      </c>
    </row>
    <row r="68" spans="1:40" ht="15" hidden="1" customHeight="1" outlineLevel="1" x14ac:dyDescent="0.25">
      <c r="A68" s="10" t="s">
        <v>52</v>
      </c>
      <c r="B68" s="11"/>
      <c r="C68" s="11"/>
      <c r="D68" s="7">
        <f>B68-C68</f>
        <v>0</v>
      </c>
      <c r="E68" s="7"/>
      <c r="F68" s="7"/>
      <c r="G68" s="7">
        <f t="shared" si="12"/>
        <v>0</v>
      </c>
      <c r="H68" s="7"/>
      <c r="I68" s="7"/>
      <c r="J68" s="7">
        <f t="shared" si="76"/>
        <v>0</v>
      </c>
      <c r="K68" s="7"/>
      <c r="L68" s="7"/>
      <c r="M68" s="7">
        <f t="shared" si="77"/>
        <v>0</v>
      </c>
      <c r="N68" s="7"/>
      <c r="O68" s="7"/>
      <c r="P68" s="7">
        <f t="shared" si="78"/>
        <v>0</v>
      </c>
      <c r="Q68" s="7"/>
      <c r="R68" s="7"/>
      <c r="S68" s="7">
        <f t="shared" si="79"/>
        <v>0</v>
      </c>
      <c r="T68" s="7"/>
      <c r="U68" s="7"/>
      <c r="V68" s="7">
        <f t="shared" si="80"/>
        <v>0</v>
      </c>
      <c r="W68" s="7"/>
      <c r="X68" s="7"/>
      <c r="Y68" s="7">
        <f t="shared" si="81"/>
        <v>0</v>
      </c>
      <c r="Z68" s="7"/>
      <c r="AA68" s="7"/>
      <c r="AB68" s="7">
        <f t="shared" si="82"/>
        <v>0</v>
      </c>
      <c r="AC68" s="7"/>
      <c r="AD68" s="7"/>
      <c r="AE68" s="7">
        <f t="shared" si="83"/>
        <v>0</v>
      </c>
      <c r="AF68" s="7"/>
      <c r="AG68" s="7"/>
      <c r="AH68" s="7">
        <f t="shared" si="84"/>
        <v>0</v>
      </c>
      <c r="AI68" s="7"/>
      <c r="AJ68" s="7"/>
      <c r="AK68" s="7">
        <f t="shared" si="85"/>
        <v>0</v>
      </c>
      <c r="AL68" s="8">
        <f t="shared" si="89"/>
        <v>0</v>
      </c>
      <c r="AM68" s="8">
        <f t="shared" si="90"/>
        <v>0</v>
      </c>
      <c r="AN68" s="6">
        <f t="shared" si="91"/>
        <v>0</v>
      </c>
    </row>
    <row r="69" spans="1:40" ht="15" hidden="1" customHeight="1" outlineLevel="1" x14ac:dyDescent="0.25">
      <c r="A69" s="10" t="s">
        <v>56</v>
      </c>
      <c r="B69" s="11"/>
      <c r="C69" s="11"/>
      <c r="D69" s="7">
        <f t="shared" ref="D69:D73" si="92">B69-C69</f>
        <v>0</v>
      </c>
      <c r="E69" s="7"/>
      <c r="F69" s="7"/>
      <c r="G69" s="7">
        <f t="shared" si="12"/>
        <v>0</v>
      </c>
      <c r="H69" s="7"/>
      <c r="I69" s="7"/>
      <c r="J69" s="7">
        <f t="shared" si="76"/>
        <v>0</v>
      </c>
      <c r="K69" s="7"/>
      <c r="L69" s="7"/>
      <c r="M69" s="7">
        <f t="shared" si="77"/>
        <v>0</v>
      </c>
      <c r="N69" s="7"/>
      <c r="O69" s="7"/>
      <c r="P69" s="7">
        <f t="shared" si="78"/>
        <v>0</v>
      </c>
      <c r="Q69" s="7"/>
      <c r="R69" s="7"/>
      <c r="S69" s="7">
        <f t="shared" si="79"/>
        <v>0</v>
      </c>
      <c r="T69" s="7"/>
      <c r="U69" s="7"/>
      <c r="V69" s="7">
        <f t="shared" si="80"/>
        <v>0</v>
      </c>
      <c r="W69" s="7"/>
      <c r="X69" s="7"/>
      <c r="Y69" s="7">
        <f t="shared" si="81"/>
        <v>0</v>
      </c>
      <c r="Z69" s="7"/>
      <c r="AA69" s="7"/>
      <c r="AB69" s="7">
        <f t="shared" si="82"/>
        <v>0</v>
      </c>
      <c r="AC69" s="7"/>
      <c r="AD69" s="7"/>
      <c r="AE69" s="7">
        <f t="shared" si="83"/>
        <v>0</v>
      </c>
      <c r="AF69" s="7"/>
      <c r="AG69" s="7"/>
      <c r="AH69" s="7">
        <f t="shared" si="84"/>
        <v>0</v>
      </c>
      <c r="AI69" s="7"/>
      <c r="AJ69" s="7"/>
      <c r="AK69" s="7">
        <f t="shared" si="85"/>
        <v>0</v>
      </c>
      <c r="AL69" s="8">
        <f t="shared" si="89"/>
        <v>0</v>
      </c>
      <c r="AM69" s="8">
        <f t="shared" si="90"/>
        <v>0</v>
      </c>
      <c r="AN69" s="6">
        <f t="shared" si="91"/>
        <v>0</v>
      </c>
    </row>
    <row r="70" spans="1:40" ht="15" hidden="1" customHeight="1" outlineLevel="1" x14ac:dyDescent="0.25">
      <c r="A70" s="10" t="s">
        <v>53</v>
      </c>
      <c r="B70" s="11"/>
      <c r="C70" s="11"/>
      <c r="D70" s="7">
        <f t="shared" si="92"/>
        <v>0</v>
      </c>
      <c r="E70" s="7"/>
      <c r="F70" s="7"/>
      <c r="G70" s="7">
        <f t="shared" si="12"/>
        <v>0</v>
      </c>
      <c r="H70" s="7"/>
      <c r="I70" s="7"/>
      <c r="J70" s="7">
        <f t="shared" si="76"/>
        <v>0</v>
      </c>
      <c r="K70" s="7"/>
      <c r="L70" s="7"/>
      <c r="M70" s="7">
        <f t="shared" si="77"/>
        <v>0</v>
      </c>
      <c r="N70" s="7"/>
      <c r="O70" s="7"/>
      <c r="P70" s="7">
        <f t="shared" si="78"/>
        <v>0</v>
      </c>
      <c r="Q70" s="7"/>
      <c r="R70" s="7"/>
      <c r="S70" s="7">
        <f t="shared" si="79"/>
        <v>0</v>
      </c>
      <c r="T70" s="7"/>
      <c r="U70" s="7"/>
      <c r="V70" s="7">
        <f t="shared" si="80"/>
        <v>0</v>
      </c>
      <c r="W70" s="7"/>
      <c r="X70" s="7"/>
      <c r="Y70" s="7">
        <f t="shared" si="81"/>
        <v>0</v>
      </c>
      <c r="Z70" s="7"/>
      <c r="AA70" s="7"/>
      <c r="AB70" s="7">
        <f t="shared" si="82"/>
        <v>0</v>
      </c>
      <c r="AC70" s="7"/>
      <c r="AD70" s="7"/>
      <c r="AE70" s="7">
        <f t="shared" si="83"/>
        <v>0</v>
      </c>
      <c r="AF70" s="7"/>
      <c r="AG70" s="7"/>
      <c r="AH70" s="7">
        <f t="shared" si="84"/>
        <v>0</v>
      </c>
      <c r="AI70" s="7"/>
      <c r="AJ70" s="7"/>
      <c r="AK70" s="7">
        <f t="shared" si="85"/>
        <v>0</v>
      </c>
      <c r="AL70" s="8">
        <f t="shared" si="89"/>
        <v>0</v>
      </c>
      <c r="AM70" s="8">
        <f t="shared" si="90"/>
        <v>0</v>
      </c>
      <c r="AN70" s="6">
        <f t="shared" si="91"/>
        <v>0</v>
      </c>
    </row>
    <row r="71" spans="1:40" ht="15" hidden="1" customHeight="1" outlineLevel="1" x14ac:dyDescent="0.25">
      <c r="A71" s="10" t="s">
        <v>55</v>
      </c>
      <c r="B71" s="11"/>
      <c r="C71" s="11"/>
      <c r="D71" s="7">
        <f t="shared" si="92"/>
        <v>0</v>
      </c>
      <c r="E71" s="7"/>
      <c r="F71" s="7"/>
      <c r="G71" s="7">
        <f t="shared" si="12"/>
        <v>0</v>
      </c>
      <c r="H71" s="7"/>
      <c r="I71" s="7"/>
      <c r="J71" s="7">
        <f t="shared" si="76"/>
        <v>0</v>
      </c>
      <c r="K71" s="7"/>
      <c r="L71" s="7"/>
      <c r="M71" s="7">
        <f t="shared" si="77"/>
        <v>0</v>
      </c>
      <c r="N71" s="7"/>
      <c r="O71" s="7"/>
      <c r="P71" s="7">
        <f t="shared" si="78"/>
        <v>0</v>
      </c>
      <c r="Q71" s="7"/>
      <c r="R71" s="7"/>
      <c r="S71" s="7">
        <f t="shared" si="79"/>
        <v>0</v>
      </c>
      <c r="T71" s="7"/>
      <c r="U71" s="7"/>
      <c r="V71" s="7">
        <f t="shared" si="80"/>
        <v>0</v>
      </c>
      <c r="W71" s="7"/>
      <c r="X71" s="7"/>
      <c r="Y71" s="7">
        <f t="shared" si="81"/>
        <v>0</v>
      </c>
      <c r="Z71" s="7"/>
      <c r="AA71" s="7"/>
      <c r="AB71" s="7">
        <f t="shared" si="82"/>
        <v>0</v>
      </c>
      <c r="AC71" s="7"/>
      <c r="AD71" s="7"/>
      <c r="AE71" s="7">
        <f t="shared" si="83"/>
        <v>0</v>
      </c>
      <c r="AF71" s="7"/>
      <c r="AG71" s="7"/>
      <c r="AH71" s="7">
        <f t="shared" si="84"/>
        <v>0</v>
      </c>
      <c r="AI71" s="7"/>
      <c r="AJ71" s="7"/>
      <c r="AK71" s="7">
        <f t="shared" si="85"/>
        <v>0</v>
      </c>
      <c r="AL71" s="8">
        <f t="shared" si="89"/>
        <v>0</v>
      </c>
      <c r="AM71" s="8">
        <f t="shared" si="90"/>
        <v>0</v>
      </c>
      <c r="AN71" s="6">
        <f t="shared" si="91"/>
        <v>0</v>
      </c>
    </row>
    <row r="72" spans="1:40" ht="15" hidden="1" customHeight="1" outlineLevel="1" x14ac:dyDescent="0.25">
      <c r="A72" s="10"/>
      <c r="B72" s="11"/>
      <c r="C72" s="11"/>
      <c r="D72" s="7">
        <f t="shared" si="92"/>
        <v>0</v>
      </c>
      <c r="E72" s="7"/>
      <c r="F72" s="7"/>
      <c r="G72" s="7">
        <f t="shared" si="12"/>
        <v>0</v>
      </c>
      <c r="H72" s="7"/>
      <c r="I72" s="7"/>
      <c r="J72" s="7">
        <f t="shared" si="76"/>
        <v>0</v>
      </c>
      <c r="K72" s="7"/>
      <c r="L72" s="7"/>
      <c r="M72" s="7">
        <f t="shared" si="77"/>
        <v>0</v>
      </c>
      <c r="N72" s="7"/>
      <c r="O72" s="7"/>
      <c r="P72" s="7">
        <f t="shared" si="78"/>
        <v>0</v>
      </c>
      <c r="Q72" s="7"/>
      <c r="R72" s="7"/>
      <c r="S72" s="7">
        <f t="shared" si="79"/>
        <v>0</v>
      </c>
      <c r="T72" s="7"/>
      <c r="U72" s="7"/>
      <c r="V72" s="7">
        <f t="shared" si="80"/>
        <v>0</v>
      </c>
      <c r="W72" s="7"/>
      <c r="X72" s="7"/>
      <c r="Y72" s="7">
        <f t="shared" si="81"/>
        <v>0</v>
      </c>
      <c r="Z72" s="7"/>
      <c r="AA72" s="7"/>
      <c r="AB72" s="7">
        <f t="shared" si="82"/>
        <v>0</v>
      </c>
      <c r="AC72" s="7"/>
      <c r="AD72" s="7"/>
      <c r="AE72" s="7">
        <f t="shared" si="83"/>
        <v>0</v>
      </c>
      <c r="AF72" s="7"/>
      <c r="AG72" s="7"/>
      <c r="AH72" s="7">
        <f t="shared" si="84"/>
        <v>0</v>
      </c>
      <c r="AI72" s="7"/>
      <c r="AJ72" s="7"/>
      <c r="AK72" s="7">
        <f t="shared" si="85"/>
        <v>0</v>
      </c>
      <c r="AL72" s="8">
        <f t="shared" si="89"/>
        <v>0</v>
      </c>
      <c r="AM72" s="8">
        <f t="shared" si="90"/>
        <v>0</v>
      </c>
      <c r="AN72" s="6">
        <f t="shared" si="91"/>
        <v>0</v>
      </c>
    </row>
    <row r="73" spans="1:40" ht="15" hidden="1" customHeight="1" outlineLevel="1" x14ac:dyDescent="0.25">
      <c r="A73" s="10"/>
      <c r="B73" s="11"/>
      <c r="C73" s="11"/>
      <c r="D73" s="7">
        <f t="shared" si="92"/>
        <v>0</v>
      </c>
      <c r="E73" s="7"/>
      <c r="F73" s="7"/>
      <c r="G73" s="7">
        <f t="shared" si="12"/>
        <v>0</v>
      </c>
      <c r="H73" s="7"/>
      <c r="I73" s="7"/>
      <c r="J73" s="7">
        <f t="shared" si="76"/>
        <v>0</v>
      </c>
      <c r="K73" s="7"/>
      <c r="L73" s="7"/>
      <c r="M73" s="7">
        <f t="shared" si="77"/>
        <v>0</v>
      </c>
      <c r="N73" s="7"/>
      <c r="O73" s="7"/>
      <c r="P73" s="7">
        <f t="shared" si="78"/>
        <v>0</v>
      </c>
      <c r="Q73" s="7"/>
      <c r="R73" s="7"/>
      <c r="S73" s="7">
        <f t="shared" si="79"/>
        <v>0</v>
      </c>
      <c r="T73" s="7"/>
      <c r="U73" s="7"/>
      <c r="V73" s="7">
        <f t="shared" si="80"/>
        <v>0</v>
      </c>
      <c r="W73" s="7"/>
      <c r="X73" s="7"/>
      <c r="Y73" s="7">
        <f t="shared" si="81"/>
        <v>0</v>
      </c>
      <c r="Z73" s="7"/>
      <c r="AA73" s="7"/>
      <c r="AB73" s="7">
        <f t="shared" si="82"/>
        <v>0</v>
      </c>
      <c r="AC73" s="7"/>
      <c r="AD73" s="7"/>
      <c r="AE73" s="7">
        <f t="shared" si="83"/>
        <v>0</v>
      </c>
      <c r="AF73" s="7"/>
      <c r="AG73" s="7"/>
      <c r="AH73" s="7">
        <f t="shared" si="84"/>
        <v>0</v>
      </c>
      <c r="AI73" s="7"/>
      <c r="AJ73" s="7"/>
      <c r="AK73" s="7">
        <f t="shared" si="85"/>
        <v>0</v>
      </c>
      <c r="AL73" s="8">
        <f t="shared" si="89"/>
        <v>0</v>
      </c>
      <c r="AM73" s="8">
        <f t="shared" si="90"/>
        <v>0</v>
      </c>
      <c r="AN73" s="6">
        <f t="shared" si="91"/>
        <v>0</v>
      </c>
    </row>
    <row r="74" spans="1:40" s="27" customFormat="1" ht="15" customHeight="1" collapsed="1" x14ac:dyDescent="0.25">
      <c r="A74" s="29"/>
      <c r="B74" s="31" t="str">
        <f>CONCATENATE(B3," - ",B7)</f>
        <v>JANEIRO - Planejado</v>
      </c>
      <c r="C74" s="31" t="str">
        <f>CONCATENATE(B3," - ",C7)</f>
        <v>JANEIRO - Realizado</v>
      </c>
      <c r="D74" s="31" t="str">
        <f>CONCATENATE(B3," - ",D7)</f>
        <v>JANEIRO - Dif.</v>
      </c>
      <c r="E74" s="31" t="str">
        <f>CONCATENATE(E3," - ",E7)</f>
        <v>FEVEREIRO - Planejado</v>
      </c>
      <c r="F74" s="31" t="str">
        <f>CONCATENATE(E3," - ",F7)</f>
        <v>FEVEREIRO - Realizado</v>
      </c>
      <c r="G74" s="31" t="str">
        <f>CONCATENATE(E3," - ",G7)</f>
        <v>FEVEREIRO - Dif.</v>
      </c>
      <c r="H74" s="31" t="str">
        <f>CONCATENATE(H3," - ",H7)</f>
        <v>MARÇO - Planejado</v>
      </c>
      <c r="I74" s="31" t="str">
        <f>CONCATENATE(H3," - ",I7)</f>
        <v>MARÇO - Realizado</v>
      </c>
      <c r="J74" s="31" t="str">
        <f>CONCATENATE(H3," - ",J7)</f>
        <v>MARÇO - Dif.</v>
      </c>
      <c r="K74" s="31" t="str">
        <f>CONCATENATE(K3," - ",K7)</f>
        <v>ABRIL - Planejado</v>
      </c>
      <c r="L74" s="31" t="str">
        <f>CONCATENATE(K3," - ",L7)</f>
        <v>ABRIL - Realizado</v>
      </c>
      <c r="M74" s="31" t="str">
        <f>CONCATENATE(K3," - ",M7)</f>
        <v>ABRIL - Dif.</v>
      </c>
      <c r="N74" s="31" t="str">
        <f>CONCATENATE(N3," - ",N7)</f>
        <v>MAIO - Planejado</v>
      </c>
      <c r="O74" s="31" t="str">
        <f>CONCATENATE(N3," - ",O7)</f>
        <v>MAIO - Realizado</v>
      </c>
      <c r="P74" s="31" t="str">
        <f>CONCATENATE(N3," - ",P7)</f>
        <v>MAIO - Dif.</v>
      </c>
      <c r="Q74" s="31" t="str">
        <f>CONCATENATE(Q3," - ",Q7)</f>
        <v>JUNHO - Planejado</v>
      </c>
      <c r="R74" s="31" t="str">
        <f>CONCATENATE(Q3," - ",R7)</f>
        <v>JUNHO - Realizado</v>
      </c>
      <c r="S74" s="31" t="str">
        <f>CONCATENATE(Q3," - ",S7)</f>
        <v>JUNHO - Dif.</v>
      </c>
      <c r="T74" s="31" t="str">
        <f>CONCATENATE(T3," - ",T7)</f>
        <v>JULHO - Planejado</v>
      </c>
      <c r="U74" s="31" t="str">
        <f>CONCATENATE(T3," - ",U7)</f>
        <v>JULHO - Realizado</v>
      </c>
      <c r="V74" s="31" t="str">
        <f>CONCATENATE(T3," - ",V7)</f>
        <v>JULHO - Dif.</v>
      </c>
      <c r="W74" s="31" t="str">
        <f>CONCATENATE(W3," - ",W7)</f>
        <v>AGOSTO - Planejado</v>
      </c>
      <c r="X74" s="31" t="str">
        <f>CONCATENATE(W3," - ",X7)</f>
        <v>AGOSTO - Realizado</v>
      </c>
      <c r="Y74" s="31" t="str">
        <f>CONCATENATE(W3," - ",Y7)</f>
        <v>AGOSTO - Dif.</v>
      </c>
      <c r="Z74" s="31" t="str">
        <f>CONCATENATE(Z3," - ",Z7)</f>
        <v>SETEMBRO - Planejado</v>
      </c>
      <c r="AA74" s="31" t="str">
        <f>CONCATENATE(Z3," - ",AA7)</f>
        <v>SETEMBRO - Realizado</v>
      </c>
      <c r="AB74" s="31" t="str">
        <f>CONCATENATE(Z3," - ",AB7)</f>
        <v>SETEMBRO - Dif.</v>
      </c>
      <c r="AC74" s="31" t="str">
        <f>CONCATENATE(AC3," - ",AC7)</f>
        <v>OUTUBRO - Planejado</v>
      </c>
      <c r="AD74" s="31" t="str">
        <f>CONCATENATE(AC3," - ",AD7)</f>
        <v>OUTUBRO - Realizado</v>
      </c>
      <c r="AE74" s="31" t="str">
        <f>CONCATENATE(AC3," - ",AE7)</f>
        <v>OUTUBRO - Dif.</v>
      </c>
      <c r="AF74" s="31" t="str">
        <f>CONCATENATE(AF3," - ",AF7)</f>
        <v>NOVEMBRO - Planejado</v>
      </c>
      <c r="AG74" s="31" t="str">
        <f>CONCATENATE(AF3," - ",AG7)</f>
        <v>NOVEMBRO - Realizado</v>
      </c>
      <c r="AH74" s="31" t="str">
        <f>CONCATENATE(AF3," - ",AH7)</f>
        <v>NOVEMBRO - Dif.</v>
      </c>
      <c r="AI74" s="31" t="str">
        <f>CONCATENATE(AI3," - ",AI7)</f>
        <v>DEZEMBRO - Planejado</v>
      </c>
      <c r="AJ74" s="31" t="str">
        <f>CONCATENATE(AI3," - ",AJ7)</f>
        <v>DEZEMBRO - Realizado</v>
      </c>
      <c r="AK74" s="31" t="str">
        <f>CONCATENATE(AI3," - ",AK7)</f>
        <v>DEZEMBRO - Dif.</v>
      </c>
      <c r="AL74" s="31" t="str">
        <f>CONCATENATE(AL3," - ",AL7)</f>
        <v>TOTAL - Planejado</v>
      </c>
      <c r="AM74" s="31" t="str">
        <f>CONCATENATE(AL3," - ",AM7)</f>
        <v>TOTAL - Realizado</v>
      </c>
      <c r="AN74" s="31" t="str">
        <f>CONCATENATE(AL3," - ",AN7)</f>
        <v>TOTAL - Dif.</v>
      </c>
    </row>
    <row r="75" spans="1:40" ht="15.75" x14ac:dyDescent="0.25">
      <c r="A75" s="17" t="s">
        <v>20</v>
      </c>
      <c r="B75" s="6">
        <f t="shared" ref="B75:AN75" si="93">B9+B20+B31+B42+B53</f>
        <v>0</v>
      </c>
      <c r="C75" s="6">
        <f t="shared" si="93"/>
        <v>0</v>
      </c>
      <c r="D75" s="6">
        <f t="shared" si="93"/>
        <v>0</v>
      </c>
      <c r="E75" s="6">
        <f t="shared" si="93"/>
        <v>0</v>
      </c>
      <c r="F75" s="6">
        <f t="shared" si="93"/>
        <v>0</v>
      </c>
      <c r="G75" s="6">
        <f t="shared" si="93"/>
        <v>0</v>
      </c>
      <c r="H75" s="6">
        <f t="shared" si="93"/>
        <v>0</v>
      </c>
      <c r="I75" s="6">
        <f t="shared" si="93"/>
        <v>0</v>
      </c>
      <c r="J75" s="6">
        <f t="shared" si="93"/>
        <v>0</v>
      </c>
      <c r="K75" s="6">
        <f t="shared" si="93"/>
        <v>0</v>
      </c>
      <c r="L75" s="6">
        <f t="shared" si="93"/>
        <v>0</v>
      </c>
      <c r="M75" s="6">
        <f t="shared" si="93"/>
        <v>0</v>
      </c>
      <c r="N75" s="6">
        <f t="shared" si="93"/>
        <v>0</v>
      </c>
      <c r="O75" s="6">
        <f t="shared" si="93"/>
        <v>0</v>
      </c>
      <c r="P75" s="6">
        <f t="shared" si="93"/>
        <v>0</v>
      </c>
      <c r="Q75" s="6">
        <f t="shared" si="93"/>
        <v>0</v>
      </c>
      <c r="R75" s="6">
        <f t="shared" si="93"/>
        <v>0</v>
      </c>
      <c r="S75" s="6">
        <f t="shared" si="93"/>
        <v>0</v>
      </c>
      <c r="T75" s="6">
        <f t="shared" si="93"/>
        <v>0</v>
      </c>
      <c r="U75" s="6">
        <f t="shared" si="93"/>
        <v>0</v>
      </c>
      <c r="V75" s="6">
        <f t="shared" si="93"/>
        <v>0</v>
      </c>
      <c r="W75" s="6">
        <f t="shared" si="93"/>
        <v>0</v>
      </c>
      <c r="X75" s="6">
        <f t="shared" si="93"/>
        <v>0</v>
      </c>
      <c r="Y75" s="6">
        <f t="shared" si="93"/>
        <v>0</v>
      </c>
      <c r="Z75" s="6">
        <f t="shared" si="93"/>
        <v>0</v>
      </c>
      <c r="AA75" s="6">
        <f t="shared" si="93"/>
        <v>0</v>
      </c>
      <c r="AB75" s="6">
        <f t="shared" si="93"/>
        <v>0</v>
      </c>
      <c r="AC75" s="6">
        <f t="shared" si="93"/>
        <v>0</v>
      </c>
      <c r="AD75" s="6">
        <f t="shared" si="93"/>
        <v>0</v>
      </c>
      <c r="AE75" s="6">
        <f t="shared" si="93"/>
        <v>0</v>
      </c>
      <c r="AF75" s="6">
        <f t="shared" si="93"/>
        <v>0</v>
      </c>
      <c r="AG75" s="6">
        <f t="shared" si="93"/>
        <v>0</v>
      </c>
      <c r="AH75" s="6">
        <f t="shared" si="93"/>
        <v>0</v>
      </c>
      <c r="AI75" s="6">
        <f t="shared" si="93"/>
        <v>0</v>
      </c>
      <c r="AJ75" s="6">
        <f t="shared" si="93"/>
        <v>0</v>
      </c>
      <c r="AK75" s="6">
        <f t="shared" si="93"/>
        <v>0</v>
      </c>
      <c r="AL75" s="6">
        <f t="shared" si="93"/>
        <v>0</v>
      </c>
      <c r="AM75" s="6">
        <f t="shared" si="93"/>
        <v>0</v>
      </c>
      <c r="AN75" s="6">
        <f t="shared" si="93"/>
        <v>0</v>
      </c>
    </row>
    <row r="76" spans="1:40" x14ac:dyDescent="0.25"/>
    <row r="77" spans="1:40" x14ac:dyDescent="0.25">
      <c r="B77" s="12"/>
    </row>
    <row r="78" spans="1:40" x14ac:dyDescent="0.25"/>
  </sheetData>
  <mergeCells count="53">
    <mergeCell ref="A1:AH1"/>
    <mergeCell ref="AL3:AN3"/>
    <mergeCell ref="N3:P3"/>
    <mergeCell ref="Q3:S3"/>
    <mergeCell ref="T3:V3"/>
    <mergeCell ref="W3:Y3"/>
    <mergeCell ref="Z3:AB3"/>
    <mergeCell ref="AF3:AH3"/>
    <mergeCell ref="AI3:AK3"/>
    <mergeCell ref="B3:D3"/>
    <mergeCell ref="E3:G3"/>
    <mergeCell ref="H3:J3"/>
    <mergeCell ref="K3:M3"/>
    <mergeCell ref="AC3:AE3"/>
    <mergeCell ref="AI6:AK6"/>
    <mergeCell ref="AF6:AH6"/>
    <mergeCell ref="AL6:AN6"/>
    <mergeCell ref="Q6:S6"/>
    <mergeCell ref="T6:V6"/>
    <mergeCell ref="W6:Y6"/>
    <mergeCell ref="Z6:AB6"/>
    <mergeCell ref="AC6:AE6"/>
    <mergeCell ref="B6:D6"/>
    <mergeCell ref="E6:G6"/>
    <mergeCell ref="H6:J6"/>
    <mergeCell ref="K6:M6"/>
    <mergeCell ref="N6:P6"/>
    <mergeCell ref="B5:D5"/>
    <mergeCell ref="E5:G5"/>
    <mergeCell ref="H5:J5"/>
    <mergeCell ref="K5:M5"/>
    <mergeCell ref="Z4:AB4"/>
    <mergeCell ref="N5:P5"/>
    <mergeCell ref="Q5:S5"/>
    <mergeCell ref="T5:V5"/>
    <mergeCell ref="W5:Y5"/>
    <mergeCell ref="Z5:AB5"/>
    <mergeCell ref="Q4:S4"/>
    <mergeCell ref="T4:V4"/>
    <mergeCell ref="W4:Y4"/>
    <mergeCell ref="B4:D4"/>
    <mergeCell ref="E4:G4"/>
    <mergeCell ref="H4:J4"/>
    <mergeCell ref="K4:M4"/>
    <mergeCell ref="N4:P4"/>
    <mergeCell ref="AC5:AE5"/>
    <mergeCell ref="AC4:AE4"/>
    <mergeCell ref="AL5:AN5"/>
    <mergeCell ref="AL4:AN4"/>
    <mergeCell ref="AF4:AH4"/>
    <mergeCell ref="AI4:AK4"/>
    <mergeCell ref="AF5:AH5"/>
    <mergeCell ref="AI5:AK5"/>
  </mergeCells>
  <conditionalFormatting sqref="B5:AN5">
    <cfRule type="cellIs" dxfId="3" priority="3" operator="greaterThanOrEqual">
      <formula>0</formula>
    </cfRule>
    <cfRule type="cellIs" dxfId="2" priority="4" operator="lessThan">
      <formula>0</formula>
    </cfRule>
  </conditionalFormatting>
  <conditionalFormatting sqref="V75 Y75 AB75 AE75 AH75 AK75 AN75 D75 G75 J75 M75 P75 S75 AN31:AN40 AN42:AN51 AN53:AN62 AN64:AN73 D31:D40 D42:D51 D53:D62 D64:D73 G31:G40 J31:J40 M31:M40 P31:P40 S31:S40 V31:V40 Y31:Y40 AB31:AB40 AE31:AE40 AH31:AH40 AK31:AK40 AK42:AK51 AH42:AH51 AE42:AE51 AB42:AB51 Y42:Y51 V42:V51 S42:S51 P42:P51 M42:M51 J42:J51 G42:G51 G53:G62 J53:J62 M53:M62 P53:P62 S53:S62 V53:V62 Y53:Y62 AB53:AB62 AE53:AE62 AH53:AH62 AK53:AK62 AK64:AK73 AH64:AH73 AE64:AE73 AB64:AB73 Y64:Y73 V64:V73 S64:S73 P64:P73 M64:M73 J64:J73 G64:G73 G9:G18 J9:J18 M9:M18 P9:P18 S9:S18 V9:V18 Y9:Y18 AB9:AB18 AE9:AE18 AH9:AH18 AK9:AK18 AN9:AN18 D9:D18 G20:G29 J20:J29 M20:M29 P20:P29 S20:S29 V20:V29 Y20:Y29 AB20:AB29 AE20:AE29 AH20:AH29 AK20:AK29 AN20:AN29 D20:D29">
    <cfRule type="cellIs" dxfId="1" priority="2" operator="lessThan">
      <formula>0</formula>
    </cfRule>
  </conditionalFormatting>
  <conditionalFormatting sqref="V75 Y75 AB75 AE75 AH75 AK75 AN75 D75 G75 J75 M75 P75 S75 AN31:AN40 AN42:AN51 AN53:AN62 AN64:AN73 D31:D40 D42:D51 D53:D62 D64:D73 G31:G40 J31:J40 M31:M40 P31:P40 S31:S40 V31:V40 Y31:Y40 AB31:AB40 AE31:AE40 AH31:AH40 AK31:AK40 AK42:AK51 AH42:AH51 AE42:AE51 AB42:AB51 Y42:Y51 V42:V51 S42:S51 P42:P51 M42:M51 J42:J51 G42:G51 G53:G62 J53:J62 M53:M62 P53:P62 S53:S62 V53:V62 Y53:Y62 AB53:AB62 AE53:AE62 AH53:AH62 AK53:AK62 AK64:AK73 AH64:AH73 AE64:AE73 AB64:AB73 Y64:Y73 V64:V73 S64:S73 P64:P73 M64:M73 J64:J73 G64:G73 G9:G18 J9:J18 M9:M18 P9:P18 S9:S18 V9:V18 Y9:Y18 AB9:AB18 AE9:AE18 AH9:AH18 AK9:AK18 AN9:AN18 D9:D18 G20:G29 J20:J29 M20:M29 P20:P29 S20:S29 V20:V29 Y20:Y29 AB20:AB29 AE20:AE29 AH20:AH29 AK20:AK29 AN20:AN29 D20:D29">
    <cfRule type="cellIs" dxfId="0" priority="1" operator="greaterThan">
      <formula>0</formula>
    </cfRule>
  </conditionalFormatting>
  <pageMargins left="0.511811024" right="0.511811024" top="0.78740157499999996" bottom="0.78740157499999996" header="0.31496062000000002" footer="0.31496062000000002"/>
  <ignoredErrors>
    <ignoredError sqref="D9 G9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7"/>
  <sheetViews>
    <sheetView showGridLines="0" zoomScaleNormal="100" workbookViewId="0">
      <selection sqref="A1:L1"/>
    </sheetView>
  </sheetViews>
  <sheetFormatPr defaultColWidth="9.140625" defaultRowHeight="15" x14ac:dyDescent="0.25"/>
  <cols>
    <col min="1" max="1" width="28.42578125" bestFit="1" customWidth="1"/>
    <col min="2" max="2" width="27.7109375" bestFit="1" customWidth="1"/>
    <col min="3" max="3" width="13.28515625" bestFit="1" customWidth="1"/>
    <col min="4" max="4" width="28.5703125" bestFit="1" customWidth="1"/>
    <col min="5" max="6" width="14.28515625" bestFit="1" customWidth="1"/>
    <col min="7" max="7" width="13.28515625" bestFit="1" customWidth="1"/>
    <col min="8" max="8" width="10.5703125" customWidth="1"/>
    <col min="9" max="9" width="10.140625" bestFit="1" customWidth="1"/>
    <col min="10" max="21" width="9.140625" customWidth="1"/>
    <col min="22" max="16384" width="9.140625" style="35"/>
  </cols>
  <sheetData>
    <row r="1" spans="1:25" s="40" customFormat="1" ht="36" customHeight="1" x14ac:dyDescent="0.25">
      <c r="A1" s="58" t="s">
        <v>67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41"/>
      <c r="N1" s="41"/>
      <c r="O1" s="41"/>
      <c r="P1" s="41"/>
      <c r="Q1" s="41"/>
      <c r="R1" s="41"/>
      <c r="S1" s="41"/>
      <c r="T1" s="41"/>
      <c r="U1" s="39"/>
      <c r="V1" s="39"/>
      <c r="W1" s="39"/>
      <c r="X1" s="39"/>
      <c r="Y1" s="39"/>
    </row>
    <row r="2" spans="1:25" x14ac:dyDescent="0.25">
      <c r="A2" s="24"/>
      <c r="B2" s="24" t="s">
        <v>57</v>
      </c>
      <c r="C2" s="24" t="s">
        <v>4</v>
      </c>
      <c r="D2" s="24" t="s">
        <v>21</v>
      </c>
      <c r="E2" s="24"/>
      <c r="F2" s="24" t="s">
        <v>58</v>
      </c>
      <c r="G2" s="24" t="s">
        <v>59</v>
      </c>
      <c r="H2" s="14" t="s">
        <v>60</v>
      </c>
    </row>
    <row r="3" spans="1:25" x14ac:dyDescent="0.25">
      <c r="A3" s="24" t="s">
        <v>8</v>
      </c>
      <c r="B3" s="25">
        <f>HLOOKUP(A3,Orçamento!$3:$4,2,0)</f>
        <v>0</v>
      </c>
      <c r="C3" s="25">
        <f>HLOOKUP(CONCATENATE(A3," - ",$C$2),Orçamento!$74:$75,2,0)</f>
        <v>0</v>
      </c>
      <c r="D3" s="25">
        <f>HLOOKUP(CONCATENATE(A3," - ",$D$2),Orçamento!$74:$75,2,0)</f>
        <v>0</v>
      </c>
      <c r="E3" s="24" t="s">
        <v>8</v>
      </c>
      <c r="F3" s="26" t="e">
        <f t="shared" ref="F3:F15" si="0">B3/$B$15</f>
        <v>#DIV/0!</v>
      </c>
      <c r="G3" s="26" t="e">
        <f t="shared" ref="G3:G15" si="1">C3/$C$15</f>
        <v>#DIV/0!</v>
      </c>
      <c r="H3" s="15" t="e">
        <f t="shared" ref="H3:H15" si="2">D3/$D$15</f>
        <v>#DIV/0!</v>
      </c>
    </row>
    <row r="4" spans="1:25" x14ac:dyDescent="0.25">
      <c r="A4" s="24" t="s">
        <v>9</v>
      </c>
      <c r="B4" s="25">
        <f>HLOOKUP(A4,Orçamento!$3:$4,2,0)</f>
        <v>0</v>
      </c>
      <c r="C4" s="25">
        <f>HLOOKUP(CONCATENATE(A4," - ",$C$2),Orçamento!$74:$75,2,0)</f>
        <v>0</v>
      </c>
      <c r="D4" s="25">
        <f>HLOOKUP(CONCATENATE(A4," - ",$D$2),Orçamento!$74:$75,2,0)</f>
        <v>0</v>
      </c>
      <c r="E4" s="24" t="s">
        <v>9</v>
      </c>
      <c r="F4" s="26" t="e">
        <f t="shared" si="0"/>
        <v>#DIV/0!</v>
      </c>
      <c r="G4" s="26" t="e">
        <f t="shared" si="1"/>
        <v>#DIV/0!</v>
      </c>
      <c r="H4" s="15" t="e">
        <f t="shared" si="2"/>
        <v>#DIV/0!</v>
      </c>
    </row>
    <row r="5" spans="1:25" x14ac:dyDescent="0.25">
      <c r="A5" s="24" t="s">
        <v>10</v>
      </c>
      <c r="B5" s="25">
        <f>HLOOKUP(A5,Orçamento!$3:$4,2,0)</f>
        <v>0</v>
      </c>
      <c r="C5" s="25">
        <f>HLOOKUP(CONCATENATE(A5," - ",$C$2),Orçamento!$74:$75,2,0)</f>
        <v>0</v>
      </c>
      <c r="D5" s="25">
        <f>HLOOKUP(CONCATENATE(A5," - ",$D$2),Orçamento!$74:$75,2,0)</f>
        <v>0</v>
      </c>
      <c r="E5" s="24" t="s">
        <v>10</v>
      </c>
      <c r="F5" s="26" t="e">
        <f t="shared" si="0"/>
        <v>#DIV/0!</v>
      </c>
      <c r="G5" s="26" t="e">
        <f t="shared" si="1"/>
        <v>#DIV/0!</v>
      </c>
      <c r="H5" s="15" t="e">
        <f t="shared" si="2"/>
        <v>#DIV/0!</v>
      </c>
    </row>
    <row r="6" spans="1:25" x14ac:dyDescent="0.25">
      <c r="A6" s="24" t="s">
        <v>11</v>
      </c>
      <c r="B6" s="25">
        <f>HLOOKUP(A6,Orçamento!$3:$4,2,0)</f>
        <v>0</v>
      </c>
      <c r="C6" s="25">
        <f>HLOOKUP(CONCATENATE(A6," - ",$C$2),Orçamento!$74:$75,2,0)</f>
        <v>0</v>
      </c>
      <c r="D6" s="25">
        <f>HLOOKUP(CONCATENATE(A6," - ",$D$2),Orçamento!$74:$75,2,0)</f>
        <v>0</v>
      </c>
      <c r="E6" s="24" t="s">
        <v>11</v>
      </c>
      <c r="F6" s="26" t="e">
        <f t="shared" si="0"/>
        <v>#DIV/0!</v>
      </c>
      <c r="G6" s="26" t="e">
        <f t="shared" si="1"/>
        <v>#DIV/0!</v>
      </c>
      <c r="H6" s="15" t="e">
        <f t="shared" si="2"/>
        <v>#DIV/0!</v>
      </c>
    </row>
    <row r="7" spans="1:25" x14ac:dyDescent="0.25">
      <c r="A7" s="24" t="s">
        <v>12</v>
      </c>
      <c r="B7" s="25">
        <f>HLOOKUP(A7,Orçamento!$3:$4,2,0)</f>
        <v>0</v>
      </c>
      <c r="C7" s="25">
        <f>HLOOKUP(CONCATENATE(A7," - ",$C$2),Orçamento!$74:$75,2,0)</f>
        <v>0</v>
      </c>
      <c r="D7" s="25">
        <f>HLOOKUP(CONCATENATE(A7," - ",$D$2),Orçamento!$74:$75,2,0)</f>
        <v>0</v>
      </c>
      <c r="E7" s="24" t="s">
        <v>12</v>
      </c>
      <c r="F7" s="26" t="e">
        <f t="shared" si="0"/>
        <v>#DIV/0!</v>
      </c>
      <c r="G7" s="26" t="e">
        <f t="shared" si="1"/>
        <v>#DIV/0!</v>
      </c>
      <c r="H7" s="15" t="e">
        <f t="shared" si="2"/>
        <v>#DIV/0!</v>
      </c>
    </row>
    <row r="8" spans="1:25" x14ac:dyDescent="0.25">
      <c r="A8" s="24" t="s">
        <v>13</v>
      </c>
      <c r="B8" s="25">
        <f>HLOOKUP(A8,Orçamento!$3:$4,2,0)</f>
        <v>0</v>
      </c>
      <c r="C8" s="25">
        <f>HLOOKUP(CONCATENATE(A8," - ",$C$2),Orçamento!$74:$75,2,0)</f>
        <v>0</v>
      </c>
      <c r="D8" s="25">
        <f>HLOOKUP(CONCATENATE(A8," - ",$D$2),Orçamento!$74:$75,2,0)</f>
        <v>0</v>
      </c>
      <c r="E8" s="24" t="s">
        <v>13</v>
      </c>
      <c r="F8" s="26" t="e">
        <f t="shared" si="0"/>
        <v>#DIV/0!</v>
      </c>
      <c r="G8" s="26" t="e">
        <f t="shared" si="1"/>
        <v>#DIV/0!</v>
      </c>
      <c r="H8" s="15" t="e">
        <f t="shared" si="2"/>
        <v>#DIV/0!</v>
      </c>
    </row>
    <row r="9" spans="1:25" x14ac:dyDescent="0.25">
      <c r="A9" s="24" t="s">
        <v>14</v>
      </c>
      <c r="B9" s="25">
        <f>HLOOKUP(A9,Orçamento!$3:$4,2,0)</f>
        <v>0</v>
      </c>
      <c r="C9" s="25">
        <f>HLOOKUP(CONCATENATE(A9," - ",$C$2),Orçamento!$74:$75,2,0)</f>
        <v>0</v>
      </c>
      <c r="D9" s="25">
        <f>HLOOKUP(CONCATENATE(A9," - ",$D$2),Orçamento!$74:$75,2,0)</f>
        <v>0</v>
      </c>
      <c r="E9" s="24" t="s">
        <v>14</v>
      </c>
      <c r="F9" s="26" t="e">
        <f t="shared" si="0"/>
        <v>#DIV/0!</v>
      </c>
      <c r="G9" s="26" t="e">
        <f t="shared" si="1"/>
        <v>#DIV/0!</v>
      </c>
      <c r="H9" s="15" t="e">
        <f t="shared" si="2"/>
        <v>#DIV/0!</v>
      </c>
    </row>
    <row r="10" spans="1:25" x14ac:dyDescent="0.25">
      <c r="A10" s="24" t="s">
        <v>15</v>
      </c>
      <c r="B10" s="25">
        <f>HLOOKUP(A10,Orçamento!$3:$4,2,0)</f>
        <v>0</v>
      </c>
      <c r="C10" s="25">
        <f>HLOOKUP(CONCATENATE(A10," - ",$C$2),Orçamento!$74:$75,2,0)</f>
        <v>0</v>
      </c>
      <c r="D10" s="25">
        <f>HLOOKUP(CONCATENATE(A10," - ",$D$2),Orçamento!$74:$75,2,0)</f>
        <v>0</v>
      </c>
      <c r="E10" s="24" t="s">
        <v>15</v>
      </c>
      <c r="F10" s="26" t="e">
        <f t="shared" si="0"/>
        <v>#DIV/0!</v>
      </c>
      <c r="G10" s="26" t="e">
        <f t="shared" si="1"/>
        <v>#DIV/0!</v>
      </c>
      <c r="H10" s="15" t="e">
        <f t="shared" si="2"/>
        <v>#DIV/0!</v>
      </c>
    </row>
    <row r="11" spans="1:25" x14ac:dyDescent="0.25">
      <c r="A11" s="24" t="s">
        <v>16</v>
      </c>
      <c r="B11" s="25">
        <f>HLOOKUP(A11,Orçamento!$3:$4,2,0)</f>
        <v>0</v>
      </c>
      <c r="C11" s="25">
        <f>HLOOKUP(CONCATENATE(A11," - ",$C$2),Orçamento!$74:$75,2,0)</f>
        <v>0</v>
      </c>
      <c r="D11" s="25">
        <f>HLOOKUP(CONCATENATE(A11," - ",$D$2),Orçamento!$74:$75,2,0)</f>
        <v>0</v>
      </c>
      <c r="E11" s="24" t="s">
        <v>16</v>
      </c>
      <c r="F11" s="26" t="e">
        <f t="shared" si="0"/>
        <v>#DIV/0!</v>
      </c>
      <c r="G11" s="26" t="e">
        <f t="shared" si="1"/>
        <v>#DIV/0!</v>
      </c>
      <c r="H11" s="15" t="e">
        <f t="shared" si="2"/>
        <v>#DIV/0!</v>
      </c>
    </row>
    <row r="12" spans="1:25" x14ac:dyDescent="0.25">
      <c r="A12" s="24" t="s">
        <v>17</v>
      </c>
      <c r="B12" s="25">
        <f>HLOOKUP(A12,Orçamento!$3:$4,2,0)</f>
        <v>0</v>
      </c>
      <c r="C12" s="25">
        <f>HLOOKUP(CONCATENATE(A12," - ",$C$2),Orçamento!$74:$75,2,0)</f>
        <v>0</v>
      </c>
      <c r="D12" s="25">
        <f>HLOOKUP(CONCATENATE(A12," - ",$D$2),Orçamento!$74:$75,2,0)</f>
        <v>0</v>
      </c>
      <c r="E12" s="24" t="s">
        <v>17</v>
      </c>
      <c r="F12" s="26" t="e">
        <f t="shared" si="0"/>
        <v>#DIV/0!</v>
      </c>
      <c r="G12" s="26" t="e">
        <f t="shared" si="1"/>
        <v>#DIV/0!</v>
      </c>
      <c r="H12" s="15" t="e">
        <f t="shared" si="2"/>
        <v>#DIV/0!</v>
      </c>
    </row>
    <row r="13" spans="1:25" x14ac:dyDescent="0.25">
      <c r="A13" s="24" t="s">
        <v>18</v>
      </c>
      <c r="B13" s="25">
        <f>HLOOKUP(A13,Orçamento!$3:$4,2,0)</f>
        <v>0</v>
      </c>
      <c r="C13" s="25">
        <f>HLOOKUP(CONCATENATE(A13," - ",$C$2),Orçamento!$74:$75,2,0)</f>
        <v>0</v>
      </c>
      <c r="D13" s="25">
        <f>HLOOKUP(CONCATENATE(A13," - ",$D$2),Orçamento!$74:$75,2,0)</f>
        <v>0</v>
      </c>
      <c r="E13" s="24" t="s">
        <v>18</v>
      </c>
      <c r="F13" s="26" t="e">
        <f t="shared" si="0"/>
        <v>#DIV/0!</v>
      </c>
      <c r="G13" s="26" t="e">
        <f t="shared" si="1"/>
        <v>#DIV/0!</v>
      </c>
      <c r="H13" s="15" t="e">
        <f t="shared" si="2"/>
        <v>#DIV/0!</v>
      </c>
    </row>
    <row r="14" spans="1:25" x14ac:dyDescent="0.25">
      <c r="A14" s="24" t="s">
        <v>19</v>
      </c>
      <c r="B14" s="25">
        <f>HLOOKUP(A14,Orçamento!$3:$4,2,0)</f>
        <v>0</v>
      </c>
      <c r="C14" s="25">
        <f>HLOOKUP(CONCATENATE(A14," - ",$C$2),Orçamento!$74:$75,2,0)</f>
        <v>0</v>
      </c>
      <c r="D14" s="25">
        <f>HLOOKUP(CONCATENATE(A14," - ",$D$2),Orçamento!$74:$75,2,0)</f>
        <v>0</v>
      </c>
      <c r="E14" s="24" t="s">
        <v>19</v>
      </c>
      <c r="F14" s="26" t="e">
        <f t="shared" si="0"/>
        <v>#DIV/0!</v>
      </c>
      <c r="G14" s="26" t="e">
        <f t="shared" si="1"/>
        <v>#DIV/0!</v>
      </c>
      <c r="H14" s="15" t="e">
        <f t="shared" si="2"/>
        <v>#DIV/0!</v>
      </c>
    </row>
    <row r="15" spans="1:25" x14ac:dyDescent="0.25">
      <c r="A15" s="24" t="s">
        <v>20</v>
      </c>
      <c r="B15" s="25">
        <f>HLOOKUP(A15,Orçamento!$3:$4,2,0)</f>
        <v>0</v>
      </c>
      <c r="C15" s="25">
        <f>HLOOKUP(CONCATENATE(A15," - ",$C$2),Orçamento!$74:$75,2,0)</f>
        <v>0</v>
      </c>
      <c r="D15" s="25">
        <f>HLOOKUP(CONCATENATE(A15," - ",$D$2),Orçamento!$74:$75,2,0)</f>
        <v>0</v>
      </c>
      <c r="E15" s="24" t="s">
        <v>20</v>
      </c>
      <c r="F15" s="26" t="e">
        <f t="shared" si="0"/>
        <v>#DIV/0!</v>
      </c>
      <c r="G15" s="26" t="e">
        <f t="shared" si="1"/>
        <v>#DIV/0!</v>
      </c>
      <c r="H15" s="15" t="e">
        <f t="shared" si="2"/>
        <v>#DIV/0!</v>
      </c>
    </row>
    <row r="16" spans="1:25" x14ac:dyDescent="0.25">
      <c r="A16" s="23"/>
      <c r="B16" s="23"/>
      <c r="C16" s="23"/>
      <c r="D16" s="23"/>
      <c r="E16" s="23"/>
      <c r="F16" s="23"/>
      <c r="G16" s="23"/>
      <c r="H16" s="13"/>
    </row>
    <row r="17" spans="8:8" x14ac:dyDescent="0.25">
      <c r="H17" s="13"/>
    </row>
    <row r="18" spans="8:8" x14ac:dyDescent="0.25">
      <c r="H18" s="13"/>
    </row>
    <row r="19" spans="8:8" x14ac:dyDescent="0.25">
      <c r="H19" s="13"/>
    </row>
    <row r="20" spans="8:8" x14ac:dyDescent="0.25">
      <c r="H20" s="13"/>
    </row>
    <row r="21" spans="8:8" x14ac:dyDescent="0.25">
      <c r="H21" s="13"/>
    </row>
    <row r="22" spans="8:8" x14ac:dyDescent="0.25">
      <c r="H22" s="13"/>
    </row>
    <row r="23" spans="8:8" x14ac:dyDescent="0.25">
      <c r="H23" s="13"/>
    </row>
    <row r="24" spans="8:8" x14ac:dyDescent="0.25">
      <c r="H24" s="13"/>
    </row>
    <row r="25" spans="8:8" x14ac:dyDescent="0.25">
      <c r="H25" s="13"/>
    </row>
    <row r="26" spans="8:8" x14ac:dyDescent="0.25">
      <c r="H26" s="13"/>
    </row>
    <row r="27" spans="8:8" x14ac:dyDescent="0.25">
      <c r="H27" s="13"/>
    </row>
    <row r="28" spans="8:8" x14ac:dyDescent="0.25">
      <c r="H28" s="13"/>
    </row>
    <row r="29" spans="8:8" x14ac:dyDescent="0.25">
      <c r="H29" s="13"/>
    </row>
    <row r="30" spans="8:8" x14ac:dyDescent="0.25">
      <c r="H30" s="13"/>
    </row>
    <row r="31" spans="8:8" x14ac:dyDescent="0.25">
      <c r="H31" s="13"/>
    </row>
    <row r="32" spans="8:8" x14ac:dyDescent="0.25">
      <c r="H32" s="13"/>
    </row>
    <row r="33" spans="8:8" x14ac:dyDescent="0.25">
      <c r="H33" s="13"/>
    </row>
    <row r="34" spans="8:8" x14ac:dyDescent="0.25">
      <c r="H34" s="13"/>
    </row>
    <row r="48" spans="8:8" ht="15.75" thickBot="1" x14ac:dyDescent="0.3"/>
    <row r="49" spans="1:6" ht="15.75" thickBot="1" x14ac:dyDescent="0.3">
      <c r="A49" s="21" t="s">
        <v>62</v>
      </c>
      <c r="B49" s="16" t="s">
        <v>26</v>
      </c>
    </row>
    <row r="50" spans="1:6" ht="15.75" thickBot="1" x14ac:dyDescent="0.3">
      <c r="A50" s="22" t="s">
        <v>61</v>
      </c>
      <c r="B50" s="16" t="s">
        <v>8</v>
      </c>
    </row>
    <row r="51" spans="1:6" x14ac:dyDescent="0.25">
      <c r="D51" s="2"/>
      <c r="E51" s="2"/>
      <c r="F51" s="2"/>
    </row>
    <row r="52" spans="1:6" x14ac:dyDescent="0.25">
      <c r="A52" s="19" t="str">
        <f>IF(B49=B65,Orçamento!A9,IF(B49=B66,Orçamento!A20,IF(B49=B67,Orçamento!A31,IF(B49=B68,Orçamento!A42,IF(B49=B69,Orçamento!A53,IF(B49=B70,Orçamento!A64,""))))))</f>
        <v>DEPARTAMENTO PESSOAL</v>
      </c>
      <c r="B52" s="19" t="s">
        <v>63</v>
      </c>
      <c r="C52" s="19" t="s">
        <v>64</v>
      </c>
    </row>
    <row r="53" spans="1:6" x14ac:dyDescent="0.25">
      <c r="A53" s="19" t="str">
        <f>IF($A$52=$B$65,Orçamento!A10,IF(Gráficos!$A$52=Gráficos!$B$66,Orçamento!A21,IF(Gráficos!$A$52=Gráficos!$B$67,Orçamento!A32,IF(Gráficos!$A$52=Gráficos!$B$68,Orçamento!A43,IF(Gráficos!$A$52=Gráficos!$B$69,Orçamento!A54,IF(Gráficos!$A$52=Gráficos!$B$70,Orçamento!A65,0))))))</f>
        <v>Pró-labore</v>
      </c>
      <c r="B53" s="20">
        <f>IF($B$50=$A$65,VLOOKUP(A53,Orçamento!$A:$AO,2,0),IF($B$50=$A$66,VLOOKUP(A53,Orçamento!$A:$AO,5,0),IF($B$50=$A$67,VLOOKUP(A53,Orçamento!$A:$AO,8,0),IF($B$50=$A$68,VLOOKUP(A53,Orçamento!$A:$AO,11,0),IF($B$50=$A$69,VLOOKUP(A53,Orçamento!$A:$AO,14,0),IF($B$50=$A$70,VLOOKUP(A53,Orçamento!$A:$AO,17,0),IF($B$50=$A$71,VLOOKUP(A53,Orçamento!$A:$AO,20,0),IF($B$50=$A$72,VLOOKUP(A53,Orçamento!$A:$AO,23,0),IF($B$50=$A$73,VLOOKUP(A53,Orçamento!$A:$AO,26,0),IF($B$50=$A$74,VLOOKUP(A53,Orçamento!$A:$AO,29,0),IF($B$50=$A$75,VLOOKUP(A53,Orçamento!$A:$AO,32,0),IF($B$50=$A$76,VLOOKUP(A53,Orçamento!$A:$AO,35,0),IF($B$50=$A$77,VLOOKUP(A53,Orçamento!$A:$AO,38,0),"")))))))))))))</f>
        <v>0</v>
      </c>
      <c r="C53" s="20">
        <f>IF($B$50=$A$65,VLOOKUP(A53,Orçamento!$A:$AO,3,0),IF($B$50=$A$66,VLOOKUP(A53,Orçamento!$A:$AO,6,0),IF($B$50=$A$67,VLOOKUP(A53,Orçamento!$A:$AO,9,0),IF($B$50=$A$68,VLOOKUP(A53,Orçamento!$A:$AO,12,0),IF($B$50=$A$69,VLOOKUP(A53,Orçamento!$A:$AO,15,0),IF($B$50=$A$70,VLOOKUP(A53,Orçamento!$A:$AO,18,0),IF($B$50=$A$71,VLOOKUP(A53,Orçamento!$A:$AO,21,0),IF($B$50=$A$72,VLOOKUP(A53,Orçamento!$A:$AO,24,0),IF($B$50=$A$73,VLOOKUP(A53,Orçamento!$A:$AO,27,0),IF($B$50=$A$74,VLOOKUP(A53,Orçamento!$A:$AO,30,0),IF($B$50=$A$75,VLOOKUP(A53,Orçamento!$A:$AO,33,0),IF($B$50=$A$76,VLOOKUP(A53,Orçamento!$A:$AO,36,0),IF($B$50=$A$77,VLOOKUP(A53,Orçamento!$A:$AO,39,0),"")))))))))))))</f>
        <v>0</v>
      </c>
    </row>
    <row r="54" spans="1:6" x14ac:dyDescent="0.25">
      <c r="A54" s="19" t="str">
        <f>IF($A$52=$B$65,Orçamento!A11,IF(Gráficos!$A$52=Gráficos!$B$66,Orçamento!A22,IF(Gráficos!$A$52=Gráficos!$B$67,Orçamento!A33,IF(Gráficos!$A$52=Gráficos!$B$68,Orçamento!A44,IF(Gráficos!$A$52=Gráficos!$B$69,Orçamento!A55,IF(Gráficos!$A$52=Gráficos!$B$70,Orçamento!A66,0))))))</f>
        <v>Auxilio doença</v>
      </c>
      <c r="B54" s="20">
        <f>IF($B$50=$A$65,VLOOKUP(A54,Orçamento!$A:$AO,2,0),IF($B$50=$A$66,VLOOKUP(A54,Orçamento!$A:$AO,5,0),IF($B$50=$A$67,VLOOKUP(A54,Orçamento!$A:$AO,8,0),IF($B$50=$A$68,VLOOKUP(A54,Orçamento!$A:$AO,11,0),IF($B$50=$A$69,VLOOKUP(A54,Orçamento!$A:$AO,14,0),IF($B$50=$A$70,VLOOKUP(A54,Orçamento!$A:$AO,17,0),IF($B$50=$A$71,VLOOKUP(A54,Orçamento!$A:$AO,20,0),IF($B$50=$A$72,VLOOKUP(A54,Orçamento!$A:$AO,23,0),IF($B$50=$A$73,VLOOKUP(A54,Orçamento!$A:$AO,26,0),IF($B$50=$A$74,VLOOKUP(A54,Orçamento!$A:$AO,29,0),IF($B$50=$A$75,VLOOKUP(A54,Orçamento!$A:$AO,32,0),IF($B$50=$A$76,VLOOKUP(A54,Orçamento!$A:$AO,35,0),IF($B$50=$A$77,VLOOKUP(A54,Orçamento!$A:$AO,38,0),"")))))))))))))</f>
        <v>0</v>
      </c>
      <c r="C54" s="20">
        <f>IF($B$50=$A$65,VLOOKUP(A54,Orçamento!$A:$AO,3,0),IF($B$50=$A$66,VLOOKUP(A54,Orçamento!$A:$AO,6,0),IF($B$50=$A$67,VLOOKUP(A54,Orçamento!$A:$AO,9,0),IF($B$50=$A$68,VLOOKUP(A54,Orçamento!$A:$AO,12,0),IF($B$50=$A$69,VLOOKUP(A54,Orçamento!$A:$AO,15,0),IF($B$50=$A$70,VLOOKUP(A54,Orçamento!$A:$AO,18,0),IF($B$50=$A$71,VLOOKUP(A54,Orçamento!$A:$AO,21,0),IF($B$50=$A$72,VLOOKUP(A54,Orçamento!$A:$AO,24,0),IF($B$50=$A$73,VLOOKUP(A54,Orçamento!$A:$AO,27,0),IF($B$50=$A$74,VLOOKUP(A54,Orçamento!$A:$AO,30,0),IF($B$50=$A$75,VLOOKUP(A54,Orçamento!$A:$AO,33,0),IF($B$50=$A$76,VLOOKUP(A54,Orçamento!$A:$AO,36,0),IF($B$50=$A$77,VLOOKUP(A54,Orçamento!$A:$AO,39,0),"")))))))))))))</f>
        <v>0</v>
      </c>
    </row>
    <row r="55" spans="1:6" x14ac:dyDescent="0.25">
      <c r="A55" s="19" t="str">
        <f>IF($A$52=$B$65,Orçamento!A12,IF(Gráficos!$A$52=Gráficos!$B$66,Orçamento!A23,IF(Gráficos!$A$52=Gráficos!$B$67,Orçamento!A34,IF(Gráficos!$A$52=Gráficos!$B$68,Orçamento!A45,IF(Gráficos!$A$52=Gráficos!$B$69,Orçamento!A56,IF(Gráficos!$A$52=Gráficos!$B$70,Orçamento!A67,0))))))</f>
        <v>Benefícios</v>
      </c>
      <c r="B55" s="20">
        <f>IF($B$50=$A$65,VLOOKUP(A55,Orçamento!$A:$AO,2,0),IF($B$50=$A$66,VLOOKUP(A55,Orçamento!$A:$AO,5,0),IF($B$50=$A$67,VLOOKUP(A55,Orçamento!$A:$AO,8,0),IF($B$50=$A$68,VLOOKUP(A55,Orçamento!$A:$AO,11,0),IF($B$50=$A$69,VLOOKUP(A55,Orçamento!$A:$AO,14,0),IF($B$50=$A$70,VLOOKUP(A55,Orçamento!$A:$AO,17,0),IF($B$50=$A$71,VLOOKUP(A55,Orçamento!$A:$AO,20,0),IF($B$50=$A$72,VLOOKUP(A55,Orçamento!$A:$AO,23,0),IF($B$50=$A$73,VLOOKUP(A55,Orçamento!$A:$AO,26,0),IF($B$50=$A$74,VLOOKUP(A55,Orçamento!$A:$AO,29,0),IF($B$50=$A$75,VLOOKUP(A55,Orçamento!$A:$AO,32,0),IF($B$50=$A$76,VLOOKUP(A55,Orçamento!$A:$AO,35,0),IF($B$50=$A$77,VLOOKUP(A55,Orçamento!$A:$AO,38,0),"")))))))))))))</f>
        <v>0</v>
      </c>
      <c r="C55" s="20">
        <f>IF($B$50=$A$65,VLOOKUP(A55,Orçamento!$A:$AO,3,0),IF($B$50=$A$66,VLOOKUP(A55,Orçamento!$A:$AO,6,0),IF($B$50=$A$67,VLOOKUP(A55,Orçamento!$A:$AO,9,0),IF($B$50=$A$68,VLOOKUP(A55,Orçamento!$A:$AO,12,0),IF($B$50=$A$69,VLOOKUP(A55,Orçamento!$A:$AO,15,0),IF($B$50=$A$70,VLOOKUP(A55,Orçamento!$A:$AO,18,0),IF($B$50=$A$71,VLOOKUP(A55,Orçamento!$A:$AO,21,0),IF($B$50=$A$72,VLOOKUP(A55,Orçamento!$A:$AO,24,0),IF($B$50=$A$73,VLOOKUP(A55,Orçamento!$A:$AO,27,0),IF($B$50=$A$74,VLOOKUP(A55,Orçamento!$A:$AO,30,0),IF($B$50=$A$75,VLOOKUP(A55,Orçamento!$A:$AO,33,0),IF($B$50=$A$76,VLOOKUP(A55,Orçamento!$A:$AO,36,0),IF($B$50=$A$77,VLOOKUP(A55,Orçamento!$A:$AO,39,0),"")))))))))))))</f>
        <v>0</v>
      </c>
    </row>
    <row r="56" spans="1:6" x14ac:dyDescent="0.25">
      <c r="A56" s="19" t="str">
        <f>IF($A$52=$B$65,Orçamento!A13,IF(Gráficos!$A$52=Gráficos!$B$66,Orçamento!A24,IF(Gráficos!$A$52=Gráficos!$B$67,Orçamento!A35,IF(Gráficos!$A$52=Gráficos!$B$68,Orçamento!A46,IF(Gráficos!$A$52=Gráficos!$B$69,Orçamento!A57,IF(Gráficos!$A$52=Gráficos!$B$70,Orçamento!A68,0))))))</f>
        <v>Treinamentos</v>
      </c>
      <c r="B56" s="20">
        <f>IF($B$50=$A$65,VLOOKUP(A56,Orçamento!$A:$AO,2,0),IF($B$50=$A$66,VLOOKUP(A56,Orçamento!$A:$AO,5,0),IF($B$50=$A$67,VLOOKUP(A56,Orçamento!$A:$AO,8,0),IF($B$50=$A$68,VLOOKUP(A56,Orçamento!$A:$AO,11,0),IF($B$50=$A$69,VLOOKUP(A56,Orçamento!$A:$AO,14,0),IF($B$50=$A$70,VLOOKUP(A56,Orçamento!$A:$AO,17,0),IF($B$50=$A$71,VLOOKUP(A56,Orçamento!$A:$AO,20,0),IF($B$50=$A$72,VLOOKUP(A56,Orçamento!$A:$AO,23,0),IF($B$50=$A$73,VLOOKUP(A56,Orçamento!$A:$AO,26,0),IF($B$50=$A$74,VLOOKUP(A56,Orçamento!$A:$AO,29,0),IF($B$50=$A$75,VLOOKUP(A56,Orçamento!$A:$AO,32,0),IF($B$50=$A$76,VLOOKUP(A56,Orçamento!$A:$AO,35,0),IF($B$50=$A$77,VLOOKUP(A56,Orçamento!$A:$AO,38,0),"")))))))))))))</f>
        <v>0</v>
      </c>
      <c r="C56" s="20">
        <f>IF($B$50=$A$65,VLOOKUP(A56,Orçamento!$A:$AO,3,0),IF($B$50=$A$66,VLOOKUP(A56,Orçamento!$A:$AO,6,0),IF($B$50=$A$67,VLOOKUP(A56,Orçamento!$A:$AO,9,0),IF($B$50=$A$68,VLOOKUP(A56,Orçamento!$A:$AO,12,0),IF($B$50=$A$69,VLOOKUP(A56,Orçamento!$A:$AO,15,0),IF($B$50=$A$70,VLOOKUP(A56,Orçamento!$A:$AO,18,0),IF($B$50=$A$71,VLOOKUP(A56,Orçamento!$A:$AO,21,0),IF($B$50=$A$72,VLOOKUP(A56,Orçamento!$A:$AO,24,0),IF($B$50=$A$73,VLOOKUP(A56,Orçamento!$A:$AO,27,0),IF($B$50=$A$74,VLOOKUP(A56,Orçamento!$A:$AO,30,0),IF($B$50=$A$75,VLOOKUP(A56,Orçamento!$A:$AO,33,0),IF($B$50=$A$76,VLOOKUP(A56,Orçamento!$A:$AO,36,0),IF($B$50=$A$77,VLOOKUP(A56,Orçamento!$A:$AO,39,0),"")))))))))))))</f>
        <v>0</v>
      </c>
    </row>
    <row r="57" spans="1:6" x14ac:dyDescent="0.25">
      <c r="A57" s="19" t="str">
        <f>IF($A$52=$B$65,Orçamento!A14,IF(Gráficos!$A$52=Gráficos!$B$66,Orçamento!A25,IF(Gráficos!$A$52=Gráficos!$B$67,Orçamento!A36,IF(Gráficos!$A$52=Gráficos!$B$68,Orçamento!A47,IF(Gráficos!$A$52=Gráficos!$B$69,Orçamento!A58,IF(Gráficos!$A$52=Gráficos!$B$70,Orçamento!A69,0))))))</f>
        <v xml:space="preserve">Programas de saúde </v>
      </c>
      <c r="B57" s="20">
        <f>IF($B$50=$A$65,VLOOKUP(A57,Orçamento!$A:$AO,2,0),IF($B$50=$A$66,VLOOKUP(A57,Orçamento!$A:$AO,5,0),IF($B$50=$A$67,VLOOKUP(A57,Orçamento!$A:$AO,8,0),IF($B$50=$A$68,VLOOKUP(A57,Orçamento!$A:$AO,11,0),IF($B$50=$A$69,VLOOKUP(A57,Orçamento!$A:$AO,14,0),IF($B$50=$A$70,VLOOKUP(A57,Orçamento!$A:$AO,17,0),IF($B$50=$A$71,VLOOKUP(A57,Orçamento!$A:$AO,20,0),IF($B$50=$A$72,VLOOKUP(A57,Orçamento!$A:$AO,23,0),IF($B$50=$A$73,VLOOKUP(A57,Orçamento!$A:$AO,26,0),IF($B$50=$A$74,VLOOKUP(A57,Orçamento!$A:$AO,29,0),IF($B$50=$A$75,VLOOKUP(A57,Orçamento!$A:$AO,32,0),IF($B$50=$A$76,VLOOKUP(A57,Orçamento!$A:$AO,35,0),IF($B$50=$A$77,VLOOKUP(A57,Orçamento!$A:$AO,38,0),"")))))))))))))</f>
        <v>0</v>
      </c>
      <c r="C57" s="20">
        <f>IF($B$50=$A$65,VLOOKUP(A57,Orçamento!$A:$AO,3,0),IF($B$50=$A$66,VLOOKUP(A57,Orçamento!$A:$AO,6,0),IF($B$50=$A$67,VLOOKUP(A57,Orçamento!$A:$AO,9,0),IF($B$50=$A$68,VLOOKUP(A57,Orçamento!$A:$AO,12,0),IF($B$50=$A$69,VLOOKUP(A57,Orçamento!$A:$AO,15,0),IF($B$50=$A$70,VLOOKUP(A57,Orçamento!$A:$AO,18,0),IF($B$50=$A$71,VLOOKUP(A57,Orçamento!$A:$AO,21,0),IF($B$50=$A$72,VLOOKUP(A57,Orçamento!$A:$AO,24,0),IF($B$50=$A$73,VLOOKUP(A57,Orçamento!$A:$AO,27,0),IF($B$50=$A$74,VLOOKUP(A57,Orçamento!$A:$AO,30,0),IF($B$50=$A$75,VLOOKUP(A57,Orçamento!$A:$AO,33,0),IF($B$50=$A$76,VLOOKUP(A57,Orçamento!$A:$AO,36,0),IF($B$50=$A$77,VLOOKUP(A57,Orçamento!$A:$AO,39,0),"")))))))))))))</f>
        <v>0</v>
      </c>
    </row>
    <row r="58" spans="1:6" x14ac:dyDescent="0.25">
      <c r="A58" s="19" t="str">
        <f>IF($A$52=$B$65,Orçamento!A15,IF(Gráficos!$A$52=Gráficos!$B$66,Orçamento!A26,IF(Gráficos!$A$52=Gráficos!$B$67,Orçamento!A37,IF(Gráficos!$A$52=Gráficos!$B$68,Orçamento!A48,IF(Gráficos!$A$52=Gráficos!$B$69,Orçamento!A59,IF(Gráficos!$A$52=Gráficos!$B$70,Orçamento!A70,0))))))</f>
        <v>Responsabilidade Social</v>
      </c>
      <c r="B58" s="20">
        <f>IF($B$50=$A$65,VLOOKUP(A58,Orçamento!$A:$AO,2,0),IF($B$50=$A$66,VLOOKUP(A58,Orçamento!$A:$AO,5,0),IF($B$50=$A$67,VLOOKUP(A58,Orçamento!$A:$AO,8,0),IF($B$50=$A$68,VLOOKUP(A58,Orçamento!$A:$AO,11,0),IF($B$50=$A$69,VLOOKUP(A58,Orçamento!$A:$AO,14,0),IF($B$50=$A$70,VLOOKUP(A58,Orçamento!$A:$AO,17,0),IF($B$50=$A$71,VLOOKUP(A58,Orçamento!$A:$AO,20,0),IF($B$50=$A$72,VLOOKUP(A58,Orçamento!$A:$AO,23,0),IF($B$50=$A$73,VLOOKUP(A58,Orçamento!$A:$AO,26,0),IF($B$50=$A$74,VLOOKUP(A58,Orçamento!$A:$AO,29,0),IF($B$50=$A$75,VLOOKUP(A58,Orçamento!$A:$AO,32,0),IF($B$50=$A$76,VLOOKUP(A58,Orçamento!$A:$AO,35,0),IF($B$50=$A$77,VLOOKUP(A58,Orçamento!$A:$AO,38,0),"")))))))))))))</f>
        <v>0</v>
      </c>
      <c r="C58" s="20">
        <f>IF($B$50=$A$65,VLOOKUP(A58,Orçamento!$A:$AO,3,0),IF($B$50=$A$66,VLOOKUP(A58,Orçamento!$A:$AO,6,0),IF($B$50=$A$67,VLOOKUP(A58,Orçamento!$A:$AO,9,0),IF($B$50=$A$68,VLOOKUP(A58,Orçamento!$A:$AO,12,0),IF($B$50=$A$69,VLOOKUP(A58,Orçamento!$A:$AO,15,0),IF($B$50=$A$70,VLOOKUP(A58,Orçamento!$A:$AO,18,0),IF($B$50=$A$71,VLOOKUP(A58,Orçamento!$A:$AO,21,0),IF($B$50=$A$72,VLOOKUP(A58,Orçamento!$A:$AO,24,0),IF($B$50=$A$73,VLOOKUP(A58,Orçamento!$A:$AO,27,0),IF($B$50=$A$74,VLOOKUP(A58,Orçamento!$A:$AO,30,0),IF($B$50=$A$75,VLOOKUP(A58,Orçamento!$A:$AO,33,0),IF($B$50=$A$76,VLOOKUP(A58,Orçamento!$A:$AO,36,0),IF($B$50=$A$77,VLOOKUP(A58,Orçamento!$A:$AO,39,0),"")))))))))))))</f>
        <v>0</v>
      </c>
    </row>
    <row r="59" spans="1:6" x14ac:dyDescent="0.25">
      <c r="A59" s="19" t="str">
        <f>IF($A$52=$B$65,Orçamento!A16,IF(Gráficos!$A$52=Gráficos!$B$66,Orçamento!A27,IF(Gráficos!$A$52=Gráficos!$B$67,Orçamento!A38,IF(Gráficos!$A$52=Gráficos!$B$68,Orçamento!A49,IF(Gráficos!$A$52=Gráficos!$B$69,Orçamento!A60,IF(Gráficos!$A$52=Gráficos!$B$70,Orçamento!A71,0))))))</f>
        <v>Outras despesas</v>
      </c>
      <c r="B59" s="20">
        <f>IF($B$50=$A$65,VLOOKUP(A59,Orçamento!$A:$AO,2,0),IF($B$50=$A$66,VLOOKUP(A59,Orçamento!$A:$AO,5,0),IF($B$50=$A$67,VLOOKUP(A59,Orçamento!$A:$AO,8,0),IF($B$50=$A$68,VLOOKUP(A59,Orçamento!$A:$AO,11,0),IF($B$50=$A$69,VLOOKUP(A59,Orçamento!$A:$AO,14,0),IF($B$50=$A$70,VLOOKUP(A59,Orçamento!$A:$AO,17,0),IF($B$50=$A$71,VLOOKUP(A59,Orçamento!$A:$AO,20,0),IF($B$50=$A$72,VLOOKUP(A59,Orçamento!$A:$AO,23,0),IF($B$50=$A$73,VLOOKUP(A59,Orçamento!$A:$AO,26,0),IF($B$50=$A$74,VLOOKUP(A59,Orçamento!$A:$AO,29,0),IF($B$50=$A$75,VLOOKUP(A59,Orçamento!$A:$AO,32,0),IF($B$50=$A$76,VLOOKUP(A59,Orçamento!$A:$AO,35,0),IF($B$50=$A$77,VLOOKUP(A59,Orçamento!$A:$AO,38,0),"")))))))))))))</f>
        <v>0</v>
      </c>
      <c r="C59" s="20">
        <f>IF($B$50=$A$65,VLOOKUP(A59,Orçamento!$A:$AO,3,0),IF($B$50=$A$66,VLOOKUP(A59,Orçamento!$A:$AO,6,0),IF($B$50=$A$67,VLOOKUP(A59,Orçamento!$A:$AO,9,0),IF($B$50=$A$68,VLOOKUP(A59,Orçamento!$A:$AO,12,0),IF($B$50=$A$69,VLOOKUP(A59,Orçamento!$A:$AO,15,0),IF($B$50=$A$70,VLOOKUP(A59,Orçamento!$A:$AO,18,0),IF($B$50=$A$71,VLOOKUP(A59,Orçamento!$A:$AO,21,0),IF($B$50=$A$72,VLOOKUP(A59,Orçamento!$A:$AO,24,0),IF($B$50=$A$73,VLOOKUP(A59,Orçamento!$A:$AO,27,0),IF($B$50=$A$74,VLOOKUP(A59,Orçamento!$A:$AO,30,0),IF($B$50=$A$75,VLOOKUP(A59,Orçamento!$A:$AO,33,0),IF($B$50=$A$76,VLOOKUP(A59,Orçamento!$A:$AO,36,0),IF($B$50=$A$77,VLOOKUP(A59,Orçamento!$A:$AO,39,0),"")))))))))))))</f>
        <v>0</v>
      </c>
    </row>
    <row r="60" spans="1:6" x14ac:dyDescent="0.25">
      <c r="A60" s="19">
        <f>IF($A$52=$B$65,Orçamento!A17,IF(Gráficos!$A$52=Gráficos!$B$66,Orçamento!A28,IF(Gráficos!$A$52=Gráficos!$B$67,Orçamento!A39,IF(Gráficos!$A$52=Gráficos!$B$68,Orçamento!A50,IF(Gráficos!$A$52=Gráficos!$B$69,Orçamento!A61,IF(Gráficos!$A$52=Gráficos!$B$70,Orçamento!A72,0))))))</f>
        <v>0</v>
      </c>
      <c r="B60" s="20" t="e">
        <f>IF($B$50=$A$65,VLOOKUP(A60,Orçamento!$A:$AO,2,0),IF($B$50=$A$66,VLOOKUP(A60,Orçamento!$A:$AO,5,0),IF($B$50=$A$67,VLOOKUP(A60,Orçamento!$A:$AO,8,0),IF($B$50=$A$68,VLOOKUP(A60,Orçamento!$A:$AO,11,0),IF($B$50=$A$69,VLOOKUP(A60,Orçamento!$A:$AO,14,0),IF($B$50=$A$70,VLOOKUP(A60,Orçamento!$A:$AO,17,0),IF($B$50=$A$71,VLOOKUP(A60,Orçamento!$A:$AO,20,0),IF($B$50=$A$72,VLOOKUP(A60,Orçamento!$A:$AO,23,0),IF($B$50=$A$73,VLOOKUP(A60,Orçamento!$A:$AO,26,0),IF($B$50=$A$74,VLOOKUP(A60,Orçamento!$A:$AO,29,0),IF($B$50=$A$75,VLOOKUP(A60,Orçamento!$A:$AO,32,0),IF($B$50=$A$76,VLOOKUP(A60,Orçamento!$A:$AO,35,0),IF($B$50=$A$77,VLOOKUP(A60,Orçamento!$A:$AO,38,0),"")))))))))))))</f>
        <v>#N/A</v>
      </c>
      <c r="C60" s="20" t="e">
        <f>IF($B$50=$A$65,VLOOKUP(A60,Orçamento!$A:$AO,3,0),IF($B$50=$A$66,VLOOKUP(A60,Orçamento!$A:$AO,6,0),IF($B$50=$A$67,VLOOKUP(A60,Orçamento!$A:$AO,9,0),IF($B$50=$A$68,VLOOKUP(A60,Orçamento!$A:$AO,12,0),IF($B$50=$A$69,VLOOKUP(A60,Orçamento!$A:$AO,15,0),IF($B$50=$A$70,VLOOKUP(A60,Orçamento!$A:$AO,18,0),IF($B$50=$A$71,VLOOKUP(A60,Orçamento!$A:$AO,21,0),IF($B$50=$A$72,VLOOKUP(A60,Orçamento!$A:$AO,24,0),IF($B$50=$A$73,VLOOKUP(A60,Orçamento!$A:$AO,27,0),IF($B$50=$A$74,VLOOKUP(A60,Orçamento!$A:$AO,30,0),IF($B$50=$A$75,VLOOKUP(A60,Orçamento!$A:$AO,33,0),IF($B$50=$A$76,VLOOKUP(A60,Orçamento!$A:$AO,36,0),IF($B$50=$A$77,VLOOKUP(A60,Orçamento!$A:$AO,39,0),"")))))))))))))</f>
        <v>#N/A</v>
      </c>
    </row>
    <row r="61" spans="1:6" x14ac:dyDescent="0.25">
      <c r="A61" s="19">
        <f>IF($A$52=$B$65,Orçamento!A18,IF(Gráficos!$A$52=Gráficos!$B$66,Orçamento!A29,IF(Gráficos!$A$52=Gráficos!$B$67,Orçamento!A40,IF(Gráficos!$A$52=Gráficos!$B$68,Orçamento!A51,IF(Gráficos!$A$52=Gráficos!$B$69,Orçamento!A62,IF(Gráficos!$A$52=Gráficos!$B$70,Orçamento!A73,0))))))</f>
        <v>0</v>
      </c>
      <c r="B61" s="20" t="e">
        <f>IF($B$50=$A$65,VLOOKUP(A61,Orçamento!$A:$AO,2,0),IF($B$50=$A$66,VLOOKUP(A61,Orçamento!$A:$AO,5,0),IF($B$50=$A$67,VLOOKUP(A61,Orçamento!$A:$AO,8,0),IF($B$50=$A$68,VLOOKUP(A61,Orçamento!$A:$AO,11,0),IF($B$50=$A$69,VLOOKUP(A61,Orçamento!$A:$AO,14,0),IF($B$50=$A$70,VLOOKUP(A61,Orçamento!$A:$AO,17,0),IF($B$50=$A$71,VLOOKUP(A61,Orçamento!$A:$AO,20,0),IF($B$50=$A$72,VLOOKUP(A61,Orçamento!$A:$AO,23,0),IF($B$50=$A$73,VLOOKUP(A61,Orçamento!$A:$AO,26,0),IF($B$50=$A$74,VLOOKUP(A61,Orçamento!$A:$AO,29,0),IF($B$50=$A$75,VLOOKUP(A61,Orçamento!$A:$AO,32,0),IF($B$50=$A$76,VLOOKUP(A61,Orçamento!$A:$AO,35,0),IF($B$50=$A$77,VLOOKUP(A61,Orçamento!$A:$AO,38,0),"")))))))))))))</f>
        <v>#N/A</v>
      </c>
      <c r="C61" s="20" t="e">
        <f>IF($B$50=$A$65,VLOOKUP(A61,Orçamento!$A:$AO,3,0),IF($B$50=$A$66,VLOOKUP(A61,Orçamento!$A:$AO,6,0),IF($B$50=$A$67,VLOOKUP(A61,Orçamento!$A:$AO,9,0),IF($B$50=$A$68,VLOOKUP(A61,Orçamento!$A:$AO,12,0),IF($B$50=$A$69,VLOOKUP(A61,Orçamento!$A:$AO,15,0),IF($B$50=$A$70,VLOOKUP(A61,Orçamento!$A:$AO,18,0),IF($B$50=$A$71,VLOOKUP(A61,Orçamento!$A:$AO,21,0),IF($B$50=$A$72,VLOOKUP(A61,Orçamento!$A:$AO,24,0),IF($B$50=$A$73,VLOOKUP(A61,Orçamento!$A:$AO,27,0),IF($B$50=$A$74,VLOOKUP(A61,Orçamento!$A:$AO,30,0),IF($B$50=$A$75,VLOOKUP(A61,Orçamento!$A:$AO,33,0),IF($B$50=$A$76,VLOOKUP(A61,Orçamento!$A:$AO,36,0),IF($B$50=$A$77,VLOOKUP(A61,Orçamento!$A:$AO,39,0),"")))))))))))))</f>
        <v>#N/A</v>
      </c>
    </row>
    <row r="65" spans="1:2" x14ac:dyDescent="0.25">
      <c r="A65" s="14" t="s">
        <v>8</v>
      </c>
      <c r="B65" s="18" t="s">
        <v>23</v>
      </c>
    </row>
    <row r="66" spans="1:2" x14ac:dyDescent="0.25">
      <c r="A66" s="14" t="s">
        <v>9</v>
      </c>
      <c r="B66" s="18" t="s">
        <v>24</v>
      </c>
    </row>
    <row r="67" spans="1:2" x14ac:dyDescent="0.25">
      <c r="A67" s="14" t="s">
        <v>10</v>
      </c>
      <c r="B67" s="18" t="s">
        <v>25</v>
      </c>
    </row>
    <row r="68" spans="1:2" x14ac:dyDescent="0.25">
      <c r="A68" s="14" t="s">
        <v>11</v>
      </c>
      <c r="B68" s="18" t="s">
        <v>26</v>
      </c>
    </row>
    <row r="69" spans="1:2" x14ac:dyDescent="0.25">
      <c r="A69" s="14" t="s">
        <v>12</v>
      </c>
      <c r="B69" s="18" t="s">
        <v>27</v>
      </c>
    </row>
    <row r="70" spans="1:2" x14ac:dyDescent="0.25">
      <c r="A70" s="14" t="s">
        <v>13</v>
      </c>
      <c r="B70" s="18" t="s">
        <v>28</v>
      </c>
    </row>
    <row r="71" spans="1:2" x14ac:dyDescent="0.25">
      <c r="A71" s="14" t="s">
        <v>14</v>
      </c>
      <c r="B71" s="14"/>
    </row>
    <row r="72" spans="1:2" x14ac:dyDescent="0.25">
      <c r="A72" s="14" t="s">
        <v>15</v>
      </c>
      <c r="B72" s="14"/>
    </row>
    <row r="73" spans="1:2" x14ac:dyDescent="0.25">
      <c r="A73" s="14" t="s">
        <v>16</v>
      </c>
      <c r="B73" s="14"/>
    </row>
    <row r="74" spans="1:2" x14ac:dyDescent="0.25">
      <c r="A74" s="14" t="s">
        <v>17</v>
      </c>
      <c r="B74" s="14"/>
    </row>
    <row r="75" spans="1:2" x14ac:dyDescent="0.25">
      <c r="A75" s="14" t="s">
        <v>18</v>
      </c>
      <c r="B75" s="14"/>
    </row>
    <row r="76" spans="1:2" x14ac:dyDescent="0.25">
      <c r="A76" s="14" t="s">
        <v>19</v>
      </c>
      <c r="B76" s="14"/>
    </row>
    <row r="77" spans="1:2" x14ac:dyDescent="0.25">
      <c r="A77" s="14" t="s">
        <v>20</v>
      </c>
      <c r="B77" s="14"/>
    </row>
  </sheetData>
  <mergeCells count="1">
    <mergeCell ref="A1:L1"/>
  </mergeCells>
  <dataValidations count="2">
    <dataValidation type="list" allowBlank="1" showInputMessage="1" showErrorMessage="1" sqref="B49">
      <formula1>$B$65:$B$70</formula1>
    </dataValidation>
    <dataValidation type="list" allowBlank="1" showInputMessage="1" showErrorMessage="1" sqref="B50">
      <formula1>$A$65:$A$77</formula1>
    </dataValidation>
  </dataValidations>
  <pageMargins left="0.511811024" right="0.511811024" top="0.78740157499999996" bottom="0.78740157499999996" header="0.31496062000000002" footer="0.31496062000000002"/>
  <ignoredErrors>
    <ignoredError sqref="B60:C61" evalErro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Início</vt:lpstr>
      <vt:lpstr>Orçamento</vt:lpstr>
      <vt:lpstr>Gráficos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Thiago</cp:lastModifiedBy>
  <dcterms:created xsi:type="dcterms:W3CDTF">2014-02-04T15:53:39Z</dcterms:created>
  <dcterms:modified xsi:type="dcterms:W3CDTF">2014-08-04T12:18:35Z</dcterms:modified>
</cp:coreProperties>
</file>