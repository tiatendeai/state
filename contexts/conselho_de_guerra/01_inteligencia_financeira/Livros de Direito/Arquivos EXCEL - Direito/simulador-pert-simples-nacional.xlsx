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Z:\DEPTO FISCAL\Simples Nacional\Simulação de Simples Nacional 2018\"/>
    </mc:Choice>
  </mc:AlternateContent>
  <bookViews>
    <workbookView xWindow="0" yWindow="0" windowWidth="16680" windowHeight="10785"/>
  </bookViews>
  <sheets>
    <sheet name="Simulador Pert" sheetId="10" r:id="rId1"/>
    <sheet name="Parâmetros" sheetId="11" state="hidden" r:id="rId2"/>
  </sheets>
  <definedNames>
    <definedName name="Informe_a_qtd._de_parcelas_do_pedágio">'Simulador Pert'!$A$5:$A$9</definedName>
    <definedName name="Mod">'Simulador Pert'!$A$19:$A$21</definedName>
    <definedName name="Modalidades">'Simulador Pert'!$A$10:$A$12</definedName>
    <definedName name="Parcelas" localSheetId="0">'Simulador Pert'!$A$5:$A$9</definedName>
    <definedName name="parcelas">'Simulador Pert'!$A$5:$A$9</definedName>
    <definedName name="pedag">'Simulador Pert'!$A$5:$A$7</definedName>
    <definedName name="QuantParc">'Simulador Pert'!$A$5:$A$9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0" l="1"/>
  <c r="B17" i="10" l="1"/>
  <c r="B16" i="10"/>
  <c r="G11" i="10"/>
  <c r="F12" i="10" s="1"/>
  <c r="F16" i="10" s="1"/>
  <c r="C7" i="10"/>
  <c r="A22" i="10"/>
  <c r="F13" i="10" l="1"/>
  <c r="F14" i="10" s="1"/>
  <c r="F15" i="10" s="1"/>
  <c r="F17" i="10" s="1"/>
  <c r="G12" i="10"/>
  <c r="E12" i="10" s="1"/>
  <c r="H12" i="10"/>
  <c r="E8" i="10"/>
  <c r="D12" i="10" l="1"/>
  <c r="D16" i="10" s="1"/>
  <c r="C12" i="10"/>
  <c r="C16" i="10" s="1"/>
  <c r="E16" i="10"/>
  <c r="E13" i="10"/>
  <c r="E14" i="10" s="1"/>
  <c r="E15" i="10" s="1"/>
  <c r="E17" i="10" s="1"/>
  <c r="C13" i="10"/>
  <c r="C14" i="10" s="1"/>
  <c r="C15" i="10" s="1"/>
  <c r="C17" i="10" s="1"/>
  <c r="G13" i="10"/>
  <c r="G16" i="10"/>
  <c r="H16" i="10" s="1"/>
  <c r="M8" i="10"/>
  <c r="M14" i="10" s="1"/>
  <c r="E5" i="10" s="1"/>
  <c r="D13" i="10" l="1"/>
  <c r="D14" i="10" s="1"/>
  <c r="G14" i="10" s="1"/>
  <c r="H13" i="10"/>
  <c r="D15" i="10" l="1"/>
  <c r="G15" i="10" l="1"/>
  <c r="D17" i="10"/>
  <c r="H15" i="10" l="1"/>
  <c r="G17" i="10"/>
  <c r="H17" i="10" s="1"/>
  <c r="N8" i="10"/>
  <c r="N14" i="10" s="1"/>
  <c r="E6" i="10" s="1"/>
</calcChain>
</file>

<file path=xl/sharedStrings.xml><?xml version="1.0" encoding="utf-8"?>
<sst xmlns="http://schemas.openxmlformats.org/spreadsheetml/2006/main" count="31" uniqueCount="30">
  <si>
    <t>SIMULADOR DE ADESÃO AO PERT - SIMPLES NACIONAL</t>
  </si>
  <si>
    <t>Selecione Tipo de Modalidade:</t>
  </si>
  <si>
    <t>I - Liquidado integralmente, em parcela única</t>
  </si>
  <si>
    <t>Informe a qtd. de parcelas do pedágio:</t>
  </si>
  <si>
    <t xml:space="preserve">Reduza a quantidade de parcelas do pedágio para: </t>
  </si>
  <si>
    <t>Informe a qtd. parcelas do parcelamento:</t>
  </si>
  <si>
    <t xml:space="preserve">Reduza a quantidade de parcelas do parcelamento para: </t>
  </si>
  <si>
    <t>Total de parcelas:</t>
  </si>
  <si>
    <t>Pedágio:</t>
  </si>
  <si>
    <t>Percentual Recalculado do Pedágio para atender PARCELA MÍNIMA:</t>
  </si>
  <si>
    <t>Demonstrativo</t>
  </si>
  <si>
    <t>Principal</t>
  </si>
  <si>
    <t>Multa</t>
  </si>
  <si>
    <t>Juros</t>
  </si>
  <si>
    <t>Encargos/Honorários</t>
  </si>
  <si>
    <t>Consolidado</t>
  </si>
  <si>
    <t>Total da dívida sem descontos (A)</t>
  </si>
  <si>
    <t>Pedágio (B)</t>
  </si>
  <si>
    <t>Saldo para aplicação de benefícios (C = A-B)</t>
  </si>
  <si>
    <t>Benefícios concedidos (D)</t>
  </si>
  <si>
    <t>Total com descontos (F = C-D)</t>
  </si>
  <si>
    <t>II - Parcelado em até 145 parcelas mensais e consecutivas</t>
  </si>
  <si>
    <t>II - Parcelado em até 175 parcelas mensais e consecutivas</t>
  </si>
  <si>
    <t>PREENCHA TODOS OS CAMPOS AMARELOS, SE NÃO HOUVER VALOR PARA DETERMINADO CAMPO INFORME  0,00</t>
  </si>
  <si>
    <t>A- Em qualquer hipótese, o valor da parcela não poderá ser inferior a R$300,00 (trezentos reais).</t>
  </si>
  <si>
    <t>B- O valor de cada prestação, inclusive da parcela mínima, será acrescido de juros equivalentes à taxa referencial do Sistema Especial de Liquidação e de Custódia (Selic) para títulos federais, acumulada mensalmente, calculados a partir do mês subsequente ao da consolidação até o mês anterior ao do pagamento, e de 1% (um por cento) relativamente ao mês em que o pagamento estiver sendo efetuado.</t>
  </si>
  <si>
    <t>C- As prestações vencerão no último dia útil de cada mês.</t>
  </si>
  <si>
    <t>Tipo de pessoa</t>
  </si>
  <si>
    <t>Pessoa física</t>
  </si>
  <si>
    <t>Pessoa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</si>
</sst>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-* #,##0_-;\-* #,##0_-;_-* &quot;-&quot;??_-;_-@_-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vertical="center"/>
      <protection hidden="1"/>
    </xf>
    <xf numFmtId="4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Protection="1">
      <protection locked="0" hidden="1"/>
    </xf>
    <xf numFmtId="9" fontId="2" fillId="2" borderId="0" xfId="0" applyNumberFormat="1" applyFont="1" applyFill="1" applyProtection="1">
      <protection locked="0" hidden="1"/>
    </xf>
    <xf numFmtId="0" fontId="5" fillId="2" borderId="0" xfId="0" applyFont="1" applyFill="1" applyProtection="1">
      <protection hidden="1"/>
    </xf>
    <xf numFmtId="0" fontId="5" fillId="2" borderId="0" xfId="0" applyFont="1" applyFill="1" applyProtection="1">
      <protection locked="0" hidden="1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vertical="center"/>
      <protection locked="0" hidden="1"/>
    </xf>
    <xf numFmtId="165" fontId="5" fillId="3" borderId="0" xfId="1" applyNumberFormat="1" applyFont="1" applyFill="1" applyBorder="1" applyAlignment="1" applyProtection="1">
      <alignment horizontal="center" vertical="center"/>
      <protection locked="0" hidden="1"/>
    </xf>
    <xf numFmtId="4" fontId="7" fillId="2" borderId="0" xfId="0" applyNumberFormat="1" applyFont="1" applyFill="1" applyAlignment="1" applyProtection="1">
      <alignment vertical="center"/>
      <protection locked="0" hidden="1"/>
    </xf>
    <xf numFmtId="165" fontId="5" fillId="2" borderId="0" xfId="1" applyNumberFormat="1" applyFont="1" applyFill="1" applyAlignment="1" applyProtection="1">
      <alignment vertical="center"/>
      <protection hidden="1"/>
    </xf>
    <xf numFmtId="4" fontId="7" fillId="2" borderId="0" xfId="0" applyNumberFormat="1" applyFont="1" applyFill="1" applyAlignment="1" applyProtection="1">
      <alignment vertical="center"/>
      <protection hidden="1"/>
    </xf>
    <xf numFmtId="10" fontId="5" fillId="2" borderId="0" xfId="2" applyNumberFormat="1" applyFont="1" applyFill="1" applyAlignment="1" applyProtection="1">
      <alignment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locked="0" hidden="1"/>
    </xf>
    <xf numFmtId="0" fontId="8" fillId="2" borderId="2" xfId="0" applyFont="1" applyFill="1" applyBorder="1" applyAlignment="1" applyProtection="1">
      <alignment vertical="center" wrapText="1"/>
      <protection hidden="1"/>
    </xf>
    <xf numFmtId="4" fontId="8" fillId="3" borderId="6" xfId="0" applyNumberFormat="1" applyFont="1" applyFill="1" applyBorder="1" applyAlignment="1" applyProtection="1">
      <alignment horizontal="right" vertical="center" wrapText="1"/>
      <protection locked="0" hidden="1"/>
    </xf>
    <xf numFmtId="4" fontId="8" fillId="3" borderId="7" xfId="0" applyNumberFormat="1" applyFont="1" applyFill="1" applyBorder="1" applyAlignment="1" applyProtection="1">
      <alignment horizontal="right" vertical="center" wrapText="1"/>
      <protection locked="0" hidden="1"/>
    </xf>
    <xf numFmtId="4" fontId="8" fillId="3" borderId="8" xfId="0" applyNumberFormat="1" applyFont="1" applyFill="1" applyBorder="1" applyAlignment="1" applyProtection="1">
      <alignment horizontal="right" vertical="center" wrapText="1"/>
      <protection locked="0" hidden="1"/>
    </xf>
    <xf numFmtId="164" fontId="9" fillId="2" borderId="3" xfId="1" applyFont="1" applyFill="1" applyBorder="1" applyAlignment="1" applyProtection="1">
      <alignment horizontal="right" vertical="center" wrapText="1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4" fontId="5" fillId="2" borderId="5" xfId="0" applyNumberFormat="1" applyFont="1" applyFill="1" applyBorder="1" applyAlignment="1" applyProtection="1">
      <alignment horizontal="right" vertical="center" wrapText="1"/>
      <protection hidden="1"/>
    </xf>
    <xf numFmtId="4" fontId="5" fillId="2" borderId="1" xfId="0" applyNumberFormat="1" applyFont="1" applyFill="1" applyBorder="1" applyAlignment="1" applyProtection="1">
      <alignment horizontal="right" vertical="center" wrapText="1"/>
      <protection hidden="1"/>
    </xf>
    <xf numFmtId="0" fontId="8" fillId="2" borderId="1" xfId="0" applyFont="1" applyFill="1" applyBorder="1" applyAlignment="1" applyProtection="1">
      <alignment vertical="center"/>
      <protection hidden="1"/>
    </xf>
    <xf numFmtId="4" fontId="8" fillId="2" borderId="1" xfId="0" applyNumberFormat="1" applyFont="1" applyFill="1" applyBorder="1" applyAlignment="1" applyProtection="1">
      <alignment horizontal="right" vertical="center" wrapText="1"/>
      <protection hidden="1"/>
    </xf>
    <xf numFmtId="4" fontId="8" fillId="2" borderId="1" xfId="0" applyNumberFormat="1" applyFont="1" applyFill="1" applyBorder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vertical="center"/>
      <protection hidden="1"/>
    </xf>
    <xf numFmtId="4" fontId="10" fillId="2" borderId="1" xfId="0" applyNumberFormat="1" applyFont="1" applyFill="1" applyBorder="1" applyAlignment="1" applyProtection="1">
      <alignment vertical="center"/>
      <protection hidden="1"/>
    </xf>
    <xf numFmtId="0" fontId="11" fillId="2" borderId="0" xfId="0" applyFont="1" applyFill="1" applyProtection="1">
      <protection hidden="1"/>
    </xf>
    <xf numFmtId="0" fontId="4" fillId="3" borderId="0" xfId="0" applyFont="1" applyFill="1" applyBorder="1" applyAlignment="1" applyProtection="1">
      <alignment vertical="center" wrapText="1"/>
      <protection hidden="1"/>
    </xf>
    <xf numFmtId="166" fontId="3" fillId="3" borderId="0" xfId="2" applyNumberFormat="1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Border="1" applyAlignment="1" applyProtection="1">
      <alignment horizontal="center" vertical="center" wrapText="1"/>
      <protection hidden="1"/>
    </xf>
    <xf numFmtId="3" fontId="3" fillId="3" borderId="0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 vertical="center"/>
      <protection locked="0" hidden="1"/>
    </xf>
    <xf numFmtId="0" fontId="11" fillId="2" borderId="0" xfId="0" applyFont="1" applyFill="1" applyAlignment="1" applyProtection="1">
      <alignment horizontal="left" wrapText="1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</cellXfs>
  <cellStyles count="3">
    <cellStyle name="Normal" xfId="0" builtinId="0"/>
    <cellStyle name="Porcentagem" xfId="2" builtinId="5"/>
    <cellStyle name="Vírgula" xfId="1" builtinId="3"/>
  </cellStyles>
  <dxfs count="7">
    <dxf>
      <font>
        <color theme="0"/>
      </font>
    </dxf>
    <dxf>
      <font>
        <color theme="0"/>
      </font>
    </dxf>
    <dxf>
      <font>
        <color theme="0"/>
      </font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rgb="FFFF0000"/>
      </font>
      <numFmt numFmtId="30" formatCode="@"/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257174</xdr:colOff>
      <xdr:row>2</xdr:row>
      <xdr:rowOff>104775</xdr:rowOff>
    </xdr:from>
    <xdr:to>
      <xdr:col>7</xdr:col>
      <xdr:colOff>33617</xdr:colOff>
      <xdr:row>7</xdr:row>
      <xdr:rowOff>19050</xdr:rowOff>
    </xdr:to>
    <xdr:sp macro="" textlink="">
      <xdr:nvSpPr>
        <xdr:cNvPr id="3" name="Seta para a esquerda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8740027" y="530599"/>
          <a:ext cx="2981325" cy="1583951"/>
        </a:xfrm>
        <a:prstGeom prst="left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Substitua</a:t>
          </a:r>
          <a:r>
            <a:rPr lang="pt-BR" sz="1100" baseline="0"/>
            <a:t> os espaços em amarelo com os valores solicitados. Só após o completo preenchimento verifique as observações em destaque. </a:t>
          </a:r>
          <a:endParaRPr lang="pt-BR" sz="1100"/>
        </a:p>
      </xdr:txBody>
    </xdr:sp>
    <xdr:clientData/>
  </xdr:twoCellAnchor>
  <xdr:twoCellAnchor editAs="oneCell">
    <xdr:from>
      <xdr:col>1</xdr:col>
      <xdr:colOff>168090</xdr:colOff>
      <xdr:row>0</xdr:row>
      <xdr:rowOff>123264</xdr:rowOff>
    </xdr:from>
    <xdr:to>
      <xdr:col>1</xdr:col>
      <xdr:colOff>1176618</xdr:colOff>
      <xdr:row>2</xdr:row>
      <xdr:rowOff>134469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90" y="123264"/>
          <a:ext cx="1008528" cy="97491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2:P35"/>
  <sheetViews>
    <sheetView tabSelected="1" zoomScale="85" zoomScaleNormal="85" workbookViewId="0">
      <selection activeCell="E8" sqref="E8"/>
    </sheetView>
  </sheetViews>
  <sheetFormatPr defaultRowHeight="15" x14ac:dyDescent="0.25"/>
  <cols>
    <col min="1" max="1" width="2.85546875" style="5" customWidth="1"/>
    <col min="2" max="2" width="41.85546875" style="8" customWidth="1"/>
    <col min="3" max="6" width="29.28515625" style="8" customWidth="1"/>
    <col min="7" max="7" width="38" style="8" customWidth="1"/>
    <col min="8" max="8" width="15.140625" style="8" customWidth="1"/>
    <col min="9" max="9" width="22" style="8" customWidth="1"/>
    <col min="10" max="10" width="9.140625" style="8"/>
    <col min="11" max="11" width="13.85546875" style="8" customWidth="1"/>
    <col min="12" max="12" width="9.140625" style="8"/>
    <col min="13" max="14" width="9.140625" style="5"/>
    <col min="15" max="16384" width="9.140625" style="8"/>
  </cols>
  <sheetData>
    <row r="2" spans="1:16" ht="60.75" customHeight="1" x14ac:dyDescent="0.25">
      <c r="A2" s="1"/>
      <c r="B2" s="39" t="s">
        <v>0</v>
      </c>
      <c r="C2" s="39"/>
      <c r="D2" s="39"/>
      <c r="E2" s="39"/>
      <c r="F2" s="39"/>
      <c r="G2" s="39"/>
      <c r="H2" s="7"/>
      <c r="I2" s="7"/>
      <c r="J2" s="7"/>
      <c r="K2" s="7"/>
      <c r="L2" s="7"/>
      <c r="M2" s="1"/>
      <c r="N2" s="1"/>
      <c r="O2" s="7"/>
      <c r="P2" s="7"/>
    </row>
    <row r="3" spans="1:16" ht="33" customHeight="1" x14ac:dyDescent="0.25">
      <c r="A3" s="1">
        <v>176</v>
      </c>
      <c r="H3" s="7"/>
      <c r="I3" s="7"/>
      <c r="J3" s="7"/>
      <c r="K3" s="7"/>
      <c r="L3" s="7"/>
      <c r="M3" s="1"/>
      <c r="N3" s="1"/>
      <c r="O3" s="7"/>
      <c r="P3" s="7"/>
    </row>
    <row r="4" spans="1:16" s="11" customFormat="1" ht="34.5" customHeight="1" x14ac:dyDescent="0.25">
      <c r="A4" s="2"/>
      <c r="B4" s="10" t="s">
        <v>1</v>
      </c>
      <c r="C4" s="37" t="s">
        <v>21</v>
      </c>
      <c r="D4" s="37"/>
      <c r="E4" s="37"/>
      <c r="H4" s="9"/>
      <c r="I4" s="9"/>
      <c r="J4" s="9"/>
      <c r="K4" s="9"/>
      <c r="L4" s="9"/>
      <c r="M4" s="2"/>
      <c r="N4" s="2"/>
      <c r="O4" s="9"/>
      <c r="P4" s="9"/>
    </row>
    <row r="5" spans="1:16" s="11" customFormat="1" ht="34.5" customHeight="1" x14ac:dyDescent="0.25">
      <c r="A5" s="2">
        <v>1</v>
      </c>
      <c r="B5" s="10" t="s">
        <v>3</v>
      </c>
      <c r="C5" s="12">
        <v>5</v>
      </c>
      <c r="D5" s="33" t="s">
        <v>4</v>
      </c>
      <c r="E5" s="36">
        <f>M14</f>
        <v>5</v>
      </c>
      <c r="F5" s="13"/>
      <c r="G5" s="13"/>
      <c r="H5" s="9"/>
      <c r="I5" s="9"/>
      <c r="J5" s="9"/>
      <c r="K5" s="9"/>
      <c r="L5" s="9"/>
      <c r="M5" s="2"/>
      <c r="N5" s="2"/>
      <c r="O5" s="9"/>
      <c r="P5" s="9"/>
    </row>
    <row r="6" spans="1:16" s="11" customFormat="1" ht="34.5" customHeight="1" x14ac:dyDescent="0.25">
      <c r="A6" s="2">
        <v>2</v>
      </c>
      <c r="B6" s="10" t="s">
        <v>5</v>
      </c>
      <c r="C6" s="12">
        <v>1</v>
      </c>
      <c r="D6" s="33" t="s">
        <v>6</v>
      </c>
      <c r="E6" s="36">
        <f>N14</f>
        <v>105</v>
      </c>
      <c r="F6" s="13"/>
      <c r="G6" s="13"/>
      <c r="H6" s="9"/>
      <c r="I6" s="9"/>
      <c r="J6" s="9"/>
      <c r="K6" s="9"/>
      <c r="L6" s="9"/>
      <c r="M6" s="2"/>
      <c r="N6" s="2"/>
      <c r="O6" s="9"/>
      <c r="P6" s="9"/>
    </row>
    <row r="7" spans="1:16" s="11" customFormat="1" ht="34.5" customHeight="1" x14ac:dyDescent="0.25">
      <c r="A7" s="2">
        <v>3</v>
      </c>
      <c r="B7" s="10" t="s">
        <v>7</v>
      </c>
      <c r="C7" s="14">
        <f>SUM(C5:C6)</f>
        <v>6</v>
      </c>
      <c r="D7" s="15"/>
      <c r="E7" s="15"/>
      <c r="F7" s="13"/>
      <c r="G7" s="13"/>
      <c r="H7" s="9"/>
      <c r="I7" s="9"/>
      <c r="J7" s="9"/>
      <c r="K7" s="9"/>
      <c r="L7" s="9"/>
      <c r="M7" s="2"/>
      <c r="N7" s="2"/>
      <c r="O7" s="9"/>
      <c r="P7" s="9"/>
    </row>
    <row r="8" spans="1:16" s="11" customFormat="1" ht="34.5" customHeight="1" x14ac:dyDescent="0.25">
      <c r="A8" s="2">
        <v>4</v>
      </c>
      <c r="B8" s="10" t="s">
        <v>8</v>
      </c>
      <c r="C8" s="16">
        <v>0.05</v>
      </c>
      <c r="D8" s="35" t="s">
        <v>9</v>
      </c>
      <c r="E8" s="34">
        <f>300/G11</f>
        <v>7.9924891914904504E-3</v>
      </c>
      <c r="F8" s="13"/>
      <c r="G8" s="13"/>
      <c r="H8" s="9"/>
      <c r="I8" s="9"/>
      <c r="J8" s="9"/>
      <c r="K8" s="9"/>
      <c r="L8" s="9"/>
      <c r="M8" s="3">
        <f>G12</f>
        <v>1876.7619999999999</v>
      </c>
      <c r="N8" s="3">
        <f>G15</f>
        <v>31536.8897</v>
      </c>
      <c r="O8" s="9"/>
      <c r="P8" s="9"/>
    </row>
    <row r="9" spans="1:16" ht="12" customHeight="1" x14ac:dyDescent="0.25">
      <c r="A9" s="1">
        <v>5</v>
      </c>
      <c r="B9" s="7"/>
      <c r="H9" s="7"/>
      <c r="I9" s="7"/>
      <c r="J9" s="7"/>
      <c r="K9" s="7"/>
      <c r="L9" s="7"/>
      <c r="M9" s="1"/>
      <c r="N9" s="1"/>
      <c r="O9" s="7"/>
      <c r="P9" s="7"/>
    </row>
    <row r="10" spans="1:16" s="11" customFormat="1" ht="35.25" customHeight="1" thickBot="1" x14ac:dyDescent="0.3">
      <c r="A10" s="2"/>
      <c r="B10" s="17" t="s">
        <v>10</v>
      </c>
      <c r="C10" s="18" t="s">
        <v>11</v>
      </c>
      <c r="D10" s="18" t="s">
        <v>12</v>
      </c>
      <c r="E10" s="18" t="s">
        <v>13</v>
      </c>
      <c r="F10" s="18" t="s">
        <v>14</v>
      </c>
      <c r="G10" s="17" t="s">
        <v>15</v>
      </c>
      <c r="H10" s="9"/>
      <c r="I10" s="9"/>
      <c r="J10" s="9"/>
      <c r="K10" s="9"/>
      <c r="L10" s="9"/>
      <c r="M10" s="2"/>
      <c r="N10" s="2"/>
      <c r="O10" s="9"/>
      <c r="P10" s="9"/>
    </row>
    <row r="11" spans="1:16" s="11" customFormat="1" ht="35.25" customHeight="1" thickBot="1" x14ac:dyDescent="0.3">
      <c r="A11" s="2"/>
      <c r="B11" s="19" t="s">
        <v>16</v>
      </c>
      <c r="C11" s="20">
        <f>21582+8289.72</f>
        <v>29871.72</v>
      </c>
      <c r="D11" s="21">
        <v>5974.34</v>
      </c>
      <c r="E11" s="21">
        <v>1689.18</v>
      </c>
      <c r="F11" s="22">
        <v>0</v>
      </c>
      <c r="G11" s="23">
        <f>IF(C11="",B22,IF(D11="",B22,IF(E11="",B22,IF(F11="",B22,SUM(C11:F11)))))</f>
        <v>37535.24</v>
      </c>
      <c r="H11" s="9"/>
      <c r="I11" s="9"/>
      <c r="J11" s="9"/>
      <c r="K11" s="9"/>
      <c r="L11" s="9"/>
      <c r="M11" s="2"/>
      <c r="N11" s="2"/>
      <c r="O11" s="9"/>
      <c r="P11" s="9"/>
    </row>
    <row r="12" spans="1:16" s="11" customFormat="1" ht="35.25" customHeight="1" x14ac:dyDescent="0.25">
      <c r="A12" s="2"/>
      <c r="B12" s="24" t="s">
        <v>17</v>
      </c>
      <c r="C12" s="25">
        <f>IF(G11=B22,0,$G$12*(C11/$G$11))</f>
        <v>1493.586</v>
      </c>
      <c r="D12" s="25">
        <f>IF(G11=B22,0,$G$12*(D11/$G$11))</f>
        <v>298.71699999999998</v>
      </c>
      <c r="E12" s="25">
        <f>IF(G11=B22,0,$G$12*(E11/$G$11))</f>
        <v>84.459000000000003</v>
      </c>
      <c r="F12" s="25">
        <f>IF(G11=B22,0,IF(F11=0,0,$G$12*(F11/$G$11)))</f>
        <v>0</v>
      </c>
      <c r="G12" s="26">
        <f>IF(G11=B22,0,IF(G11*C8&lt;300,G11*E8,IF(G11*C8&gt;=300,G11*C8)))</f>
        <v>1876.7619999999999</v>
      </c>
      <c r="H12" s="40" t="str">
        <f>IF(G11=B22,"",IF(G11*C8&lt;300,"ATENÇÃO: PERCENTUAL DO PEDÁGIO FOI ALTERADO PARA ATENDER A PARCELA MÍNIMA QUE DEVE SER IGUAL A R$ 300,00",""))</f>
        <v/>
      </c>
      <c r="I12" s="41"/>
      <c r="J12" s="41"/>
      <c r="K12" s="41"/>
      <c r="L12" s="9"/>
      <c r="M12" s="2"/>
      <c r="N12" s="2"/>
      <c r="O12" s="9"/>
      <c r="P12" s="9"/>
    </row>
    <row r="13" spans="1:16" s="11" customFormat="1" ht="35.25" customHeight="1" x14ac:dyDescent="0.25">
      <c r="A13" s="2"/>
      <c r="B13" s="24" t="s">
        <v>18</v>
      </c>
      <c r="C13" s="26">
        <f>IF(G11=B22,0,C11-C12)</f>
        <v>28378.134000000002</v>
      </c>
      <c r="D13" s="26">
        <f>IF(G11=B22,0,D11-D12)</f>
        <v>5675.6230000000005</v>
      </c>
      <c r="E13" s="26">
        <f>IF(G11=B22,0,E11-E12)</f>
        <v>1604.721</v>
      </c>
      <c r="F13" s="26">
        <f>IF(G11=B22,0,F11-F12)</f>
        <v>0</v>
      </c>
      <c r="G13" s="26">
        <f>IF(G11=B22,0,G11-G12)</f>
        <v>35658.477999999996</v>
      </c>
      <c r="H13" s="40" t="str">
        <f>IF(G13&lt;0,"O PARCELAMENTO NÃO SE APLICA PARA O VALOR DA DÍVIDA INFORMADO","")</f>
        <v/>
      </c>
      <c r="I13" s="41"/>
      <c r="J13" s="41"/>
      <c r="K13" s="41"/>
      <c r="L13" s="9"/>
      <c r="M13" s="2"/>
      <c r="N13" s="2"/>
      <c r="O13" s="9"/>
      <c r="P13" s="9"/>
    </row>
    <row r="14" spans="1:16" s="11" customFormat="1" ht="35.25" customHeight="1" x14ac:dyDescent="0.25">
      <c r="A14" s="2"/>
      <c r="B14" s="27" t="s">
        <v>19</v>
      </c>
      <c r="C14" s="28">
        <f>C13*0</f>
        <v>0</v>
      </c>
      <c r="D14" s="28">
        <f>IF($A$22=1,D13*D19,IF($A$22=145,D13*D20,IF($A$22=175,D13*D21,IF(G11=0,0))))</f>
        <v>2837.8115000000003</v>
      </c>
      <c r="E14" s="28">
        <f>IF($A$22=1,E13*$E$19,IF($A$22=145,E13*$E$20,IF($A$22=175,E13*E21,IF(H11=0,0))))</f>
        <v>1283.7768000000001</v>
      </c>
      <c r="F14" s="28">
        <f>IF(G11=0,0,F13*100%)</f>
        <v>0</v>
      </c>
      <c r="G14" s="28">
        <f>SUM(C14:F14)</f>
        <v>4121.5883000000003</v>
      </c>
      <c r="H14" s="9"/>
      <c r="I14" s="9"/>
      <c r="J14" s="9"/>
      <c r="K14" s="9"/>
      <c r="L14" s="9"/>
      <c r="M14" s="2">
        <f>IF(ROUNDDOWN(M8/300,0)&gt;5,5,ROUNDDOWN(M8/300,0))</f>
        <v>5</v>
      </c>
      <c r="N14" s="2">
        <f>IF(ROUNDDOWN(N8/300,0)&gt;A22,A22,ROUNDDOWN(N8/300,0))</f>
        <v>105</v>
      </c>
      <c r="O14" s="9"/>
      <c r="P14" s="9"/>
    </row>
    <row r="15" spans="1:16" s="11" customFormat="1" ht="35.25" customHeight="1" x14ac:dyDescent="0.25">
      <c r="A15" s="2"/>
      <c r="B15" s="27" t="s">
        <v>20</v>
      </c>
      <c r="C15" s="29">
        <f>C13-C14</f>
        <v>28378.134000000002</v>
      </c>
      <c r="D15" s="29">
        <f>D13-D14</f>
        <v>2837.8115000000003</v>
      </c>
      <c r="E15" s="29">
        <f>E13-E14</f>
        <v>320.94419999999991</v>
      </c>
      <c r="F15" s="29">
        <f>F13-F14</f>
        <v>0</v>
      </c>
      <c r="G15" s="28">
        <f>SUM(C15:F15)</f>
        <v>31536.8897</v>
      </c>
      <c r="H15" s="40" t="str">
        <f>IF(G11=B22,"",IF(G13&lt;0,"",IF(G15&lt;300,"O PARCELAMENTO NÃO SE APLICA PARA O VALOR DA DÍVIDA INFORMADO - TOTAL COM DESCONTO INFERIOR À PARCELA MÍNIMA","")))</f>
        <v/>
      </c>
      <c r="I15" s="41"/>
      <c r="J15" s="41"/>
      <c r="K15" s="41"/>
      <c r="L15" s="9"/>
      <c r="M15" s="2"/>
      <c r="N15" s="2"/>
      <c r="O15" s="9"/>
      <c r="P15" s="9"/>
    </row>
    <row r="16" spans="1:16" s="11" customFormat="1" ht="35.25" customHeight="1" x14ac:dyDescent="0.25">
      <c r="A16" s="2"/>
      <c r="B16" s="30" t="str">
        <f>"Valor básico da parcela do pedágio "&amp;"(1 de "&amp;C5&amp;")"</f>
        <v>Valor básico da parcela do pedágio (1 de 5)</v>
      </c>
      <c r="C16" s="31">
        <f>C12/$C$5</f>
        <v>298.71719999999999</v>
      </c>
      <c r="D16" s="31">
        <f>D12/$C$5</f>
        <v>59.743399999999994</v>
      </c>
      <c r="E16" s="31">
        <f>E12/$C$5</f>
        <v>16.8918</v>
      </c>
      <c r="F16" s="31">
        <f>F12/$C$5</f>
        <v>0</v>
      </c>
      <c r="G16" s="31">
        <f>IF(G11=0,0,G12/C5)</f>
        <v>375.35239999999999</v>
      </c>
      <c r="H16" s="40" t="str">
        <f>IF(G11=B22,"",IF(G16&lt;300,"ATENÇÃO: QUANTIDADE DE PARCELAS DO PEDÁGIO DEVE SER REDUZIDA PARA ATENDER PARCELA MÍNIMA DE R$ 300,00",""))</f>
        <v/>
      </c>
      <c r="I16" s="41"/>
      <c r="J16" s="41"/>
      <c r="K16" s="41"/>
      <c r="L16" s="9"/>
      <c r="M16" s="2"/>
      <c r="N16" s="2"/>
      <c r="O16" s="9"/>
      <c r="P16" s="9"/>
    </row>
    <row r="17" spans="1:16" s="11" customFormat="1" ht="35.25" customHeight="1" x14ac:dyDescent="0.25">
      <c r="A17" s="2"/>
      <c r="B17" s="30" t="str">
        <f>"Valor básico da parcela do parcelamento "&amp;"(1 de "&amp;C6&amp;")"</f>
        <v>Valor básico da parcela do parcelamento (1 de 1)</v>
      </c>
      <c r="C17" s="31">
        <f>IF($G$11=0,0,C15/$C$6)</f>
        <v>28378.134000000002</v>
      </c>
      <c r="D17" s="31">
        <f>IF($G$11=0,0,D15/$C$6)</f>
        <v>2837.8115000000003</v>
      </c>
      <c r="E17" s="31">
        <f>IF($G$11=0,0,E15/$C$6)</f>
        <v>320.94419999999991</v>
      </c>
      <c r="F17" s="31">
        <f>IF($G$11=0,0,F15/$C$6)</f>
        <v>0</v>
      </c>
      <c r="G17" s="31">
        <f>IF(G11=0,0,G15/C6)</f>
        <v>31536.8897</v>
      </c>
      <c r="H17" s="40" t="str">
        <f>IF(G15&lt;300,"",IF(G13&lt;0,"",IF(G11=B22,"",IF(G17&lt;300,"ATENÇÃO: QUANTIDADE DE PARCELAS DO PARCELAMENTO DEVE SER REDUZIDA PARA ATENDER PARCELA MÍNIMA DE R$ 300,00",""))))</f>
        <v/>
      </c>
      <c r="I17" s="41"/>
      <c r="J17" s="41"/>
      <c r="K17" s="41"/>
      <c r="L17" s="9"/>
      <c r="M17" s="2"/>
      <c r="N17" s="2"/>
      <c r="O17" s="9"/>
      <c r="P17" s="9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s="5" customFormat="1" hidden="1" x14ac:dyDescent="0.25">
      <c r="A19" s="1" t="s">
        <v>2</v>
      </c>
      <c r="B19" s="4">
        <v>1</v>
      </c>
      <c r="D19" s="6">
        <v>0.7</v>
      </c>
      <c r="E19" s="6">
        <v>0.9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s="5" customFormat="1" hidden="1" x14ac:dyDescent="0.25">
      <c r="A20" s="1" t="s">
        <v>21</v>
      </c>
      <c r="B20" s="4">
        <v>145</v>
      </c>
      <c r="D20" s="6">
        <v>0.5</v>
      </c>
      <c r="E20" s="6">
        <v>0.8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s="5" customFormat="1" hidden="1" x14ac:dyDescent="0.25">
      <c r="A21" s="1" t="s">
        <v>22</v>
      </c>
      <c r="B21" s="4">
        <v>175</v>
      </c>
      <c r="D21" s="6">
        <v>0.25</v>
      </c>
      <c r="E21" s="6">
        <v>0.5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s="5" customFormat="1" hidden="1" x14ac:dyDescent="0.25">
      <c r="A22" s="1">
        <f>IF(C4=A19,B19,IF(C4=A20,B20,IF(C4=A21,B21)))</f>
        <v>145</v>
      </c>
      <c r="B22" s="1" t="s">
        <v>23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idden="1" x14ac:dyDescent="0.25">
      <c r="A23" s="7"/>
      <c r="B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18.75" customHeight="1" x14ac:dyDescent="0.25">
      <c r="A24" s="7"/>
      <c r="B24" s="32" t="s">
        <v>24</v>
      </c>
      <c r="C24" s="32"/>
      <c r="D24" s="32"/>
      <c r="E24" s="32"/>
      <c r="F24" s="32"/>
      <c r="G24" s="32"/>
      <c r="H24" s="7"/>
      <c r="I24" s="7"/>
      <c r="J24" s="7"/>
      <c r="K24" s="7"/>
      <c r="L24" s="7"/>
      <c r="M24" s="7"/>
      <c r="N24" s="7"/>
      <c r="O24" s="7"/>
      <c r="P24" s="7"/>
    </row>
    <row r="25" spans="1:16" ht="27.75" customHeight="1" x14ac:dyDescent="0.25">
      <c r="A25" s="1"/>
      <c r="B25" s="38" t="s">
        <v>25</v>
      </c>
      <c r="C25" s="38"/>
      <c r="D25" s="38"/>
      <c r="E25" s="38"/>
      <c r="F25" s="38"/>
      <c r="G25" s="38"/>
      <c r="H25" s="7"/>
      <c r="I25" s="7"/>
      <c r="J25" s="7"/>
      <c r="K25" s="7"/>
      <c r="L25" s="7"/>
      <c r="M25" s="1"/>
      <c r="N25" s="1"/>
      <c r="O25" s="7"/>
      <c r="P25" s="7"/>
    </row>
    <row r="26" spans="1:16" x14ac:dyDescent="0.25">
      <c r="A26" s="1"/>
      <c r="B26" s="32" t="s">
        <v>26</v>
      </c>
      <c r="C26" s="32"/>
      <c r="D26" s="32"/>
      <c r="E26" s="32"/>
      <c r="F26" s="32"/>
      <c r="G26" s="32"/>
      <c r="H26" s="7"/>
      <c r="I26" s="7"/>
      <c r="J26" s="7"/>
      <c r="K26" s="7"/>
      <c r="L26" s="7"/>
      <c r="M26" s="1"/>
      <c r="N26" s="1"/>
      <c r="O26" s="7"/>
      <c r="P26" s="7"/>
    </row>
    <row r="27" spans="1:16" x14ac:dyDescent="0.25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1"/>
      <c r="N27" s="1"/>
      <c r="O27" s="7"/>
      <c r="P27" s="7"/>
    </row>
    <row r="28" spans="1:16" x14ac:dyDescent="0.25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1"/>
      <c r="N28" s="1"/>
      <c r="O28" s="7"/>
      <c r="P28" s="7"/>
    </row>
    <row r="29" spans="1:16" x14ac:dyDescent="0.25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1"/>
      <c r="N29" s="1"/>
      <c r="O29" s="7"/>
      <c r="P29" s="7"/>
    </row>
    <row r="30" spans="1:16" x14ac:dyDescent="0.25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1"/>
      <c r="N30" s="1"/>
      <c r="O30" s="7"/>
      <c r="P30" s="7"/>
    </row>
    <row r="31" spans="1:16" x14ac:dyDescent="0.25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1"/>
      <c r="N31" s="1"/>
      <c r="O31" s="7"/>
      <c r="P31" s="7"/>
    </row>
    <row r="32" spans="1:16" x14ac:dyDescent="0.25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1"/>
      <c r="N32" s="1"/>
      <c r="O32" s="7"/>
      <c r="P32" s="7"/>
    </row>
    <row r="33" spans="1:16" x14ac:dyDescent="0.25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1"/>
      <c r="N33" s="1"/>
      <c r="O33" s="7"/>
      <c r="P33" s="7"/>
    </row>
    <row r="34" spans="1:16" x14ac:dyDescent="0.25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1"/>
      <c r="N34" s="1"/>
      <c r="O34" s="7"/>
      <c r="P34" s="7"/>
    </row>
    <row r="35" spans="1:16" x14ac:dyDescent="0.25">
      <c r="H35" s="7"/>
      <c r="I35" s="7"/>
      <c r="J35" s="7"/>
      <c r="K35" s="7"/>
      <c r="L35" s="7"/>
      <c r="M35" s="1"/>
      <c r="N35" s="1"/>
      <c r="O35" s="7"/>
      <c r="P35" s="7"/>
    </row>
  </sheetData>
  <sheetProtection algorithmName="SHA-512" hashValue="ydHdNDc90uXb/UkQO7u+hmg2HlWwtBltti8du8wP6yKo8eqosxlK5knelTgw8rq2x5rPWCwmAShBi9Nfvis6Nw==" saltValue="2GovUguh8oBu95kSrZKU9g==" spinCount="100000" sheet="1" objects="1" scenarios="1" sort="0" autoFilter="0" pivotTables="0"/>
  <mergeCells count="8">
    <mergeCell ref="C4:E4"/>
    <mergeCell ref="B25:G25"/>
    <mergeCell ref="B2:G2"/>
    <mergeCell ref="H17:K17"/>
    <mergeCell ref="H16:K16"/>
    <mergeCell ref="H12:K12"/>
    <mergeCell ref="H15:K15"/>
    <mergeCell ref="H13:K13"/>
  </mergeCells>
  <conditionalFormatting sqref="D8:E8">
    <cfRule type="expression" dxfId="6" priority="12">
      <formula>$H$12=""</formula>
    </cfRule>
  </conditionalFormatting>
  <conditionalFormatting sqref="G11">
    <cfRule type="cellIs" dxfId="5" priority="6" operator="equal">
      <formula>$B$22</formula>
    </cfRule>
  </conditionalFormatting>
  <conditionalFormatting sqref="D6:E6">
    <cfRule type="expression" dxfId="4" priority="5">
      <formula>$H$17=""</formula>
    </cfRule>
  </conditionalFormatting>
  <conditionalFormatting sqref="D5:E5">
    <cfRule type="expression" dxfId="3" priority="4">
      <formula>$H$16=""</formula>
    </cfRule>
  </conditionalFormatting>
  <conditionalFormatting sqref="C14:G17">
    <cfRule type="expression" dxfId="2" priority="3">
      <formula>$G$13&lt;0</formula>
    </cfRule>
  </conditionalFormatting>
  <conditionalFormatting sqref="C16:G17">
    <cfRule type="expression" dxfId="1" priority="2">
      <formula>$G$15&lt;300</formula>
    </cfRule>
  </conditionalFormatting>
  <conditionalFormatting sqref="C12:G17">
    <cfRule type="expression" dxfId="0" priority="1">
      <formula>$G$11=$B$22</formula>
    </cfRule>
  </conditionalFormatting>
  <dataValidations count="5">
    <dataValidation type="list" allowBlank="1" showInputMessage="1" showErrorMessage="1" sqref="C5">
      <formula1>Informe_a_qtd._de_parcelas_do_pedágio</formula1>
    </dataValidation>
    <dataValidation type="whole" operator="lessThanOrEqual" allowBlank="1" showInputMessage="1" showErrorMessage="1" error="Verifique se a quantidade de parcelas escolhidas está de acordo com a modalidade selecionada." sqref="C6">
      <formula1>A22</formula1>
    </dataValidation>
    <dataValidation type="list" allowBlank="1" showInputMessage="1" showErrorMessage="1" sqref="B23">
      <formula1>$A$19:$A$21</formula1>
    </dataValidation>
    <dataValidation type="list" allowBlank="1" showInputMessage="1" showErrorMessage="1" sqref="C4:E4">
      <formula1>Mod</formula1>
    </dataValidation>
    <dataValidation type="decimal" operator="greaterThanOrEqual" allowBlank="1" showInputMessage="1" showErrorMessage="1" error="Verifique o valor preenchido." sqref="C11:F11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M8:N13 H14" unlockedFormula="1"/>
    <ignoredError sqref="D14:F14" formula="1"/>
    <ignoredError sqref="E8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XFD175"/>
  <sheetViews>
    <sheetView topLeftCell="XEJ171" workbookViewId="0">
      <selection activeCell="XFD175" sqref="XFD175"/>
    </sheetView>
  </sheetViews>
  <sheetFormatPr defaultRowHeight="15" x14ac:dyDescent="0.25"/>
  <cols>
    <col min="1" max="1" width="14.28515625" bestFit="1" customWidth="1"/>
  </cols>
  <sheetData>
    <row r="1" spans="1:1 16384:16384" x14ac:dyDescent="0.25">
      <c r="A1" t="s">
        <v>27</v>
      </c>
      <c r="XFD1">
        <v>1</v>
      </c>
    </row>
    <row r="2" spans="1:1 16384:16384" x14ac:dyDescent="0.25">
      <c r="A2" t="s">
        <v>28</v>
      </c>
      <c r="XFD2">
        <v>2</v>
      </c>
    </row>
    <row r="3" spans="1:1 16384:16384" x14ac:dyDescent="0.25">
      <c r="A3" t="s">
        <v>29</v>
      </c>
      <c r="XFD3">
        <v>3</v>
      </c>
    </row>
    <row r="4" spans="1:1 16384:16384" x14ac:dyDescent="0.25">
      <c r="A4">
        <v>2</v>
      </c>
      <c r="XFD4">
        <v>4</v>
      </c>
    </row>
    <row r="5" spans="1:1 16384:16384" x14ac:dyDescent="0.25">
      <c r="XFD5">
        <v>5</v>
      </c>
    </row>
    <row r="6" spans="1:1 16384:16384" x14ac:dyDescent="0.25">
      <c r="XFD6">
        <v>6</v>
      </c>
    </row>
    <row r="7" spans="1:1 16384:16384" x14ac:dyDescent="0.25">
      <c r="XFD7">
        <v>7</v>
      </c>
    </row>
    <row r="8" spans="1:1 16384:16384" x14ac:dyDescent="0.25">
      <c r="XFD8">
        <v>8</v>
      </c>
    </row>
    <row r="9" spans="1:1 16384:16384" x14ac:dyDescent="0.25">
      <c r="XFD9">
        <v>9</v>
      </c>
    </row>
    <row r="10" spans="1:1 16384:16384" x14ac:dyDescent="0.25">
      <c r="XFD10">
        <v>10</v>
      </c>
    </row>
    <row r="11" spans="1:1 16384:16384" x14ac:dyDescent="0.25">
      <c r="XFD11">
        <v>11</v>
      </c>
    </row>
    <row r="12" spans="1:1 16384:16384" x14ac:dyDescent="0.25">
      <c r="XFD12">
        <v>12</v>
      </c>
    </row>
    <row r="13" spans="1:1 16384:16384" x14ac:dyDescent="0.25">
      <c r="XFD13">
        <v>13</v>
      </c>
    </row>
    <row r="14" spans="1:1 16384:16384" x14ac:dyDescent="0.25">
      <c r="XFD14">
        <v>14</v>
      </c>
    </row>
    <row r="15" spans="1:1 16384:16384" x14ac:dyDescent="0.25">
      <c r="XFD15">
        <v>15</v>
      </c>
    </row>
    <row r="16" spans="1:1 16384:16384" x14ac:dyDescent="0.25">
      <c r="XFD16">
        <v>16</v>
      </c>
    </row>
    <row r="17" spans="16384:16384" x14ac:dyDescent="0.25">
      <c r="XFD17">
        <v>17</v>
      </c>
    </row>
    <row r="18" spans="16384:16384" x14ac:dyDescent="0.25">
      <c r="XFD18">
        <v>18</v>
      </c>
    </row>
    <row r="19" spans="16384:16384" x14ac:dyDescent="0.25">
      <c r="XFD19">
        <v>19</v>
      </c>
    </row>
    <row r="20" spans="16384:16384" x14ac:dyDescent="0.25">
      <c r="XFD20">
        <v>20</v>
      </c>
    </row>
    <row r="21" spans="16384:16384" x14ac:dyDescent="0.25">
      <c r="XFD21">
        <v>21</v>
      </c>
    </row>
    <row r="22" spans="16384:16384" x14ac:dyDescent="0.25">
      <c r="XFD22">
        <v>22</v>
      </c>
    </row>
    <row r="23" spans="16384:16384" x14ac:dyDescent="0.25">
      <c r="XFD23">
        <v>23</v>
      </c>
    </row>
    <row r="24" spans="16384:16384" x14ac:dyDescent="0.25">
      <c r="XFD24">
        <v>24</v>
      </c>
    </row>
    <row r="25" spans="16384:16384" x14ac:dyDescent="0.25">
      <c r="XFD25">
        <v>25</v>
      </c>
    </row>
    <row r="26" spans="16384:16384" x14ac:dyDescent="0.25">
      <c r="XFD26">
        <v>26</v>
      </c>
    </row>
    <row r="27" spans="16384:16384" x14ac:dyDescent="0.25">
      <c r="XFD27">
        <v>27</v>
      </c>
    </row>
    <row r="28" spans="16384:16384" x14ac:dyDescent="0.25">
      <c r="XFD28">
        <v>28</v>
      </c>
    </row>
    <row r="29" spans="16384:16384" x14ac:dyDescent="0.25">
      <c r="XFD29">
        <v>29</v>
      </c>
    </row>
    <row r="30" spans="16384:16384" x14ac:dyDescent="0.25">
      <c r="XFD30">
        <v>30</v>
      </c>
    </row>
    <row r="31" spans="16384:16384" x14ac:dyDescent="0.25">
      <c r="XFD31">
        <v>31</v>
      </c>
    </row>
    <row r="32" spans="16384:16384" x14ac:dyDescent="0.25">
      <c r="XFD32">
        <v>32</v>
      </c>
    </row>
    <row r="33" spans="16384:16384" x14ac:dyDescent="0.25">
      <c r="XFD33">
        <v>33</v>
      </c>
    </row>
    <row r="34" spans="16384:16384" x14ac:dyDescent="0.25">
      <c r="XFD34">
        <v>34</v>
      </c>
    </row>
    <row r="35" spans="16384:16384" x14ac:dyDescent="0.25">
      <c r="XFD35">
        <v>35</v>
      </c>
    </row>
    <row r="36" spans="16384:16384" x14ac:dyDescent="0.25">
      <c r="XFD36">
        <v>36</v>
      </c>
    </row>
    <row r="37" spans="16384:16384" x14ac:dyDescent="0.25">
      <c r="XFD37">
        <v>37</v>
      </c>
    </row>
    <row r="38" spans="16384:16384" x14ac:dyDescent="0.25">
      <c r="XFD38">
        <v>38</v>
      </c>
    </row>
    <row r="39" spans="16384:16384" x14ac:dyDescent="0.25">
      <c r="XFD39">
        <v>39</v>
      </c>
    </row>
    <row r="40" spans="16384:16384" x14ac:dyDescent="0.25">
      <c r="XFD40">
        <v>40</v>
      </c>
    </row>
    <row r="41" spans="16384:16384" x14ac:dyDescent="0.25">
      <c r="XFD41">
        <v>41</v>
      </c>
    </row>
    <row r="42" spans="16384:16384" x14ac:dyDescent="0.25">
      <c r="XFD42">
        <v>42</v>
      </c>
    </row>
    <row r="43" spans="16384:16384" x14ac:dyDescent="0.25">
      <c r="XFD43">
        <v>43</v>
      </c>
    </row>
    <row r="44" spans="16384:16384" x14ac:dyDescent="0.25">
      <c r="XFD44">
        <v>44</v>
      </c>
    </row>
    <row r="45" spans="16384:16384" x14ac:dyDescent="0.25">
      <c r="XFD45">
        <v>45</v>
      </c>
    </row>
    <row r="46" spans="16384:16384" x14ac:dyDescent="0.25">
      <c r="XFD46">
        <v>46</v>
      </c>
    </row>
    <row r="47" spans="16384:16384" x14ac:dyDescent="0.25">
      <c r="XFD47">
        <v>47</v>
      </c>
    </row>
    <row r="48" spans="16384:16384" x14ac:dyDescent="0.25">
      <c r="XFD48">
        <v>48</v>
      </c>
    </row>
    <row r="49" spans="16384:16384" x14ac:dyDescent="0.25">
      <c r="XFD49">
        <v>49</v>
      </c>
    </row>
    <row r="50" spans="16384:16384" x14ac:dyDescent="0.25">
      <c r="XFD50">
        <v>50</v>
      </c>
    </row>
    <row r="51" spans="16384:16384" x14ac:dyDescent="0.25">
      <c r="XFD51">
        <v>51</v>
      </c>
    </row>
    <row r="52" spans="16384:16384" x14ac:dyDescent="0.25">
      <c r="XFD52">
        <v>52</v>
      </c>
    </row>
    <row r="53" spans="16384:16384" x14ac:dyDescent="0.25">
      <c r="XFD53">
        <v>53</v>
      </c>
    </row>
    <row r="54" spans="16384:16384" x14ac:dyDescent="0.25">
      <c r="XFD54">
        <v>54</v>
      </c>
    </row>
    <row r="55" spans="16384:16384" x14ac:dyDescent="0.25">
      <c r="XFD55">
        <v>55</v>
      </c>
    </row>
    <row r="56" spans="16384:16384" x14ac:dyDescent="0.25">
      <c r="XFD56">
        <v>56</v>
      </c>
    </row>
    <row r="57" spans="16384:16384" x14ac:dyDescent="0.25">
      <c r="XFD57">
        <v>57</v>
      </c>
    </row>
    <row r="58" spans="16384:16384" x14ac:dyDescent="0.25">
      <c r="XFD58">
        <v>58</v>
      </c>
    </row>
    <row r="59" spans="16384:16384" x14ac:dyDescent="0.25">
      <c r="XFD59">
        <v>59</v>
      </c>
    </row>
    <row r="60" spans="16384:16384" x14ac:dyDescent="0.25">
      <c r="XFD60">
        <v>60</v>
      </c>
    </row>
    <row r="61" spans="16384:16384" x14ac:dyDescent="0.25">
      <c r="XFD61">
        <v>61</v>
      </c>
    </row>
    <row r="62" spans="16384:16384" x14ac:dyDescent="0.25">
      <c r="XFD62">
        <v>62</v>
      </c>
    </row>
    <row r="63" spans="16384:16384" x14ac:dyDescent="0.25">
      <c r="XFD63">
        <v>63</v>
      </c>
    </row>
    <row r="64" spans="16384:16384" x14ac:dyDescent="0.25">
      <c r="XFD64">
        <v>64</v>
      </c>
    </row>
    <row r="65" spans="16384:16384" x14ac:dyDescent="0.25">
      <c r="XFD65">
        <v>65</v>
      </c>
    </row>
    <row r="66" spans="16384:16384" x14ac:dyDescent="0.25">
      <c r="XFD66">
        <v>66</v>
      </c>
    </row>
    <row r="67" spans="16384:16384" x14ac:dyDescent="0.25">
      <c r="XFD67">
        <v>67</v>
      </c>
    </row>
    <row r="68" spans="16384:16384" x14ac:dyDescent="0.25">
      <c r="XFD68">
        <v>68</v>
      </c>
    </row>
    <row r="69" spans="16384:16384" x14ac:dyDescent="0.25">
      <c r="XFD69">
        <v>69</v>
      </c>
    </row>
    <row r="70" spans="16384:16384" x14ac:dyDescent="0.25">
      <c r="XFD70">
        <v>70</v>
      </c>
    </row>
    <row r="71" spans="16384:16384" x14ac:dyDescent="0.25">
      <c r="XFD71">
        <v>71</v>
      </c>
    </row>
    <row r="72" spans="16384:16384" x14ac:dyDescent="0.25">
      <c r="XFD72">
        <v>72</v>
      </c>
    </row>
    <row r="73" spans="16384:16384" x14ac:dyDescent="0.25">
      <c r="XFD73">
        <v>73</v>
      </c>
    </row>
    <row r="74" spans="16384:16384" x14ac:dyDescent="0.25">
      <c r="XFD74">
        <v>74</v>
      </c>
    </row>
    <row r="75" spans="16384:16384" x14ac:dyDescent="0.25">
      <c r="XFD75">
        <v>75</v>
      </c>
    </row>
    <row r="76" spans="16384:16384" x14ac:dyDescent="0.25">
      <c r="XFD76">
        <v>76</v>
      </c>
    </row>
    <row r="77" spans="16384:16384" x14ac:dyDescent="0.25">
      <c r="XFD77">
        <v>77</v>
      </c>
    </row>
    <row r="78" spans="16384:16384" x14ac:dyDescent="0.25">
      <c r="XFD78">
        <v>78</v>
      </c>
    </row>
    <row r="79" spans="16384:16384" x14ac:dyDescent="0.25">
      <c r="XFD79">
        <v>79</v>
      </c>
    </row>
    <row r="80" spans="16384:16384" x14ac:dyDescent="0.25">
      <c r="XFD80">
        <v>80</v>
      </c>
    </row>
    <row r="81" spans="16384:16384" x14ac:dyDescent="0.25">
      <c r="XFD81">
        <v>81</v>
      </c>
    </row>
    <row r="82" spans="16384:16384" x14ac:dyDescent="0.25">
      <c r="XFD82">
        <v>82</v>
      </c>
    </row>
    <row r="83" spans="16384:16384" x14ac:dyDescent="0.25">
      <c r="XFD83">
        <v>83</v>
      </c>
    </row>
    <row r="84" spans="16384:16384" x14ac:dyDescent="0.25">
      <c r="XFD84">
        <v>84</v>
      </c>
    </row>
    <row r="85" spans="16384:16384" x14ac:dyDescent="0.25">
      <c r="XFD85">
        <v>85</v>
      </c>
    </row>
    <row r="86" spans="16384:16384" x14ac:dyDescent="0.25">
      <c r="XFD86">
        <v>86</v>
      </c>
    </row>
    <row r="87" spans="16384:16384" x14ac:dyDescent="0.25">
      <c r="XFD87">
        <v>87</v>
      </c>
    </row>
    <row r="88" spans="16384:16384" x14ac:dyDescent="0.25">
      <c r="XFD88">
        <v>88</v>
      </c>
    </row>
    <row r="89" spans="16384:16384" x14ac:dyDescent="0.25">
      <c r="XFD89">
        <v>89</v>
      </c>
    </row>
    <row r="90" spans="16384:16384" x14ac:dyDescent="0.25">
      <c r="XFD90">
        <v>90</v>
      </c>
    </row>
    <row r="91" spans="16384:16384" x14ac:dyDescent="0.25">
      <c r="XFD91">
        <v>91</v>
      </c>
    </row>
    <row r="92" spans="16384:16384" x14ac:dyDescent="0.25">
      <c r="XFD92">
        <v>92</v>
      </c>
    </row>
    <row r="93" spans="16384:16384" x14ac:dyDescent="0.25">
      <c r="XFD93">
        <v>93</v>
      </c>
    </row>
    <row r="94" spans="16384:16384" x14ac:dyDescent="0.25">
      <c r="XFD94">
        <v>94</v>
      </c>
    </row>
    <row r="95" spans="16384:16384" x14ac:dyDescent="0.25">
      <c r="XFD95">
        <v>95</v>
      </c>
    </row>
    <row r="96" spans="16384:16384" x14ac:dyDescent="0.25">
      <c r="XFD96">
        <v>96</v>
      </c>
    </row>
    <row r="97" spans="16384:16384" x14ac:dyDescent="0.25">
      <c r="XFD97">
        <v>97</v>
      </c>
    </row>
    <row r="98" spans="16384:16384" x14ac:dyDescent="0.25">
      <c r="XFD98">
        <v>98</v>
      </c>
    </row>
    <row r="99" spans="16384:16384" x14ac:dyDescent="0.25">
      <c r="XFD99">
        <v>99</v>
      </c>
    </row>
    <row r="100" spans="16384:16384" x14ac:dyDescent="0.25">
      <c r="XFD100">
        <v>100</v>
      </c>
    </row>
    <row r="101" spans="16384:16384" x14ac:dyDescent="0.25">
      <c r="XFD101">
        <v>101</v>
      </c>
    </row>
    <row r="102" spans="16384:16384" x14ac:dyDescent="0.25">
      <c r="XFD102">
        <v>102</v>
      </c>
    </row>
    <row r="103" spans="16384:16384" x14ac:dyDescent="0.25">
      <c r="XFD103">
        <v>103</v>
      </c>
    </row>
    <row r="104" spans="16384:16384" x14ac:dyDescent="0.25">
      <c r="XFD104">
        <v>104</v>
      </c>
    </row>
    <row r="105" spans="16384:16384" x14ac:dyDescent="0.25">
      <c r="XFD105">
        <v>105</v>
      </c>
    </row>
    <row r="106" spans="16384:16384" x14ac:dyDescent="0.25">
      <c r="XFD106">
        <v>106</v>
      </c>
    </row>
    <row r="107" spans="16384:16384" x14ac:dyDescent="0.25">
      <c r="XFD107">
        <v>107</v>
      </c>
    </row>
    <row r="108" spans="16384:16384" x14ac:dyDescent="0.25">
      <c r="XFD108">
        <v>108</v>
      </c>
    </row>
    <row r="109" spans="16384:16384" x14ac:dyDescent="0.25">
      <c r="XFD109">
        <v>109</v>
      </c>
    </row>
    <row r="110" spans="16384:16384" x14ac:dyDescent="0.25">
      <c r="XFD110">
        <v>110</v>
      </c>
    </row>
    <row r="111" spans="16384:16384" x14ac:dyDescent="0.25">
      <c r="XFD111">
        <v>111</v>
      </c>
    </row>
    <row r="112" spans="16384:16384" x14ac:dyDescent="0.25">
      <c r="XFD112">
        <v>112</v>
      </c>
    </row>
    <row r="113" spans="16384:16384" x14ac:dyDescent="0.25">
      <c r="XFD113">
        <v>113</v>
      </c>
    </row>
    <row r="114" spans="16384:16384" x14ac:dyDescent="0.25">
      <c r="XFD114">
        <v>114</v>
      </c>
    </row>
    <row r="115" spans="16384:16384" x14ac:dyDescent="0.25">
      <c r="XFD115">
        <v>115</v>
      </c>
    </row>
    <row r="116" spans="16384:16384" x14ac:dyDescent="0.25">
      <c r="XFD116">
        <v>116</v>
      </c>
    </row>
    <row r="117" spans="16384:16384" x14ac:dyDescent="0.25">
      <c r="XFD117">
        <v>117</v>
      </c>
    </row>
    <row r="118" spans="16384:16384" x14ac:dyDescent="0.25">
      <c r="XFD118">
        <v>118</v>
      </c>
    </row>
    <row r="119" spans="16384:16384" x14ac:dyDescent="0.25">
      <c r="XFD119">
        <v>119</v>
      </c>
    </row>
    <row r="120" spans="16384:16384" x14ac:dyDescent="0.25">
      <c r="XFD120">
        <v>120</v>
      </c>
    </row>
    <row r="121" spans="16384:16384" x14ac:dyDescent="0.25">
      <c r="XFD121">
        <v>121</v>
      </c>
    </row>
    <row r="122" spans="16384:16384" x14ac:dyDescent="0.25">
      <c r="XFD122">
        <v>122</v>
      </c>
    </row>
    <row r="123" spans="16384:16384" x14ac:dyDescent="0.25">
      <c r="XFD123">
        <v>123</v>
      </c>
    </row>
    <row r="124" spans="16384:16384" x14ac:dyDescent="0.25">
      <c r="XFD124">
        <v>124</v>
      </c>
    </row>
    <row r="125" spans="16384:16384" x14ac:dyDescent="0.25">
      <c r="XFD125">
        <v>125</v>
      </c>
    </row>
    <row r="126" spans="16384:16384" x14ac:dyDescent="0.25">
      <c r="XFD126">
        <v>126</v>
      </c>
    </row>
    <row r="127" spans="16384:16384" x14ac:dyDescent="0.25">
      <c r="XFD127">
        <v>127</v>
      </c>
    </row>
    <row r="128" spans="16384:16384" x14ac:dyDescent="0.25">
      <c r="XFD128">
        <v>128</v>
      </c>
    </row>
    <row r="129" spans="16384:16384" x14ac:dyDescent="0.25">
      <c r="XFD129">
        <v>129</v>
      </c>
    </row>
    <row r="130" spans="16384:16384" x14ac:dyDescent="0.25">
      <c r="XFD130">
        <v>130</v>
      </c>
    </row>
    <row r="131" spans="16384:16384" x14ac:dyDescent="0.25">
      <c r="XFD131">
        <v>131</v>
      </c>
    </row>
    <row r="132" spans="16384:16384" x14ac:dyDescent="0.25">
      <c r="XFD132">
        <v>132</v>
      </c>
    </row>
    <row r="133" spans="16384:16384" x14ac:dyDescent="0.25">
      <c r="XFD133">
        <v>133</v>
      </c>
    </row>
    <row r="134" spans="16384:16384" x14ac:dyDescent="0.25">
      <c r="XFD134">
        <v>134</v>
      </c>
    </row>
    <row r="135" spans="16384:16384" x14ac:dyDescent="0.25">
      <c r="XFD135">
        <v>135</v>
      </c>
    </row>
    <row r="136" spans="16384:16384" x14ac:dyDescent="0.25">
      <c r="XFD136">
        <v>136</v>
      </c>
    </row>
    <row r="137" spans="16384:16384" x14ac:dyDescent="0.25">
      <c r="XFD137">
        <v>137</v>
      </c>
    </row>
    <row r="138" spans="16384:16384" x14ac:dyDescent="0.25">
      <c r="XFD138">
        <v>138</v>
      </c>
    </row>
    <row r="139" spans="16384:16384" x14ac:dyDescent="0.25">
      <c r="XFD139">
        <v>139</v>
      </c>
    </row>
    <row r="140" spans="16384:16384" x14ac:dyDescent="0.25">
      <c r="XFD140">
        <v>140</v>
      </c>
    </row>
    <row r="141" spans="16384:16384" x14ac:dyDescent="0.25">
      <c r="XFD141">
        <v>141</v>
      </c>
    </row>
    <row r="142" spans="16384:16384" x14ac:dyDescent="0.25">
      <c r="XFD142">
        <v>142</v>
      </c>
    </row>
    <row r="143" spans="16384:16384" x14ac:dyDescent="0.25">
      <c r="XFD143">
        <v>143</v>
      </c>
    </row>
    <row r="144" spans="16384:16384" x14ac:dyDescent="0.25">
      <c r="XFD144">
        <v>144</v>
      </c>
    </row>
    <row r="145" spans="16384:16384" x14ac:dyDescent="0.25">
      <c r="XFD145">
        <v>145</v>
      </c>
    </row>
    <row r="146" spans="16384:16384" x14ac:dyDescent="0.25">
      <c r="XFD146">
        <v>146</v>
      </c>
    </row>
    <row r="147" spans="16384:16384" x14ac:dyDescent="0.25">
      <c r="XFD147">
        <v>147</v>
      </c>
    </row>
    <row r="148" spans="16384:16384" x14ac:dyDescent="0.25">
      <c r="XFD148">
        <v>148</v>
      </c>
    </row>
    <row r="149" spans="16384:16384" x14ac:dyDescent="0.25">
      <c r="XFD149">
        <v>149</v>
      </c>
    </row>
    <row r="150" spans="16384:16384" x14ac:dyDescent="0.25">
      <c r="XFD150">
        <v>150</v>
      </c>
    </row>
    <row r="151" spans="16384:16384" x14ac:dyDescent="0.25">
      <c r="XFD151">
        <v>151</v>
      </c>
    </row>
    <row r="152" spans="16384:16384" x14ac:dyDescent="0.25">
      <c r="XFD152">
        <v>152</v>
      </c>
    </row>
    <row r="153" spans="16384:16384" x14ac:dyDescent="0.25">
      <c r="XFD153">
        <v>153</v>
      </c>
    </row>
    <row r="154" spans="16384:16384" x14ac:dyDescent="0.25">
      <c r="XFD154">
        <v>154</v>
      </c>
    </row>
    <row r="155" spans="16384:16384" x14ac:dyDescent="0.25">
      <c r="XFD155">
        <v>155</v>
      </c>
    </row>
    <row r="156" spans="16384:16384" x14ac:dyDescent="0.25">
      <c r="XFD156">
        <v>156</v>
      </c>
    </row>
    <row r="157" spans="16384:16384" x14ac:dyDescent="0.25">
      <c r="XFD157">
        <v>157</v>
      </c>
    </row>
    <row r="158" spans="16384:16384" x14ac:dyDescent="0.25">
      <c r="XFD158">
        <v>158</v>
      </c>
    </row>
    <row r="159" spans="16384:16384" x14ac:dyDescent="0.25">
      <c r="XFD159">
        <v>159</v>
      </c>
    </row>
    <row r="160" spans="16384:16384" x14ac:dyDescent="0.25">
      <c r="XFD160">
        <v>160</v>
      </c>
    </row>
    <row r="161" spans="16384:16384" x14ac:dyDescent="0.25">
      <c r="XFD161">
        <v>161</v>
      </c>
    </row>
    <row r="162" spans="16384:16384" x14ac:dyDescent="0.25">
      <c r="XFD162">
        <v>162</v>
      </c>
    </row>
    <row r="163" spans="16384:16384" x14ac:dyDescent="0.25">
      <c r="XFD163">
        <v>163</v>
      </c>
    </row>
    <row r="164" spans="16384:16384" x14ac:dyDescent="0.25">
      <c r="XFD164">
        <v>164</v>
      </c>
    </row>
    <row r="165" spans="16384:16384" x14ac:dyDescent="0.25">
      <c r="XFD165">
        <v>165</v>
      </c>
    </row>
    <row r="166" spans="16384:16384" x14ac:dyDescent="0.25">
      <c r="XFD166">
        <v>166</v>
      </c>
    </row>
    <row r="167" spans="16384:16384" x14ac:dyDescent="0.25">
      <c r="XFD167">
        <v>167</v>
      </c>
    </row>
    <row r="168" spans="16384:16384" x14ac:dyDescent="0.25">
      <c r="XFD168">
        <v>168</v>
      </c>
    </row>
    <row r="169" spans="16384:16384" x14ac:dyDescent="0.25">
      <c r="XFD169">
        <v>169</v>
      </c>
    </row>
    <row r="170" spans="16384:16384" x14ac:dyDescent="0.25">
      <c r="XFD170">
        <v>170</v>
      </c>
    </row>
    <row r="171" spans="16384:16384" x14ac:dyDescent="0.25">
      <c r="XFD171">
        <v>171</v>
      </c>
    </row>
    <row r="172" spans="16384:16384" x14ac:dyDescent="0.25">
      <c r="XFD172">
        <v>172</v>
      </c>
    </row>
    <row r="173" spans="16384:16384" x14ac:dyDescent="0.25">
      <c r="XFD173">
        <v>173</v>
      </c>
    </row>
    <row r="174" spans="16384:16384" x14ac:dyDescent="0.25">
      <c r="XFD174">
        <v>174</v>
      </c>
    </row>
    <row r="175" spans="16384:16384" x14ac:dyDescent="0.25">
      <c r="XFD175">
        <v>175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 Pert</vt:lpstr>
      <vt:lpstr>Parâmetros</vt:lpstr>
      <vt:lpstr>Informe_a_qtd._de_parcelas_do_pedágio</vt:lpstr>
      <vt:lpstr>Mod</vt:lpstr>
      <vt:lpstr>Modalidades</vt:lpstr>
      <vt:lpstr>'Simulador Pert'!Parcelas</vt:lpstr>
      <vt:lpstr>parcelas</vt:lpstr>
      <vt:lpstr>pedag</vt:lpstr>
      <vt:lpstr>QuantParc</vt:lpstr>
    </vt:vector>
  </TitlesOfParts>
  <Manager/>
  <Company>Ministerio da Fazenda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Arnaldo Meira de Santana</dc:creator>
  <cp:keywords/>
  <dc:description/>
  <cp:lastModifiedBy>User</cp:lastModifiedBy>
  <cp:revision/>
  <dcterms:created xsi:type="dcterms:W3CDTF">2017-08-01T13:12:11Z</dcterms:created>
  <dcterms:modified xsi:type="dcterms:W3CDTF">2018-06-20T14:26:04Z</dcterms:modified>
  <cp:category/>
  <cp:contentStatus/>
</cp:coreProperties>
</file>