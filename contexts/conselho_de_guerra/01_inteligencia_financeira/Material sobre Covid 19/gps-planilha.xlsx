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mpa\Dropbox\"/>
    </mc:Choice>
  </mc:AlternateContent>
  <xr:revisionPtr revIDLastSave="0" documentId="13_ncr:1_{B22173A4-493B-412E-9075-50424D3BC25D}" xr6:coauthVersionLast="45" xr6:coauthVersionMax="45" xr10:uidLastSave="{00000000-0000-0000-0000-000000000000}"/>
  <bookViews>
    <workbookView xWindow="-110" yWindow="-110" windowWidth="19420" windowHeight="11020" xr2:uid="{5F5055FF-9CF2-4B81-B96E-26C6AAF266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D19" i="1"/>
  <c r="C19" i="1"/>
  <c r="H5" i="1"/>
  <c r="H6" i="1"/>
  <c r="H11" i="1"/>
  <c r="H8" i="1"/>
  <c r="H9" i="1"/>
  <c r="H10" i="1"/>
  <c r="H12" i="1"/>
  <c r="H13" i="1"/>
  <c r="H14" i="1"/>
  <c r="H7" i="1"/>
  <c r="J6" i="1"/>
  <c r="K6" i="1"/>
  <c r="M6" i="1" s="1"/>
  <c r="N6" i="1" s="1"/>
  <c r="L6" i="1"/>
  <c r="J7" i="1"/>
  <c r="K7" i="1" s="1"/>
  <c r="J8" i="1"/>
  <c r="K8" i="1" s="1"/>
  <c r="M8" i="1" s="1"/>
  <c r="N8" i="1" s="1"/>
  <c r="L8" i="1"/>
  <c r="J9" i="1"/>
  <c r="K9" i="1"/>
  <c r="L9" i="1"/>
  <c r="N9" i="1"/>
  <c r="J10" i="1"/>
  <c r="K10" i="1"/>
  <c r="L10" i="1"/>
  <c r="N10" i="1"/>
  <c r="J11" i="1"/>
  <c r="K11" i="1" s="1"/>
  <c r="J12" i="1"/>
  <c r="K12" i="1"/>
  <c r="N12" i="1" s="1"/>
  <c r="L12" i="1"/>
  <c r="J13" i="1"/>
  <c r="K13" i="1"/>
  <c r="L13" i="1"/>
  <c r="N13" i="1"/>
  <c r="J14" i="1"/>
  <c r="K14" i="1" s="1"/>
  <c r="N14" i="1"/>
  <c r="N5" i="1"/>
  <c r="L5" i="1"/>
  <c r="K5" i="1"/>
  <c r="J5" i="1"/>
  <c r="L14" i="1" l="1"/>
  <c r="N11" i="1"/>
  <c r="L11" i="1"/>
  <c r="L7" i="1"/>
  <c r="M7" i="1" s="1"/>
  <c r="N7" i="1" s="1"/>
</calcChain>
</file>

<file path=xl/sharedStrings.xml><?xml version="1.0" encoding="utf-8"?>
<sst xmlns="http://schemas.openxmlformats.org/spreadsheetml/2006/main" count="31" uniqueCount="20">
  <si>
    <t>Terceiros</t>
  </si>
  <si>
    <t>Comp</t>
  </si>
  <si>
    <t>INSS</t>
  </si>
  <si>
    <t>SESC</t>
  </si>
  <si>
    <t>SENAC</t>
  </si>
  <si>
    <t>INSS RAT</t>
  </si>
  <si>
    <t>Segurado</t>
  </si>
  <si>
    <t>Patronal</t>
  </si>
  <si>
    <t>Base de</t>
  </si>
  <si>
    <t>Calculo</t>
  </si>
  <si>
    <t>Reducao</t>
  </si>
  <si>
    <t>GFIP</t>
  </si>
  <si>
    <t>GPS</t>
  </si>
  <si>
    <t>Campo 6</t>
  </si>
  <si>
    <t xml:space="preserve">GPS </t>
  </si>
  <si>
    <t>Campo 9</t>
  </si>
  <si>
    <t>Vcto</t>
  </si>
  <si>
    <t>GPS - Preenchimento</t>
  </si>
  <si>
    <t>Total</t>
  </si>
  <si>
    <t>Planilha de apoio para a emissao manual das GPS de 03 a 10/2020 - Vide Total Resumo da GFIP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</si>
</sst>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* #,##0.00_-;\-&quot;R$&quot;* #,##0.00_-;_-&quot;R$&quot;* &quot;-&quot;??_-;_-@_-"/>
    <numFmt numFmtId="165" formatCode="[$-416]mmm\-yy;@"/>
    <numFmt numFmtId="166" formatCode="dd/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44" fontId="2" fillId="0" borderId="0" xfId="1" applyFont="1" applyAlignment="1">
      <alignment horizontal="center"/>
    </xf>
    <xf numFmtId="44" fontId="2" fillId="0" borderId="0" xfId="1" applyFont="1"/>
    <xf numFmtId="0" fontId="2" fillId="0" borderId="0" xfId="0" applyFont="1"/>
    <xf numFmtId="165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44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165" fontId="2" fillId="0" borderId="5" xfId="1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66" fontId="0" fillId="0" borderId="6" xfId="0" applyNumberFormat="1" applyBorder="1"/>
    <xf numFmtId="165" fontId="2" fillId="0" borderId="7" xfId="1" applyNumberFormat="1" applyFont="1" applyBorder="1" applyAlignment="1">
      <alignment horizontal="center"/>
    </xf>
    <xf numFmtId="44" fontId="0" fillId="0" borderId="8" xfId="1" applyFont="1" applyBorder="1"/>
    <xf numFmtId="44" fontId="0" fillId="0" borderId="8" xfId="0" applyNumberFormat="1" applyBorder="1"/>
    <xf numFmtId="166" fontId="0" fillId="0" borderId="9" xfId="0" applyNumberFormat="1" applyBorder="1"/>
    <xf numFmtId="165" fontId="3" fillId="0" borderId="10" xfId="1" applyNumberFormat="1" applyFont="1" applyBorder="1" applyAlignment="1">
      <alignment horizontal="center"/>
    </xf>
    <xf numFmtId="165" fontId="3" fillId="0" borderId="11" xfId="1" applyNumberFormat="1" applyFont="1" applyBorder="1" applyAlignment="1">
      <alignment horizontal="center"/>
    </xf>
    <xf numFmtId="165" fontId="3" fillId="0" borderId="12" xfId="1" applyNumberFormat="1" applyFont="1" applyBorder="1" applyAlignment="1">
      <alignment horizontal="center"/>
    </xf>
    <xf numFmtId="166" fontId="2" fillId="0" borderId="0" xfId="0" applyNumberFormat="1" applyFont="1"/>
    <xf numFmtId="44" fontId="2" fillId="0" borderId="2" xfId="1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44" fontId="2" fillId="0" borderId="4" xfId="1" applyFont="1" applyBorder="1" applyAlignment="1">
      <alignment horizontal="center"/>
    </xf>
    <xf numFmtId="44" fontId="2" fillId="0" borderId="6" xfId="1" applyFon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14</xdr:col>
      <xdr:colOff>515506</xdr:colOff>
      <xdr:row>65</xdr:row>
      <xdr:rowOff>80493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0D357B-4E70-42A9-8B1B-99F69932F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69" y="5715000"/>
          <a:ext cx="9056703" cy="6654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DEB6-7115-4BC1-BEDD-1D2D464C919B}">
  <dimension ref="B1:O28"/>
  <sheetViews>
    <sheetView showGridLines="0" tabSelected="1" topLeftCell="A7" zoomScale="71" zoomScaleNormal="71" workbookViewId="0">
      <selection activeCell="L30" sqref="L30"/>
    </sheetView>
  </sheetViews>
  <sheetFormatPr defaultRowHeight="14.5" x14ac:dyDescent="0.35"/>
  <cols>
    <col min="2" max="2" width="8.7265625" style="5"/>
    <col min="3" max="4" width="9.90625" style="1" bestFit="1" customWidth="1"/>
    <col min="5" max="5" width="9.81640625" style="1" bestFit="1" customWidth="1"/>
    <col min="6" max="6" width="9.90625" style="1" bestFit="1" customWidth="1"/>
    <col min="7" max="7" width="9.453125" style="1" bestFit="1" customWidth="1"/>
    <col min="8" max="8" width="9.81640625" style="1" bestFit="1" customWidth="1"/>
    <col min="9" max="9" width="8.7265625" style="1"/>
    <col min="10" max="10" width="11.26953125" style="1" bestFit="1" customWidth="1"/>
    <col min="11" max="11" width="8.7265625" style="1"/>
    <col min="12" max="12" width="8.7265625" style="1" bestFit="1" customWidth="1"/>
    <col min="13" max="13" width="8.7265625" style="1"/>
    <col min="15" max="15" width="8.7265625" style="8"/>
  </cols>
  <sheetData>
    <row r="1" spans="2:15" ht="15" thickBot="1" x14ac:dyDescent="0.4"/>
    <row r="2" spans="2:15" ht="21" x14ac:dyDescent="0.5">
      <c r="B2" s="21" t="s">
        <v>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2:15" s="6" customFormat="1" x14ac:dyDescent="0.35">
      <c r="B3" s="14"/>
      <c r="C3" s="9" t="s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12</v>
      </c>
      <c r="I3" s="9" t="s">
        <v>0</v>
      </c>
      <c r="J3" s="9" t="s">
        <v>8</v>
      </c>
      <c r="K3" s="9" t="s">
        <v>3</v>
      </c>
      <c r="L3" s="9" t="s">
        <v>4</v>
      </c>
      <c r="M3" s="9" t="s">
        <v>0</v>
      </c>
      <c r="N3" s="10" t="s">
        <v>14</v>
      </c>
      <c r="O3" s="15"/>
    </row>
    <row r="4" spans="2:15" s="6" customFormat="1" x14ac:dyDescent="0.35">
      <c r="B4" s="14" t="s">
        <v>1</v>
      </c>
      <c r="C4" s="9" t="s">
        <v>6</v>
      </c>
      <c r="D4" s="9" t="s">
        <v>6</v>
      </c>
      <c r="E4" s="9" t="s">
        <v>7</v>
      </c>
      <c r="F4" s="9" t="s">
        <v>7</v>
      </c>
      <c r="G4" s="9" t="s">
        <v>5</v>
      </c>
      <c r="H4" s="9" t="s">
        <v>13</v>
      </c>
      <c r="I4" s="10" t="s">
        <v>11</v>
      </c>
      <c r="J4" s="9" t="s">
        <v>9</v>
      </c>
      <c r="K4" s="11">
        <v>0.01</v>
      </c>
      <c r="L4" s="11">
        <v>1.4999999999999999E-2</v>
      </c>
      <c r="M4" s="10" t="s">
        <v>10</v>
      </c>
      <c r="N4" s="10" t="s">
        <v>15</v>
      </c>
      <c r="O4" s="15" t="s">
        <v>16</v>
      </c>
    </row>
    <row r="5" spans="2:15" x14ac:dyDescent="0.35">
      <c r="B5" s="14">
        <v>43891</v>
      </c>
      <c r="C5" s="12">
        <v>120</v>
      </c>
      <c r="D5" s="12">
        <v>109.78</v>
      </c>
      <c r="E5" s="12">
        <v>0</v>
      </c>
      <c r="F5" s="12">
        <v>0</v>
      </c>
      <c r="G5" s="12">
        <v>0</v>
      </c>
      <c r="H5" s="12">
        <f t="shared" ref="H5:H6" si="0">SUM(C5:G5)</f>
        <v>229.78</v>
      </c>
      <c r="I5" s="12">
        <v>87</v>
      </c>
      <c r="J5" s="12">
        <f>I5/0.058</f>
        <v>1500</v>
      </c>
      <c r="K5" s="12">
        <f>J5*1%</f>
        <v>15</v>
      </c>
      <c r="L5" s="12">
        <f>J5*1.5%</f>
        <v>22.5</v>
      </c>
      <c r="M5" s="12">
        <v>0</v>
      </c>
      <c r="N5" s="13">
        <f>I5-M5</f>
        <v>87</v>
      </c>
      <c r="O5" s="16">
        <v>43941</v>
      </c>
    </row>
    <row r="6" spans="2:15" x14ac:dyDescent="0.35">
      <c r="B6" s="14">
        <v>43922</v>
      </c>
      <c r="C6" s="12">
        <v>120</v>
      </c>
      <c r="D6" s="12">
        <v>109.78</v>
      </c>
      <c r="E6" s="12">
        <v>0</v>
      </c>
      <c r="F6" s="12">
        <v>0</v>
      </c>
      <c r="G6" s="12">
        <v>0</v>
      </c>
      <c r="H6" s="12">
        <f t="shared" si="0"/>
        <v>229.78</v>
      </c>
      <c r="I6" s="12">
        <v>87</v>
      </c>
      <c r="J6" s="12">
        <f t="shared" ref="J6:J14" si="1">I6/0.058</f>
        <v>1500</v>
      </c>
      <c r="K6" s="12">
        <f t="shared" ref="K6:K14" si="2">J6*1%</f>
        <v>15</v>
      </c>
      <c r="L6" s="12">
        <f t="shared" ref="L6:L14" si="3">J6*1.5%</f>
        <v>22.5</v>
      </c>
      <c r="M6" s="12">
        <f t="shared" ref="M6:M8" si="4">(K6+L6)/2</f>
        <v>18.75</v>
      </c>
      <c r="N6" s="13">
        <f t="shared" ref="N6:N14" si="5">I6-M6</f>
        <v>68.25</v>
      </c>
      <c r="O6" s="16">
        <v>43971</v>
      </c>
    </row>
    <row r="7" spans="2:15" x14ac:dyDescent="0.35">
      <c r="B7" s="14">
        <v>43952</v>
      </c>
      <c r="C7" s="12">
        <v>120</v>
      </c>
      <c r="D7" s="12">
        <v>109.78</v>
      </c>
      <c r="E7" s="12">
        <v>300</v>
      </c>
      <c r="F7" s="12">
        <v>199.6</v>
      </c>
      <c r="G7" s="12">
        <v>30</v>
      </c>
      <c r="H7" s="12">
        <f>SUM(C7:G7)</f>
        <v>759.38</v>
      </c>
      <c r="I7" s="12">
        <v>87</v>
      </c>
      <c r="J7" s="12">
        <f t="shared" si="1"/>
        <v>1500</v>
      </c>
      <c r="K7" s="12">
        <f t="shared" si="2"/>
        <v>15</v>
      </c>
      <c r="L7" s="12">
        <f t="shared" si="3"/>
        <v>22.5</v>
      </c>
      <c r="M7" s="12">
        <f t="shared" si="4"/>
        <v>18.75</v>
      </c>
      <c r="N7" s="13">
        <f t="shared" si="5"/>
        <v>68.25</v>
      </c>
      <c r="O7" s="16">
        <v>44002</v>
      </c>
    </row>
    <row r="8" spans="2:15" x14ac:dyDescent="0.35">
      <c r="B8" s="14">
        <v>43983</v>
      </c>
      <c r="C8" s="12">
        <v>120</v>
      </c>
      <c r="D8" s="12">
        <v>109.78</v>
      </c>
      <c r="E8" s="12">
        <v>300</v>
      </c>
      <c r="F8" s="12">
        <v>199.6</v>
      </c>
      <c r="G8" s="12">
        <v>30</v>
      </c>
      <c r="H8" s="12">
        <f t="shared" ref="H8:H14" si="6">SUM(C8:G8)</f>
        <v>759.38</v>
      </c>
      <c r="I8" s="12">
        <v>87</v>
      </c>
      <c r="J8" s="12">
        <f t="shared" si="1"/>
        <v>1500</v>
      </c>
      <c r="K8" s="12">
        <f t="shared" si="2"/>
        <v>15</v>
      </c>
      <c r="L8" s="12">
        <f t="shared" si="3"/>
        <v>22.5</v>
      </c>
      <c r="M8" s="12">
        <f t="shared" si="4"/>
        <v>18.75</v>
      </c>
      <c r="N8" s="13">
        <f t="shared" si="5"/>
        <v>68.25</v>
      </c>
      <c r="O8" s="16">
        <v>44032</v>
      </c>
    </row>
    <row r="9" spans="2:15" x14ac:dyDescent="0.35">
      <c r="B9" s="14">
        <v>44013</v>
      </c>
      <c r="C9" s="12">
        <v>120</v>
      </c>
      <c r="D9" s="12">
        <v>109.78</v>
      </c>
      <c r="E9" s="12">
        <v>300</v>
      </c>
      <c r="F9" s="12">
        <v>199.6</v>
      </c>
      <c r="G9" s="12">
        <v>30</v>
      </c>
      <c r="H9" s="12">
        <f t="shared" si="6"/>
        <v>759.38</v>
      </c>
      <c r="I9" s="12">
        <v>87</v>
      </c>
      <c r="J9" s="12">
        <f t="shared" si="1"/>
        <v>1500</v>
      </c>
      <c r="K9" s="12">
        <f t="shared" si="2"/>
        <v>15</v>
      </c>
      <c r="L9" s="12">
        <f t="shared" si="3"/>
        <v>22.5</v>
      </c>
      <c r="M9" s="12">
        <v>0</v>
      </c>
      <c r="N9" s="13">
        <f t="shared" si="5"/>
        <v>87</v>
      </c>
      <c r="O9" s="16">
        <v>44063</v>
      </c>
    </row>
    <row r="10" spans="2:15" x14ac:dyDescent="0.35">
      <c r="B10" s="14">
        <v>44044</v>
      </c>
      <c r="C10" s="12">
        <v>120</v>
      </c>
      <c r="D10" s="12">
        <v>109.78</v>
      </c>
      <c r="E10" s="12">
        <v>300</v>
      </c>
      <c r="F10" s="12">
        <v>199.6</v>
      </c>
      <c r="G10" s="12">
        <v>30</v>
      </c>
      <c r="H10" s="12">
        <f t="shared" si="6"/>
        <v>759.38</v>
      </c>
      <c r="I10" s="12">
        <v>87</v>
      </c>
      <c r="J10" s="12">
        <f t="shared" si="1"/>
        <v>1500</v>
      </c>
      <c r="K10" s="12">
        <f t="shared" si="2"/>
        <v>15</v>
      </c>
      <c r="L10" s="12">
        <f t="shared" si="3"/>
        <v>22.5</v>
      </c>
      <c r="M10" s="12">
        <v>0</v>
      </c>
      <c r="N10" s="13">
        <f t="shared" si="5"/>
        <v>87</v>
      </c>
      <c r="O10" s="16">
        <v>44094</v>
      </c>
    </row>
    <row r="11" spans="2:15" x14ac:dyDescent="0.35">
      <c r="B11" s="14">
        <v>43891</v>
      </c>
      <c r="C11" s="12">
        <v>0</v>
      </c>
      <c r="D11" s="12">
        <v>0</v>
      </c>
      <c r="E11" s="12">
        <v>300</v>
      </c>
      <c r="F11" s="12">
        <v>199.6</v>
      </c>
      <c r="G11" s="12">
        <v>30</v>
      </c>
      <c r="H11" s="12">
        <f t="shared" si="6"/>
        <v>529.6</v>
      </c>
      <c r="I11" s="12">
        <v>0</v>
      </c>
      <c r="J11" s="12">
        <f t="shared" si="1"/>
        <v>0</v>
      </c>
      <c r="K11" s="12">
        <f t="shared" si="2"/>
        <v>0</v>
      </c>
      <c r="L11" s="12">
        <f t="shared" si="3"/>
        <v>0</v>
      </c>
      <c r="M11" s="12">
        <v>0</v>
      </c>
      <c r="N11" s="13">
        <f t="shared" si="5"/>
        <v>0</v>
      </c>
      <c r="O11" s="16">
        <v>44063</v>
      </c>
    </row>
    <row r="12" spans="2:15" x14ac:dyDescent="0.35">
      <c r="B12" s="14">
        <v>44075</v>
      </c>
      <c r="C12" s="12">
        <v>120</v>
      </c>
      <c r="D12" s="12">
        <v>109.78</v>
      </c>
      <c r="E12" s="12">
        <v>300</v>
      </c>
      <c r="F12" s="12">
        <v>199.6</v>
      </c>
      <c r="G12" s="12">
        <v>30</v>
      </c>
      <c r="H12" s="12">
        <f t="shared" si="6"/>
        <v>759.38</v>
      </c>
      <c r="I12" s="12">
        <v>87</v>
      </c>
      <c r="J12" s="12">
        <f t="shared" si="1"/>
        <v>1500</v>
      </c>
      <c r="K12" s="12">
        <f t="shared" si="2"/>
        <v>15</v>
      </c>
      <c r="L12" s="12">
        <f t="shared" si="3"/>
        <v>22.5</v>
      </c>
      <c r="M12" s="12">
        <v>0</v>
      </c>
      <c r="N12" s="13">
        <f t="shared" si="5"/>
        <v>87</v>
      </c>
      <c r="O12" s="16">
        <v>44124</v>
      </c>
    </row>
    <row r="13" spans="2:15" x14ac:dyDescent="0.35">
      <c r="B13" s="14">
        <v>44105</v>
      </c>
      <c r="C13" s="12">
        <v>120</v>
      </c>
      <c r="D13" s="12">
        <v>109.78</v>
      </c>
      <c r="E13" s="12">
        <v>300</v>
      </c>
      <c r="F13" s="12">
        <v>199.6</v>
      </c>
      <c r="G13" s="12">
        <v>30</v>
      </c>
      <c r="H13" s="12">
        <f t="shared" si="6"/>
        <v>759.38</v>
      </c>
      <c r="I13" s="12">
        <v>87</v>
      </c>
      <c r="J13" s="12">
        <f t="shared" si="1"/>
        <v>1500</v>
      </c>
      <c r="K13" s="12">
        <f t="shared" si="2"/>
        <v>15</v>
      </c>
      <c r="L13" s="12">
        <f t="shared" si="3"/>
        <v>22.5</v>
      </c>
      <c r="M13" s="12">
        <v>0</v>
      </c>
      <c r="N13" s="13">
        <f t="shared" si="5"/>
        <v>87</v>
      </c>
      <c r="O13" s="16">
        <v>44155</v>
      </c>
    </row>
    <row r="14" spans="2:15" ht="15" thickBot="1" x14ac:dyDescent="0.4">
      <c r="B14" s="17">
        <v>43922</v>
      </c>
      <c r="C14" s="18">
        <v>0</v>
      </c>
      <c r="D14" s="18">
        <v>0</v>
      </c>
      <c r="E14" s="18">
        <v>300</v>
      </c>
      <c r="F14" s="18">
        <v>199.6</v>
      </c>
      <c r="G14" s="18">
        <v>30</v>
      </c>
      <c r="H14" s="18">
        <f t="shared" si="6"/>
        <v>529.6</v>
      </c>
      <c r="I14" s="18">
        <v>0</v>
      </c>
      <c r="J14" s="18">
        <f t="shared" si="1"/>
        <v>0</v>
      </c>
      <c r="K14" s="18">
        <f t="shared" si="2"/>
        <v>0</v>
      </c>
      <c r="L14" s="18">
        <f t="shared" si="3"/>
        <v>0</v>
      </c>
      <c r="M14" s="18">
        <v>0</v>
      </c>
      <c r="N14" s="19">
        <f t="shared" si="5"/>
        <v>0</v>
      </c>
      <c r="O14" s="20">
        <v>44124</v>
      </c>
    </row>
    <row r="16" spans="2:15" ht="15" thickBot="1" x14ac:dyDescent="0.4"/>
    <row r="17" spans="2:15" s="4" customFormat="1" x14ac:dyDescent="0.35">
      <c r="B17" s="25" t="s">
        <v>17</v>
      </c>
      <c r="C17" s="26"/>
      <c r="D17" s="26"/>
      <c r="E17" s="26"/>
      <c r="F17" s="27"/>
      <c r="G17" s="3"/>
      <c r="H17" s="3"/>
      <c r="I17" s="3"/>
      <c r="J17" s="3"/>
      <c r="K17" s="3"/>
      <c r="L17" s="3"/>
      <c r="M17" s="3"/>
      <c r="O17" s="24"/>
    </row>
    <row r="18" spans="2:15" s="6" customFormat="1" x14ac:dyDescent="0.35">
      <c r="B18" s="14" t="s">
        <v>1</v>
      </c>
      <c r="C18" s="9" t="s">
        <v>13</v>
      </c>
      <c r="D18" s="9" t="s">
        <v>15</v>
      </c>
      <c r="E18" s="9" t="s">
        <v>18</v>
      </c>
      <c r="F18" s="28" t="s">
        <v>16</v>
      </c>
      <c r="G18" s="2"/>
      <c r="H18" s="2"/>
      <c r="I18" s="2"/>
      <c r="J18" s="2"/>
      <c r="K18" s="2"/>
      <c r="L18" s="2"/>
      <c r="M18" s="2"/>
      <c r="O18" s="7"/>
    </row>
    <row r="19" spans="2:15" x14ac:dyDescent="0.35">
      <c r="B19" s="14">
        <v>43891</v>
      </c>
      <c r="C19" s="12">
        <f>H5</f>
        <v>229.78</v>
      </c>
      <c r="D19" s="12">
        <f>N5</f>
        <v>87</v>
      </c>
      <c r="E19" s="12">
        <f>C19+D19</f>
        <v>316.77999999999997</v>
      </c>
      <c r="F19" s="29">
        <v>43941</v>
      </c>
    </row>
    <row r="20" spans="2:15" x14ac:dyDescent="0.35">
      <c r="B20" s="14">
        <v>43922</v>
      </c>
      <c r="C20" s="12">
        <f t="shared" ref="C20:C28" si="7">H6</f>
        <v>229.78</v>
      </c>
      <c r="D20" s="12">
        <f t="shared" ref="D20:D28" si="8">N6</f>
        <v>68.25</v>
      </c>
      <c r="E20" s="12">
        <f t="shared" ref="E20:E28" si="9">C20+D20</f>
        <v>298.02999999999997</v>
      </c>
      <c r="F20" s="29">
        <v>43971</v>
      </c>
    </row>
    <row r="21" spans="2:15" x14ac:dyDescent="0.35">
      <c r="B21" s="14">
        <v>43952</v>
      </c>
      <c r="C21" s="12">
        <f t="shared" si="7"/>
        <v>759.38</v>
      </c>
      <c r="D21" s="12">
        <f t="shared" si="8"/>
        <v>68.25</v>
      </c>
      <c r="E21" s="12">
        <f t="shared" si="9"/>
        <v>827.63</v>
      </c>
      <c r="F21" s="29">
        <v>44002</v>
      </c>
    </row>
    <row r="22" spans="2:15" x14ac:dyDescent="0.35">
      <c r="B22" s="14">
        <v>43983</v>
      </c>
      <c r="C22" s="12">
        <f t="shared" si="7"/>
        <v>759.38</v>
      </c>
      <c r="D22" s="12">
        <f t="shared" si="8"/>
        <v>68.25</v>
      </c>
      <c r="E22" s="12">
        <f t="shared" si="9"/>
        <v>827.63</v>
      </c>
      <c r="F22" s="29">
        <v>44032</v>
      </c>
    </row>
    <row r="23" spans="2:15" x14ac:dyDescent="0.35">
      <c r="B23" s="14">
        <v>44013</v>
      </c>
      <c r="C23" s="12">
        <f t="shared" si="7"/>
        <v>759.38</v>
      </c>
      <c r="D23" s="12">
        <f t="shared" si="8"/>
        <v>87</v>
      </c>
      <c r="E23" s="12">
        <f t="shared" si="9"/>
        <v>846.38</v>
      </c>
      <c r="F23" s="29">
        <v>44063</v>
      </c>
    </row>
    <row r="24" spans="2:15" x14ac:dyDescent="0.35">
      <c r="B24" s="14">
        <v>44044</v>
      </c>
      <c r="C24" s="12">
        <f t="shared" si="7"/>
        <v>759.38</v>
      </c>
      <c r="D24" s="12">
        <f t="shared" si="8"/>
        <v>87</v>
      </c>
      <c r="E24" s="12">
        <f t="shared" si="9"/>
        <v>846.38</v>
      </c>
      <c r="F24" s="29">
        <v>44094</v>
      </c>
    </row>
    <row r="25" spans="2:15" x14ac:dyDescent="0.35">
      <c r="B25" s="14">
        <v>43891</v>
      </c>
      <c r="C25" s="12">
        <f t="shared" si="7"/>
        <v>529.6</v>
      </c>
      <c r="D25" s="12">
        <f t="shared" si="8"/>
        <v>0</v>
      </c>
      <c r="E25" s="12">
        <f t="shared" si="9"/>
        <v>529.6</v>
      </c>
      <c r="F25" s="29">
        <v>44063</v>
      </c>
    </row>
    <row r="26" spans="2:15" x14ac:dyDescent="0.35">
      <c r="B26" s="14">
        <v>44075</v>
      </c>
      <c r="C26" s="12">
        <f t="shared" si="7"/>
        <v>759.38</v>
      </c>
      <c r="D26" s="12">
        <f t="shared" si="8"/>
        <v>87</v>
      </c>
      <c r="E26" s="12">
        <f t="shared" si="9"/>
        <v>846.38</v>
      </c>
      <c r="F26" s="29">
        <v>44124</v>
      </c>
    </row>
    <row r="27" spans="2:15" x14ac:dyDescent="0.35">
      <c r="B27" s="14">
        <v>44105</v>
      </c>
      <c r="C27" s="12">
        <f t="shared" si="7"/>
        <v>759.38</v>
      </c>
      <c r="D27" s="12">
        <f t="shared" si="8"/>
        <v>87</v>
      </c>
      <c r="E27" s="12">
        <f t="shared" si="9"/>
        <v>846.38</v>
      </c>
      <c r="F27" s="29">
        <v>44155</v>
      </c>
    </row>
    <row r="28" spans="2:15" ht="15" thickBot="1" x14ac:dyDescent="0.4">
      <c r="B28" s="17">
        <v>43922</v>
      </c>
      <c r="C28" s="18">
        <f t="shared" si="7"/>
        <v>529.6</v>
      </c>
      <c r="D28" s="18">
        <f t="shared" si="8"/>
        <v>0</v>
      </c>
      <c r="E28" s="18">
        <f t="shared" si="9"/>
        <v>529.6</v>
      </c>
      <c r="F28" s="30">
        <v>44124</v>
      </c>
    </row>
  </sheetData>
  <mergeCells count="2">
    <mergeCell ref="B2:O2"/>
    <mergeCell ref="B17:F1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Gomes</dc:creator>
  <cp:lastModifiedBy>Paulo Gomes</cp:lastModifiedBy>
  <dcterms:created xsi:type="dcterms:W3CDTF">2020-04-26T22:12:18Z</dcterms:created>
  <dcterms:modified xsi:type="dcterms:W3CDTF">2020-04-27T14:31:15Z</dcterms:modified>
</cp:coreProperties>
</file>