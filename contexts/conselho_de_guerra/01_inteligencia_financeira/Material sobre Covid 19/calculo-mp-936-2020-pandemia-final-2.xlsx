
<file path=[Content_Types].xml><?xml version="1.0" encoding="utf-8"?>
<Types xmlns="http://schemas.openxmlformats.org/package/2006/content-types">
  <Default Extension="jfif" ContentType="image/jpe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Operador\Desktop\Corona_Virus\"/>
    </mc:Choice>
  </mc:AlternateContent>
  <bookViews>
    <workbookView showHorizontalScroll="0" showVerticalScroll="0" showSheetTabs="0" xWindow="0" yWindow="0" windowWidth="15360" windowHeight="7905" activeTab="2"/>
  </bookViews>
  <sheets>
    <sheet name="INTRODUÇÃO" sheetId="4" r:id="rId1"/>
    <sheet name="INFORMAÇÕES" sheetId="6" r:id="rId2"/>
    <sheet name="BASE - CALCULADORA" sheetId="2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2" l="1"/>
  <c r="F23" i="2" s="1"/>
  <c r="F24" i="2" l="1"/>
  <c r="B25" i="2"/>
  <c r="B26" i="2" l="1"/>
  <c r="B24" i="2"/>
  <c r="F6" i="2"/>
  <c r="B21" i="2"/>
  <c r="B11" i="2"/>
  <c r="F20" i="2"/>
  <c r="F21" i="2" s="1"/>
  <c r="H21" i="2" s="1"/>
  <c r="B19" i="2"/>
  <c r="F27" i="2" l="1"/>
  <c r="F26" i="2"/>
  <c r="F25" i="2"/>
</calcChain>
</file>

<file path=xl/sharedStrings.xml><?xml version="1.0" encoding="utf-8"?>
<sst xmlns="http://schemas.openxmlformats.org/spreadsheetml/2006/main" count="32" uniqueCount="29">
  <si>
    <t>Cálculo MP 936/2020</t>
  </si>
  <si>
    <t>*Valores referenciais com base no Art. 11 §2º da MP 936/2020.</t>
  </si>
  <si>
    <t>Faturamento da empresa em 2019</t>
  </si>
  <si>
    <t>A ajuda compensatória tem natureza indenizatória, não integrando o salário, inclusive para fins de INSS/IRRF/FGTS.</t>
  </si>
  <si>
    <t>Opção da empresa</t>
  </si>
  <si>
    <t>Observações</t>
  </si>
  <si>
    <t>SALÁRIO ATUAL</t>
  </si>
  <si>
    <t>ÚLTIMO SALÁRIO PAGO</t>
  </si>
  <si>
    <t>PENÚLTIMO SALÁRIO PAGO</t>
  </si>
  <si>
    <t>ANTEPENÚLTIMO SALÁRIO PAGO</t>
  </si>
  <si>
    <t xml:space="preserve">Média salarial (3 últ.) </t>
  </si>
  <si>
    <t>Total do Seguro Desemprego (Lei 7.998/90)</t>
  </si>
  <si>
    <t>Trabalhador irá receber o total de</t>
  </si>
  <si>
    <t>Salário Atual do Trabalhador</t>
  </si>
  <si>
    <t>Por Mariana Almeida (FCC Cursos) - Colaboração: Gilmar Mendes (Premier Treinamentos)</t>
  </si>
  <si>
    <t>PERDA DO SALÁRIO ATUAL</t>
  </si>
  <si>
    <t>www.fcccursos.com.br</t>
  </si>
  <si>
    <t>www.e-inscricao.com/premier</t>
  </si>
  <si>
    <t xml:space="preserve">Para evitar demissões em massa por causa da crise do coronavírus, o governo publicou a Medida Provisória 936. Ela traz novas regras sobre redução de jornadas e salários e suspensão do contrato de trabalho específicas para o período de calamidade pública. A MP permite que empresas façam acordo direto com o empregado, sem o sindicato, para diminuir a jornada e o salário, ou suspender o contrato de trabalho por tempo determinado. Para compensar os trabalhadores atingidos, a MP 936 cria um benefício pago pelo governo e dá estabilidade no emprego. </t>
  </si>
  <si>
    <t>Qual a diferença entre redução de salário e suspensão do contrato?</t>
  </si>
  <si>
    <t xml:space="preserve">A redução de salário só pode acontecer se o empregado continuar trabalhando, mas com diminuição proporcional da jornada, sem alteração no valor da hora trabalhada. </t>
  </si>
  <si>
    <t xml:space="preserve">Por exemplo: o empregado que trabalhava 8 horas por dia passa a cumprir jornada de 4 horas. A redução foi de 50%, então ele deverá receber metade do salário. </t>
  </si>
  <si>
    <t xml:space="preserve">Em nenhuma hipótese a redução pode deixar o empregado com salário menor que o mínimo (R$ 1.045). Ajudas do governo e da empresa não configuram salário e, portanto, não entram neste cálculo. </t>
  </si>
  <si>
    <t>Na suspensão do contrato, o empregado fica sem trabalhar por até 60 dias e deixa de receber salário. Durante esse tempo, receberá ajuda do governo e, em alguns casos, também da empresa</t>
  </si>
  <si>
    <t>O limite da redução de salário, da suspensão e o valor do benefício oferecido pelo governo dependem de quanto o trabalhador ganha. O tipo de acordo firmado, com ou sem participação do sindicato, também influencia.</t>
  </si>
  <si>
    <t>Fonte: UOL Noticias</t>
  </si>
  <si>
    <t>INSIRA OS VALORES ABAIXO</t>
  </si>
  <si>
    <t>até 4,8 milhões</t>
  </si>
  <si>
    <t>Redução de Salário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</si>
</sst>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212529"/>
      <name val="Segoe UI"/>
      <family val="2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sz val="36"/>
      <color theme="1" tint="0.1499984740745262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Abadi Extra Light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4D4D4D"/>
      <name val="Arial"/>
      <family val="2"/>
    </font>
    <font>
      <sz val="11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37">
    <xf numFmtId="0" fontId="0" fillId="0" borderId="0" xfId="0"/>
    <xf numFmtId="0" fontId="0" fillId="3" borderId="0" xfId="0" applyFill="1" applyAlignment="1" applyProtection="1">
      <protection hidden="1"/>
    </xf>
    <xf numFmtId="0" fontId="0" fillId="3" borderId="0" xfId="0" applyFill="1" applyProtection="1">
      <protection hidden="1"/>
    </xf>
    <xf numFmtId="43" fontId="0" fillId="3" borderId="0" xfId="1" applyFont="1" applyFill="1" applyAlignment="1" applyProtection="1">
      <protection hidden="1"/>
    </xf>
    <xf numFmtId="43" fontId="3" fillId="3" borderId="0" xfId="0" applyNumberFormat="1" applyFont="1" applyFill="1" applyAlignment="1" applyProtection="1">
      <protection hidden="1"/>
    </xf>
    <xf numFmtId="43" fontId="0" fillId="3" borderId="0" xfId="0" applyNumberFormat="1" applyFill="1" applyAlignment="1" applyProtection="1">
      <protection hidden="1"/>
    </xf>
    <xf numFmtId="43" fontId="3" fillId="3" borderId="0" xfId="1" applyFont="1" applyFill="1" applyAlignment="1" applyProtection="1">
      <protection hidden="1"/>
    </xf>
    <xf numFmtId="0" fontId="0" fillId="0" borderId="0" xfId="0" applyProtection="1">
      <protection locked="0" hidden="1"/>
    </xf>
    <xf numFmtId="0" fontId="0" fillId="0" borderId="0" xfId="0" applyBorder="1" applyAlignment="1" applyProtection="1">
      <alignment vertical="center" wrapText="1"/>
      <protection locked="0" hidden="1"/>
    </xf>
    <xf numFmtId="0" fontId="6" fillId="0" borderId="0" xfId="0" applyFont="1" applyProtection="1">
      <protection locked="0" hidden="1"/>
    </xf>
    <xf numFmtId="0" fontId="2" fillId="2" borderId="0" xfId="0" applyFont="1" applyFill="1" applyAlignment="1" applyProtection="1">
      <alignment horizontal="center"/>
      <protection locked="0" hidden="1"/>
    </xf>
    <xf numFmtId="0" fontId="3" fillId="0" borderId="0" xfId="0" applyFont="1" applyAlignment="1" applyProtection="1">
      <alignment horizontal="center"/>
      <protection locked="0" hidden="1"/>
    </xf>
    <xf numFmtId="43" fontId="0" fillId="0" borderId="0" xfId="0" applyNumberFormat="1" applyProtection="1">
      <protection locked="0" hidden="1"/>
    </xf>
    <xf numFmtId="0" fontId="7" fillId="0" borderId="0" xfId="0" applyFont="1" applyProtection="1">
      <protection hidden="1"/>
    </xf>
    <xf numFmtId="0" fontId="0" fillId="0" borderId="0" xfId="0" applyProtection="1">
      <protection hidden="1"/>
    </xf>
    <xf numFmtId="0" fontId="10" fillId="0" borderId="0" xfId="0" applyFont="1" applyFill="1" applyAlignment="1" applyProtection="1">
      <protection hidden="1"/>
    </xf>
    <xf numFmtId="0" fontId="8" fillId="0" borderId="0" xfId="0" applyFont="1" applyProtection="1">
      <protection hidden="1"/>
    </xf>
    <xf numFmtId="0" fontId="0" fillId="4" borderId="0" xfId="0" applyFill="1" applyAlignment="1" applyProtection="1">
      <protection hidden="1"/>
    </xf>
    <xf numFmtId="43" fontId="3" fillId="4" borderId="0" xfId="0" applyNumberFormat="1" applyFont="1" applyFill="1" applyAlignment="1" applyProtection="1">
      <protection hidden="1"/>
    </xf>
    <xf numFmtId="0" fontId="0" fillId="2" borderId="0" xfId="0" applyFill="1"/>
    <xf numFmtId="0" fontId="12" fillId="2" borderId="0" xfId="3" applyFont="1" applyFill="1"/>
    <xf numFmtId="0" fontId="14" fillId="0" borderId="0" xfId="0" applyFont="1" applyProtection="1">
      <protection hidden="1"/>
    </xf>
    <xf numFmtId="0" fontId="15" fillId="0" borderId="0" xfId="0" applyFont="1" applyAlignment="1" applyProtection="1">
      <alignment vertical="center"/>
      <protection hidden="1"/>
    </xf>
    <xf numFmtId="0" fontId="15" fillId="0" borderId="0" xfId="0" applyFont="1" applyAlignment="1" applyProtection="1">
      <alignment vertical="center" wrapText="1"/>
      <protection hidden="1"/>
    </xf>
    <xf numFmtId="0" fontId="15" fillId="0" borderId="0" xfId="0" applyFont="1" applyAlignment="1" applyProtection="1">
      <alignment horizontal="left" vertical="center" wrapText="1"/>
      <protection hidden="1"/>
    </xf>
    <xf numFmtId="0" fontId="11" fillId="2" borderId="0" xfId="0" applyFont="1" applyFill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left" vertical="center" wrapText="1"/>
      <protection locked="0" hidden="1"/>
    </xf>
    <xf numFmtId="0" fontId="6" fillId="0" borderId="0" xfId="0" applyFont="1" applyAlignment="1" applyProtection="1">
      <alignment horizontal="left" vertical="center" wrapText="1"/>
      <protection locked="0" hidden="1"/>
    </xf>
    <xf numFmtId="0" fontId="0" fillId="0" borderId="1" xfId="0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/>
      <protection locked="0" hidden="1"/>
    </xf>
    <xf numFmtId="0" fontId="2" fillId="0" borderId="0" xfId="0" applyFont="1" applyFill="1" applyAlignment="1" applyProtection="1">
      <alignment horizontal="center"/>
      <protection hidden="1"/>
    </xf>
    <xf numFmtId="0" fontId="5" fillId="0" borderId="3" xfId="0" applyFont="1" applyBorder="1" applyAlignment="1" applyProtection="1">
      <alignment horizontal="center"/>
      <protection locked="0" hidden="1"/>
    </xf>
    <xf numFmtId="0" fontId="2" fillId="2" borderId="0" xfId="0" applyFont="1" applyFill="1" applyAlignment="1" applyProtection="1">
      <alignment horizontal="center"/>
      <protection locked="0" hidden="1"/>
    </xf>
    <xf numFmtId="10" fontId="5" fillId="0" borderId="3" xfId="2" applyNumberFormat="1" applyFont="1" applyBorder="1" applyAlignment="1" applyProtection="1">
      <alignment horizontal="center"/>
      <protection locked="0" hidden="1"/>
    </xf>
    <xf numFmtId="10" fontId="9" fillId="3" borderId="0" xfId="2" applyNumberFormat="1" applyFont="1" applyFill="1" applyAlignment="1" applyProtection="1">
      <alignment horizontal="center" vertical="center"/>
      <protection hidden="1"/>
    </xf>
    <xf numFmtId="43" fontId="5" fillId="3" borderId="0" xfId="1" applyFont="1" applyFill="1" applyAlignment="1" applyProtection="1">
      <alignment horizontal="left" vertical="center"/>
      <protection locked="0" hidden="1"/>
    </xf>
  </cellXfs>
  <cellStyles count="4">
    <cellStyle name="Hiperlink" xfId="3" builtinId="8"/>
    <cellStyle name="Normal" xfId="0" builtinId="0"/>
    <cellStyle name="Porcentagem" xfId="2" builtinId="5"/>
    <cellStyle name="Vírgula" xfId="1" builtinId="3"/>
  </cellStyles>
  <dxfs count="1">
    <dxf>
      <font>
        <color theme="0"/>
      </font>
      <fill>
        <patternFill>
          <bgColor rgb="FF00206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g"/><Relationship Id="rId1" Type="http://schemas.openxmlformats.org/officeDocument/2006/relationships/image" Target="../media/image1.jfif"/><Relationship Id="rId5" Type="http://schemas.openxmlformats.org/officeDocument/2006/relationships/hyperlink" Target="#'BASE - CALCULADORA'!A1"/><Relationship Id="rId4" Type="http://schemas.openxmlformats.org/officeDocument/2006/relationships/hyperlink" Target="#INFORMA&#199;&#213;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TRODU&#199;&#195;O!A1"/><Relationship Id="rId2" Type="http://schemas.openxmlformats.org/officeDocument/2006/relationships/image" Target="../media/image2.jp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TRODU&#199;&#195;O!A1"/><Relationship Id="rId2" Type="http://schemas.openxmlformats.org/officeDocument/2006/relationships/image" Target="../media/image2.jp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33618</xdr:colOff>
      <xdr:row>19</xdr:row>
      <xdr:rowOff>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85000"/>
          <a:duotone>
            <a:prstClr val="black"/>
            <a:schemeClr val="tx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30853" cy="3619500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20</xdr:row>
      <xdr:rowOff>54455</xdr:rowOff>
    </xdr:from>
    <xdr:to>
      <xdr:col>2</xdr:col>
      <xdr:colOff>600075</xdr:colOff>
      <xdr:row>23</xdr:row>
      <xdr:rowOff>51200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3864455"/>
          <a:ext cx="1467410" cy="568245"/>
        </a:xfrm>
        <a:prstGeom prst="rect">
          <a:avLst/>
        </a:prstGeom>
      </xdr:spPr>
    </xdr:pic>
    <xdr:clientData/>
  </xdr:twoCellAnchor>
  <xdr:twoCellAnchor editAs="oneCell">
    <xdr:from>
      <xdr:col>3</xdr:col>
      <xdr:colOff>342900</xdr:colOff>
      <xdr:row>20</xdr:row>
      <xdr:rowOff>76867</xdr:rowOff>
    </xdr:from>
    <xdr:to>
      <xdr:col>6</xdr:col>
      <xdr:colOff>152400</xdr:colOff>
      <xdr:row>23</xdr:row>
      <xdr:rowOff>86002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8253" y="3886867"/>
          <a:ext cx="1624853" cy="580635"/>
        </a:xfrm>
        <a:prstGeom prst="rect">
          <a:avLst/>
        </a:prstGeom>
      </xdr:spPr>
    </xdr:pic>
    <xdr:clientData/>
  </xdr:twoCellAnchor>
  <xdr:oneCellAnchor>
    <xdr:from>
      <xdr:col>3</xdr:col>
      <xdr:colOff>441512</xdr:colOff>
      <xdr:row>3</xdr:row>
      <xdr:rowOff>35858</xdr:rowOff>
    </xdr:from>
    <xdr:ext cx="6882333" cy="1031629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 txBox="1"/>
      </xdr:nvSpPr>
      <xdr:spPr>
        <a:xfrm>
          <a:off x="2256865" y="607358"/>
          <a:ext cx="6882333" cy="10316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6000">
              <a:solidFill>
                <a:schemeClr val="bg1"/>
              </a:solidFill>
            </a:rPr>
            <a:t>Cálculo MP 936/2020</a:t>
          </a:r>
        </a:p>
      </xdr:txBody>
    </xdr:sp>
    <xdr:clientData/>
  </xdr:oneCellAnchor>
  <xdr:twoCellAnchor>
    <xdr:from>
      <xdr:col>5</xdr:col>
      <xdr:colOff>0</xdr:colOff>
      <xdr:row>11</xdr:row>
      <xdr:rowOff>123263</xdr:rowOff>
    </xdr:from>
    <xdr:to>
      <xdr:col>8</xdr:col>
      <xdr:colOff>22412</xdr:colOff>
      <xdr:row>13</xdr:row>
      <xdr:rowOff>134469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/>
      </xdr:nvSpPr>
      <xdr:spPr>
        <a:xfrm>
          <a:off x="3025588" y="2218763"/>
          <a:ext cx="1837765" cy="392206"/>
        </a:xfrm>
        <a:prstGeom prst="roundRect">
          <a:avLst/>
        </a:prstGeom>
        <a:ln>
          <a:solidFill>
            <a:schemeClr val="bg2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1">
                  <a:lumMod val="50000"/>
                </a:schemeClr>
              </a:solidFill>
            </a:rPr>
            <a:t>INFORMAÇÕES</a:t>
          </a:r>
        </a:p>
      </xdr:txBody>
    </xdr:sp>
    <xdr:clientData/>
  </xdr:twoCellAnchor>
  <xdr:twoCellAnchor>
    <xdr:from>
      <xdr:col>9</xdr:col>
      <xdr:colOff>582705</xdr:colOff>
      <xdr:row>11</xdr:row>
      <xdr:rowOff>123264</xdr:rowOff>
    </xdr:from>
    <xdr:to>
      <xdr:col>13</xdr:col>
      <xdr:colOff>0</xdr:colOff>
      <xdr:row>13</xdr:row>
      <xdr:rowOff>134470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/>
      </xdr:nvSpPr>
      <xdr:spPr>
        <a:xfrm>
          <a:off x="6028764" y="2218764"/>
          <a:ext cx="1837765" cy="392206"/>
        </a:xfrm>
        <a:prstGeom prst="roundRect">
          <a:avLst/>
        </a:prstGeom>
        <a:ln>
          <a:solidFill>
            <a:schemeClr val="bg2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1">
                  <a:lumMod val="50000"/>
                </a:schemeClr>
              </a:solidFill>
            </a:rPr>
            <a:t>CALCULADORA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1238251</xdr:colOff>
      <xdr:row>0</xdr:row>
      <xdr:rowOff>95251</xdr:rowOff>
    </xdr:from>
    <xdr:to>
      <xdr:col>2</xdr:col>
      <xdr:colOff>66675</xdr:colOff>
      <xdr:row>1</xdr:row>
      <xdr:rowOff>148648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1" y="95251"/>
          <a:ext cx="876299" cy="310572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0</xdr:row>
      <xdr:rowOff>9525</xdr:rowOff>
    </xdr:from>
    <xdr:to>
      <xdr:col>1</xdr:col>
      <xdr:colOff>1152525</xdr:colOff>
      <xdr:row>2</xdr:row>
      <xdr:rowOff>16446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9525"/>
          <a:ext cx="1181100" cy="454596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</xdr:row>
      <xdr:rowOff>89477</xdr:rowOff>
    </xdr:from>
    <xdr:to>
      <xdr:col>10</xdr:col>
      <xdr:colOff>0</xdr:colOff>
      <xdr:row>2</xdr:row>
      <xdr:rowOff>178954</xdr:rowOff>
    </xdr:to>
    <xdr:sp macro="" textlink="">
      <xdr:nvSpPr>
        <xdr:cNvPr id="4" name="Seta: para a Esquerda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/>
      </xdr:nvSpPr>
      <xdr:spPr>
        <a:xfrm>
          <a:off x="9772650" y="346652"/>
          <a:ext cx="609600" cy="279977"/>
        </a:xfrm>
        <a:prstGeom prst="leftArrow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1238251</xdr:colOff>
      <xdr:row>0</xdr:row>
      <xdr:rowOff>95251</xdr:rowOff>
    </xdr:from>
    <xdr:to>
      <xdr:col>2</xdr:col>
      <xdr:colOff>66675</xdr:colOff>
      <xdr:row>1</xdr:row>
      <xdr:rowOff>148648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1" y="95251"/>
          <a:ext cx="876299" cy="310572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0</xdr:row>
      <xdr:rowOff>9525</xdr:rowOff>
    </xdr:from>
    <xdr:to>
      <xdr:col>1</xdr:col>
      <xdr:colOff>1152525</xdr:colOff>
      <xdr:row>2</xdr:row>
      <xdr:rowOff>16446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9525"/>
          <a:ext cx="1181100" cy="454596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</xdr:row>
      <xdr:rowOff>107944</xdr:rowOff>
    </xdr:from>
    <xdr:to>
      <xdr:col>10</xdr:col>
      <xdr:colOff>0</xdr:colOff>
      <xdr:row>2</xdr:row>
      <xdr:rowOff>197421</xdr:rowOff>
    </xdr:to>
    <xdr:sp macro="" textlink="">
      <xdr:nvSpPr>
        <xdr:cNvPr id="5" name="Seta: para a Esquerda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9772650" y="365119"/>
          <a:ext cx="609600" cy="279977"/>
        </a:xfrm>
        <a:prstGeom prst="leftArrow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e-inscricao.com/premier" TargetMode="External"/><Relationship Id="rId1" Type="http://schemas.openxmlformats.org/officeDocument/2006/relationships/hyperlink" Target="http://www.fcccursos.com.br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H22:S23"/>
  <sheetViews>
    <sheetView showGridLines="0" showRowColHeaders="0" zoomScale="85" zoomScaleNormal="85" workbookViewId="0"/>
  </sheetViews>
  <sheetFormatPr defaultRowHeight="15"/>
  <sheetData>
    <row r="22" spans="8:19">
      <c r="H22" s="20" t="s">
        <v>17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spans="8:19">
      <c r="H23" s="20" t="s">
        <v>16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</row>
  </sheetData>
  <sheetProtection algorithmName="SHA-512" hashValue="H77NgF3o9tF64rbi+XSQzQlIIBW3ReFIQHngHKJBycN0/CssoNKW9TtyKvU4gEfbBjHmVbwNojbgu1BglLboQA==" saltValue="VXab3cX+Y58ereCpN8jh3g==" spinCount="100000" sheet="1" objects="1" scenarios="1"/>
  <hyperlinks>
    <hyperlink ref="H23" r:id="rId1"/>
    <hyperlink ref="H22" r:id="rId2"/>
  </hyperlinks>
  <pageMargins left="0.511811024" right="0.511811024" top="0.78740157499999996" bottom="0.78740157499999996" header="0.31496062000000002" footer="0.3149606200000000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B1:N21"/>
  <sheetViews>
    <sheetView showGridLines="0" showRowColHeaders="0" workbookViewId="0">
      <pane ySplit="3" topLeftCell="A4" activePane="bottomLeft" state="frozen"/>
      <selection pane="bottomLeft"/>
    </sheetView>
  </sheetViews>
  <sheetFormatPr defaultRowHeight="15"/>
  <cols>
    <col min="1" max="1" width="2" style="14" customWidth="1"/>
    <col min="2" max="2" width="30.7109375" style="14" customWidth="1"/>
    <col min="3" max="3" width="5.42578125" style="14" customWidth="1"/>
    <col min="4" max="4" width="30.7109375" style="14" customWidth="1"/>
    <col min="5" max="5" width="5.42578125" style="14" customWidth="1"/>
    <col min="6" max="6" width="30.7109375" style="14" customWidth="1"/>
    <col min="7" max="7" width="5.42578125" style="14" customWidth="1"/>
    <col min="8" max="8" width="30.7109375" style="14" customWidth="1"/>
    <col min="9" max="9" width="5.42578125" style="14" customWidth="1"/>
    <col min="10" max="16384" width="9.140625" style="14"/>
  </cols>
  <sheetData>
    <row r="1" spans="2:14" ht="20.25">
      <c r="D1" s="25" t="s">
        <v>0</v>
      </c>
      <c r="E1" s="25"/>
      <c r="F1" s="25"/>
      <c r="G1" s="25"/>
      <c r="H1" s="25"/>
      <c r="I1" s="25"/>
      <c r="J1" s="25"/>
    </row>
    <row r="2" spans="2:14">
      <c r="D2" s="26" t="s">
        <v>1</v>
      </c>
      <c r="E2" s="26"/>
      <c r="F2" s="26"/>
      <c r="G2" s="26"/>
      <c r="H2" s="26"/>
      <c r="I2" s="26"/>
      <c r="J2" s="26"/>
    </row>
    <row r="3" spans="2:14" ht="18.75">
      <c r="B3" s="16" t="s">
        <v>14</v>
      </c>
      <c r="K3" s="15"/>
      <c r="L3" s="15"/>
      <c r="M3" s="15"/>
      <c r="N3" s="15"/>
    </row>
    <row r="4" spans="2:14" ht="8.25" customHeight="1"/>
    <row r="5" spans="2:14">
      <c r="B5" s="24" t="s">
        <v>18</v>
      </c>
      <c r="C5" s="24"/>
      <c r="D5" s="24"/>
      <c r="E5" s="24"/>
      <c r="F5" s="24"/>
      <c r="G5" s="24"/>
      <c r="H5" s="24"/>
      <c r="I5" s="24"/>
      <c r="J5" s="24"/>
    </row>
    <row r="6" spans="2:14">
      <c r="B6" s="24"/>
      <c r="C6" s="24"/>
      <c r="D6" s="24"/>
      <c r="E6" s="24"/>
      <c r="F6" s="24"/>
      <c r="G6" s="24"/>
      <c r="H6" s="24"/>
      <c r="I6" s="24"/>
      <c r="J6" s="24"/>
    </row>
    <row r="7" spans="2:14">
      <c r="B7" s="24"/>
      <c r="C7" s="24"/>
      <c r="D7" s="24"/>
      <c r="E7" s="24"/>
      <c r="F7" s="24"/>
      <c r="G7" s="24"/>
      <c r="H7" s="24"/>
      <c r="I7" s="24"/>
      <c r="J7" s="24"/>
    </row>
    <row r="8" spans="2:14">
      <c r="B8" s="24"/>
      <c r="C8" s="24"/>
      <c r="D8" s="24"/>
      <c r="E8" s="24"/>
      <c r="F8" s="24"/>
      <c r="G8" s="24"/>
      <c r="H8" s="24"/>
      <c r="I8" s="24"/>
      <c r="J8" s="24"/>
    </row>
    <row r="9" spans="2:14">
      <c r="B9" s="24"/>
      <c r="C9" s="24"/>
      <c r="D9" s="24"/>
      <c r="E9" s="24"/>
      <c r="F9" s="24"/>
      <c r="G9" s="24"/>
      <c r="H9" s="24"/>
      <c r="I9" s="24"/>
      <c r="J9" s="24"/>
    </row>
    <row r="11" spans="2:14" ht="18">
      <c r="B11" s="21" t="s">
        <v>19</v>
      </c>
    </row>
    <row r="12" spans="2:14" ht="11.25" customHeight="1">
      <c r="B12" s="21"/>
    </row>
    <row r="13" spans="2:14" ht="15" customHeight="1">
      <c r="B13" s="22" t="s">
        <v>20</v>
      </c>
      <c r="C13" s="23"/>
      <c r="D13" s="23"/>
      <c r="E13" s="23"/>
      <c r="F13" s="23"/>
      <c r="G13" s="23"/>
      <c r="H13" s="23"/>
      <c r="I13" s="23"/>
      <c r="J13" s="23"/>
    </row>
    <row r="14" spans="2:14">
      <c r="B14" s="22" t="s">
        <v>21</v>
      </c>
      <c r="C14" s="23"/>
      <c r="D14" s="23"/>
      <c r="E14" s="23"/>
      <c r="F14" s="23"/>
      <c r="G14" s="23"/>
      <c r="H14" s="23"/>
      <c r="I14" s="23"/>
      <c r="J14" s="23"/>
    </row>
    <row r="15" spans="2:14" ht="15" customHeight="1">
      <c r="B15" s="24" t="s">
        <v>22</v>
      </c>
      <c r="C15" s="24"/>
      <c r="D15" s="24"/>
      <c r="E15" s="24"/>
      <c r="F15" s="24"/>
      <c r="G15" s="24"/>
      <c r="H15" s="24"/>
      <c r="I15" s="24"/>
      <c r="J15" s="23"/>
    </row>
    <row r="16" spans="2:14">
      <c r="B16" s="24"/>
      <c r="C16" s="24"/>
      <c r="D16" s="24"/>
      <c r="E16" s="24"/>
      <c r="F16" s="24"/>
      <c r="G16" s="24"/>
      <c r="H16" s="24"/>
      <c r="I16" s="24"/>
      <c r="J16" s="23"/>
    </row>
    <row r="17" spans="2:10">
      <c r="B17" s="24" t="s">
        <v>23</v>
      </c>
      <c r="C17" s="24"/>
      <c r="D17" s="24"/>
      <c r="E17" s="24"/>
      <c r="F17" s="24"/>
      <c r="G17" s="24"/>
      <c r="H17" s="24"/>
      <c r="I17" s="24"/>
      <c r="J17" s="23"/>
    </row>
    <row r="18" spans="2:10">
      <c r="B18" s="24"/>
      <c r="C18" s="24"/>
      <c r="D18" s="24"/>
      <c r="E18" s="24"/>
      <c r="F18" s="24"/>
      <c r="G18" s="24"/>
      <c r="H18" s="24"/>
      <c r="I18" s="24"/>
    </row>
    <row r="19" spans="2:10">
      <c r="B19" s="24" t="s">
        <v>24</v>
      </c>
      <c r="C19" s="24"/>
      <c r="D19" s="24"/>
      <c r="E19" s="24"/>
      <c r="F19" s="24"/>
      <c r="G19" s="24"/>
      <c r="H19" s="24"/>
      <c r="I19" s="24"/>
    </row>
    <row r="20" spans="2:10">
      <c r="B20" s="24"/>
      <c r="C20" s="24"/>
      <c r="D20" s="24"/>
      <c r="E20" s="24"/>
      <c r="F20" s="24"/>
      <c r="G20" s="24"/>
      <c r="H20" s="24"/>
      <c r="I20" s="24"/>
    </row>
    <row r="21" spans="2:10">
      <c r="B21" s="14" t="s">
        <v>25</v>
      </c>
    </row>
  </sheetData>
  <sheetProtection algorithmName="SHA-512" hashValue="D8457y4AH9yj4cz618P5LCfsAz+GXdh0lGB1wG/C7fi9pjQm/aFaAosSM0inFZvk1mXi+15Xyl8bq3Cx1ecW8Q==" saltValue="VH1ETMK9QUOR4iSVJnBs1Q==" spinCount="100000" sheet="1" objects="1" scenarios="1"/>
  <mergeCells count="6">
    <mergeCell ref="B5:J9"/>
    <mergeCell ref="B15:I16"/>
    <mergeCell ref="B17:I18"/>
    <mergeCell ref="B19:I20"/>
    <mergeCell ref="D1:J1"/>
    <mergeCell ref="D2:J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B1:N29"/>
  <sheetViews>
    <sheetView showGridLines="0" showRowColHeaders="0" tabSelected="1" topLeftCell="B1" workbookViewId="0">
      <pane ySplit="3" topLeftCell="A4" activePane="bottomLeft" state="frozen"/>
      <selection pane="bottomLeft" activeCell="F27" sqref="F27"/>
    </sheetView>
  </sheetViews>
  <sheetFormatPr defaultRowHeight="15"/>
  <cols>
    <col min="1" max="1" width="2" style="7" customWidth="1"/>
    <col min="2" max="2" width="30.7109375" style="7" customWidth="1"/>
    <col min="3" max="3" width="5.42578125" style="7" customWidth="1"/>
    <col min="4" max="4" width="30.7109375" style="7" customWidth="1"/>
    <col min="5" max="5" width="5.42578125" style="7" customWidth="1"/>
    <col min="6" max="6" width="30.7109375" style="7" customWidth="1"/>
    <col min="7" max="7" width="5.42578125" style="7" customWidth="1"/>
    <col min="8" max="8" width="30.7109375" style="7" customWidth="1"/>
    <col min="9" max="9" width="5.42578125" style="7" customWidth="1"/>
    <col min="10" max="16384" width="9.140625" style="7"/>
  </cols>
  <sheetData>
    <row r="1" spans="2:14" s="14" customFormat="1" ht="20.25">
      <c r="D1" s="25" t="s">
        <v>0</v>
      </c>
      <c r="E1" s="25"/>
      <c r="F1" s="25"/>
      <c r="G1" s="25"/>
      <c r="H1" s="25"/>
      <c r="I1" s="25"/>
      <c r="J1" s="25"/>
    </row>
    <row r="2" spans="2:14" s="14" customFormat="1">
      <c r="D2" s="26" t="s">
        <v>1</v>
      </c>
      <c r="E2" s="26"/>
      <c r="F2" s="26"/>
      <c r="G2" s="26"/>
      <c r="H2" s="26"/>
      <c r="I2" s="26"/>
      <c r="J2" s="26"/>
    </row>
    <row r="3" spans="2:14" s="14" customFormat="1" ht="18.75">
      <c r="B3" s="16" t="s">
        <v>14</v>
      </c>
      <c r="K3" s="15"/>
      <c r="L3" s="15"/>
      <c r="M3" s="15"/>
      <c r="N3" s="15"/>
    </row>
    <row r="4" spans="2:14" ht="8.25" customHeight="1"/>
    <row r="5" spans="2:14">
      <c r="B5" s="33" t="s">
        <v>2</v>
      </c>
      <c r="C5" s="33"/>
      <c r="D5" s="33"/>
      <c r="F5" s="30" t="s">
        <v>5</v>
      </c>
      <c r="G5" s="30"/>
      <c r="H5" s="30"/>
      <c r="I5" s="30"/>
      <c r="J5" s="30"/>
    </row>
    <row r="6" spans="2:14" ht="18.75" customHeight="1">
      <c r="B6" s="32" t="s">
        <v>27</v>
      </c>
      <c r="C6" s="32"/>
      <c r="D6" s="32"/>
      <c r="F6" s="29" t="str">
        <f>IF(B9="Suspensão do Contrato de Salário",CONCATENATE(IF(B6="até 4,8 milhões","A empresa suspende 100 % e o governo paga 100% do valor do benefício. A empresa pode, opcionalmente, pagar ajuda compensatória ao empregado, no valor que as partes acordarem."," O Governo paga 70% do benefício e a empresa OBRIGATORIAMENTE paga 30% do valor do salário como Ajuda Compensatória durante o período da suspensão.")),IF(B9="Redução de Salário","Caso a empresa opte por reduzir o salário em percentuais diferentes do estabelecido pelo Governo, o valor do benefício será por faixas."))</f>
        <v>Caso a empresa opte por reduzir o salário em percentuais diferentes do estabelecido pelo Governo, o valor do benefício será por faixas.</v>
      </c>
      <c r="G6" s="29"/>
      <c r="H6" s="29"/>
      <c r="I6" s="29"/>
      <c r="J6" s="29"/>
      <c r="K6" s="8"/>
      <c r="L6" s="8"/>
      <c r="M6" s="8"/>
    </row>
    <row r="7" spans="2:14">
      <c r="F7" s="29"/>
      <c r="G7" s="29"/>
      <c r="H7" s="29"/>
      <c r="I7" s="29"/>
      <c r="J7" s="29"/>
      <c r="K7" s="8"/>
      <c r="L7" s="8"/>
      <c r="M7" s="8"/>
    </row>
    <row r="8" spans="2:14">
      <c r="B8" s="33" t="s">
        <v>4</v>
      </c>
      <c r="C8" s="33"/>
      <c r="D8" s="33"/>
      <c r="F8" s="29"/>
      <c r="G8" s="29"/>
      <c r="H8" s="29"/>
      <c r="I8" s="29"/>
      <c r="J8" s="29"/>
      <c r="K8" s="8"/>
      <c r="L8" s="8"/>
      <c r="M8" s="8"/>
    </row>
    <row r="9" spans="2:14" ht="18.75">
      <c r="B9" s="32" t="s">
        <v>28</v>
      </c>
      <c r="C9" s="32"/>
      <c r="D9" s="32"/>
      <c r="F9" s="29"/>
      <c r="G9" s="29"/>
      <c r="H9" s="29"/>
      <c r="I9" s="29"/>
      <c r="J9" s="29"/>
    </row>
    <row r="10" spans="2:14">
      <c r="F10" s="27" t="s">
        <v>3</v>
      </c>
      <c r="G10" s="27"/>
      <c r="H10" s="27"/>
      <c r="I10" s="27"/>
      <c r="J10" s="27"/>
    </row>
    <row r="11" spans="2:14">
      <c r="B11" s="31" t="str">
        <f>IF(B9="Redução de Salário","Em caso de REDUÇÃO DE SALÁRIO","")</f>
        <v>Em caso de REDUÇÃO DE SALÁRIO</v>
      </c>
      <c r="C11" s="31"/>
      <c r="D11" s="31"/>
      <c r="F11" s="28"/>
      <c r="G11" s="28"/>
      <c r="H11" s="28"/>
      <c r="I11" s="28"/>
      <c r="J11" s="28"/>
    </row>
    <row r="12" spans="2:14" ht="18.75">
      <c r="B12" s="34">
        <v>0.7</v>
      </c>
      <c r="C12" s="34"/>
      <c r="D12" s="34"/>
      <c r="F12" s="9"/>
    </row>
    <row r="13" spans="2:14" ht="8.25" customHeight="1"/>
    <row r="14" spans="2:14">
      <c r="B14" s="33" t="s">
        <v>26</v>
      </c>
      <c r="C14" s="33"/>
      <c r="D14" s="33"/>
      <c r="E14" s="33"/>
      <c r="F14" s="33"/>
      <c r="G14" s="33"/>
      <c r="H14" s="33"/>
    </row>
    <row r="15" spans="2:14">
      <c r="B15" s="10" t="s">
        <v>6</v>
      </c>
      <c r="C15" s="11"/>
      <c r="D15" s="10" t="s">
        <v>7</v>
      </c>
      <c r="E15" s="11"/>
      <c r="F15" s="10" t="s">
        <v>8</v>
      </c>
      <c r="G15" s="11"/>
      <c r="H15" s="10" t="s">
        <v>9</v>
      </c>
    </row>
    <row r="16" spans="2:14" ht="15" customHeight="1">
      <c r="B16" s="36">
        <v>1045</v>
      </c>
      <c r="D16" s="36">
        <v>1045</v>
      </c>
      <c r="F16" s="36">
        <v>1045</v>
      </c>
      <c r="H16" s="36">
        <v>1045</v>
      </c>
    </row>
    <row r="17" spans="2:8" ht="15" customHeight="1">
      <c r="B17" s="36"/>
      <c r="D17" s="36"/>
      <c r="F17" s="36"/>
      <c r="H17" s="36"/>
    </row>
    <row r="19" spans="2:8" ht="18.75">
      <c r="B19" s="13" t="str">
        <f>B9</f>
        <v>Redução de Salário</v>
      </c>
    </row>
    <row r="20" spans="2:8">
      <c r="B20" s="1" t="s">
        <v>13</v>
      </c>
      <c r="C20" s="1"/>
      <c r="D20" s="2"/>
      <c r="E20" s="1"/>
      <c r="F20" s="3">
        <f>B16</f>
        <v>1045</v>
      </c>
      <c r="H20" s="10" t="s">
        <v>15</v>
      </c>
    </row>
    <row r="21" spans="2:8">
      <c r="B21" s="1" t="str">
        <f>IF(B9="Redução de Salário","O Empregador deverá pagar",IF(B9="Suspensão do Contrato de Salário",IF(B6="até 4,8 milhões","A empresa não irá efetuar o pagamento do salário","A empresa deverá efetuar a ajuda compensatória de 30% salário")))</f>
        <v>O Empregador deverá pagar</v>
      </c>
      <c r="C21" s="1"/>
      <c r="D21" s="1"/>
      <c r="E21" s="1"/>
      <c r="F21" s="4">
        <f>IF(B9="Redução de Salário",IF(B12=25%,F20*75%,IF(B12=50%,F20*50%,IF(B12=70%,F20*30%,IF(B6="até 4,8 milhões",0,F20*30%)))),0)</f>
        <v>313.5</v>
      </c>
      <c r="H21" s="35">
        <f>IF(B16="","",IF(B9&lt;&gt;"Redução de Salário",100%,1-IF(B9="Redução de Salário",F21+F24)/B16))</f>
        <v>0</v>
      </c>
    </row>
    <row r="22" spans="2:8">
      <c r="B22" s="1" t="s">
        <v>10</v>
      </c>
      <c r="C22" s="1"/>
      <c r="D22" s="1"/>
      <c r="E22" s="1"/>
      <c r="F22" s="5">
        <f>IF(D16="","",AVERAGE(D16,F16,H16))</f>
        <v>1045</v>
      </c>
      <c r="H22" s="35"/>
    </row>
    <row r="23" spans="2:8">
      <c r="B23" s="1" t="s">
        <v>11</v>
      </c>
      <c r="C23" s="1"/>
      <c r="D23" s="1"/>
      <c r="E23" s="1"/>
      <c r="F23" s="6">
        <f>IF(F22="","",IF(F22*80%&lt;1045,1045,IF(F22&gt;2666.29,1813.03,IF(F22&lt;=1599.61,F22*0.8,IF(F22&gt;1599.61,(F22-1599.61)*50%+1279.69)))))</f>
        <v>1045</v>
      </c>
      <c r="H23" s="35"/>
    </row>
    <row r="24" spans="2:8">
      <c r="B24" s="1" t="str">
        <f>IF(B9="Redução de Salário","Governo irá pagar","")</f>
        <v>Governo irá pagar</v>
      </c>
      <c r="C24" s="1"/>
      <c r="D24" s="1"/>
      <c r="E24" s="1"/>
      <c r="F24" s="6">
        <f>IF(F23="","",IF(B9="Redução de Salário",IF(B12=25%,F23*25%,IF(B12=50%,F23*50%,IF(B12=70%,F23*70%,""))),0))</f>
        <v>731.5</v>
      </c>
      <c r="H24" s="35"/>
    </row>
    <row r="25" spans="2:8">
      <c r="B25" s="1" t="str">
        <f>IF(B9="Redução de Salário","INSS","")</f>
        <v>INSS</v>
      </c>
      <c r="C25" s="1"/>
      <c r="D25" s="1"/>
      <c r="E25" s="1"/>
      <c r="F25" s="6">
        <f>IF(F21&lt;=1045,F21*7.5%,IF(F21&lt;2089.61,F21*9%-15.68,IF(F21&lt;3134.41,F21*12%-78.37,IF(F21&lt;6101.07,F21*14%-141.06,IF(F21&gt;6101.06,713.09)))))</f>
        <v>23.512499999999999</v>
      </c>
      <c r="H25" s="35"/>
    </row>
    <row r="26" spans="2:8">
      <c r="B26" s="1" t="str">
        <f>IF(B9="Redução de Salário","FGTS","")</f>
        <v>FGTS</v>
      </c>
      <c r="C26" s="1"/>
      <c r="D26" s="1"/>
      <c r="E26" s="1"/>
      <c r="F26" s="6">
        <f>F21*0.08</f>
        <v>25.080000000000002</v>
      </c>
      <c r="H26" s="12"/>
    </row>
    <row r="27" spans="2:8">
      <c r="B27" s="17" t="s">
        <v>12</v>
      </c>
      <c r="C27" s="17"/>
      <c r="D27" s="17"/>
      <c r="E27" s="17"/>
      <c r="F27" s="18">
        <f>IF(F23="","",IF(B9="Redução de Salário",F21+F24,F23+F21))</f>
        <v>1045</v>
      </c>
      <c r="H27" s="12"/>
    </row>
    <row r="29" spans="2:8">
      <c r="H29" s="12"/>
    </row>
  </sheetData>
  <sheetProtection algorithmName="SHA-512" hashValue="zBnLZWV3O9AsDam0uOPXykNDEDNJ7zIUFoFg6cnH8SfF5+yOSwjtjlltqRyRTNbeJloeXH58drDkvaIDXe7r2Q==" saltValue="4QdSGGlvT138phG2PE7MvA==" spinCount="100000" sheet="1" objects="1" scenarios="1"/>
  <mergeCells count="17">
    <mergeCell ref="B12:D12"/>
    <mergeCell ref="H21:H25"/>
    <mergeCell ref="B16:B17"/>
    <mergeCell ref="D16:D17"/>
    <mergeCell ref="F16:F17"/>
    <mergeCell ref="H16:H17"/>
    <mergeCell ref="B14:H14"/>
    <mergeCell ref="D1:J1"/>
    <mergeCell ref="D2:J2"/>
    <mergeCell ref="F10:J11"/>
    <mergeCell ref="F6:J9"/>
    <mergeCell ref="F5:J5"/>
    <mergeCell ref="B11:D11"/>
    <mergeCell ref="B9:D9"/>
    <mergeCell ref="B8:D8"/>
    <mergeCell ref="B5:D5"/>
    <mergeCell ref="B6:D6"/>
  </mergeCells>
  <conditionalFormatting sqref="B11:D11">
    <cfRule type="notContainsBlanks" dxfId="0" priority="1">
      <formula>LEN(TRIM(B11))&gt;0</formula>
    </cfRule>
  </conditionalFormatting>
  <dataValidations count="3">
    <dataValidation type="list" allowBlank="1" showInputMessage="1" showErrorMessage="1" sqref="B9 D9">
      <formula1>"Redução de Salário, Suspensão do Contrato de Salário"</formula1>
    </dataValidation>
    <dataValidation type="list" allowBlank="1" showInputMessage="1" showErrorMessage="1" sqref="B6 D6">
      <mc:AlternateContent xmlns:x12ac="http://schemas.microsoft.com/office/spreadsheetml/2011/1/ac" xmlns:mc="http://schemas.openxmlformats.org/markup-compatibility/2006">
        <mc:Choice Requires="x12ac">
          <x12ac:list>"até 4,8 milhões","acima de 4,8 milhões"</x12ac:list>
        </mc:Choice>
        <mc:Fallback>
          <formula1>"até 4,8 milhões,acima de 4,8 milhões"</formula1>
        </mc:Fallback>
      </mc:AlternateContent>
    </dataValidation>
    <dataValidation type="list" allowBlank="1" showInputMessage="1" showErrorMessage="1" sqref="B12:D12">
      <formula1>"0%,25%,50%,70%"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INTRODUÇÃO</vt:lpstr>
      <vt:lpstr>INFORMAÇÕES</vt:lpstr>
      <vt:lpstr>BASE - CALCULADORA</vt:lpstr>
    </vt:vector>
  </TitlesOfParts>
  <Company>FCC Cursos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Cálculo MP 936 2020 Pandemia</dc:title>
  <dc:subject>DP FCC Cursos</dc:subject>
  <dc:creator>FCC Cursos</dc:creator>
  <cp:keywords>FCC Cursos e Premier</cp:keywords>
  <cp:lastModifiedBy>Operador</cp:lastModifiedBy>
  <dcterms:created xsi:type="dcterms:W3CDTF">2020-04-04T22:39:54Z</dcterms:created>
  <dcterms:modified xsi:type="dcterms:W3CDTF">2020-04-14T18:06:30Z</dcterms:modified>
</cp:coreProperties>
</file>