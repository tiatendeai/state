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ITAUTEC\OneDrive\Contabilidade\03 - Pessoal\TABELAS\"/>
    </mc:Choice>
  </mc:AlternateContent>
  <xr:revisionPtr revIDLastSave="0" documentId="8_{1BA08E13-E48F-9C4F-96F4-6A0A69E8F239}" xr6:coauthVersionLast="45" xr6:coauthVersionMax="45" xr10:uidLastSave="{00000000-0000-0000-0000-000000000000}"/>
  <bookViews>
    <workbookView xWindow="0" yWindow="0" windowWidth="20490" windowHeight="7755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2" i="1" l="1"/>
  <c r="B14" i="1"/>
  <c r="B15" i="1"/>
  <c r="B16" i="1"/>
  <c r="B17" i="1"/>
</calcChain>
</file>

<file path=xl/sharedStrings.xml><?xml version="1.0" encoding="utf-8"?>
<sst xmlns="http://schemas.openxmlformats.org/spreadsheetml/2006/main" count="21" uniqueCount="19">
  <si>
    <t>Faixas de</t>
  </si>
  <si>
    <t>Salário Médio</t>
  </si>
  <si>
    <t>Média Salarial</t>
  </si>
  <si>
    <t>Forma de Cálculo</t>
  </si>
  <si>
    <t>Até</t>
  </si>
  <si>
    <t>R$   1.599,61</t>
  </si>
  <si>
    <t>Multiplica-se salário médio por 0.8 = (80%).</t>
  </si>
  <si>
    <t>De</t>
  </si>
  <si>
    <t>R$  1.599,62</t>
  </si>
  <si>
    <t>A média salarial que exceder a R$ 1.599,61 multiplica-se por 0,5 (50%) e soma-se a R$ 1.279,69.</t>
  </si>
  <si>
    <t>Acima de</t>
  </si>
  <si>
    <t>O valor da parcela será de R$ 1.813,03, invariavelmente.</t>
  </si>
  <si>
    <t>Percentual de redução</t>
  </si>
  <si>
    <t>Salário Integral</t>
  </si>
  <si>
    <t>Valor Seguro desemprego</t>
  </si>
  <si>
    <t>Valor do Benefício</t>
  </si>
  <si>
    <t>Valor pago pela empresa</t>
  </si>
  <si>
    <t>Valor total Recebido</t>
  </si>
  <si>
    <t>Valor de perda salarial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</si>
</sst>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43" fontId="3" fillId="2" borderId="2" xfId="1" applyFont="1" applyFill="1" applyBorder="1" applyAlignment="1">
      <alignment vertical="center"/>
    </xf>
    <xf numFmtId="43" fontId="3" fillId="2" borderId="3" xfId="1" applyFont="1" applyFill="1" applyBorder="1" applyAlignment="1">
      <alignment vertical="center"/>
    </xf>
    <xf numFmtId="43" fontId="2" fillId="2" borderId="1" xfId="1" applyFont="1" applyFill="1" applyBorder="1" applyAlignment="1">
      <alignment horizontal="center" vertical="center"/>
    </xf>
    <xf numFmtId="43" fontId="2" fillId="2" borderId="2" xfId="1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horizontal="center" vertical="center"/>
    </xf>
    <xf numFmtId="43" fontId="0" fillId="0" borderId="0" xfId="1" applyFont="1"/>
    <xf numFmtId="43" fontId="4" fillId="3" borderId="0" xfId="1" applyFont="1" applyFill="1"/>
    <xf numFmtId="43" fontId="4" fillId="0" borderId="0" xfId="1" applyFont="1"/>
    <xf numFmtId="9" fontId="4" fillId="0" borderId="0" xfId="2" applyFon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C15" sqref="C15"/>
    </sheetView>
  </sheetViews>
  <sheetFormatPr defaultRowHeight="15" x14ac:dyDescent="0.2"/>
  <cols>
    <col min="1" max="1" width="24.34765625" bestFit="1" customWidth="1"/>
    <col min="2" max="2" width="16.94921875" style="16" customWidth="1"/>
    <col min="3" max="3" width="89.58984375" bestFit="1" customWidth="1"/>
  </cols>
  <sheetData>
    <row r="1" spans="1:3" ht="31.5" customHeight="1" x14ac:dyDescent="0.2">
      <c r="A1" s="1" t="s">
        <v>0</v>
      </c>
      <c r="B1" s="11" t="s">
        <v>2</v>
      </c>
      <c r="C1" s="2" t="s">
        <v>3</v>
      </c>
    </row>
    <row r="2" spans="1:3" x14ac:dyDescent="0.2">
      <c r="A2" s="3" t="s">
        <v>1</v>
      </c>
      <c r="B2" s="12"/>
      <c r="C2" s="4"/>
    </row>
    <row r="3" spans="1:3" x14ac:dyDescent="0.2">
      <c r="A3" s="5" t="s">
        <v>4</v>
      </c>
      <c r="B3" s="13" t="s">
        <v>5</v>
      </c>
      <c r="C3" s="6" t="s">
        <v>6</v>
      </c>
    </row>
    <row r="4" spans="1:3" x14ac:dyDescent="0.2">
      <c r="A4" s="7" t="s">
        <v>7</v>
      </c>
      <c r="B4" s="14" t="s">
        <v>8</v>
      </c>
      <c r="C4" s="8" t="s">
        <v>9</v>
      </c>
    </row>
    <row r="5" spans="1:3" x14ac:dyDescent="0.2">
      <c r="A5" s="9" t="s">
        <v>4</v>
      </c>
      <c r="B5" s="15">
        <v>2666.29</v>
      </c>
      <c r="C5" s="10"/>
    </row>
    <row r="6" spans="1:3" x14ac:dyDescent="0.2">
      <c r="A6" s="5" t="s">
        <v>10</v>
      </c>
      <c r="B6" s="13">
        <v>2666.29</v>
      </c>
      <c r="C6" s="6" t="s">
        <v>11</v>
      </c>
    </row>
    <row r="9" spans="1:3" x14ac:dyDescent="0.2">
      <c r="A9" t="s">
        <v>13</v>
      </c>
    </row>
    <row r="11" spans="1:3" x14ac:dyDescent="0.2">
      <c r="A11" t="s">
        <v>13</v>
      </c>
      <c r="B11" s="18">
        <v>2700</v>
      </c>
    </row>
    <row r="12" spans="1:3" x14ac:dyDescent="0.2">
      <c r="A12" t="s">
        <v>14</v>
      </c>
      <c r="B12" s="18">
        <f>IF(B11="","",IF(B11&lt;=1306.25,1045,IF(B11&lt;=1599.61,B11*0.8,IF(B11&lt;2666.29,PRODUCT(((B11-1599.61)*0.5)+1279.69),IF(B11&gt;2666.29,1813.03,1813.03)))))</f>
        <v>1813.03</v>
      </c>
    </row>
    <row r="13" spans="1:3" x14ac:dyDescent="0.2">
      <c r="A13" t="s">
        <v>12</v>
      </c>
      <c r="B13" s="19">
        <v>0.5</v>
      </c>
    </row>
    <row r="14" spans="1:3" x14ac:dyDescent="0.2">
      <c r="A14" t="s">
        <v>15</v>
      </c>
      <c r="B14" s="18">
        <f>B13*B12</f>
        <v>906.51499999999999</v>
      </c>
    </row>
    <row r="15" spans="1:3" x14ac:dyDescent="0.2">
      <c r="A15" t="s">
        <v>16</v>
      </c>
      <c r="B15" s="18">
        <f>(1-B13)*B11</f>
        <v>1350</v>
      </c>
    </row>
    <row r="16" spans="1:3" x14ac:dyDescent="0.2">
      <c r="A16" t="s">
        <v>17</v>
      </c>
      <c r="B16" s="18">
        <f>B14+B15</f>
        <v>2256.5149999999999</v>
      </c>
    </row>
    <row r="17" spans="1:2" x14ac:dyDescent="0.2">
      <c r="A17" t="s">
        <v>18</v>
      </c>
      <c r="B17" s="17">
        <f>B11-B16</f>
        <v>443.48500000000013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ITAUTEC</dc:creator>
  <cp:lastModifiedBy>ITAUTEC</cp:lastModifiedBy>
  <dcterms:created xsi:type="dcterms:W3CDTF">2020-04-02T13:37:50Z</dcterms:created>
  <dcterms:modified xsi:type="dcterms:W3CDTF">2020-04-02T14:24:58Z</dcterms:modified>
</cp:coreProperties>
</file>