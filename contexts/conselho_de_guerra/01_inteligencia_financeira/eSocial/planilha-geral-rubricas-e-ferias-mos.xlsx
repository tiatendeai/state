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ANE DOS ANJOS\Documents\DIVERSOS\"/>
    </mc:Choice>
  </mc:AlternateContent>
  <xr:revisionPtr revIDLastSave="0" documentId="12_ncr:500000_{D8AC6095-81FD-4B23-BC71-85496FE908E6}" xr6:coauthVersionLast="31" xr6:coauthVersionMax="31" xr10:uidLastSave="{00000000-0000-0000-0000-000000000000}"/>
  <bookViews>
    <workbookView xWindow="0" yWindow="0" windowWidth="15360" windowHeight="7545" tabRatio="582" xr2:uid="{47A940F5-758A-44C6-B8AA-6C4F129D23ED}"/>
  </bookViews>
  <sheets>
    <sheet name="Verbas Cadastradas" sheetId="8" r:id="rId1"/>
    <sheet name="Tab_Org Verbas" sheetId="10" r:id="rId2"/>
    <sheet name="Tabela 03_ Anexo I" sheetId="11" r:id="rId3"/>
    <sheet name="INSS_Incid" sheetId="12" r:id="rId4"/>
    <sheet name="IRRF_Incid" sheetId="13" r:id="rId5"/>
    <sheet name="FGTS_Incid" sheetId="14" r:id="rId6"/>
    <sheet name="Cont. Sindical" sheetId="15" r:id="rId7"/>
    <sheet name="Tab 54_SPED" sheetId="3" r:id="rId8"/>
    <sheet name="Evento de Féris cfe MOS" sheetId="21" r:id="rId9"/>
    <sheet name="Tabelas Contribuições" sheetId="22" r:id="rId10"/>
  </sheets>
  <definedNames>
    <definedName name="_xlnm._FilterDatabase" localSheetId="7" hidden="1">'Tab 54_SPED'!$A$2:$H$173</definedName>
    <definedName name="_xlnm._FilterDatabase" localSheetId="0" hidden="1">'Verbas Cadastradas'!$A$4:$O$256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" i="21" l="1"/>
  <c r="J40" i="21"/>
  <c r="J31" i="21"/>
  <c r="J29" i="21"/>
  <c r="J38" i="21" s="1"/>
  <c r="J41" i="21"/>
  <c r="J18" i="21"/>
  <c r="J17" i="21"/>
  <c r="J14" i="21"/>
  <c r="J6" i="21"/>
  <c r="J16" i="21" s="1"/>
  <c r="J19" i="21" s="1"/>
  <c r="J5" i="21"/>
  <c r="J9" i="21" s="1"/>
  <c r="L9" i="21" s="1"/>
  <c r="J20" i="21" l="1"/>
  <c r="J8" i="21"/>
  <c r="J28" i="21"/>
  <c r="J32" i="21" s="1"/>
  <c r="J37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ELANE</author>
    <author>ELANE DOS ANJOS</author>
  </authors>
  <commentList>
    <comment ref="E5" authorId="0" shapeId="0" xr:uid="{27171745-80A3-4E54-85FC-D67C690F8DB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5" authorId="0" shapeId="0" xr:uid="{2DD7EC19-8369-447E-99AE-DE65169ED67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5" authorId="0" shapeId="0" xr:uid="{83E1F66A-F2AB-47ED-8030-A50BBAABA1A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6" authorId="0" shapeId="0" xr:uid="{34825E0C-05D1-4DA2-8F90-46B1724D040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6" authorId="0" shapeId="0" xr:uid="{7A880884-E5E3-492B-BF28-192870B56F1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6" authorId="0" shapeId="0" xr:uid="{217C040A-0FD2-4682-A228-B61D905C848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7" authorId="0" shapeId="0" xr:uid="{1E99874E-6685-4206-9ADD-C4476A5904E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7" authorId="0" shapeId="0" xr:uid="{6DCFE888-8806-4713-8CC7-37CE4763371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7" authorId="0" shapeId="0" xr:uid="{669429EC-1B16-40BB-8EBB-A7C7C4FA039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8" authorId="0" shapeId="0" xr:uid="{DD04EDF5-2DE5-4FBF-A7FF-D7D72CF2F39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8" authorId="0" shapeId="0" xr:uid="{ADF1BD06-5CBF-47A7-9803-C14E7290D18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8" authorId="0" shapeId="0" xr:uid="{44409FC1-E1FC-42F6-8EB3-06A4897451D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9" authorId="0" shapeId="0" xr:uid="{7A8D4650-B279-4387-818C-7EDFEB4661C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21</t>
        </r>
      </text>
    </comment>
    <comment ref="G9" authorId="0" shapeId="0" xr:uid="{D9E2C028-17A9-4662-A3A6-11327CDC494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9" authorId="0" shapeId="0" xr:uid="{38ADB359-F3DE-46F5-8979-AFC403EB54C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5" authorId="0" shapeId="0" xr:uid="{AA66A3EB-3147-4531-8888-8D90181A5DF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6" authorId="0" shapeId="0" xr:uid="{093727F6-430C-41CD-AA40-7C9D4ED33C9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G16" authorId="0" shapeId="0" xr:uid="{460DD832-5755-439E-9B65-AD9E11D1568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J16" authorId="0" shapeId="0" xr:uid="{21DED3F4-DA57-4512-BA15-6296BD3944A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E17" authorId="0" shapeId="0" xr:uid="{5568E4AA-CD5D-4A99-BA23-D6D6DA701EF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G17" authorId="0" shapeId="0" xr:uid="{5E29A3D2-0D3E-4A10-91EA-7D7724FE645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J17" authorId="0" shapeId="0" xr:uid="{4267A903-3D61-4B6A-99FA-F6C131FCD73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E18" authorId="0" shapeId="0" xr:uid="{E8692A60-ACD9-4FA2-ADF5-DE7FB3002D8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25</t>
        </r>
      </text>
    </comment>
    <comment ref="J18" authorId="0" shapeId="0" xr:uid="{8BEB80EC-CDE4-4A9E-81F9-89DC1F4A891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K19" authorId="0" shapeId="0" xr:uid="{C9E5C8D2-E01F-41A1-853D-1F77E03632F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E20" authorId="0" shapeId="0" xr:uid="{F08C8091-4AE8-4380-A14A-A713B5C9034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26</t>
        </r>
      </text>
    </comment>
    <comment ref="K20" authorId="0" shapeId="0" xr:uid="{3AA42510-8DFB-4EBD-9750-440BBD3BD21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21" authorId="0" shapeId="0" xr:uid="{CB2A714B-25B2-4507-9311-B423357BD04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E22" authorId="0" shapeId="0" xr:uid="{BDF4574E-2954-412D-97C3-862CBAECD32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26</t>
        </r>
      </text>
    </comment>
    <comment ref="K22" authorId="0" shapeId="0" xr:uid="{FEFCCDDE-E9A0-4BB3-B919-62472B6954E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E23" authorId="0" shapeId="0" xr:uid="{1C5BB767-5908-452D-BBB4-EB6ABE6BC71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24</t>
        </r>
      </text>
    </comment>
    <comment ref="J23" authorId="0" shapeId="0" xr:uid="{F836EB1E-EF47-42F9-BA2E-BED18C0DD5C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4" authorId="0" shapeId="0" xr:uid="{48B20083-2B4A-47EE-A712-B53E2A5B43C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H24" authorId="0" shapeId="0" xr:uid="{E96281FD-DE97-41DE-9B2E-94D60E95E84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13</t>
        </r>
      </text>
    </comment>
    <comment ref="J24" authorId="0" shapeId="0" xr:uid="{5FE61791-8B9A-4719-AB04-AF6A6B800AC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5" authorId="0" shapeId="0" xr:uid="{765F3AF1-3D7B-46E5-A253-765BC0B7BFC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H25" authorId="0" shapeId="0" xr:uid="{BEFB8867-28FB-4C1A-AE7D-658953D332F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13</t>
        </r>
      </text>
    </comment>
    <comment ref="J25" authorId="0" shapeId="0" xr:uid="{BC4EE66A-7056-4827-B87E-009CB291781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H26" authorId="0" shapeId="0" xr:uid="{3B2F5551-7FDB-48CB-B53D-CA9BCAB0B1D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75</t>
        </r>
      </text>
    </comment>
    <comment ref="E27" authorId="0" shapeId="0" xr:uid="{FE3C6AC8-0991-459C-B7CE-361972FA32C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7" authorId="0" shapeId="0" xr:uid="{97FB48A5-4515-4597-BB29-EA62D1100D2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7" authorId="0" shapeId="0" xr:uid="{A0AA6AAE-DA3A-4807-AF06-054F6DF4205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9" authorId="1" shapeId="0" xr:uid="{27377518-B442-407A-8DD5-785772BDA12F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G30" authorId="1" shapeId="0" xr:uid="{BAE3FAEB-3F97-4FD7-9A14-131F29CAB425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G31" authorId="1" shapeId="0" xr:uid="{769EDE6A-9C5E-454D-8B48-0CBE560E2626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G32" authorId="1" shapeId="0" xr:uid="{239D7D8A-F8EB-4F93-932A-5A7FC60D95CB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No exemplo da Marta é 09 - Outras verbas na folha mensal</t>
        </r>
      </text>
    </comment>
    <comment ref="E33" authorId="0" shapeId="0" xr:uid="{394D7CFB-4187-40EF-B4CB-1C0D614D5AA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H33" authorId="0" shapeId="0" xr:uid="{E830A271-F4C1-4BA8-BE0E-2EE9DCA4F4E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13</t>
        </r>
      </text>
    </comment>
    <comment ref="J33" authorId="0" shapeId="0" xr:uid="{122770C8-36C1-4938-89F6-CF35BFA99A8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F34" authorId="0" shapeId="0" xr:uid="{93A96DCC-E4B2-478C-9D66-44053403E2C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I34" authorId="0" shapeId="0" xr:uid="{DFB730A5-328C-49FA-AC74-0DF665CF487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34" authorId="0" shapeId="0" xr:uid="{030BEF01-1F7C-4D20-9569-9737D192CB4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35" authorId="0" shapeId="0" xr:uid="{9B8891B3-4A2C-49B7-9620-56762C1CBA6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36" authorId="0" shapeId="0" xr:uid="{DEEFF053-ED54-4C8B-86FA-CE3A3C69E5F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F37" authorId="0" shapeId="0" xr:uid="{E56D53FB-DF74-4914-9962-555A7898DBF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I37" authorId="0" shapeId="0" xr:uid="{3ACC09B8-80DF-44B4-9224-96310D2F253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37" authorId="0" shapeId="0" xr:uid="{0579E392-3AFD-4370-875F-03BC1A46F0F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21</t>
        </r>
      </text>
    </comment>
    <comment ref="G38" authorId="0" shapeId="0" xr:uid="{3652CD75-2F42-4783-9490-E2B8B8A3539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E39" authorId="0" shapeId="0" xr:uid="{F540077E-EF44-42B0-895D-A27FA9F2A78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Conforme IN 1370/17, não incide INSS s/ Aviso ind. Somente no avo do 13º</t>
        </r>
      </text>
    </comment>
    <comment ref="G39" authorId="1" shapeId="0" xr:uid="{A5691B22-EDC5-47A1-85C0-1810B7577120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J39" authorId="0" shapeId="0" xr:uid="{2946256D-E4AF-4F20-BB98-1FD3E64EC63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21</t>
        </r>
      </text>
    </comment>
    <comment ref="E40" authorId="0" shapeId="0" xr:uid="{92A68FE6-104B-4D4D-9AD8-43B08FB9B41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40" authorId="0" shapeId="0" xr:uid="{31D6512F-1C5D-4E06-B91B-3B9BB81BE13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40" authorId="0" shapeId="0" xr:uid="{F9AF6919-288A-40A0-A491-709D33ADC80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41" authorId="0" shapeId="0" xr:uid="{D7A727E2-7020-4FBB-B70B-33AED805CB6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41" authorId="0" shapeId="0" xr:uid="{A8DB3F54-E9B5-4BC6-8278-002847C0F9B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41" authorId="0" shapeId="0" xr:uid="{8962CCC3-CFAB-4D52-AC36-07E1FF0CBA8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42" authorId="1" shapeId="0" xr:uid="{3B515EDF-D393-4CC4-B980-020853D00BEA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51</t>
        </r>
      </text>
    </comment>
    <comment ref="G42" authorId="1" shapeId="0" xr:uid="{C38364C3-C81E-4F84-AE25-0590A47FC608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79</t>
        </r>
      </text>
    </comment>
    <comment ref="E43" authorId="0" shapeId="0" xr:uid="{71855A03-AB8F-4698-A863-1DFE900926B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43" authorId="0" shapeId="0" xr:uid="{94FE9262-9193-484E-86B9-625FB044B6F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43" authorId="0" shapeId="0" xr:uid="{F188AD60-C79A-4205-A0E2-649D19539EC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44" authorId="0" shapeId="0" xr:uid="{4D5DA5AC-4EB3-4C24-82C7-643C15A553C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44" authorId="0" shapeId="0" xr:uid="{BEEF99E2-B55C-4357-A452-CE84DC21D07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44" authorId="0" shapeId="0" xr:uid="{FD4BF6BE-D7CA-443A-BDF2-5DC6599DA3E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45" authorId="1" shapeId="0" xr:uid="{0E4B2427-A1E9-47F2-97E5-9D476CB7FF33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G46" authorId="0" shapeId="0" xr:uid="{CC98D42C-C113-4C81-A9BC-91BC781EEF8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E50" authorId="0" shapeId="0" xr:uid="{9AF84310-6701-4985-92D1-54437AF977C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H50" authorId="0" shapeId="0" xr:uid="{796406D1-4EFE-42E6-9625-B4073AEE02D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13</t>
        </r>
      </text>
    </comment>
    <comment ref="J50" authorId="0" shapeId="0" xr:uid="{09560FBE-7898-4640-97F9-5C3F24CCFA3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K51" authorId="0" shapeId="0" xr:uid="{6014FDED-0B57-4331-BF89-A086DF436C5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F52" authorId="0" shapeId="0" xr:uid="{571A4660-8C8B-4995-90FB-0C24E978663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I52" authorId="0" shapeId="0" xr:uid="{73DBD4A3-4259-453A-B2A0-FC44FA44727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52" authorId="0" shapeId="0" xr:uid="{43A1F88D-5CA2-4B00-A07B-FFE2E46EB7B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E53" authorId="0" shapeId="0" xr:uid="{BB062B29-D7E4-4A0C-9E68-871E3B0DCD5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53" authorId="0" shapeId="0" xr:uid="{BF00FBB3-90DB-4EEB-910E-A2D3D482163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53" authorId="0" shapeId="0" xr:uid="{5980E630-C097-4599-A27E-B740F09FC71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54" authorId="0" shapeId="0" xr:uid="{1C6424E2-D516-4EA0-A8AB-AD2F08C2F8A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54" authorId="0" shapeId="0" xr:uid="{1EF789DE-9EBB-46CE-ACDB-D534A5CB6B1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54" authorId="0" shapeId="0" xr:uid="{98E626B7-B14B-43B4-A609-8EDD9C19794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55" authorId="1" shapeId="0" xr:uid="{19C379F0-10FE-4861-83F7-6308F2D85AB1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51</t>
        </r>
      </text>
    </comment>
    <comment ref="G55" authorId="1" shapeId="0" xr:uid="{BC112436-9361-4BAF-AED6-18DB348C2BB5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79</t>
        </r>
      </text>
    </comment>
    <comment ref="E56" authorId="0" shapeId="0" xr:uid="{2B980CFB-7DC2-4A40-B416-1FC30B1BBC7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H56" authorId="0" shapeId="0" xr:uid="{4808C358-D326-4D4E-A62F-B93C22E270C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13</t>
        </r>
      </text>
    </comment>
    <comment ref="J56" authorId="0" shapeId="0" xr:uid="{7729410D-C236-4E85-AE47-EC5F25EB882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F57" authorId="0" shapeId="0" xr:uid="{67DB00DA-065F-44E7-808E-3DC0A040AC4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I57" authorId="0" shapeId="0" xr:uid="{EDF86A2D-D661-4DBD-8BEE-9A63C20904D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57" authorId="0" shapeId="0" xr:uid="{707B2EE8-B725-4CB2-896C-4302710F5B8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E58" authorId="0" shapeId="0" xr:uid="{832FE4E9-954A-4319-AFBB-68D27C11FAE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58" authorId="0" shapeId="0" xr:uid="{50CF70A2-8DA9-45C2-8454-379B145D4BD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58" authorId="0" shapeId="0" xr:uid="{116E1282-068C-4B95-AF1B-29D5510C3B8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65" authorId="0" shapeId="0" xr:uid="{F251B2D7-83D3-42E7-BC15-FDFB5BA8D00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65" authorId="0" shapeId="0" xr:uid="{E6CB5C39-484A-465F-9F32-63AF5523755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65" authorId="0" shapeId="0" xr:uid="{129099A0-03CE-4EC0-BA55-A54FA7EFA34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66" authorId="0" shapeId="0" xr:uid="{7FD6AFCE-6BE5-46AE-931C-3D03E9F0325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66" authorId="0" shapeId="0" xr:uid="{9484DFAB-188D-4FEF-81A2-DC1ED03DBE0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66" authorId="0" shapeId="0" xr:uid="{86082E86-6AD1-4996-AFB6-4BCC6056BB1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F67" authorId="0" shapeId="0" xr:uid="{9720B6F2-4CAF-4CE0-8434-6513CDAFF0D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I67" authorId="0" shapeId="0" xr:uid="{A3EAC2E7-14DF-40F3-BD3C-79FFCC5CC7A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67" authorId="0" shapeId="0" xr:uid="{A0764D42-0BF4-4A62-A9F0-A49AC1467FA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G68" authorId="0" shapeId="0" xr:uid="{D380D823-DAC8-47B7-9D56-BE6C292E90A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73</t>
        </r>
      </text>
    </comment>
    <comment ref="E69" authorId="0" shapeId="0" xr:uid="{4662A6F9-3882-40CC-9365-70853CE544B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23</t>
        </r>
      </text>
    </comment>
    <comment ref="J69" authorId="0" shapeId="0" xr:uid="{7255DF20-2228-43CD-A063-59F1C6AA7F0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70" authorId="0" shapeId="0" xr:uid="{BBE55773-9E53-4BE1-B227-49AC0D11FB8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24</t>
        </r>
      </text>
    </comment>
    <comment ref="K70" authorId="0" shapeId="0" xr:uid="{E4A8CD8F-D35F-4044-8286-2234016655A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E71" authorId="0" shapeId="0" xr:uid="{6CFEF307-8083-4CC7-B2EB-F6BADCD376F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23</t>
        </r>
      </text>
    </comment>
    <comment ref="J71" authorId="0" shapeId="0" xr:uid="{487CEB15-9161-4721-A6C6-3BE01886F26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72" authorId="0" shapeId="0" xr:uid="{51CE59F4-2C44-40C1-BDE5-4188CC644B4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73" authorId="0" shapeId="0" xr:uid="{91724999-2377-4374-85D4-62C94561E2D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23</t>
        </r>
      </text>
    </comment>
    <comment ref="J73" authorId="0" shapeId="0" xr:uid="{C0E99F02-BE2C-4B86-A207-F29B654AF16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74" authorId="0" shapeId="0" xr:uid="{2A92E2A9-B26E-4E64-B89B-4E6A56135CE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75" authorId="0" shapeId="0" xr:uid="{72A7024F-F6C0-47CD-AF51-42191CBF6FB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76" authorId="0" shapeId="0" xr:uid="{C4CAD048-85DD-4CE8-ADF2-78B524DDDB4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75</t>
        </r>
      </text>
    </comment>
    <comment ref="J77" authorId="0" shapeId="0" xr:uid="{F55F4BEC-55E5-4F76-8DE8-5DD9C9D0DBD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78" authorId="0" shapeId="0" xr:uid="{F598965A-426B-4D5D-8BC6-5E381B36C1A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79" authorId="0" shapeId="0" xr:uid="{757D42D2-06FD-46EB-AFED-C32E30DE0B6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24</t>
        </r>
      </text>
    </comment>
    <comment ref="J79" authorId="0" shapeId="0" xr:uid="{48D5D306-FBF5-4438-9279-08736BC6AA8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80" authorId="0" shapeId="0" xr:uid="{94816708-3294-4084-8F89-0AA8679AF6A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24</t>
        </r>
      </text>
    </comment>
    <comment ref="J80" authorId="0" shapeId="0" xr:uid="{035BC7D9-604A-44C2-81D8-D760EFE091E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81" authorId="0" shapeId="0" xr:uid="{8F713EBD-3AFB-46DF-A263-270F3AF01BC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75</t>
        </r>
      </text>
    </comment>
    <comment ref="E83" authorId="0" shapeId="0" xr:uid="{984B99FF-82D3-4D90-95D5-C7758A36B9B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G83" authorId="0" shapeId="0" xr:uid="{187FAD77-0731-4497-94DA-1757992AD7F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J83" authorId="0" shapeId="0" xr:uid="{DD5CD101-F437-4A10-BC2C-42F42F3EF44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E85" authorId="0" shapeId="0" xr:uid="{4D27974E-03AC-4830-920C-150D33CA273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G85" authorId="0" shapeId="0" xr:uid="{9DBFB41D-E472-4B9A-937F-5BECADE78E3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J85" authorId="0" shapeId="0" xr:uid="{6D098628-D1A8-460E-9E6B-5F0D8E1DD2A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G87" authorId="1" shapeId="0" xr:uid="{CA7CFE9A-DBE2-49AA-8F13-97BAE5FF40BD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B89" authorId="0" shapeId="0" xr:uid="{375E5462-0B52-4C4C-B980-61D0F18E80E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31 -Contribuição Sindical</t>
        </r>
      </text>
    </comment>
    <comment ref="E90" authorId="0" shapeId="0" xr:uid="{5617FF74-A71C-4598-837E-FB30BDF6D88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G90" authorId="0" shapeId="0" xr:uid="{D2D34BAF-45DD-4214-9FB6-064459FC687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J90" authorId="0" shapeId="0" xr:uid="{17C9C619-489B-4071-9C5A-853B607C62E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E91" authorId="0" shapeId="0" xr:uid="{E7D04F03-7BA4-4E68-A148-27E45FE9D2E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G91" authorId="0" shapeId="0" xr:uid="{CEB2B907-2CF9-4091-8201-C302474DF70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J91" authorId="0" shapeId="0" xr:uid="{AE7E4C25-7941-40F9-A331-6C6B5E43AE9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E92" authorId="0" shapeId="0" xr:uid="{A706EF9B-0AF1-4202-A87F-72DC07C837E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G92" authorId="0" shapeId="0" xr:uid="{23AE3A6D-00F2-491B-968F-5356406A1BD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J92" authorId="0" shapeId="0" xr:uid="{0E5C46BC-B4BE-4E3F-959D-72F464E755C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
</t>
        </r>
      </text>
    </comment>
    <comment ref="B93" authorId="0" shapeId="0" xr:uid="{801252FD-D418-4EC8-B3B1-D1259D8098F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31- Cont. Sindical</t>
        </r>
      </text>
    </comment>
    <comment ref="G94" authorId="1" shapeId="0" xr:uid="{5ED5FF01-E11F-416C-9B7A-8694E5F7927C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09</t>
        </r>
      </text>
    </comment>
    <comment ref="G95" authorId="1" shapeId="0" xr:uid="{B9F3F10E-E02C-4109-8023-637FAE7CDD10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09</t>
        </r>
      </text>
    </comment>
    <comment ref="G96" authorId="1" shapeId="0" xr:uid="{C43F7914-53B9-43B6-943D-8BF6982CEE86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09</t>
        </r>
      </text>
    </comment>
    <comment ref="G98" authorId="1" shapeId="0" xr:uid="{435FE595-D858-49D8-8D04-953EC365FAB2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09</t>
        </r>
      </text>
    </comment>
    <comment ref="E100" authorId="1" shapeId="0" xr:uid="{C46C228E-41C1-40E2-941F-A5A34ADE4E76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0" authorId="1" shapeId="0" xr:uid="{215BDD2C-9173-463F-B3BE-A0963E9C85F9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0" authorId="1" shapeId="0" xr:uid="{D9FBEDF0-7682-406E-80A1-387DEC5DACD1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01" authorId="0" shapeId="0" xr:uid="{F395C010-DCA1-434C-8E99-2EF06E25DC5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1" authorId="0" shapeId="0" xr:uid="{716DE6FB-51B7-441A-902E-BA82142FC92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1" authorId="0" shapeId="0" xr:uid="{EAD578E5-87BE-4E4C-AB97-5D6F9F4E47B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02" authorId="0" shapeId="0" xr:uid="{DD21F946-FF92-4946-BC9A-9B2573689B7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2" authorId="0" shapeId="0" xr:uid="{BE5AA466-836A-41E9-A884-0F4D05413C9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2" authorId="0" shapeId="0" xr:uid="{99ABACD1-F739-48AF-8E3D-F9014D616B7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03" authorId="0" shapeId="0" xr:uid="{4D8F8686-54B8-4D12-A13D-CA1B3343F96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3" authorId="0" shapeId="0" xr:uid="{FC9AFF12-7D76-4E28-B2A2-620EA5F011F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3" authorId="0" shapeId="0" xr:uid="{CB47E27E-0093-4A86-8C29-4A731393685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04" authorId="0" shapeId="0" xr:uid="{C6F4297B-9212-4D39-A30C-784F0B9331C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4" authorId="0" shapeId="0" xr:uid="{B32B9D8A-B1CB-4FBE-880F-DFD0D5C32C6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4" authorId="0" shapeId="0" xr:uid="{B3330D9B-A30F-43CB-8AC8-7F93A0DD092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05" authorId="0" shapeId="0" xr:uid="{5C3E5329-4D97-4484-91AF-634DA02C628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5" authorId="0" shapeId="0" xr:uid="{77C06901-2359-48F4-A3D8-854663A2C08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5" authorId="0" shapeId="0" xr:uid="{A3464C26-C88D-4BEF-986A-1A4285DFE47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06" authorId="0" shapeId="0" xr:uid="{2997ED32-937B-4893-9141-81FE64C4AC3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6" authorId="0" shapeId="0" xr:uid="{1A541A07-9F3D-4A7A-94C3-BA0F1110D77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6" authorId="0" shapeId="0" xr:uid="{E347312F-4183-444B-9563-83B2EEFD334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07" authorId="0" shapeId="0" xr:uid="{4D00B1E1-6D97-4695-886B-04F92D347D4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7" authorId="0" shapeId="0" xr:uid="{5220640E-EDB0-4086-AD3C-D820F01E144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7" authorId="0" shapeId="0" xr:uid="{09472B82-867A-4103-8C0A-EF565277528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08" authorId="0" shapeId="0" xr:uid="{E3C6201C-FB97-4B37-B62E-8EEDDCC1EF0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8" authorId="0" shapeId="0" xr:uid="{12572548-395D-45CE-A034-CBE8198A22A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8" authorId="0" shapeId="0" xr:uid="{5A37C170-4BC0-4F2C-97F9-B44CB5217E9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09" authorId="0" shapeId="0" xr:uid="{31EAE1C6-ACF4-4FDB-9485-38CA292A926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09" authorId="0" shapeId="0" xr:uid="{AA6AA75C-0C10-42B3-AB99-A2F9355D2ED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09" authorId="0" shapeId="0" xr:uid="{70A65757-1703-4CFB-B80A-C39C6C3B2FF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10" authorId="0" shapeId="0" xr:uid="{FA47AF52-B443-4D3D-9686-8CC9DC263E9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0" authorId="0" shapeId="0" xr:uid="{27510EFB-770D-4C68-B012-214D1F6501D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10" authorId="0" shapeId="0" xr:uid="{3C11FACC-542F-4B5C-912D-A50C91D1F5F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11" authorId="0" shapeId="0" xr:uid="{EBFA0393-0B42-4785-8B19-5021C562D63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1" authorId="0" shapeId="0" xr:uid="{7547624F-4AA3-48CC-8687-062FF8FE782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11" authorId="0" shapeId="0" xr:uid="{0B7F98CC-7FC7-465A-83FC-4F070F6B385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12" authorId="0" shapeId="0" xr:uid="{E019F572-6250-4A9E-9406-705A08E605F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2" authorId="0" shapeId="0" xr:uid="{68BCD99B-1CFA-471B-8D03-E44EA3D7103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12" authorId="0" shapeId="0" xr:uid="{034826B4-EA3B-4F41-996A-014C393895D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13" authorId="0" shapeId="0" xr:uid="{A684AEA8-A5F4-4835-9927-C479AF4DAAF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3" authorId="0" shapeId="0" xr:uid="{341BB417-1392-4AA8-BFD8-DD6E7E1E032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13" authorId="0" shapeId="0" xr:uid="{DAB1157B-ACD0-4298-8DD0-53602A4B121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14" authorId="0" shapeId="0" xr:uid="{F216693B-1BCB-4498-8943-C8E8AD4269F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4" authorId="0" shapeId="0" xr:uid="{D1A99807-21A2-4153-8894-94382F1814D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14" authorId="0" shapeId="0" xr:uid="{946DE880-C994-4558-A629-A442AF90F52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15" authorId="0" shapeId="0" xr:uid="{D8CCF55C-A7B8-478A-BEC2-1DA9D624267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5" authorId="0" shapeId="0" xr:uid="{B77AB29C-2338-40DB-BA2D-81A8AEF2E8D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15" authorId="0" shapeId="0" xr:uid="{793B5ECF-AC9D-4C9F-8001-2B34DD8051A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6" authorId="0" shapeId="0" xr:uid="{1E64BABD-016D-4E27-A7F7-79863F9339F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17" authorId="0" shapeId="0" xr:uid="{296C8574-CBB5-4784-B2CD-F6D15846AEB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7" authorId="0" shapeId="0" xr:uid="{6B9CF66C-6EB8-4BCE-9CCB-264D744FBDF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17" authorId="0" shapeId="0" xr:uid="{E807E394-1F94-40C5-89A6-CBC70299050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18" authorId="0" shapeId="0" xr:uid="{48A5B73D-6863-4688-BE43-A2165808306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8" authorId="0" shapeId="0" xr:uid="{74752F1A-B8B7-444F-AC20-AB8CA68443F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18" authorId="0" shapeId="0" xr:uid="{C93F3134-5FC1-494F-A1A6-9D7ABD59E94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19" authorId="0" shapeId="0" xr:uid="{8E6666A1-A354-492C-B806-41A10F6C824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19" authorId="0" shapeId="0" xr:uid="{74384CC6-54A7-4EDE-A56E-4CFD50A20D4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19" authorId="0" shapeId="0" xr:uid="{A033E6B9-E795-4409-A3BF-26E13308AB5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20" authorId="0" shapeId="0" xr:uid="{331C3198-24BE-45FB-A432-F94B1D860C4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0" authorId="0" shapeId="0" xr:uid="{E68B4386-624B-46CD-8DA1-F77ABD7E7BF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20" authorId="0" shapeId="0" xr:uid="{D1211620-901E-48BF-9E64-B531EA1B4FC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1" authorId="0" shapeId="0" xr:uid="{938C5927-3BCF-4A61-91C5-A1051D1F489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22" authorId="0" shapeId="0" xr:uid="{EAF72098-66D5-40C1-B74C-5C1317FCA45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2" authorId="0" shapeId="0" xr:uid="{5A6255E4-755A-4C02-A0C3-9A5064C686D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22" authorId="0" shapeId="0" xr:uid="{F1CCD1DB-B66F-4050-9C0E-D9789BEBB7B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23" authorId="0" shapeId="0" xr:uid="{D2334BBD-641F-4A18-BFB5-68371ECAF49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3" authorId="0" shapeId="0" xr:uid="{9F471B2A-84B0-4C7E-8798-485643EA979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23" authorId="0" shapeId="0" xr:uid="{39736151-2340-458F-9568-75F06F1AC66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24" authorId="0" shapeId="0" xr:uid="{EAE8095A-2528-4C5F-A444-073923552DA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4" authorId="0" shapeId="0" xr:uid="{3E7D16FA-D526-4408-898D-4AE1146601C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24" authorId="0" shapeId="0" xr:uid="{BB038E5C-2FF4-4377-B788-9310C699DEA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25" authorId="0" shapeId="0" xr:uid="{3FD11366-AA92-4C5B-999E-25B44D3BCB3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5" authorId="0" shapeId="0" xr:uid="{F1900D4B-A886-4ADE-A3DA-D5E9C0036C8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25" authorId="0" shapeId="0" xr:uid="{8C47E722-0BF9-41DC-A5E2-875F4586195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26" authorId="0" shapeId="0" xr:uid="{8408A873-1073-4246-97C7-5FC0D16D326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6" authorId="0" shapeId="0" xr:uid="{FE25F1BD-44A6-4FF5-9599-0CD80711227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26" authorId="0" shapeId="0" xr:uid="{961837A9-D9A3-41F8-94E4-5DB6C76DB61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27" authorId="0" shapeId="0" xr:uid="{05026DFB-FFD1-42FF-87E5-599B19F827C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7" authorId="0" shapeId="0" xr:uid="{6C76633B-8D77-4DD4-8C87-D8E194B9149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27" authorId="0" shapeId="0" xr:uid="{BC49F758-0D5F-49AB-8AE0-731E9A5C494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28" authorId="0" shapeId="0" xr:uid="{61186589-3CAE-4E69-8B70-A5CAD850A92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8" authorId="0" shapeId="0" xr:uid="{45165511-E8D2-457A-8B54-1EE8815263E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28" authorId="0" shapeId="0" xr:uid="{615580DF-51D6-48F0-9F1F-7E66AF457CA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29" authorId="0" shapeId="0" xr:uid="{4081EE23-F7C5-4C1C-8567-534C97E2810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29" authorId="0" shapeId="0" xr:uid="{998F4302-DE56-4348-9CD3-7B7673E6450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29" authorId="0" shapeId="0" xr:uid="{A1FAAABD-AE36-42A6-9C77-F0544269BE1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30" authorId="0" shapeId="0" xr:uid="{41863DC0-267A-4A17-A12F-94B75BF8CEB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30" authorId="0" shapeId="0" xr:uid="{49045145-F347-4B2F-AB7D-DCE42927CE0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30" authorId="0" shapeId="0" xr:uid="{5ECE7E6D-005B-42A8-A043-199F750D371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32" authorId="0" shapeId="0" xr:uid="{9694784F-EEBC-4198-8A23-0E79C05022E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B133" authorId="0" shapeId="0" xr:uid="{205B7856-865B-4148-8A42-E121A06E4B8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entendo que está duplicado no sistema. Já possui 02 verbas de adiantamento com e sem IRRF</t>
        </r>
      </text>
    </comment>
    <comment ref="H134" authorId="0" shapeId="0" xr:uid="{71E23CAB-C678-481F-9D5E-06167783663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13</t>
        </r>
      </text>
    </comment>
    <comment ref="H135" authorId="0" shapeId="0" xr:uid="{BBA5FF23-A8D5-4741-9448-18BCCC00618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13</t>
        </r>
      </text>
    </comment>
    <comment ref="G138" authorId="1" shapeId="0" xr:uid="{27F26CAA-96D3-498B-ABD1-25261A6E75B0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G139" authorId="1" shapeId="0" xr:uid="{AE7B8B3B-CFCF-4737-9109-0D55F74F0236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74</t>
        </r>
      </text>
    </comment>
    <comment ref="G159" authorId="1" shapeId="0" xr:uid="{6B56AA0C-F316-4EA7-9A09-B154251E679B}">
      <text>
        <r>
          <rPr>
            <b/>
            <sz val="9"/>
            <color indexed="81"/>
            <rFont val="Segoe UI"/>
            <charset val="1"/>
          </rPr>
          <t>ELANE DOS ANJOS:</t>
        </r>
        <r>
          <rPr>
            <sz val="9"/>
            <color indexed="81"/>
            <rFont val="Segoe UI"/>
            <charset val="1"/>
          </rPr>
          <t xml:space="preserve">
09</t>
        </r>
      </text>
    </comment>
    <comment ref="G160" authorId="0" shapeId="0" xr:uid="{8744AF66-6213-4231-992A-FA60BD299C4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51</t>
        </r>
      </text>
    </comment>
    <comment ref="H161" authorId="0" shapeId="0" xr:uid="{ADF257A7-502B-4FF3-8FFB-597DAA0A949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53</t>
        </r>
      </text>
    </comment>
    <comment ref="I162" authorId="0" shapeId="0" xr:uid="{4A968312-21BA-4C74-9949-3FB746F3630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52</t>
        </r>
      </text>
    </comment>
    <comment ref="G163" authorId="0" shapeId="0" xr:uid="{F4507F4B-E638-4CF5-9D18-FAAB505B80F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51</t>
        </r>
      </text>
    </comment>
    <comment ref="G165" authorId="0" shapeId="0" xr:uid="{D828AAFA-3830-4C4F-AD00-8D8F8D04A22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54</t>
        </r>
      </text>
    </comment>
    <comment ref="E166" authorId="0" shapeId="0" xr:uid="{B3246B3A-6209-4151-BCB7-FE4AABF3FA4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66" authorId="0" shapeId="0" xr:uid="{92E6747C-2264-4505-AB4D-C1514407B44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66" authorId="0" shapeId="0" xr:uid="{872BA2FC-8E92-4A60-AEC6-8931733A3E3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67" authorId="0" shapeId="0" xr:uid="{61A67F9A-8446-48A9-B659-B24BE9127B4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67" authorId="0" shapeId="0" xr:uid="{472E0D56-1CC0-4F2C-AF56-A12A34620FE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67" authorId="0" shapeId="0" xr:uid="{0CA229FF-C2A8-424E-8220-1A2EE74AEBF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68" authorId="0" shapeId="0" xr:uid="{FFCCEB4D-6758-4746-AB82-0E35493E0BA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68" authorId="0" shapeId="0" xr:uid="{1799FEFF-829C-424A-AEF8-B4389DF0CDB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68" authorId="0" shapeId="0" xr:uid="{EA13D16A-6153-4B76-88CB-926F586A193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Facultativo o recolhimento do FGTS p/ diretores proprietários</t>
        </r>
      </text>
    </comment>
    <comment ref="E169" authorId="0" shapeId="0" xr:uid="{70296662-DF22-44D2-AB5F-2DF206F0527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69" authorId="0" shapeId="0" xr:uid="{A23A2FC8-00A1-43D3-8F2D-652EB71038F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70" authorId="0" shapeId="0" xr:uid="{2A32FA87-2E31-407D-B37A-9FC9A58B155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70" authorId="0" shapeId="0" xr:uid="{FE8A4240-9017-4EF1-BDF1-CD0503E6257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71" authorId="0" shapeId="0" xr:uid="{BBBD2EE1-CFD1-45A5-A668-86503E0DFDB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72" authorId="0" shapeId="0" xr:uid="{72DE412B-080A-4642-9D4D-02AF7A7EC48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73" authorId="0" shapeId="0" xr:uid="{2C94C87B-3E53-41C4-A708-C46334FA933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74" authorId="0" shapeId="0" xr:uid="{F937E3E2-BA82-4FE2-9688-FDF46F1F249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75" authorId="0" shapeId="0" xr:uid="{5BF8C50D-007F-46EE-AB0A-A616A997222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51</t>
        </r>
      </text>
    </comment>
    <comment ref="G175" authorId="1" shapeId="0" xr:uid="{2DD40233-0CE5-4DE4-8F04-C2DB6FA2C40E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79</t>
        </r>
      </text>
    </comment>
    <comment ref="E177" authorId="0" shapeId="0" xr:uid="{A88ABF44-B1CE-4708-AB49-4874037F484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77" authorId="0" shapeId="0" xr:uid="{E8F74137-E202-4DDA-85D8-FCD1418C986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77" authorId="0" shapeId="0" xr:uid="{681D6A6C-AA06-409D-8727-634585C94F2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78" authorId="0" shapeId="0" xr:uid="{2F83717F-9C07-4C78-BCAD-16808E9677E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78" authorId="0" shapeId="0" xr:uid="{BC3628D9-007D-4573-89FB-40D79B94D6E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78" authorId="0" shapeId="0" xr:uid="{032C3968-4C5C-4A51-BCD5-A255C220F4F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79" authorId="0" shapeId="0" xr:uid="{BDE51E6F-FB1F-40CE-9319-B5D84B6E50B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79" authorId="0" shapeId="0" xr:uid="{606B3101-1FBD-404F-AA3E-19556DBEC60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79" authorId="0" shapeId="0" xr:uid="{11FA2BD5-ACBD-4312-8EBC-8F37C24A46F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80" authorId="0" shapeId="0" xr:uid="{426353F8-C929-4037-A2E3-EA7540965D5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80" authorId="0" shapeId="0" xr:uid="{28C98D76-C80B-4F66-B633-9080A3423E6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80" authorId="0" shapeId="0" xr:uid="{CF48DA2F-A9F5-4763-94EF-0793D99C233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84" authorId="0" shapeId="0" xr:uid="{2B671526-3E20-4B48-BE35-BE0A77DDA8E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H184" authorId="0" shapeId="0" xr:uid="{A56FB401-3D79-4EF0-B1E4-61FF5484A58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184" authorId="0" shapeId="0" xr:uid="{18BE0A3C-8E38-4800-931A-343893DA646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186" authorId="0" shapeId="0" xr:uid="{12270D81-3DF6-4409-9BF1-EDCA8DB8826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187" authorId="0" shapeId="0" xr:uid="{6FA70E45-4419-4E68-A536-0A2BC728558C}">
      <text>
        <r>
          <rPr>
            <b/>
            <sz val="9"/>
            <color indexed="81"/>
            <rFont val="Segoe UI"/>
            <family val="2"/>
          </rPr>
          <t>ELANE:
31</t>
        </r>
      </text>
    </comment>
    <comment ref="G187" authorId="0" shapeId="0" xr:uid="{9DC0B2FC-057C-4BF8-AB1F-F2BB3EDB6A3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41</t>
        </r>
      </text>
    </comment>
    <comment ref="G188" authorId="0" shapeId="0" xr:uid="{A786A30E-55F6-41B2-AB93-D1B1B8DD5FA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41</t>
        </r>
      </text>
    </comment>
    <comment ref="G190" authorId="0" shapeId="0" xr:uid="{5795A84B-87C9-49FF-B658-21C2D7F51B0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43 ou 09??? Conforme exemplo da Marta
</t>
        </r>
      </text>
    </comment>
    <comment ref="E191" authorId="0" shapeId="0" xr:uid="{599C431F-C3EB-4844-8C7D-4F33B0C6DEC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32</t>
        </r>
      </text>
    </comment>
    <comment ref="G191" authorId="0" shapeId="0" xr:uid="{8B884C5A-4E47-42B2-ACCE-24A6483DACA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42</t>
        </r>
      </text>
    </comment>
    <comment ref="E192" authorId="0" shapeId="0" xr:uid="{B3C23B51-2055-42D4-9E9C-68FB147DA2D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31</t>
        </r>
      </text>
    </comment>
    <comment ref="G192" authorId="0" shapeId="0" xr:uid="{D98436DC-34DC-4AC2-A078-42411EF501F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41</t>
        </r>
      </text>
    </comment>
    <comment ref="G193" authorId="0" shapeId="0" xr:uid="{571FFF07-B2B7-47E2-9A9F-69E457C6BD9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31</t>
        </r>
      </text>
    </comment>
    <comment ref="H194" authorId="0" shapeId="0" xr:uid="{E248E769-020E-495E-AC8D-03A8363D554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33</t>
        </r>
      </text>
    </comment>
    <comment ref="I195" authorId="0" shapeId="0" xr:uid="{223BB797-6FAE-46B7-9853-71C035603E2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32</t>
        </r>
      </text>
    </comment>
    <comment ref="G196" authorId="0" shapeId="0" xr:uid="{6C4172DA-39D7-43AE-BC85-AA2ADF7316F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34</t>
        </r>
      </text>
    </comment>
    <comment ref="G204" authorId="1" shapeId="0" xr:uid="{B18C9526-540C-4257-8417-FB752BE1A9E5}">
      <text>
        <r>
          <rPr>
            <b/>
            <sz val="9"/>
            <color indexed="81"/>
            <rFont val="Segoe UI"/>
            <charset val="1"/>
          </rPr>
          <t>ELANE DOS ANJOS:</t>
        </r>
        <r>
          <rPr>
            <sz val="9"/>
            <color indexed="81"/>
            <rFont val="Segoe UI"/>
            <charset val="1"/>
          </rPr>
          <t xml:space="preserve">
09</t>
        </r>
      </text>
    </comment>
    <comment ref="G207" authorId="0" shapeId="0" xr:uid="{603127A7-EC68-4C07-A069-091039059BA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10" authorId="0" shapeId="0" xr:uid="{23AF15CC-8E0B-4AD7-BB62-6D52897BAE1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10" authorId="0" shapeId="0" xr:uid="{DC28F8CD-9C45-4051-89CD-3495247DC33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10" authorId="0" shapeId="0" xr:uid="{C31EBCC8-AA26-4259-8067-E0631C3D3AF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11" authorId="0" shapeId="0" xr:uid="{62D39760-6098-4EEC-8294-A2C09AB1995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11" authorId="0" shapeId="0" xr:uid="{60C9D967-5145-4601-820F-2FAA2097D47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11" authorId="0" shapeId="0" xr:uid="{C91F5F74-6285-4BC4-99D9-56BBC900F68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13" authorId="1" shapeId="0" xr:uid="{A6F3F3C8-277E-4B6D-A340-C9A28B6B35AD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15" authorId="0" shapeId="0" xr:uid="{9172B1FE-A9FD-43B8-A913-FD0C8C1E45D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15" authorId="0" shapeId="0" xr:uid="{6EEE703E-5782-4D0A-A2D2-E0EB5D8C90A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15" authorId="0" shapeId="0" xr:uid="{370B20B0-ED9C-4B5A-87C3-6CE485C7ED0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16" authorId="0" shapeId="0" xr:uid="{2834C3A8-55BB-4EF5-82E9-19B2D9C51428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23</t>
        </r>
      </text>
    </comment>
    <comment ref="G216" authorId="0" shapeId="0" xr:uid="{1D03FE1E-8A2C-4A79-B71A-35F5C79D85A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16" authorId="0" shapeId="0" xr:uid="{E171FEF1-4348-45A2-BE3D-A8C403B3B13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17" authorId="0" shapeId="0" xr:uid="{D577D78B-1877-4E06-98EF-699D0F4A558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23</t>
        </r>
      </text>
    </comment>
    <comment ref="G217" authorId="0" shapeId="0" xr:uid="{EFA7B504-3F84-4386-A93B-DD62D69A3BD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17" authorId="0" shapeId="0" xr:uid="{C14AA7BF-C3D3-4A98-8DF7-A27B8B41878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18" authorId="0" shapeId="0" xr:uid="{2D40BF63-DDD9-42C8-932F-FB92177ED53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23</t>
        </r>
      </text>
    </comment>
    <comment ref="G218" authorId="0" shapeId="0" xr:uid="{1838CCE3-5627-4048-A85A-2C7B804A84B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18" authorId="0" shapeId="0" xr:uid="{0BD0D89B-CB51-46A2-9694-73E53CDC703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19" authorId="0" shapeId="0" xr:uid="{83E84341-E06B-4571-8830-4AC406E2217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23</t>
        </r>
      </text>
    </comment>
    <comment ref="G219" authorId="0" shapeId="0" xr:uid="{709383C8-3888-48CD-87CE-831D683C1B6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19" authorId="0" shapeId="0" xr:uid="{53843E35-6C3B-47D2-AB4A-3E2BFCD0B5AB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22" authorId="0" shapeId="0" xr:uid="{DB2EFB5A-59AF-42F1-B370-0FDF4B972C6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H222" authorId="0" shapeId="0" xr:uid="{5C2F5422-639B-4EA6-BBA9-E9A4678E81D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22" authorId="0" shapeId="0" xr:uid="{3C96FA37-19E7-45E9-B256-016B53FF499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23" authorId="0" shapeId="0" xr:uid="{E5678B54-08C9-4385-ACAE-2315AC39869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H223" authorId="0" shapeId="0" xr:uid="{F873859A-DBAB-4DE2-9A8C-B71DDC0A6FA6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23" authorId="0" shapeId="0" xr:uid="{AC41C28F-4E88-4815-9C8D-55D9D50B764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H224" authorId="0" shapeId="0" xr:uid="{81A4FA72-FD59-4032-AF54-EC332B8FA08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75</t>
        </r>
      </text>
    </comment>
    <comment ref="E226" authorId="0" shapeId="0" xr:uid="{033B3640-4881-434C-A018-B57141A7049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26" authorId="0" shapeId="0" xr:uid="{BBC95EF3-2946-4D1D-BC2E-F78047848C3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26" authorId="0" shapeId="0" xr:uid="{F1FCA4E4-DCBE-4FAE-9672-2B5088A5AE8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28" authorId="0" shapeId="0" xr:uid="{A6301C6C-28EB-44C0-911C-051FF2B345B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28" authorId="0" shapeId="0" xr:uid="{1572EF52-113E-439E-AA24-2A0DD0D3C8A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28" authorId="0" shapeId="0" xr:uid="{3163D107-9503-4B5A-B216-34425434C98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30" authorId="0" shapeId="0" xr:uid="{A6C30396-6561-4D7E-9D92-F05B8207FB8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30" authorId="0" shapeId="0" xr:uid="{7AF24B2E-BA08-46C6-96E2-C266F7FF73D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30" authorId="0" shapeId="0" xr:uid="{2F9F99D0-F389-49A5-8673-8743FA6B3B8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31" authorId="0" shapeId="0" xr:uid="{B5068D6B-777B-4D2A-A7A3-2AD86562228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31" authorId="0" shapeId="0" xr:uid="{80A95DCA-9912-479A-89B9-A86150CC4BC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31" authorId="0" shapeId="0" xr:uid="{83DD1E46-3BD1-48C6-A1AA-2092476EAAF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32" authorId="0" shapeId="0" xr:uid="{7ADDB252-03B6-4304-9EFC-68553DB2CFDA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32" authorId="0" shapeId="0" xr:uid="{513EDC8B-9AC3-4948-9CD1-7A4048FA3F6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32" authorId="0" shapeId="0" xr:uid="{3C55B61A-D694-45A8-AFFB-866BEE87473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33" authorId="1" shapeId="0" xr:uid="{C4D36014-17C9-42EA-90D9-8DB095BF6791}">
      <text>
        <r>
          <rPr>
            <b/>
            <sz val="9"/>
            <color indexed="81"/>
            <rFont val="Segoe UI"/>
            <charset val="1"/>
          </rPr>
          <t>ELANE DOS ANJOS:</t>
        </r>
        <r>
          <rPr>
            <sz val="9"/>
            <color indexed="81"/>
            <rFont val="Segoe UI"/>
            <charset val="1"/>
          </rPr>
          <t xml:space="preserve">
09</t>
        </r>
      </text>
    </comment>
    <comment ref="F234" authorId="0" shapeId="0" xr:uid="{9D3D1895-2855-43AB-BA2A-6ED2FDD307E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I234" authorId="0" shapeId="0" xr:uid="{BB01D649-F289-4AF6-82FB-4545A7A3FB53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234" authorId="0" shapeId="0" xr:uid="{C6863F55-C6CA-4677-9B43-00049F30CA0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F235" authorId="0" shapeId="0" xr:uid="{0E8CC25E-70AD-4619-BDBF-6D62E2148C15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I235" authorId="0" shapeId="0" xr:uid="{D104A822-8C14-4551-9A3D-EB03C1A16E2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235" authorId="0" shapeId="0" xr:uid="{3B038C29-D5DC-40CE-9B14-37E9066D9F4F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E236" authorId="0" shapeId="0" xr:uid="{6987884E-14C4-4D51-8FCC-15B3941F8FF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36" authorId="0" shapeId="0" xr:uid="{ED52305C-E26F-4F46-8165-B63A5457314E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37" authorId="0" shapeId="0" xr:uid="{6F8BF517-0413-4A7F-9359-CCC453639C84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37" authorId="0" shapeId="0" xr:uid="{7E6443D8-06B5-4AF8-89E9-6A8DCCCCC4E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37" authorId="0" shapeId="0" xr:uid="{324481E4-4F0B-4AE9-8BC2-54910AFABE0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38" authorId="0" shapeId="0" xr:uid="{5851012B-6DF7-4CDB-B592-D5B512539FE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38" authorId="0" shapeId="0" xr:uid="{B964969A-8F5B-4783-9273-D9168BC962EC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F247" authorId="0" shapeId="0" xr:uid="{0B9C6435-2682-4CE1-B968-9A4767AF3807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I247" authorId="0" shapeId="0" xr:uid="{824A5B3C-9CA1-4A48-9DF2-A686C65DFB1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K247" authorId="0" shapeId="0" xr:uid="{C2D63AF1-400D-43BB-BCE2-31C7926F2F3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12</t>
        </r>
      </text>
    </comment>
    <comment ref="E248" authorId="0" shapeId="0" xr:uid="{1D29B0E1-262A-471B-80BE-4CF729D0260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34</t>
        </r>
      </text>
    </comment>
    <comment ref="E249" authorId="0" shapeId="0" xr:uid="{01550D4F-DB10-467C-B11C-94BD7B3799C0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35</t>
        </r>
      </text>
    </comment>
    <comment ref="E250" authorId="0" shapeId="0" xr:uid="{AABFE32A-E986-482A-9BF7-692A09F8300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E251" authorId="0" shapeId="0" xr:uid="{8AFE0AC9-F03C-4737-B599-E0DE2333DBE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31</t>
        </r>
      </text>
    </comment>
    <comment ref="G251" authorId="0" shapeId="0" xr:uid="{55A5D0DF-2A54-4FE4-9D87-19AD46D2732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43</t>
        </r>
      </text>
    </comment>
    <comment ref="E253" authorId="0" shapeId="0" xr:uid="{4B7141B7-A512-4C3E-B03B-4EBA1B025B7D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53" authorId="0" shapeId="0" xr:uid="{DEA0C940-225E-4D79-989E-FE8CC83F4F02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J253" authorId="0" shapeId="0" xr:uid="{94C683F0-EAB2-4ADA-9137-4FC2F8A8C039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11</t>
        </r>
      </text>
    </comment>
    <comment ref="G256" authorId="1" shapeId="0" xr:uid="{3FE580B7-A440-4A5C-A79C-92FFC38C0A7A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74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ELANE</author>
  </authors>
  <commentList>
    <comment ref="C37" authorId="0" shapeId="0" xr:uid="{DC2BDC52-D7A0-4ECB-B61B-8E38A95F52D1}">
      <text>
        <r>
          <rPr>
            <b/>
            <sz val="9"/>
            <color indexed="81"/>
            <rFont val="Segoe UI"/>
            <family val="2"/>
          </rPr>
          <t>ELANE:</t>
        </r>
        <r>
          <rPr>
            <sz val="9"/>
            <color indexed="81"/>
            <rFont val="Segoe UI"/>
            <family val="2"/>
          </rPr>
          <t xml:space="preserve">
Utilizar rubrica do tipo “4"- Informativa dedutora, quando há necessidade de retificar bases de cálculos declaradas anteriormente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ELANE DOS ANJOS</author>
  </authors>
  <commentList>
    <comment ref="D3" authorId="0" shapeId="0" xr:uid="{7A53460C-8BEB-40F2-B572-3B1EC7D31D78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Criar a verba e parametrizar</t>
        </r>
      </text>
    </comment>
    <comment ref="D4" authorId="0" shapeId="0" xr:uid="{DA8A880C-A1E2-40BB-87AC-15C711886712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Criar a verba e parametrizar</t>
        </r>
      </text>
    </comment>
    <comment ref="J5" authorId="0" shapeId="0" xr:uid="{9B65B655-D107-41AB-9121-1858A760AD7B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No exemplo da Marta está 260,00... Não entendi</t>
        </r>
      </text>
    </comment>
    <comment ref="J8" authorId="0" shapeId="0" xr:uid="{99EFDDFE-4332-4FF0-95DC-6DAA239584F3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está 4000,00 no da Marta</t>
        </r>
      </text>
    </comment>
    <comment ref="J15" authorId="0" shapeId="0" xr:uid="{F588BD97-8613-4F17-A028-6571881FBF19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Somei na mesma rubrica férias + 1/3</t>
        </r>
      </text>
    </comment>
    <comment ref="H16" authorId="0" shapeId="0" xr:uid="{66F51BC7-C5EC-42C8-8876-062267349EDC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Meu 9201 está:
INSS 31
IRRF 41
FGTS 00
</t>
        </r>
      </text>
    </comment>
    <comment ref="D26" authorId="0" shapeId="0" xr:uid="{995D648C-41E9-46E5-A827-D4347D7964A3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Criar a verba e parametrizar</t>
        </r>
      </text>
    </comment>
    <comment ref="D27" authorId="0" shapeId="0" xr:uid="{DA66BEE4-24B1-4D64-AF2B-648A280ED474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Criar a verba e parametrizar</t>
        </r>
      </text>
    </comment>
    <comment ref="J28" authorId="0" shapeId="0" xr:uid="{8E9FD8A5-DE2D-4700-B862-1ED1EB56891A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No exemplo da Marta está 260,00... Não entendi</t>
        </r>
      </text>
    </comment>
    <comment ref="J37" authorId="0" shapeId="0" xr:uid="{149BFD7B-7371-4B14-B160-888640B7AF55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Líquido de férias</t>
        </r>
      </text>
    </comment>
    <comment ref="E38" authorId="0" shapeId="0" xr:uid="{2BAC429E-F01B-48AF-A5E8-6C0996DDD513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Não sai no 9201</t>
        </r>
      </text>
    </comment>
    <comment ref="H38" authorId="0" shapeId="0" xr:uid="{6DCEF3C2-1DD2-4A0E-9B0A-52A4217D7CAE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Meu 9201 está:
INSS 31
IRRF 41
FGTS 00
</t>
        </r>
      </text>
    </comment>
    <comment ref="D40" authorId="0" shapeId="0" xr:uid="{EE7BD0CA-B2C4-4FF1-AE41-F25942918371}">
      <text>
        <r>
          <rPr>
            <b/>
            <sz val="9"/>
            <color indexed="81"/>
            <rFont val="Segoe UI"/>
            <family val="2"/>
          </rPr>
          <t>ELANE DOS ANJOS:</t>
        </r>
        <r>
          <rPr>
            <sz val="9"/>
            <color indexed="81"/>
            <rFont val="Segoe UI"/>
            <family val="2"/>
          </rPr>
          <t xml:space="preserve">
Não é pra sair</t>
        </r>
      </text>
    </comment>
  </commentList>
</comments>
</file>

<file path=xl/sharedStrings.xml><?xml version="1.0" encoding="utf-8"?>
<sst xmlns="http://schemas.openxmlformats.org/spreadsheetml/2006/main" count="3163" uniqueCount="1003">
  <si>
    <t>Cód.</t>
  </si>
  <si>
    <t>Descrição</t>
  </si>
  <si>
    <t>Rubrica eSocial</t>
  </si>
  <si>
    <t>INSS</t>
  </si>
  <si>
    <t>INSS 13º</t>
  </si>
  <si>
    <t>IRRF</t>
  </si>
  <si>
    <t>IRRF Férias</t>
  </si>
  <si>
    <t>IRRF 13º</t>
  </si>
  <si>
    <t>FGTS</t>
  </si>
  <si>
    <t>FGTS 13º</t>
  </si>
  <si>
    <t>Salário Família</t>
  </si>
  <si>
    <t>INSS Contr. Ind.</t>
  </si>
  <si>
    <t>Salário Contratual/Mensalista</t>
  </si>
  <si>
    <t>Sim</t>
  </si>
  <si>
    <t>Férias</t>
  </si>
  <si>
    <t>1/3 Abono Obrigatório Férias</t>
  </si>
  <si>
    <t>Férias Vencidas (na rescisão)</t>
  </si>
  <si>
    <t>Férias Proporcionais (na rescisão)</t>
  </si>
  <si>
    <t>1/3 Férias vencidas (na rescisão)</t>
  </si>
  <si>
    <t>Desconto de Férias</t>
  </si>
  <si>
    <t>13º Salário (2º parcela)</t>
  </si>
  <si>
    <t>Adiantamento 13º Salário</t>
  </si>
  <si>
    <t>Desconto Adiantamento 13º Salário</t>
  </si>
  <si>
    <t>13º Salário Indenizado</t>
  </si>
  <si>
    <t>Aviso Prévio Indenizado</t>
  </si>
  <si>
    <t>Aviso Prévio Trabalhado</t>
  </si>
  <si>
    <t>Saldo de Salário</t>
  </si>
  <si>
    <t>Indenização Adicional (Lei Nº 7238/84)</t>
  </si>
  <si>
    <t>Diferença de Férias</t>
  </si>
  <si>
    <t>Diferença de Salário</t>
  </si>
  <si>
    <t>Férias (Aviso-Prévio Indenizado)</t>
  </si>
  <si>
    <t>Contribuição Sindical</t>
  </si>
  <si>
    <t>Desconto INSS</t>
  </si>
  <si>
    <t>Desconto INSS 13º Salário</t>
  </si>
  <si>
    <t>Desconto IRRF</t>
  </si>
  <si>
    <t>Nome da Rubrica</t>
  </si>
  <si>
    <t>Salário</t>
  </si>
  <si>
    <t>Salário in natura - pagos em bens ou serviços</t>
  </si>
  <si>
    <t>Comissões, percentagens ou produção</t>
  </si>
  <si>
    <t>Sobreaviso</t>
  </si>
  <si>
    <t>Adiantamento de salário</t>
  </si>
  <si>
    <t>Remuneração mensal</t>
  </si>
  <si>
    <t>Horas extras</t>
  </si>
  <si>
    <t>Horas extras noturnas</t>
  </si>
  <si>
    <t>Horas extras em dobro</t>
  </si>
  <si>
    <t>Horas extras noturnas em dobro</t>
  </si>
  <si>
    <t>Horas extras sobre comissões</t>
  </si>
  <si>
    <t>Horas extras - Banco de Horas</t>
  </si>
  <si>
    <t>Adicional noturno</t>
  </si>
  <si>
    <t>Adicional noturno em dobro</t>
  </si>
  <si>
    <t>DSR - Descanso Semanal Remunerado</t>
  </si>
  <si>
    <t>Descanso semanal e/ou feriado trabalhados</t>
  </si>
  <si>
    <t>Adicional de insalubridade</t>
  </si>
  <si>
    <t>Adicional de periculosidade</t>
  </si>
  <si>
    <t>Adicional por tempo de serviço</t>
  </si>
  <si>
    <t>Adicional de transferência</t>
  </si>
  <si>
    <t>Adicional de viagem do empregado doméstico</t>
  </si>
  <si>
    <t>Outros adicionais</t>
  </si>
  <si>
    <t>Quebra de caixa</t>
  </si>
  <si>
    <t>Gratificações</t>
  </si>
  <si>
    <t>Gratificação de função</t>
  </si>
  <si>
    <t>Prêmios</t>
  </si>
  <si>
    <t>Gorjetas</t>
  </si>
  <si>
    <t>Direitos intelectuais</t>
  </si>
  <si>
    <t>Gueltas</t>
  </si>
  <si>
    <t>Vale-Transporte - Adiantamento pago em dinheiro</t>
  </si>
  <si>
    <t>Abonos</t>
  </si>
  <si>
    <t>Abono PIS/PASEP</t>
  </si>
  <si>
    <t>Abono legal</t>
  </si>
  <si>
    <t>Salário maternidade</t>
  </si>
  <si>
    <t>Salário maternidade (pago pelo INSS)</t>
  </si>
  <si>
    <t>Salário maternidade - 13º Salário</t>
  </si>
  <si>
    <t>Salário maternidade - 13º Salário (pago pelo INSS)</t>
  </si>
  <si>
    <t>Salário-família</t>
  </si>
  <si>
    <t>Diferença de Salário-família retroativo</t>
  </si>
  <si>
    <t>Salário-família - Complemento</t>
  </si>
  <si>
    <t>Auxílio-doença acidentário (pago pelo INSS)</t>
  </si>
  <si>
    <t>Auxílio-doença acidentário - 13º Salário (pago pelo INSS)</t>
  </si>
  <si>
    <t>Salário base do serviço militar obrigatório</t>
  </si>
  <si>
    <t>Cód</t>
  </si>
  <si>
    <t>Salário base do serviço militar obrigatório - 13º Salário</t>
  </si>
  <si>
    <t>13º salário - Adiantamento</t>
  </si>
  <si>
    <t>13º salário</t>
  </si>
  <si>
    <t>13º salário complementar</t>
  </si>
  <si>
    <t>Diferença de reflexo da remuneração variável no 13º salário</t>
  </si>
  <si>
    <t>13º salário - Parcela final paga em dezembro</t>
  </si>
  <si>
    <t>Insuficiência de saldo</t>
  </si>
  <si>
    <t>Adiantamento de férias</t>
  </si>
  <si>
    <t>Adiantamento do adicional de 1/3 sobre férias</t>
  </si>
  <si>
    <t>Férias - Gozadas no mês</t>
  </si>
  <si>
    <t>Férias - Adicional 1/3 sobre férias gozadas no mês</t>
  </si>
  <si>
    <t>Férias - Abono pecuniário de férias</t>
  </si>
  <si>
    <t>Férias - Adicional 1/3 sobre abono pecuniário</t>
  </si>
  <si>
    <t>Férias - O dobro na vigência do contrato</t>
  </si>
  <si>
    <t>Abono pecuniário de férias - O dobro na vigência do contrato</t>
  </si>
  <si>
    <t>Diárias de viagem - até 50% do salário</t>
  </si>
  <si>
    <t>Diárias de viagem - acima de 50% do salário</t>
  </si>
  <si>
    <t>Ajuda de custo de transferência (Parcela única)</t>
  </si>
  <si>
    <t>Reembolsos diversos (com natureza salarial)</t>
  </si>
  <si>
    <t>Reembolsos diversos (sem natureza salarial)</t>
  </si>
  <si>
    <t>PLR - Participação nos lucros e resultados</t>
  </si>
  <si>
    <t>Estagiários - Bolsa</t>
  </si>
  <si>
    <t>Numerário - Remuneração do contribuinte individual</t>
  </si>
  <si>
    <t>Honorários</t>
  </si>
  <si>
    <t>Retiradas (pró-labore) de proprietários ou sócios</t>
  </si>
  <si>
    <t>Retiradas (pró-labore) de diretores (não empregados) optantes pelo FGTS</t>
  </si>
  <si>
    <t>Saldo de salários</t>
  </si>
  <si>
    <t>13º salário sobre o aviso prévio indenizado</t>
  </si>
  <si>
    <t>13º salário proporcional</t>
  </si>
  <si>
    <t>Aviso prévio indenizado</t>
  </si>
  <si>
    <t>Férias - O dobro na rescisão</t>
  </si>
  <si>
    <t>Férias proporcionais</t>
  </si>
  <si>
    <t>Férias vencidas</t>
  </si>
  <si>
    <t>Férias sobre o aviso prévio indenizado</t>
  </si>
  <si>
    <t>Adicional de 1/3 sobre férias</t>
  </si>
  <si>
    <t>Indenização do art. 9º lei nº 7.238/84</t>
  </si>
  <si>
    <t>Indenização do art. 14 da lei nº 5.889, de 8 de junho de 1973</t>
  </si>
  <si>
    <t>Indenização pela extinção antecipada do contrato a termo</t>
  </si>
  <si>
    <t>Multa por atraso no pagamento da rescisão (art. 477, § 8º, da CLT)</t>
  </si>
  <si>
    <t>Indenização por quebra de estabilidade</t>
  </si>
  <si>
    <t>Diferença de remuneração mensal</t>
  </si>
  <si>
    <t>Retroativo - Diferença de remuneração mensal</t>
  </si>
  <si>
    <t>Diferença de 13º salário</t>
  </si>
  <si>
    <t>Retroativo - Diferença de 13º salário</t>
  </si>
  <si>
    <t>Diferença de férias gozadas</t>
  </si>
  <si>
    <t>Retroativo - Diferença de férias gozadas</t>
  </si>
  <si>
    <t>Diferença de verbas indenizatórias</t>
  </si>
  <si>
    <t>Retroativo - Diferença de verbas indenizatórias</t>
  </si>
  <si>
    <t>Diferença de salário maternidade (pago pelo INSS)</t>
  </si>
  <si>
    <t>Retroativo - Diferença de salário maternidade (pago pelo INSS)</t>
  </si>
  <si>
    <t>Diferença de salário maternidade - 13º salário (pago pelo INSS)</t>
  </si>
  <si>
    <t>Retroativo - Diferença de salário maternidade - 13º salário (pago pelo INSS)</t>
  </si>
  <si>
    <t>Diferença de auxílio-doença acidentário (pago pelo INSS)</t>
  </si>
  <si>
    <t>Retroativo - Diferença de auxílio-doença acidentário (pago pelo INSS)</t>
  </si>
  <si>
    <t>Diferença de salário base do serviço militar obrigatório</t>
  </si>
  <si>
    <t>Retroativo - Diferença de salário base do serviço militar obrigatório</t>
  </si>
  <si>
    <t>Diferença do adicional de 1/3 sobre férias gozadas</t>
  </si>
  <si>
    <t>Diferença de abono pecuniário de férias</t>
  </si>
  <si>
    <t>Diferença do adicional de 1/3 sobre abono pecuniário</t>
  </si>
  <si>
    <t>Diferença da dobra de férias na vigência do contrato</t>
  </si>
  <si>
    <t>Diferença da dobra de abono pecuniário de férias</t>
  </si>
  <si>
    <t>Desconto do aviso prévio não cumprido</t>
  </si>
  <si>
    <t>Multa da extinção antecipada do contrato a termo</t>
  </si>
  <si>
    <t>Desconto do adiantamento de salário</t>
  </si>
  <si>
    <t>Desconto de adiantamento de férias e adicional de 1/3 no mês</t>
  </si>
  <si>
    <t>Desconto de pagamento de férias gozadas e abono pecuniário</t>
  </si>
  <si>
    <t>13º salário - Desconto do adiantamento</t>
  </si>
  <si>
    <t>13º salário - Desconto do pagamento</t>
  </si>
  <si>
    <t>13º salário - Desconto remuneração zerada</t>
  </si>
  <si>
    <t>13º salário complementar - Desconto</t>
  </si>
  <si>
    <t>Atrasos</t>
  </si>
  <si>
    <t>Faltas</t>
  </si>
  <si>
    <t>DSR sobre faltas e atrasos</t>
  </si>
  <si>
    <t>Estagiários - Faltas e atrasos</t>
  </si>
  <si>
    <t>Vale-Transporte - Desconto</t>
  </si>
  <si>
    <t>Vale-Transporte - Devolução de valor pago a maior</t>
  </si>
  <si>
    <t>Alimentação - Desconto</t>
  </si>
  <si>
    <t>Pensão Alimentícia - Mensal</t>
  </si>
  <si>
    <t>Pensão Alimentícia - 13° salário</t>
  </si>
  <si>
    <t>Pensão Alimentícia - Férias</t>
  </si>
  <si>
    <t>Pensão Alimentícia - PLR</t>
  </si>
  <si>
    <t>Contribuição Sindical - Compulsória</t>
  </si>
  <si>
    <t>Contribuição Sindical - Associativa</t>
  </si>
  <si>
    <t>Contribuição Sindical - Assistencial</t>
  </si>
  <si>
    <t>Contribuição Sindical - Confederativa</t>
  </si>
  <si>
    <t>Danos causados pelo empregado - Desconto</t>
  </si>
  <si>
    <t>Previdência privada - Desconto</t>
  </si>
  <si>
    <t>Seguro de Vida - Desconto</t>
  </si>
  <si>
    <t>Assistência Médica - Desconto</t>
  </si>
  <si>
    <t>Assistência Médica e/ou Odontológica - Desconto (empregado doméstico)</t>
  </si>
  <si>
    <t>Habitação (empregado doméstico)</t>
  </si>
  <si>
    <t>Contribuição previdenciária do empregado (INSS)</t>
  </si>
  <si>
    <t>Contribuição previdenciária do empregado sobre 13º Salário (INSS)</t>
  </si>
  <si>
    <t>Provisão de INSS - Férias</t>
  </si>
  <si>
    <t>Compensação de provisão de INSS no mês - Férias</t>
  </si>
  <si>
    <t>INSS - SENAT (Descontado Transportador PF)</t>
  </si>
  <si>
    <t>INSS - SEST (Descontado Transportador PF)</t>
  </si>
  <si>
    <t>Imposto de renda retido na fonte - Mensal</t>
  </si>
  <si>
    <t>Imposto de renda retido na fonte - Férias</t>
  </si>
  <si>
    <t>Imposto de renda retido na fonte - 13° salário</t>
  </si>
  <si>
    <t>Imposto de renda retido na fonte - PLR</t>
  </si>
  <si>
    <t>Decisão judicial - Valor líquido de TRCT quitado</t>
  </si>
  <si>
    <t>Diferença de descontos indenizatórios</t>
  </si>
  <si>
    <t>Retroativo - Diferença de descontos indenizatórios</t>
  </si>
  <si>
    <t>Devolução de remuneração mensal</t>
  </si>
  <si>
    <t>Devolução de 13º salário - Ano corrente</t>
  </si>
  <si>
    <t>Devolução de férias gozadas</t>
  </si>
  <si>
    <t>Devolução de verbas indenizatórias</t>
  </si>
  <si>
    <t>Devolução de 13º salário - Anos anteriores</t>
  </si>
  <si>
    <t>Dependente - Remuneração Mensal</t>
  </si>
  <si>
    <t>Dependente - 13° salário</t>
  </si>
  <si>
    <t>Dependente - Férias</t>
  </si>
  <si>
    <t>PSO - Mensal</t>
  </si>
  <si>
    <t>PSO - Férias</t>
  </si>
  <si>
    <t>Rubrica</t>
  </si>
  <si>
    <t>Tipo</t>
  </si>
  <si>
    <t>Incidência INSS</t>
  </si>
  <si>
    <t>Incidência IRRF</t>
  </si>
  <si>
    <t>Incidência FGTS</t>
  </si>
  <si>
    <t xml:space="preserve">TABELA DO SPED 2014 </t>
  </si>
  <si>
    <t>DSR s/ sobre Horas Extras</t>
  </si>
  <si>
    <t>DSR s/ Adicional Noturno</t>
  </si>
  <si>
    <t>DSR s/ Adicional de Viagem do empregado doméstico</t>
  </si>
  <si>
    <t>DSR s/ comissões, percentagens</t>
  </si>
  <si>
    <t>DSR - em dobro</t>
  </si>
  <si>
    <t xml:space="preserve">Incidência C. Sind. </t>
  </si>
  <si>
    <t>Intervalo p/ repouso e aliment., quando não concedido integralmente</t>
  </si>
  <si>
    <t>Interv. entre duas jornadas de trab., quando não concedido integralmente</t>
  </si>
  <si>
    <t>13º Salário Proporcional na Rescisão</t>
  </si>
  <si>
    <t>Ajuda de Custo</t>
  </si>
  <si>
    <t>Diárias</t>
  </si>
  <si>
    <t>Isenções do IRRF</t>
  </si>
  <si>
    <t>Não é calculado pela solução de administração de pessoal</t>
  </si>
  <si>
    <t>70</t>
  </si>
  <si>
    <t>Parcela Isenta 65 anos - Remuneração Mensal</t>
  </si>
  <si>
    <t>71</t>
  </si>
  <si>
    <t>Parcela Isenta 65 anos - 13° salário</t>
  </si>
  <si>
    <t>72</t>
  </si>
  <si>
    <t>73</t>
  </si>
  <si>
    <t>Indenização e rescisão</t>
  </si>
  <si>
    <t>74</t>
  </si>
  <si>
    <t>Indenização e rescisão de contrato, inclusive a título de PDV e acidentes de trabalho</t>
  </si>
  <si>
    <t>Abono Pecuniário</t>
  </si>
  <si>
    <t>75</t>
  </si>
  <si>
    <t>Abono pecuniário</t>
  </si>
  <si>
    <t>Pensão, aposentadoria ou reforma por moléstia grave ou acidente em serviço- Remuneração Mensal</t>
  </si>
  <si>
    <t>76</t>
  </si>
  <si>
    <t>Pensão, aposentadoria ou reforma por moléstia grave ou acidente em serviço- Remuneração Mensal 13º salário</t>
  </si>
  <si>
    <t>77</t>
  </si>
  <si>
    <t>Pensão, aposentadoria ou reforma por moléstia grave ou acidente emserviço- 13° salário</t>
  </si>
  <si>
    <t>Distribuição de lucros isento ou não tributáveis</t>
  </si>
  <si>
    <t>78</t>
  </si>
  <si>
    <t>Valores pagos a titular ou sócio de microempresa ou empresa de pequeno porte, exceto pró-labore e alugueis</t>
  </si>
  <si>
    <t>Outros valores isentos</t>
  </si>
  <si>
    <t>79</t>
  </si>
  <si>
    <t>Outras isenções (o nome da rubrica deve ser claro para identificação da natureza dos valores)</t>
  </si>
  <si>
    <t>Rendimento não tributável</t>
  </si>
  <si>
    <t>00</t>
  </si>
  <si>
    <t>Férias em Dobro (Rescisão)</t>
  </si>
  <si>
    <t>1/3 Abono Obrigatório Férias em Dobro (Rescisão)</t>
  </si>
  <si>
    <t>11</t>
  </si>
  <si>
    <t>13</t>
  </si>
  <si>
    <t>Código de Incidência</t>
  </si>
  <si>
    <t>TABELA DE INCIDENCIA ESOCIAL/ ASSOCIAÇÃO DE RUBRICAS</t>
  </si>
  <si>
    <t>Salário Semanalista/Horas Semanais</t>
  </si>
  <si>
    <t>Salário Contratual/Diarista</t>
  </si>
  <si>
    <t>Salário Contratual/Horista</t>
  </si>
  <si>
    <t>Salário Maternidade</t>
  </si>
  <si>
    <t>Auxílio Natalidade (serviço público)</t>
  </si>
  <si>
    <t>Auxílio-doença/Acidentário</t>
  </si>
  <si>
    <t>Auxílio EnfermidadeAuxílio Enfermidade</t>
  </si>
  <si>
    <t>Descanso Remunerado s/ Salário</t>
  </si>
  <si>
    <t>Adiantamento de Salário s/ IRRF</t>
  </si>
  <si>
    <t>Adiantamento de Salário c/ IRRF</t>
  </si>
  <si>
    <t>Diferença de Salário Maternidade</t>
  </si>
  <si>
    <t>Prorrogação Licença Maternidade</t>
  </si>
  <si>
    <t>Adiantamento 13º Salário Maternidade</t>
  </si>
  <si>
    <t>13º Salário Maternidade</t>
  </si>
  <si>
    <t>Base FGTS 13º Recolhido</t>
  </si>
  <si>
    <t>Complemento 13º Salário Maternidade</t>
  </si>
  <si>
    <t>Valor Original 13º (Afastamento)</t>
  </si>
  <si>
    <t>Licença Prêmio (serviço público)</t>
  </si>
  <si>
    <t>Desconto Licença Prêmio (serviço público)</t>
  </si>
  <si>
    <t>Abono Férias - Convenção</t>
  </si>
  <si>
    <t>Indenização (rescisão cfe. Lei 7238/84)</t>
  </si>
  <si>
    <t>Salário Familia Proporcional</t>
  </si>
  <si>
    <t>Insalubridade Proporcional</t>
  </si>
  <si>
    <t>Aviso Prévio Indenizado 7 Dias</t>
  </si>
  <si>
    <t>Indenização Dias Restantes Contrato (Art 479)</t>
  </si>
  <si>
    <t>Desconto Dias Restantes Contrato (Art 480)</t>
  </si>
  <si>
    <t>Desconto de Aviso Prévio</t>
  </si>
  <si>
    <t>Ajuste Desconto de Férias</t>
  </si>
  <si>
    <t>Média Adiantamento 13º Salário</t>
  </si>
  <si>
    <t>Média 13º Salário (2º parcela)</t>
  </si>
  <si>
    <t>Diferença de Hora Extra</t>
  </si>
  <si>
    <t>Diferenca Salario Familia</t>
  </si>
  <si>
    <t>Diferença 1/3 Abono Férias</t>
  </si>
  <si>
    <t>Diferença de 13º Salário</t>
  </si>
  <si>
    <t>Diferença de Licença Remunerada</t>
  </si>
  <si>
    <t>Diferença de IRRF</t>
  </si>
  <si>
    <t>Diferença de INSS</t>
  </si>
  <si>
    <t>Diferença de FGTS</t>
  </si>
  <si>
    <t>Diferença IRRF Ferias</t>
  </si>
  <si>
    <t>Diferença INSS Férias</t>
  </si>
  <si>
    <t>Diferença FGTS Férias</t>
  </si>
  <si>
    <t>Diferenca Adicional Noturno</t>
  </si>
  <si>
    <t>Diferença Descanso Remunerado</t>
  </si>
  <si>
    <t>Média Diferença 13º Salário</t>
  </si>
  <si>
    <t>INSS Recolhido Contribuinte Individual</t>
  </si>
  <si>
    <t>Afastamento - Base FGTS 13º</t>
  </si>
  <si>
    <t>Afastamento - Base FGTS</t>
  </si>
  <si>
    <t>Afastamento Serviço Militar</t>
  </si>
  <si>
    <t>Afastamento Semanal</t>
  </si>
  <si>
    <t>Afastamento Serviço Militar (Adiantamento 13º)</t>
  </si>
  <si>
    <t>Afastamento Serviço Militar (13º Salário)</t>
  </si>
  <si>
    <t>Diferença de Abono Pecuniário</t>
  </si>
  <si>
    <t>Afastamento Serviço Militar (Complemento 13º)</t>
  </si>
  <si>
    <t>Afastamento Acidente (Adiantamento 13º)</t>
  </si>
  <si>
    <t>Afastamento Acidente (13º Salário)</t>
  </si>
  <si>
    <t>Afastamento Acidente (Complemento 13º Salário)</t>
  </si>
  <si>
    <t>1/3 Adicional de Abono</t>
  </si>
  <si>
    <t>Desconto Vales Avulsos</t>
  </si>
  <si>
    <t>Licença Remunerada</t>
  </si>
  <si>
    <t>Diferença 1/3 Abono Pecuaniário</t>
  </si>
  <si>
    <t>Diferença Licença Prêmio</t>
  </si>
  <si>
    <t>Descanso Remunerado Indenizado</t>
  </si>
  <si>
    <t>13º Salário Exercícios Anteriores</t>
  </si>
  <si>
    <t>Contribuição Sindical (Comissionista/Tarefeiros)</t>
  </si>
  <si>
    <t>Desconto de Faltas (Hrs)</t>
  </si>
  <si>
    <t>Desconto de Faltas</t>
  </si>
  <si>
    <t>Desconto de Atrasos</t>
  </si>
  <si>
    <t>Vale Transporte</t>
  </si>
  <si>
    <t>Desc.Rescisao de ContratoDesc.Rescisao de Contra</t>
  </si>
  <si>
    <t>Desconto Adiantamento Salário s/ IRRF</t>
  </si>
  <si>
    <t>Desconto de DSR s/Faltas e Atrasos</t>
  </si>
  <si>
    <t>Hora Extra 50%</t>
  </si>
  <si>
    <t>Hora Extra 75%</t>
  </si>
  <si>
    <t>Hora Extra 100%</t>
  </si>
  <si>
    <t>Hora Extra 90%</t>
  </si>
  <si>
    <t>Hora Extra 60%</t>
  </si>
  <si>
    <t>Insalubridade 20%</t>
  </si>
  <si>
    <t>Insalubridade 10%</t>
  </si>
  <si>
    <t>Insalubridade 40%</t>
  </si>
  <si>
    <t>Adiantamento de Comissões</t>
  </si>
  <si>
    <t>Comissões</t>
  </si>
  <si>
    <t>Adicional Noturno</t>
  </si>
  <si>
    <t>Gratificação</t>
  </si>
  <si>
    <t>Periculosidade</t>
  </si>
  <si>
    <t>Prêmio de Assiduidade</t>
  </si>
  <si>
    <t>Quebra de Caixa</t>
  </si>
  <si>
    <t>Quebra Caixa Proporcional</t>
  </si>
  <si>
    <t>Gratificação de Função</t>
  </si>
  <si>
    <t>Gratificação Função Proporcional</t>
  </si>
  <si>
    <t>Participação nos Lucros</t>
  </si>
  <si>
    <t>Garantia Mínima</t>
  </si>
  <si>
    <t>Anuênio</t>
  </si>
  <si>
    <t>Biênio</t>
  </si>
  <si>
    <t>Triênio</t>
  </si>
  <si>
    <t>Quinquênio</t>
  </si>
  <si>
    <t>Decênio</t>
  </si>
  <si>
    <t>Gorjeta 10%</t>
  </si>
  <si>
    <t>Gorjeta 30%</t>
  </si>
  <si>
    <t>Auxílio Moradia</t>
  </si>
  <si>
    <t>Auxílio Rouparia</t>
  </si>
  <si>
    <t>Abono de Salário</t>
  </si>
  <si>
    <t>Antecipação Salarial</t>
  </si>
  <si>
    <t>Férias (Dobro)</t>
  </si>
  <si>
    <t>1/3 Abono Obrigatório Férias (Dobro)</t>
  </si>
  <si>
    <t>Abono Pecuniário (Dobro)</t>
  </si>
  <si>
    <t>1/3 Abono Pecuniário (Dobro)</t>
  </si>
  <si>
    <t>Desconto de Líquido Pago em Rescisão</t>
  </si>
  <si>
    <t>Salário Líquido Referente ao Mês Ant. à Rescisão</t>
  </si>
  <si>
    <t>Mensalidade Assistencial</t>
  </si>
  <si>
    <t>Desconto Assistencial FASB</t>
  </si>
  <si>
    <t>Desconto Assistencial FAA</t>
  </si>
  <si>
    <t>Contribuição Confederativa 1%</t>
  </si>
  <si>
    <t>Contribuição Confederativa 2%</t>
  </si>
  <si>
    <t>Contribuição Confederativa 3%</t>
  </si>
  <si>
    <t>Taxa Assistencial</t>
  </si>
  <si>
    <t>Mensalidade Associados</t>
  </si>
  <si>
    <t>Desconto Lanchonete</t>
  </si>
  <si>
    <t>Desconto Refeição</t>
  </si>
  <si>
    <t>Desconto Ticket Refeição</t>
  </si>
  <si>
    <t>Desconto Ticket Alimentação</t>
  </si>
  <si>
    <t>Desconto Moradia</t>
  </si>
  <si>
    <t>Assistência Médica</t>
  </si>
  <si>
    <t>Seguro</t>
  </si>
  <si>
    <t>Desconto de Cesta Básica</t>
  </si>
  <si>
    <t>Contribuição Assistencial</t>
  </si>
  <si>
    <t>Plano de Saúde</t>
  </si>
  <si>
    <t>Pensão Familiar (Alimentícia)</t>
  </si>
  <si>
    <t>Pensão Alimentícia Férias</t>
  </si>
  <si>
    <t>Pensão Alimentícia 13º</t>
  </si>
  <si>
    <t>Desconto Pensão Alimentícia Adiantamento 13º</t>
  </si>
  <si>
    <t>Reembolso Pensão Alimentícia Adiantamento 13º</t>
  </si>
  <si>
    <t>Pensão Alimentícia PLR</t>
  </si>
  <si>
    <t>Pagamento de Faltas Justificadas em Dias</t>
  </si>
  <si>
    <t>Pagamento de Faltas Justificadas em Horas</t>
  </si>
  <si>
    <t>Retirada Pró-Labore</t>
  </si>
  <si>
    <t>S/N</t>
  </si>
  <si>
    <t>Serviços Prestados (cont. ind. s/ vínculo emprego)</t>
  </si>
  <si>
    <t>Frete (Transportador Autônomo)</t>
  </si>
  <si>
    <t>Valor Original 13º (FB)</t>
  </si>
  <si>
    <t>INSS Original 13º (FVal)</t>
  </si>
  <si>
    <t>IRRF Original 13º (FVal)</t>
  </si>
  <si>
    <t>INSS Original 13º (FBase)</t>
  </si>
  <si>
    <t>Abono Família</t>
  </si>
  <si>
    <t>Descanso Remunerado</t>
  </si>
  <si>
    <t>Descanso Remunerado s/ Horas Extras</t>
  </si>
  <si>
    <t>Descanso Remunerado s/ Adicional Noturno</t>
  </si>
  <si>
    <t>Arredondamento</t>
  </si>
  <si>
    <t>Arredondamento Mês Anterior</t>
  </si>
  <si>
    <t>Desconto de Arredondamento 13º Salário</t>
  </si>
  <si>
    <t>Arredondamento Adiantamento Mensal</t>
  </si>
  <si>
    <t>Arredondamento de Férias</t>
  </si>
  <si>
    <t>Desconto Adiantamento Salário c/ IRRF</t>
  </si>
  <si>
    <t>Complemento Desconto de INSS</t>
  </si>
  <si>
    <t>Previdência</t>
  </si>
  <si>
    <t>INSS Contribuinte Individual</t>
  </si>
  <si>
    <t>Desconto IRRF Férias</t>
  </si>
  <si>
    <t>Desconto IRRF 13º Salário</t>
  </si>
  <si>
    <t>Desconto IRRF Participação nos Lucros e Resultados</t>
  </si>
  <si>
    <t>FGTS Rescisão</t>
  </si>
  <si>
    <t>FGTS Multa Rescisão 40%</t>
  </si>
  <si>
    <t>Insuficiência de Saldo no Mês</t>
  </si>
  <si>
    <t>Insuficiência de Saldo Mês Anterior</t>
  </si>
  <si>
    <t>Contribuição do IPSEMG</t>
  </si>
  <si>
    <t>Peculio</t>
  </si>
  <si>
    <t>Hospital</t>
  </si>
  <si>
    <t>Plano Odontológico</t>
  </si>
  <si>
    <t>Bolsa Escolar (pesquisa)</t>
  </si>
  <si>
    <t>SEST/SENAT</t>
  </si>
  <si>
    <t>Bolsa Estágio</t>
  </si>
  <si>
    <t>Recesso Vencido (Estagiário)</t>
  </si>
  <si>
    <t>Recesso Proporcional (Estagiário)</t>
  </si>
  <si>
    <t>Salário Base Aulista</t>
  </si>
  <si>
    <t>Adicional de Hora-atividade</t>
  </si>
  <si>
    <t>Descanso Remunerado Aulistas</t>
  </si>
  <si>
    <t>Bolsa Estágio Horista</t>
  </si>
  <si>
    <t>Descanso Remunerado S/ Salário Feriado</t>
  </si>
  <si>
    <t>Desconto Salário Folha Semanal</t>
  </si>
  <si>
    <t>Salário Afastamento Doença/Acidente até 15 dias</t>
  </si>
  <si>
    <t>Salário Afastamento Doença/Acidente</t>
  </si>
  <si>
    <t>Reembolso de Faltas (Hrs)</t>
  </si>
  <si>
    <t>Reembolso de Faltas (Dias)</t>
  </si>
  <si>
    <t>Média Férias</t>
  </si>
  <si>
    <t>Média 1/3 Abono Obrigatório Férias</t>
  </si>
  <si>
    <t>Média Abono Pecuniário</t>
  </si>
  <si>
    <t>Média 1/3 Adicional de Abono</t>
  </si>
  <si>
    <t>Diferença Média Férias</t>
  </si>
  <si>
    <t>Diferença Média Abono Pecuniário</t>
  </si>
  <si>
    <t>Diferença Média 1/3 Abono Férias</t>
  </si>
  <si>
    <t>Diferença Média 1/3 Abono Pecuniário</t>
  </si>
  <si>
    <t>Média Licença Remunerada</t>
  </si>
  <si>
    <t>Diferença Média Licença Remunerada</t>
  </si>
  <si>
    <t>Gratificação de Quebra de Caixa</t>
  </si>
  <si>
    <t>Reembolso de Plano de Saúde</t>
  </si>
  <si>
    <t>Retirada Pró-Labore Diretor não Empregado s/ FGTS</t>
  </si>
  <si>
    <t>Retirada Pró-Labore Diretor não Empregado c /FGTS</t>
  </si>
  <si>
    <t>Remuneração de Cooperado</t>
  </si>
  <si>
    <t>Base de Cálculo da Contribuição Previdenciária</t>
  </si>
  <si>
    <t>Base de Cálculo do FGTS</t>
  </si>
  <si>
    <t>Base de Cálculo do IRRF</t>
  </si>
  <si>
    <t>Base de Cálculo do FGTS Rescisório</t>
  </si>
  <si>
    <t>Valor do FGTS - Depósito</t>
  </si>
  <si>
    <t>Horas Extraordinárias - Banco de horas</t>
  </si>
  <si>
    <t>Horas Compensadas - Banco de horas</t>
  </si>
  <si>
    <t>Média 13º Salário Maternidade</t>
  </si>
  <si>
    <t>Contribuição SEST</t>
  </si>
  <si>
    <t>Contribuição SENAT</t>
  </si>
  <si>
    <t>Verbas Transitórias s/incidência- Cont. Previ. 80%</t>
  </si>
  <si>
    <t>Verbas Transitórias s/incidência- Cont. Previ. Férias</t>
  </si>
  <si>
    <t>Outros Proventos-Informativo</t>
  </si>
  <si>
    <t>Auxílio Acidente-15 dias pagos pela empresa</t>
  </si>
  <si>
    <t>1/3 de Férias Proporcionais (rescisão)</t>
  </si>
  <si>
    <t>FGTS-Multa C.Social 10%</t>
  </si>
  <si>
    <t>Multa por Atraso no Pagamento da Rescisão (Art 477, § 8º)</t>
  </si>
  <si>
    <t>Salário Maternidade Pago p/ Previdência -Verb. transitórias</t>
  </si>
  <si>
    <t>09</t>
  </si>
  <si>
    <t>Ind. Compensatória-Multa Resc. FGTS- Verb. Transitória</t>
  </si>
  <si>
    <t>Entra como base de cálculo do Salário-Família</t>
  </si>
  <si>
    <t>Primeiro dígito</t>
  </si>
  <si>
    <t>Segundo dígito</t>
  </si>
  <si>
    <t>Descrição da natureza da rubrica</t>
  </si>
  <si>
    <t>Verbas relacionadas aos proventos/rendimentos dos trabalhadores</t>
  </si>
  <si>
    <t>Salário, vencimento, soldo ou subsídio, descanso semanal remunerado (DSR), horas extras, sobreaviso, férias e outras verbas salariais</t>
  </si>
  <si>
    <t>Adicionais (função/cargo, insalubridade, periculosidade, transferência, noturno, tempo de serviço), comissões, porcentagens, gueltas, gorjetas, gratificações (inclusive por acordo ou convenção coletiva), quebra de caixa e outros adicionais e auxílios</t>
  </si>
  <si>
    <t>Participações em lucros ou resultados (PLR) e bolsas de estudo</t>
  </si>
  <si>
    <t>Abonos, auxílios babá, creche, educação, previdência privada complementar, salário-família e seguros</t>
  </si>
  <si>
    <t>Ajuda de custo, transferência, diárias, ressarcimento uso veículo e outras indenizações e ressarcimentos</t>
  </si>
  <si>
    <t>Auxílio-alimentação, moradia, vale transporte e etapas (marítimos)</t>
  </si>
  <si>
    <t>Prêmios, empréstimos, vestuários e equipamentos, reembolsos e insuficiência de saldo</t>
  </si>
  <si>
    <t>Verbas relacionadas aos contribuintes individuais e outras</t>
  </si>
  <si>
    <t>Prestadores de serviço, pró-labore, honorários e conselheiros e cooperados</t>
  </si>
  <si>
    <t>Complementação salarial de auxílio-doença e salário maternidade</t>
  </si>
  <si>
    <t>Verbas relacionadas ao 13º salário</t>
  </si>
  <si>
    <t>Verbas relacionadas ao pagamento de 13º salário, inclusive adiantamentos</t>
  </si>
  <si>
    <t>Adiantamento de salário e 13º salário – 1ª parcela</t>
  </si>
  <si>
    <t>Saldo de salários na rescisão contratual, verbas indenizatórias e multas</t>
  </si>
  <si>
    <t>Saldo de salários na rescisão contratual, 13º salário indenizado, férias indenizadas e férias vencidas</t>
  </si>
  <si>
    <t>Indenizações legais</t>
  </si>
  <si>
    <t>Desconto de aviso-prévio</t>
  </si>
  <si>
    <t>Proventos de aposentadoria, reserva, reforma ou pensão pagos por Previdência Pública</t>
  </si>
  <si>
    <t>Bases</t>
  </si>
  <si>
    <t>Descontos relacionados à previdência social e imposto de renda; outros descontos relacionados a atrasos, faltas, contribuição sindical, convênios, vale-transporte, alimentação, assistência médica e odontológica, seguro de vida, pensão alimentícia e retenções judiciais, empréstimos, danos e prejuízos</t>
  </si>
  <si>
    <t>Bases de cálculo, verbas relacionadas ao serviço militar obrigatório, banco de horas e verbas informativas</t>
  </si>
  <si>
    <t>Fonte: MOS página 64 em diante</t>
  </si>
  <si>
    <t>TIPO DE RUBRICA</t>
  </si>
  <si>
    <t>Vencimento, provento ou pensão</t>
  </si>
  <si>
    <t>Desconto</t>
  </si>
  <si>
    <t>Informativa</t>
  </si>
  <si>
    <t>Informativa dedutora</t>
  </si>
  <si>
    <t>Fonte:</t>
  </si>
  <si>
    <t>Leiautes V2.4.02 03/2018 página 17 campo 21</t>
  </si>
  <si>
    <t>MOS página 169 4) b</t>
  </si>
  <si>
    <t>Tabela 03 - Natureza das Rubricas da Folha de Pagamento</t>
  </si>
  <si>
    <t>Código</t>
  </si>
  <si>
    <t>Nome da Natureza da Rubrica</t>
  </si>
  <si>
    <t>Descrição da Natureza da Rubrica</t>
  </si>
  <si>
    <t>Salário, vencimento, soldo ou subsídio</t>
  </si>
  <si>
    <t>Corresponde ao salário básico contratual do empregado contratado de acordo com a CLT e o vencimento mensal do servidor público e do militar</t>
  </si>
  <si>
    <t>Descanso semanal remunerado - DSR</t>
  </si>
  <si>
    <t>Valor correspondente a um dia de trabalho incidente sobre as verbas de natureza variável, tais como: horas extras, adicional noturno, produção, comissão, etc.</t>
  </si>
  <si>
    <t>Horas extraordinárias</t>
  </si>
  <si>
    <t>Valor correspondente a hora extraordinária de trabalho, acrescido de percentual de no mínimo 50%</t>
  </si>
  <si>
    <t>Horas extraordinárias - Indenização de banco de horas</t>
  </si>
  <si>
    <t>Valor correspondente a pagamento das horas extraordinárias, inicialmente destinadas para o banco de horas e que não foram compensadas</t>
  </si>
  <si>
    <t>Direito de arena</t>
  </si>
  <si>
    <t>Valores relativos a direito de arena decorrente do espetáculo, devidos ao atleta</t>
  </si>
  <si>
    <t>Intervalos intra e inter jornadas não concedidos</t>
  </si>
  <si>
    <t>Valores relativos a intervalos não concedidos de intrajornada ou interjornada</t>
  </si>
  <si>
    <t>Luvas e premiações</t>
  </si>
  <si>
    <t>Valores correspondentes a prêmios e luvas, devidos ao atleta</t>
  </si>
  <si>
    <t>Salário-família - complemento</t>
  </si>
  <si>
    <t>Valor excedente ao do fixado pela previdência social para o salário- família</t>
  </si>
  <si>
    <t>Salário in natura, também conhecido por salário utilidade, correspondente a remunerações pagas em bens ou serviços</t>
  </si>
  <si>
    <t>Sobreaviso e prontidão</t>
  </si>
  <si>
    <t>Valor correspondente a um percentual da hora normal de trabalho</t>
  </si>
  <si>
    <t>Férias - gozadas</t>
  </si>
  <si>
    <t>Valor correspondente a remuneração a que faz jus na época da concessão das férias e o adicional constitucional a que o trabalhador adquiriu direito, inclusive o adiantamento de férias, quando pagas antecipadamente</t>
  </si>
  <si>
    <t>Férias - abono ou gratificação de férias superior a 20 dias</t>
  </si>
  <si>
    <t>Remuneração a título de abono de férias, desde que excedente a 20 (vinte) dias do salário e concedido em virtude de cláusula contratual, do regulamento da empresa, de convenção ou acordo coletivo, como por exemplo, o art. 144 da CLT</t>
  </si>
  <si>
    <t>Férias - abono ou gratificação de férias não excedente a 20 dias</t>
  </si>
  <si>
    <t>Remuneração a título de abono de férias, desde que não excedente a 20 (vinte) dias do salário e concedido em virtude de cláusula contratual, do regulamento da empresa, de convenção ou acordo coletivo, como por exemplo o art. 144 da CLT</t>
  </si>
  <si>
    <t>Férias - abono pecuniário</t>
  </si>
  <si>
    <t>Valor correspondente a conversão em dinheiro de parte dos dias de férias a que o trabalhador adquiriu direito, inclusive o adicional constitucional</t>
  </si>
  <si>
    <t>Férias - o dobro na vigência do contrato</t>
  </si>
  <si>
    <t>Valor correspondente a remuneração a que faz jus na época da concessão das férias, concedidas após o prazo de concessão, inclusive o adicional constitucional</t>
  </si>
  <si>
    <t>Licença-prêmio</t>
  </si>
  <si>
    <t>Valor relativo a licença-prêmio, em decorrência de afastamento do trabalho</t>
  </si>
  <si>
    <t>Licença-prêmio indenizada</t>
  </si>
  <si>
    <t>Valor correspondente à conversão em dinheiro da licença-prêmio</t>
  </si>
  <si>
    <t>Remuneração de dias de afastamento</t>
  </si>
  <si>
    <t>Remuneração de dias nos quais o trabalhador esteja afastado do trabalho sem prejuízo de sua remuneração</t>
  </si>
  <si>
    <t>Stock Option</t>
  </si>
  <si>
    <t>Remuneração pelo exercício de opção de compra de ações da empresa</t>
  </si>
  <si>
    <t>Outras verbas salariais</t>
  </si>
  <si>
    <t>Outras verbas salariais não previstas nos itens anteriores</t>
  </si>
  <si>
    <t>Adicional de função / cargo confiança</t>
  </si>
  <si>
    <t>Adicional ou gratificação concedida em virtude de cargo ou função de confiança</t>
  </si>
  <si>
    <t>Adicional por serviços em condições de insalubridade</t>
  </si>
  <si>
    <t>Adicional por serviços em condições perigosas</t>
  </si>
  <si>
    <t>Adicional em razão de transferência de trabalhador, enquanto durar a transferência</t>
  </si>
  <si>
    <t>Adicional por trabalho em horário noturno</t>
  </si>
  <si>
    <t>Adicional em virtude do tempo de serviço (anuênio, quinquênio, etc.)</t>
  </si>
  <si>
    <t>Comissões, porcentagens, produção</t>
  </si>
  <si>
    <t>Valor correspondente a contraprestação de serviço, normalmente baseada em um percentual sobre as vendas totais desse trabalhador</t>
  </si>
  <si>
    <t>Gueltas ou gorjetas - repassadas por fornecedores ou clientes</t>
  </si>
  <si>
    <t>Valores pagos diretamente por fornecedores a trabalhador a título de incentivos de vendas (gueltas) ou por clientes a título de recompensa por bons serviços prestados (gorjetas)</t>
  </si>
  <si>
    <t>Gueltas ou gorjetas - repassadas pelo empregador</t>
  </si>
  <si>
    <t>Valores pagos relativos a gueltas ou gorjetas, por meio de repasse ao empregador</t>
  </si>
  <si>
    <t>Gratificação por acordo ou convenção coletiva</t>
  </si>
  <si>
    <t>Verba estabelecida em acordo ou convenção coletiva de trabalho</t>
  </si>
  <si>
    <t>Verba não estabelecida em acordo ou convenção coletiva, mas paga para o empregado em decorrência de ajuste entre as partes ou por liberalidade do empregador, como por exemplo produtividade, assiduidade, etc.</t>
  </si>
  <si>
    <t>Gratificações ou outras verbas de natureza permanente</t>
  </si>
  <si>
    <t>Órgão Público - Parcelas remuneratórias reconhecidamente inerentes às funções do cargo efetivo, cujo valor integra a remuneração do cargo efetivo</t>
  </si>
  <si>
    <t>Gratificações ou outras verbas de natureza transitória</t>
  </si>
  <si>
    <t>Órgão Público - Parcelas remuneratórias vinculadas à atividade cujo recebimento dependa de avaliação de desempenho ou determinadas condições</t>
  </si>
  <si>
    <t>Adicional de penosidade</t>
  </si>
  <si>
    <t>Adicional pela realização de atividade árdua que exija do trabalhador esforço, atenção ou vigilância acima do comum</t>
  </si>
  <si>
    <t>Adicional de unidocência</t>
  </si>
  <si>
    <t>Adicional de Unidocência para Professores de 1ª a 4ª série</t>
  </si>
  <si>
    <t>Valor destinado a cobrir os riscos assumidos por quem trabalha com manuseio de valores, para compensar eventuais descontos ou diferenças de numerários</t>
  </si>
  <si>
    <t>Remuneração do dirigente sindical</t>
  </si>
  <si>
    <t>Remuneração paga ao trabalhador afastado, durante o exercício da atividade sindical</t>
  </si>
  <si>
    <t>Valores relativos a outros adicionais não previstos nos itens anteriores</t>
  </si>
  <si>
    <t>PLR - Participação em Lucros ou Resultados</t>
  </si>
  <si>
    <t>Valor correspondente a participação em lucros ou resultados da empresa, de acordo com lei específica</t>
  </si>
  <si>
    <t>Bolsa de estudo - estagiário</t>
  </si>
  <si>
    <t>Valor devido ao estagiário em atividades práticas de complementação do currículo escolar, inclusive os valores pagos a título de recesso remunerado - Lei nº 11.788 de 25/09/2008</t>
  </si>
  <si>
    <t>Bolsa de estudo - médico residente</t>
  </si>
  <si>
    <t>Bolsa de estudo ao médico residente</t>
  </si>
  <si>
    <t>Bolsa de estudo ou pesquisa</t>
  </si>
  <si>
    <t>Remuneração a professores, pesquisadores e demais profissionais com a finalidade de estudos ou pesquisa, exceto pagamentos a estagiário e médico-residente</t>
  </si>
  <si>
    <t>Abono</t>
  </si>
  <si>
    <t>Qualquer abono concedido de forma espontânea ou em virtude de acordo ou convenção coletiva, norma, etc.</t>
  </si>
  <si>
    <t>Abono PIS / PASEP</t>
  </si>
  <si>
    <t>Abono e/ou rendimento do PIS / PASEP repassado pelo empregador ou órgão público</t>
  </si>
  <si>
    <t>As importâncias recebidas a título de ganhos eventuais e os abonos expressamente desvinculados do salário, por força da lei</t>
  </si>
  <si>
    <t>Auxílio babá</t>
  </si>
  <si>
    <t>Valor relativo a reembolso de despesas com babá, limitado ao menor salário de contribuição mensal e condicionado à comprovação do registro na carteira de trabalho e previdência social da empregada, do pagamento da remuneração e do recolhimento da contribuição previdenciária, pago em conformidade com a legislação trabalhista, observado o limite máximo de 6 (seis) anos de idade da criança. Caso haja previsão em acordo coletivo da categoria, este limite de idade poderá ser maior.</t>
  </si>
  <si>
    <t>Assistência médica</t>
  </si>
  <si>
    <t>Valor pago diretamente ao trabalhador a título de assistência médica ou odontológica, inclusive o reembolso de despesas com medicamentos, óculos, aparelhos ortopédicos, despesas médico- hospitalares e outras similares</t>
  </si>
  <si>
    <t>Auxílio-creche</t>
  </si>
  <si>
    <t>O reembolso creche pago em conformidade com a legislação trabalhista, observado o limite máximo de 6 (seis) anos de idade da criança, quando devidamente comprovadas as despesas realizadas. Caso haja previsão em acordo coletivo da categoria, este limite de idade poderá ser maior.</t>
  </si>
  <si>
    <t>Auxílio-educação</t>
  </si>
  <si>
    <t>Valor relativo a plano educacional, ou bolsa de estudo, que vise à educação básica de trabalhadores e seus dependentes e, desde que vinculada às atividades desenvolvidas pela empresa, à educação profissional e tecnológica de trabalhadores, nos termos da Lei nº 9.394, de 20 de dezembro de 1996, e:                                                                          1) não seja utilizado em substituição de parcela salarial;
2) o valor mensal do plano educacional ou bolsa de estudo, considerado individualmente, não ultrapasse 5% (cinco por cento) da remuneração do segurado a que se destina ou o valor correspondente a uma vez e meia o valor do limite mínimo mensal do salário de contribuição, o que for maior</t>
  </si>
  <si>
    <t>Valor do salário-família, conforme limite legal, em virtude do número de filhos menores de 14 anos, ou inválidos de qualquer idade</t>
  </si>
  <si>
    <t>Auxílio - Locais de difícil acesso</t>
  </si>
  <si>
    <t>Valor correspondente a transporte, habitação e alimentação fornecido ao trabalhador contratado para prestar serviço em localidade distante da sua residência, em canteiro de obras ou local que, por força da atividade, exija deslocamento e estada</t>
  </si>
  <si>
    <t>Ajuda de custo - aeronauta</t>
  </si>
  <si>
    <t>Adicional mensal recebidos pelo aeronauta nos termos da lei nº 5.929, de 30 de outubro de 1973</t>
  </si>
  <si>
    <t>Ajuda de custo de transferência</t>
  </si>
  <si>
    <t>Ajuda de custo em parcela única, em razão de transferência de local de trabalho</t>
  </si>
  <si>
    <t>Ajuda de custo - até 50% da remuneração mensal</t>
  </si>
  <si>
    <t>Ajuda de custo paga ao trabalhador, desde que não exceda a 50% da sua remuneração mensal</t>
  </si>
  <si>
    <t>Ajuda de custo - acima de 50% da remuneração mensal</t>
  </si>
  <si>
    <t>Ajuda de custo para ao trabalhador, superior a 50% da sua remuneração mensal</t>
  </si>
  <si>
    <t>Ressarcimento de despesas pelo uso de veículo próprio</t>
  </si>
  <si>
    <t>Ressarcimento de despesas ao trabalhador, pela utilização de veículo de sua propriedade</t>
  </si>
  <si>
    <t>Ressarcimento de despesas de viagem, exceto despesas com veículos</t>
  </si>
  <si>
    <t>Ressarcimento de despesas pagas com recursos do trabalhador em viagens a trabalho</t>
  </si>
  <si>
    <t>Ressarcimento de provisão</t>
  </si>
  <si>
    <t>Ressarcimento de desconto efetuado em recibos de férias relativo a provisão de contribuição previdenciária e IRRF</t>
  </si>
  <si>
    <t>Ressarcimento de outras despesas</t>
  </si>
  <si>
    <t>Ressarcimento de outras despesas pagas pelo trabalhador, não previstas nos itens anteriores</t>
  </si>
  <si>
    <t>Diárias de viagem</t>
  </si>
  <si>
    <t>Diárias de viagem ao trabalhador</t>
  </si>
  <si>
    <t>Alimentação</t>
  </si>
  <si>
    <t>Auxílio-alimentação</t>
  </si>
  <si>
    <t>Etapas (marítimos)</t>
  </si>
  <si>
    <t>Auxílio-alimentação ao trabalhador marítimo</t>
  </si>
  <si>
    <t>Moradia</t>
  </si>
  <si>
    <t>Auxílio-moradia</t>
  </si>
  <si>
    <t>Transporte</t>
  </si>
  <si>
    <t>Auxílio-transporte</t>
  </si>
  <si>
    <t>Liberalidades concedidas pelo empregador em forma de bens, serviços ou valor em dinheiro a empregado ou a grupo de empregados, em razão de desempenho superior ao ordinariamente esperado no exercício de suas atividades, em até duas parcelas anuais</t>
  </si>
  <si>
    <t>Liberalidades concedidas em mais de duas parcelas anuais</t>
  </si>
  <si>
    <t>Liberalidades concedidas pelo empregador em forma de bens, serviços ou valor em dinheiro a empregado ou a grupo de empregados, em razão de desempenho superior ao ordinariamente esperado no exercício de suas atividades, em mais de duas parcelas anuais</t>
  </si>
  <si>
    <t>Direitos autorais e intelectuais</t>
  </si>
  <si>
    <t>Valor correspondente a participação em produção científica, intelectual ou artística</t>
  </si>
  <si>
    <t>Quarentena remunerada</t>
  </si>
  <si>
    <t>Valor equivalente a remuneração se em exercício estivesse, devida ao trabalhador desligado, em período de quarentena</t>
  </si>
  <si>
    <t>Empréstimos</t>
  </si>
  <si>
    <t>Empréstimos ao trabalhador para posterior desconto</t>
  </si>
  <si>
    <t>Vestuário e equipamentos</t>
  </si>
  <si>
    <t>Valor correspondente a vestuários, equipamentos e outros acessórios fornecidos ao trabalhador e utilizados no local de trabalho para prestação dos respectivos serviços</t>
  </si>
  <si>
    <t>Reembolsos diversos</t>
  </si>
  <si>
    <t>Valor relativo a reembolsos diversos referentes a descontos indevidos efetuados em competências anteriores</t>
  </si>
  <si>
    <t>Valor lançado em folha de pagamento para cobertura de excesso de descontos em relação a vencimentos, tanto o valor do vencimento no mês em que houver a insuficiência de saldo, como o respectivo desconto no(s) mês(es) posteriores</t>
  </si>
  <si>
    <t>Arredondamentos</t>
  </si>
  <si>
    <t>Valor lançado em folha de pagamento, não superior a 99 centavos, relativo a arrendamentos</t>
  </si>
  <si>
    <t>Remuneração por prestação de serviços</t>
  </si>
  <si>
    <t>Remuneração (inclusive adiantamentos) a contribuintes individuais, inclusive honorários, em trabalhos de natureza eventual e sem vínculo trabalhista</t>
  </si>
  <si>
    <t>Retiradas (pró-labore) de diretores empregados</t>
  </si>
  <si>
    <t>Pró-labore ou retirada (remuneração) a diretores empregados (CLT)</t>
  </si>
  <si>
    <t>Retiradas (pró-labore) de diretores não empregados</t>
  </si>
  <si>
    <t>Pró-labore ou retirada (remuneração) a diretores não empregados</t>
  </si>
  <si>
    <t>Pró-labore ou retirada (remuneração) a proprietários ou sócios da empresa</t>
  </si>
  <si>
    <t>Honorários a conselheiros</t>
  </si>
  <si>
    <t>Valor correspondente a honorários pagos a membros de conselho</t>
  </si>
  <si>
    <t>Remuneração de cooperado</t>
  </si>
  <si>
    <t>Remuneração a cooperado vinculado a cooperativa de trabalho</t>
  </si>
  <si>
    <t>Côngruas, prebendas e afins</t>
  </si>
  <si>
    <t>Valores pagos a ministros de confissão religiosa e que independem de natureza e da quantidade do trabalho executado</t>
  </si>
  <si>
    <t>Complementação salarial de auxílio-doença</t>
  </si>
  <si>
    <t>Complementação salarial de auxílio-doença ao trabalhador afastado por acidente de trabalho ou por doença</t>
  </si>
  <si>
    <t>Remuneração mensal da trabalhadora empregada durante a licença maternidade, quando paga pelo contratante ou órgão público</t>
  </si>
  <si>
    <t>Salário maternidade - 13° salário</t>
  </si>
  <si>
    <t>Valor correspondente ao 13° salário pago pelo contratante ou órgão público, no período de licença maternidade</t>
  </si>
  <si>
    <t>Valor relativo ao 13° salário de trabalhador, inclusive as médias de 13° salário (horas extras, adicional noturno, etc.), exceto se relativo à primeira parcela ou se pago em rescisão contratual - nessa opção devem ser classificadas também o valor pago mensalmente ao trabalhador avulso, a título de 13° salário</t>
  </si>
  <si>
    <t>13° salário complementar</t>
  </si>
  <si>
    <t>Valor do 13° salário complementar relativo a diferenças apuradas não consideradas na folha de fechamento do 13° salário</t>
  </si>
  <si>
    <t>Valor relativo a adiantamento, antecipação ou pagamento parcial de folha de salários</t>
  </si>
  <si>
    <t>Valor relativo a adiantamento do 13° salário</t>
  </si>
  <si>
    <t>Adiantamento de benefícios previdenciários</t>
  </si>
  <si>
    <t>Valor relativo a adiantamento de benefícios a serem pagos pela Previdência Social Oficial</t>
  </si>
  <si>
    <t>Saldo de salários na rescisão contratual</t>
  </si>
  <si>
    <t>Valor correspondente aos dias trabalhados no mês da rescisão contratual</t>
  </si>
  <si>
    <t>13º salário relativo ao aviso-prévio indenizado</t>
  </si>
  <si>
    <t>Valor correspondente ao 13° salário incidente sobre o aviso-prévio indenizado</t>
  </si>
  <si>
    <t>13° salário proporcional na rescisão</t>
  </si>
  <si>
    <t>Valor correspondente ao 13° salário proporcional pago na rescisão do contrato de trabalho, exceto o pago sobre o aviso-prévio indenizado</t>
  </si>
  <si>
    <t>Indenização compensatória do aviso-prévio</t>
  </si>
  <si>
    <t>Valor da maior remuneração do trabalhador, correspondente ao número de dias relativo ao aviso prévio, calculado de acordo com o tempo de serviço do empregado</t>
  </si>
  <si>
    <t>Férias - o dobro na rescisão</t>
  </si>
  <si>
    <t>Valor correspondente a remuneração a que faz jus a época da rescisão contratual, correspondente a férias não concedidas no prazo legal, inclusive o adicional constitucional</t>
  </si>
  <si>
    <t>Valor correspondente a 1/12 avos da remuneração a que faz jus a época da rescisão contratual, fração superior a 14 dias por mês de trabalho e a projeção do aviso-prévio indenizado, inclusive o adicional constitucional</t>
  </si>
  <si>
    <t>Férias vencidas na rescisão</t>
  </si>
  <si>
    <t>Valor correspondente a remuneração a que faz jus a época da rescisão contratual, correspondente a férias vencidas, mas dentro do prazo concessivo, inclusive o adicional constitucional</t>
  </si>
  <si>
    <t>Indenização compensatória- multa rescisória 20 ou 40% (CF/88)</t>
  </si>
  <si>
    <t>Valor correspondente à indenização por demissão sem justa causa, por culpa recíproca ou força maior (ambas reconhecidas pela Justiçado Trabalho), por acordo entre empregado e empregador ou por extinção do contrato de trabalho intermitente, quando da rescisão do contrato de trabalho</t>
  </si>
  <si>
    <t>Valor correspondente a indenização quando a dispensa ocorrer sem justa causa dentro dos trinta dias que antecedem a data base</t>
  </si>
  <si>
    <t>Valor correspondente a indenização do tempo de serviço ao safrista, importância correspondente a 1/12 (um doze avos) do salário mensal, por mês de serviço ou fração superior a 14 (quatorze) dias</t>
  </si>
  <si>
    <t>Indenização do art. 479 da CLT</t>
  </si>
  <si>
    <t>Valor correspondente a metade da remuneração devida ate o termino do contrato a prazo determinado em caso de rescisão antecipada</t>
  </si>
  <si>
    <t>Indenização recebida a título de incentivo a demissão</t>
  </si>
  <si>
    <t>Valor correspondente a incentivo a demissão em Programas de Demissão Voluntária - PDV</t>
  </si>
  <si>
    <t>Multa do art. 477 da CLT</t>
  </si>
  <si>
    <t>Valor devido ao trabalhador por atraso no pagamento de rescisão do contrato de trabalho (art. 477 da CLT, § 8º)</t>
  </si>
  <si>
    <t>Valor correspondente a indenização por desligamento durante período de estabilidade legal, ou estabilidade derivada de acordo ou convenção coletiva de trabalho</t>
  </si>
  <si>
    <t>Outras Indenizações</t>
  </si>
  <si>
    <t>Valor correspondente a outras indenizações previstas em leis ou em Instrumentos Coletivos de Trabalho, exceto as previstas nos itens anteriores</t>
  </si>
  <si>
    <t>Desconto do aviso-prévio</t>
  </si>
  <si>
    <t>Valor descontado do trabalhador que tenha pedido demissão e não cumpriu aviso-prévio, total ou parcialmente</t>
  </si>
  <si>
    <t>Multa prevista no art. 480 da CLT</t>
  </si>
  <si>
    <t>Valor descontado do empregado pela rescisão antecipada, por iniciativa do empregado, do contrato de trabalho a termo</t>
  </si>
  <si>
    <t>Proventos</t>
  </si>
  <si>
    <t>Valor dos proventos de Aposentadoria a servidor público vinculado a Regime Próprio de Previdência Social</t>
  </si>
  <si>
    <t>Proventos - Pensão por morte Civil</t>
  </si>
  <si>
    <t>Valor dos proventos por morte a beneficiário de servidor público vinculado a Regime Próprio de Previdência Social</t>
  </si>
  <si>
    <t>Proventos - Reserva</t>
  </si>
  <si>
    <t>Valor dos proventos a militar da reserva remunerada</t>
  </si>
  <si>
    <t>Proventos - Reforma</t>
  </si>
  <si>
    <t>Valor dos proventos a militar reformado</t>
  </si>
  <si>
    <t>Pensão Militar</t>
  </si>
  <si>
    <t>Valor da pensão a beneficiário de militar</t>
  </si>
  <si>
    <t>Desconto de Adiantamentos</t>
  </si>
  <si>
    <t>Valor relativo a descontos a título de adiantamentos em geral, como de salários e outros, exceto a 1ª parcela do 13° salário</t>
  </si>
  <si>
    <t>Contribuição Previdenciária</t>
  </si>
  <si>
    <t>Desconto a título de contribuição previdenciária</t>
  </si>
  <si>
    <t>Imposto de renda retido na fonte</t>
  </si>
  <si>
    <t>Desconto a título de imposto de renda retido na fonte - IRRF</t>
  </si>
  <si>
    <t>Provisão de contribuição previdenciária</t>
  </si>
  <si>
    <t>Desconto efetuado em recibos de férias relativo a provisão de contribuição previdenciária</t>
  </si>
  <si>
    <t>Faltas ou atrasos</t>
  </si>
  <si>
    <t>Desconto correspondente a faltas, atrasos no início da jornada de trabalho ou à saída antecipada do trabalhador</t>
  </si>
  <si>
    <t>DSR s/faltas e atrasos</t>
  </si>
  <si>
    <t>Desconto correspondente ao Descanso Semanal Remunerado - DSR, calculado sobre faltas e atrasos do trabalhador</t>
  </si>
  <si>
    <t>Pensão alimentícia</t>
  </si>
  <si>
    <t>Desconto correspondente a pensão alimentícia sobre o salário mensal, 13° salário, PLR e férias</t>
  </si>
  <si>
    <t>13° salário - desconto de adiantamento</t>
  </si>
  <si>
    <t>Desconto de antecipação do 13° salário</t>
  </si>
  <si>
    <t>Desconto de vale- transporte</t>
  </si>
  <si>
    <t>Desconto do vale-transporte referente a participação do trabalhador no custo ou em virtude de concessão do benefício em valor maior</t>
  </si>
  <si>
    <t>Contribuição a Outras Entidades e Fundos</t>
  </si>
  <si>
    <t>Desconto relativo a contribuições destinadas a outras entidades e fundos (Terceiros), como por exemplo, Sest, Senat, etc., devidas por algumas categorias de contribuintes individuais</t>
  </si>
  <si>
    <t>Retenções judiciais</t>
  </si>
  <si>
    <t>Desconto relativo a retenções de verbas devidas a trabalhadores por ordem judicial, exceto pensão alimentícia</t>
  </si>
  <si>
    <t>Desconto de assistência médica ou odontológica</t>
  </si>
  <si>
    <t>Desconto referente a participação do trabalhador no custo de assistência médica ou odontológica, ou em virtude de concessão do benefício em valor maior</t>
  </si>
  <si>
    <t>Alimentação - desconto</t>
  </si>
  <si>
    <t>Desconto referente a participação do trabalhador no custo ou em virtude de concessão do benefício em valor maior</t>
  </si>
  <si>
    <t>Desconto de férias</t>
  </si>
  <si>
    <t>Valor correspondente a remuneração (dias) de férias do mês corrente pago no mês anterior ou adiantamento de férias</t>
  </si>
  <si>
    <t>Desconto de outros impostos e contribuições</t>
  </si>
  <si>
    <t>Desconto de outros impostos, taxas e contribuições, exceto Imposto de Renda Retido na Fonte, contribuição previdenciária e contribuições destinadas a outras entidades e fundos (Terceiros)</t>
  </si>
  <si>
    <t>Previdência complementar</t>
  </si>
  <si>
    <t>- parte do empregado</t>
  </si>
  <si>
    <t>FAPI - parte do empregado</t>
  </si>
  <si>
    <t>Desconto referente a participação do trabalhador no custo de Fundo de Aposentadoria Programada Individual - FAPI, ou em virtude de concessão do benefício em valor maior</t>
  </si>
  <si>
    <t>Previdência complementar- parte do servidor</t>
  </si>
  <si>
    <t>Desconto referente a participação do trabalhador no custeio de Plano de Previdência Complementar do Servidor Público</t>
  </si>
  <si>
    <t>Desconto de férias - abono</t>
  </si>
  <si>
    <t>Desconto correspondente ao abono de férias pago no mês anterior ou adiantamento de férias</t>
  </si>
  <si>
    <t>Valor correspondente ao desconto da contribuição laboral correspondente a um dia de trabalho a título de contribuição sindical obrigatória</t>
  </si>
  <si>
    <t>Valor correspondente ao desconto referente a mensalidade sindical do trabalhador</t>
  </si>
  <si>
    <t>Valor correspondente ao desconto da contribuição destinada ao custeio das atividades assistenciais do sindicato</t>
  </si>
  <si>
    <t>Contribuição sindical - Confederativa</t>
  </si>
  <si>
    <t>Valor correspondente ao desconto da contribuição destinada ao custeio do sistema confederativo</t>
  </si>
  <si>
    <t>Seguro de vida - desconto</t>
  </si>
  <si>
    <t>Empréstimos consignados- desconto</t>
  </si>
  <si>
    <t>Desconto de trabalhadores a título de empréstimos consignados, para repasse a instituição financeira consignatária</t>
  </si>
  <si>
    <t>Empréstimos do empregador - desconto</t>
  </si>
  <si>
    <t>Desconto de trabalhadores a título de empréstimos efetuados pelo empregador ao trabalhador</t>
  </si>
  <si>
    <t>Convênios</t>
  </si>
  <si>
    <t>Desconto relativos a convênios diversos com empresas para fornecimento de produtos ou serviços ao empregado, sem pagamento imediato, mas com posterior desconto em folha de pagamento como farmácias, supermercados, etc.</t>
  </si>
  <si>
    <t>Danos e prejuízos causados pelo trabalhador</t>
  </si>
  <si>
    <t>Desconto do trabalhador para reparar danos e prejuízos por ele causados</t>
  </si>
  <si>
    <t>Desconto de pagamento indevido em meses anteriores</t>
  </si>
  <si>
    <t>Valor correspondente a desconto de verbas pagas indevidamente ao trabalhador em meses anteriores e que estão sendo descontadas no mês de referência, exceto valores relativos a assistência médica, alimentação, previdência complementar e seguro de vida</t>
  </si>
  <si>
    <t>Outros descontos</t>
  </si>
  <si>
    <t>Outros descontos não previstos nos itens anteriores</t>
  </si>
  <si>
    <t>Base de cálculo da contribuição previdenciária</t>
  </si>
  <si>
    <t>Valor total da base de cálculo da contribuição previdenciária</t>
  </si>
  <si>
    <t>Total da base de cálculo do FGTS</t>
  </si>
  <si>
    <t>Valor total da base de cálculo do FGTS</t>
  </si>
  <si>
    <t>Total da base de cálculo do IRRF</t>
  </si>
  <si>
    <t>Valor total da base de cálculo do Imposto de Renda Retido na Fonte</t>
  </si>
  <si>
    <t>Total da base de cálculo do FGTS rescisório</t>
  </si>
  <si>
    <t>Valor total da base de cálculo do FGTS rescisório</t>
  </si>
  <si>
    <t>Serviço militar</t>
  </si>
  <si>
    <t>Valor não relativo a vencimento ou desconto, relativo à remuneração a que teria direito, se em atividade, o trabalhador afastado do trabalho para prestação do serviço militar obrigatório</t>
  </si>
  <si>
    <t>Remuneração no exterior</t>
  </si>
  <si>
    <t>Remuneração recebida no exterior por trabalhador expatriado sobre a qual incida contribuição previdenciária e/ou IRRF e/ou FGTS</t>
  </si>
  <si>
    <t>FGTS - depósito</t>
  </si>
  <si>
    <t>Valor do depósito do FGTS</t>
  </si>
  <si>
    <t>Seguros</t>
  </si>
  <si>
    <t>Valor relativo a prêmio de seguro de vida em grupo pago a empresa de seguros como benefício do trabalhador</t>
  </si>
  <si>
    <t>Valor não relativo a vencimento ou desconto, relativo à assistência prestada por serviço médico ou odontológico, próprio da empresa ou por ela conveniado, como benefício ao trabalhador</t>
  </si>
  <si>
    <t>Salário maternidade pago pela Previdência Social</t>
  </si>
  <si>
    <t>Valor correspondente a remuneração mensal do(a) trabalhador(a) durante a licença maternidade, quando paga pela Previdência Social</t>
  </si>
  <si>
    <t>13° salário maternidade pago pela Previdência Social</t>
  </si>
  <si>
    <t>Valor correspondente ao 13° salário do(a) trabalhador(a) durante a licença maternidade, quando pago pela Previdência Social</t>
  </si>
  <si>
    <t>Auxílio-doença acidentário</t>
  </si>
  <si>
    <t>Valor relativo a base de cálculo do FGTS incidente sobre benefício previdenciário pago por Previdência Social Oficial a trabalhador afastado por acidente de trabalho</t>
  </si>
  <si>
    <t>Auxílio-doença</t>
  </si>
  <si>
    <t>Valor de benefício previdenciário pago por Regime Próprio de Previdência Social</t>
  </si>
  <si>
    <t>Isenção IRRF - 65 anos</t>
  </si>
  <si>
    <t>Valor da parcela isenta dos rendimentos de aposentadoria e pensão, transferência para a reserva remunerada ou reforma, pagos por órgão público de previdência oficial ou por entidade de previdência complementar, no caso de contribuinte com idade igual ou superior a 65 anos</t>
  </si>
  <si>
    <t>Outros valores tributáveis</t>
  </si>
  <si>
    <t>Valor não relativo a vencimento ou desconto mas considerado como base de cálculo do FGTS, e/ou da contribuição previdenciária e/ou do Imposto de Renda Retido na Fonte inclusive suas deduções e isenções</t>
  </si>
  <si>
    <t>Horas extraordinárias - Banco de horas</t>
  </si>
  <si>
    <t>Quantidade (em número decimal com dois dígitos) de horas extraordinárias incorporadas ao banco de horas</t>
  </si>
  <si>
    <t>Horas compensadas - Banco de horas</t>
  </si>
  <si>
    <t>Quantidade (em número decimal com dois dígitos) de horas compensadas no banco de horas</t>
  </si>
  <si>
    <t>Outros valores informativos</t>
  </si>
  <si>
    <t>Outros valores informativos, que não sejam vencimentos nem descontos</t>
  </si>
  <si>
    <t>Anexo I - Leiautes do eSocial v. 2.4.02</t>
  </si>
  <si>
    <t>EVENTOS DE INCIDÊNCIA PREVIDENCIÁRIA</t>
  </si>
  <si>
    <t>Base de cálculo das contribuições sociais - Salário de Contribuição</t>
  </si>
  <si>
    <t>Incidência</t>
  </si>
  <si>
    <t>Base INSS Acordos Internacionais </t>
  </si>
  <si>
    <t>01</t>
  </si>
  <si>
    <t>Não é base de cálculo em função de acordos internacionais de previdência social</t>
  </si>
  <si>
    <t>Incidência INSS Mensal </t>
  </si>
  <si>
    <t>Mensal</t>
  </si>
  <si>
    <t>Sem Incidência INSS Mensal e com Incidência de INSS 13º Salário </t>
  </si>
  <si>
    <t>13o Salário</t>
  </si>
  <si>
    <t>Com Incidência de INSS Mensal</t>
  </si>
  <si>
    <t>Salário maternidade mensal pago pela empresa</t>
  </si>
  <si>
    <t>Com Incidência de INSS 13º Salário</t>
  </si>
  <si>
    <t>Salário maternidade - 13o Salário, pago pela empresa</t>
  </si>
  <si>
    <t>Auxílio-doença Mensal - Regime Próprio de Previdência Social</t>
  </si>
  <si>
    <t>Auxílio-doença 13º salário</t>
  </si>
  <si>
    <t>Auxílio-doença 13o Salário Doença - Regime Próprio de Previdência Social</t>
  </si>
  <si>
    <t>Contribuição descontada do Segurado sobre salário de contribuição</t>
  </si>
  <si>
    <t>Com Incidência mensal de INSS</t>
  </si>
  <si>
    <t>Salário maternidade mensal pago pelo INSS</t>
  </si>
  <si>
    <t>Com Incidência de INSS 13º Salário</t>
  </si>
  <si>
    <t>Salário maternidade - 13° salário, pago pelo INSS</t>
  </si>
  <si>
    <t>Contribuição Mensal descontada do Segurado</t>
  </si>
  <si>
    <t>Contribuição 13º descontado do segurado</t>
  </si>
  <si>
    <t>Descontada do segurado</t>
  </si>
  <si>
    <t>SEST</t>
  </si>
  <si>
    <t>SENAT</t>
  </si>
  <si>
    <t>Outros</t>
  </si>
  <si>
    <t>Salário-Família</t>
  </si>
  <si>
    <t>Complemento de salário-mínimo</t>
  </si>
  <si>
    <t>Complemento de salário-mínimo - Regime Próprio de Previdência Social</t>
  </si>
  <si>
    <t>Suspensão de incidência sobre Salário de Contribuição em decorrência de decisão judicial</t>
  </si>
  <si>
    <t>Incidência suspensa de INSS</t>
  </si>
  <si>
    <t>Incidência suspensa de INSS 13º salário</t>
  </si>
  <si>
    <t>Salário- Maternidade</t>
  </si>
  <si>
    <t>Salário-Maternidade 13º salário</t>
  </si>
  <si>
    <t>Salário Maternidade 13o Salário.</t>
  </si>
  <si>
    <t>Nenhuma das combinações acima</t>
  </si>
  <si>
    <t>Não é base de cálculo</t>
  </si>
  <si>
    <t>Rendimentos tributáveis ou não - base de cálculo do IRRF</t>
  </si>
  <si>
    <t>Rendimentos Não-Tributáveis</t>
  </si>
  <si>
    <t>Valor de IR Acordos Internacionais</t>
  </si>
  <si>
    <t>Rendimento não tributável em função de acordos internacionais de bitributação</t>
  </si>
  <si>
    <t>Outras verbas não consideradas como base de cálculo</t>
  </si>
  <si>
    <t>Outras verbas não consideradas como base de cálculo ou rendimento;</t>
  </si>
  <si>
    <t>Rendimentos Tributáveis</t>
  </si>
  <si>
    <t>Incidência IR Mensal</t>
  </si>
  <si>
    <t>Remuneração Mensal                                                       .</t>
  </si>
  <si>
    <t>Incidência IR 13º Salário</t>
  </si>
  <si>
    <t>12</t>
  </si>
  <si>
    <t>Incidência IR Férias</t>
  </si>
  <si>
    <t>IR s/ Férias</t>
  </si>
  <si>
    <t>Incidência IR Part.Lucros</t>
  </si>
  <si>
    <t>14</t>
  </si>
  <si>
    <t>PLR</t>
  </si>
  <si>
    <t>Rendimentos Recebidos Acumuladamente - RRA</t>
  </si>
  <si>
    <t>15</t>
  </si>
  <si>
    <t>Rendimentos Recebidos Acumuladamente - RRA </t>
  </si>
  <si>
    <t>Imposto de Renda Retido na Fonte</t>
  </si>
  <si>
    <t>Valor do IRRF Mensal</t>
  </si>
  <si>
    <t>31</t>
  </si>
  <si>
    <t>Remuneração Mensal</t>
  </si>
  <si>
    <t>Valor do IRRF s/ 13º salário</t>
  </si>
  <si>
    <t>32</t>
  </si>
  <si>
    <t>13o Salário </t>
  </si>
  <si>
    <t>Valor do IRRF s/ Férias</t>
  </si>
  <si>
    <t>33</t>
  </si>
  <si>
    <t>Férias </t>
  </si>
  <si>
    <t>Valor do IRRF s/ PLR</t>
  </si>
  <si>
    <t>34</t>
  </si>
  <si>
    <t>Valor do IRRF s/ RRA</t>
  </si>
  <si>
    <t>35</t>
  </si>
  <si>
    <t>RRA- rendimento recebidos acumuladamente</t>
  </si>
  <si>
    <t>Deduções da base de cálculo do IRRF</t>
  </si>
  <si>
    <t>Previdencia social remun.</t>
  </si>
  <si>
    <t>41</t>
  </si>
  <si>
    <t>Previdência Social Oficial - PSO - Remuner. Mensal </t>
  </si>
  <si>
    <t>Previdencia social remun. s/ 13º</t>
  </si>
  <si>
    <t>42</t>
  </si>
  <si>
    <t>PSO - 13° salário </t>
  </si>
  <si>
    <t>Previdencia Social s/ Férias</t>
  </si>
  <si>
    <t>43</t>
  </si>
  <si>
    <t>PSO - Férias </t>
  </si>
  <si>
    <t>Previdencia Social s/ RRA</t>
  </si>
  <si>
    <t>44</t>
  </si>
  <si>
    <t>PSO - RRA </t>
  </si>
  <si>
    <t>Previdencia Privada</t>
  </si>
  <si>
    <t>46</t>
  </si>
  <si>
    <t>Previdência Privada - salário mensal. </t>
  </si>
  <si>
    <t>Previdencia privada 13º salário</t>
  </si>
  <si>
    <t>47</t>
  </si>
  <si>
    <t>Previdência Privada - 13° salário</t>
  </si>
  <si>
    <t>Pensão alimentícia- remuneração mensal</t>
  </si>
  <si>
    <t>51</t>
  </si>
  <si>
    <t>Pensão Alimentícia - Remuneração Mensal.</t>
  </si>
  <si>
    <t>52</t>
  </si>
  <si>
    <t>Pensão Alimentícia - 13° salário </t>
  </si>
  <si>
    <t>53</t>
  </si>
  <si>
    <t>Pensão Alimentícia - Férias </t>
  </si>
  <si>
    <t>Pensão alimentícia s/ PLR</t>
  </si>
  <si>
    <t>54</t>
  </si>
  <si>
    <t>Pensão Alimentícia - RRA</t>
  </si>
  <si>
    <t>55</t>
  </si>
  <si>
    <t>Fundo de Aposentadoria - FAPI</t>
  </si>
  <si>
    <t>61</t>
  </si>
  <si>
    <t>Fundo de Aposentadoria Programada Individual - FAPI- Remuneração Mensal</t>
  </si>
  <si>
    <t>Fundo de Aposentadoria - FAPI s/ 13º salário</t>
  </si>
  <si>
    <t>62</t>
  </si>
  <si>
    <t>Fundo de Aposentadoria Programada Individual - FAPI- 13° salário</t>
  </si>
  <si>
    <t>Previdencia complementear servidor público Remun. Mensal</t>
  </si>
  <si>
    <t>63</t>
  </si>
  <si>
    <t>Fundação de Previdência Complementar do Servidor Público Federal - Funpresp - Remuneração Mensal</t>
  </si>
  <si>
    <t>Previdencia complementear servidor público 13º salário</t>
  </si>
  <si>
    <t>64</t>
  </si>
  <si>
    <t>Fundação de Previdência Complementar do Servidor Público Federal - Funpresp - 13° salário</t>
  </si>
  <si>
    <t>Demandas Judiciais</t>
  </si>
  <si>
    <t>Depósito Judicial</t>
  </si>
  <si>
    <t>81</t>
  </si>
  <si>
    <t>Compensação Judicial do ano caledário</t>
  </si>
  <si>
    <t>82</t>
  </si>
  <si>
    <t>Compensação Judicial do ano calendário</t>
  </si>
  <si>
    <t>Compensação Judicial de anos anteriores</t>
  </si>
  <si>
    <t>83</t>
  </si>
  <si>
    <t>Incidência Suspensa decorrente de decisão judicial, relativas a base de cálculo do IRRF sobre</t>
  </si>
  <si>
    <t>Não é calculado pela solução de Administração de Pessoal.</t>
  </si>
  <si>
    <t>91</t>
  </si>
  <si>
    <t>Remuneração Mensal </t>
  </si>
  <si>
    <t>92</t>
  </si>
  <si>
    <t>93</t>
  </si>
  <si>
    <t>94</t>
  </si>
  <si>
    <t>95</t>
  </si>
  <si>
    <t>EVENTOS DE INCIDÊNCIAS FGTS</t>
  </si>
  <si>
    <t>FGTS Mensal </t>
  </si>
  <si>
    <t>FGTS 13º Salário </t>
  </si>
  <si>
    <t>Base de Cálculo do FGTS 13° salário</t>
  </si>
  <si>
    <t>Mensal e Proporcional na rescisão</t>
  </si>
  <si>
    <t>FGTS Mensal ou FGTS 13º Salário</t>
  </si>
  <si>
    <t>Base de Cálculo do FGTS Rescisório (aviso prévio)</t>
  </si>
  <si>
    <t>S/ Aviso Indenizado</t>
  </si>
  <si>
    <t>Processo indicado no cadastro de liminares.</t>
  </si>
  <si>
    <t>Incidência suspensa em decorrência de decisão judicial.</t>
  </si>
  <si>
    <t>Não é Base de Cálculo do FGTS</t>
  </si>
  <si>
    <t>EVENTOS DE INCIDÊNCIA CONTRIBUIÇÃO SINDICAL</t>
  </si>
  <si>
    <r>
      <t xml:space="preserve">Evento com Incidência de Contribuição Sindical ou Evento com processo indicado nos lançamentos do colaborador = </t>
    </r>
    <r>
      <rPr>
        <sz val="11"/>
        <color rgb="FFFF0000"/>
        <rFont val="Times New Roman"/>
        <family val="1"/>
      </rPr>
      <t>"</t>
    </r>
    <r>
      <rPr>
        <i/>
        <sz val="11"/>
        <color rgb="FFFF0000"/>
        <rFont val="Times New Roman"/>
        <family val="1"/>
      </rPr>
      <t>11 - Base de cálculo"</t>
    </r>
    <r>
      <rPr>
        <i/>
        <sz val="11"/>
        <color rgb="FF000000"/>
        <rFont val="Times New Roman"/>
        <family val="1"/>
      </rPr>
      <t>.</t>
    </r>
  </si>
  <si>
    <r>
      <rPr>
        <i/>
        <sz val="11"/>
        <color rgb="FF000000"/>
        <rFont val="Times New Roman"/>
        <family val="1"/>
      </rPr>
      <t xml:space="preserve">Código= </t>
    </r>
    <r>
      <rPr>
        <i/>
        <sz val="11"/>
        <color rgb="FFFF0000"/>
        <rFont val="Times New Roman"/>
        <family val="1"/>
      </rPr>
      <t>"31 - Valor da contribuição sindical laboral descontada"</t>
    </r>
  </si>
  <si>
    <r>
      <rPr>
        <i/>
        <sz val="11"/>
        <color rgb="FF000000"/>
        <rFont val="Times New Roman"/>
        <family val="1"/>
      </rPr>
      <t>Código=</t>
    </r>
    <r>
      <rPr>
        <i/>
        <sz val="11"/>
        <color rgb="FFFF0000"/>
        <rFont val="Times New Roman"/>
        <family val="1"/>
      </rPr>
      <t xml:space="preserve"> "00 - Não é Base de Cálculo"</t>
    </r>
  </si>
  <si>
    <r>
      <rPr>
        <i/>
        <sz val="11"/>
        <color rgb="FF000000"/>
        <rFont val="Times New Roman"/>
        <family val="1"/>
      </rPr>
      <t xml:space="preserve">Código= </t>
    </r>
    <r>
      <rPr>
        <i/>
        <sz val="11"/>
        <color rgb="FFFF0000"/>
        <rFont val="Times New Roman"/>
        <family val="1"/>
      </rPr>
      <t>"91 - Incidência suspensa em decorrência de decisão judicial"</t>
    </r>
    <r>
      <rPr>
        <sz val="11"/>
        <color rgb="FF000000"/>
        <rFont val="Times New Roman"/>
        <family val="1"/>
      </rPr>
      <t xml:space="preserve"> </t>
    </r>
  </si>
  <si>
    <t>Desconto INSS Férias (Provisão)</t>
  </si>
  <si>
    <t>Evento</t>
  </si>
  <si>
    <t>S-1210</t>
  </si>
  <si>
    <t>Tipo de Pagto</t>
  </si>
  <si>
    <t>ADF</t>
  </si>
  <si>
    <t>ADT</t>
  </si>
  <si>
    <t>DIR</t>
  </si>
  <si>
    <t>DPIN</t>
  </si>
  <si>
    <t>BCP</t>
  </si>
  <si>
    <t>BCI</t>
  </si>
  <si>
    <t>Adiant. de Férias</t>
  </si>
  <si>
    <t>Adiant. de 1/3</t>
  </si>
  <si>
    <t>Prov INSS s/ Férias</t>
  </si>
  <si>
    <t>Base de Cálculo INSS</t>
  </si>
  <si>
    <t>Cód Verba</t>
  </si>
  <si>
    <t>Base de Cálculo IRRF</t>
  </si>
  <si>
    <t>Valor</t>
  </si>
  <si>
    <t>Vlr. Líquido=</t>
  </si>
  <si>
    <t>S-1200</t>
  </si>
  <si>
    <t>Dm1</t>
  </si>
  <si>
    <t>R</t>
  </si>
  <si>
    <t>RF</t>
  </si>
  <si>
    <t>RT</t>
  </si>
  <si>
    <t>RPIN</t>
  </si>
  <si>
    <t>Remuneração</t>
  </si>
  <si>
    <t>Rem. Férias</t>
  </si>
  <si>
    <t>Rem. 1/3</t>
  </si>
  <si>
    <t>Ressarcimento de Prov. INSS</t>
  </si>
  <si>
    <t>DADFT</t>
  </si>
  <si>
    <t>DINF</t>
  </si>
  <si>
    <t xml:space="preserve">Desc.INSS s/ Férias </t>
  </si>
  <si>
    <t>DIN</t>
  </si>
  <si>
    <t>Desc. INSS do mês</t>
  </si>
  <si>
    <t>O cálculo do imposto de renda a ser retido na fonte a partir de 01.01.2018, é calculado mediante a utilização da seguinte tabela progressiva mensal:</t>
  </si>
  <si>
    <t>Base de Cálculo (R$)</t>
  </si>
  <si>
    <t>Alíquota (%)</t>
  </si>
  <si>
    <t>Parcela a Deduzir do IR (R$)</t>
  </si>
  <si>
    <t>Até 1.903,98</t>
  </si>
  <si>
    <t>-</t>
  </si>
  <si>
    <t>De 1.903,99 até 2.826,65</t>
  </si>
  <si>
    <t>De 2.826,66 até 3.751,05</t>
  </si>
  <si>
    <t>De 3.751,06 até 4.664,68</t>
  </si>
  <si>
    <t>Acima de 4.664,68</t>
  </si>
  <si>
    <t>Parcela a deduzir por dependente: R$ 189,59</t>
  </si>
  <si>
    <t>A base de cálculo sujeita à incidência mensal do imposto de renda na fonte é determinada mediante a dedução das seguintes parcelas do rendimento tributável:</t>
  </si>
  <si>
    <t>a) as importâncias pagas em dinheiro a título de pensão alimentícia em face das normas do Direito de Família, quando em cumprimento de decisão judicial, inclusive a prestação de alimentos provisionais, de acordo homologado judicialmente, ou de escritura pública a que se refere o artigo 1.124-A da Lei n° 5.869/1973 (Código de Processo Civil);</t>
  </si>
  <si>
    <t>b) a parcela a deduzir por dependente de R$ 189,59;</t>
  </si>
  <si>
    <t>c) as contribuições para a Previdência Social da União, dos Estados, do Distrito Federal e dos Municípios;</t>
  </si>
  <si>
    <t>d) as contribuições para entidade de previdência privada domiciliada no Brasil e para o Fundo de Aposentadoria Programada Individual (Fapi), cujo ônus tenha sido do contribuinte, destinadas a custear benefícios complementares assemelhados aos da Previdência Social, cujo titular ou quotista seja trabalhador com vínculo empregatício ou administrador.</t>
  </si>
  <si>
    <t>Quando a fonte pagadora não for responsável pelo desconto dessas contribuições, os valores pagos a esse título podem ser considerados para fins de dedução da base de cálculo sujeita ao imposto mensal, desde que haja anuência da empresa e que o beneficiário lhe forneça o original do comprovante de pagamento.</t>
  </si>
  <si>
    <t>e) valor correspondente à parcela isenta dos rendimentos provenientes de aposentadoria e pensão, transferência para a reserva remunerada ou reforma pagos pela Previdência Social da União, dos Estados, do Distrito Federal e dos Municípios, por qualquer pessoa jurídica de direito público interno, ou por entidade de previdência privada, a partir do mês em que o contribuinte completar 65 anos de idade de até R$ 1.903,98, por mês.</t>
  </si>
  <si>
    <t>De acordo com o artigo 722 do RIR/1999, a fonte pagadora fica obrigada ao recolhimento do imposto, ainda que não o tenha retido. A sujeição passiva na relação jurídica tributária pode se dar na condição de contribuinte ou de responsável. Nos rendimentos sujeitos ao imposto de renda na fonte o beneficiário do rendimento é o contribuinte, titular da disponibilidade econômica ou jurídica de renda.</t>
  </si>
  <si>
    <t>Alíquotas (%)</t>
  </si>
  <si>
    <t>até 1.693,72</t>
  </si>
  <si>
    <t>de 1.693,73 até 2.822,90</t>
  </si>
  <si>
    <t>de 2.822,91 até 5.645,80</t>
  </si>
  <si>
    <t>Salário de Contribuição (INSS)</t>
  </si>
  <si>
    <t>Dif.</t>
  </si>
  <si>
    <t>Vlr. Líquido =</t>
  </si>
  <si>
    <t xml:space="preserve">EVENTO DE FÉRIAS EX MARTA </t>
  </si>
  <si>
    <t xml:space="preserve">Desc. Adiant. Férias </t>
  </si>
  <si>
    <t>1/3 de férias</t>
  </si>
  <si>
    <t xml:space="preserve">COMO O SISTEMA ESTÁ GERANDO EXEMPLO DE FÉRIAS 01 A 30/12 </t>
  </si>
  <si>
    <t>001</t>
  </si>
  <si>
    <t>004</t>
  </si>
  <si>
    <t>003</t>
  </si>
  <si>
    <t>Desc. IRRF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</si>
</sst>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rgb="FFC00000"/>
      <name val="Times New Roman"/>
      <family val="1"/>
    </font>
    <font>
      <i/>
      <sz val="11"/>
      <color theme="1"/>
      <name val="Times New Roman"/>
      <family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1"/>
      <color theme="5" tint="-0.499984740745262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i/>
      <sz val="11"/>
      <color rgb="FFFF0000"/>
      <name val="Times New Roman"/>
      <family val="1"/>
    </font>
    <font>
      <i/>
      <sz val="11"/>
      <color rgb="FFC00000"/>
      <name val="Times New Roman"/>
      <family val="1"/>
    </font>
    <font>
      <b/>
      <sz val="11"/>
      <color rgb="FFFFC000"/>
      <name val="Times New Roman"/>
      <family val="1"/>
    </font>
    <font>
      <b/>
      <sz val="11"/>
      <color rgb="FF002060"/>
      <name val="Times New Roman"/>
      <family val="1"/>
    </font>
    <font>
      <sz val="10"/>
      <color rgb="FFFF0000"/>
      <name val="Calibri"/>
      <family val="2"/>
      <scheme val="minor"/>
    </font>
    <font>
      <b/>
      <sz val="14"/>
      <color theme="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C00000"/>
      <name val="Times New Roman"/>
      <family val="1"/>
    </font>
    <font>
      <b/>
      <sz val="11"/>
      <color rgb="FFFFFF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i/>
      <sz val="12"/>
      <color theme="1"/>
      <name val="Times New Roman"/>
      <family val="1"/>
    </font>
    <font>
      <b/>
      <sz val="11"/>
      <color theme="5" tint="-0.499984740745262"/>
      <name val="Times New Roman"/>
      <family val="1"/>
    </font>
    <font>
      <sz val="10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rgb="FFC00000"/>
      <name val="Times New Roman"/>
      <family val="1"/>
    </font>
    <font>
      <b/>
      <sz val="11"/>
      <color rgb="FF333333"/>
      <name val="Bookman Old Style"/>
      <family val="1"/>
    </font>
    <font>
      <sz val="11"/>
      <color rgb="FF333333"/>
      <name val="Bookman Old Style"/>
      <family val="1"/>
    </font>
    <font>
      <sz val="10"/>
      <color rgb="FF333333"/>
      <name val="Bookman Old Style"/>
      <family val="1"/>
    </font>
    <font>
      <b/>
      <sz val="11"/>
      <color rgb="FFFF0000"/>
      <name val="Bookman Old Style"/>
      <family val="1"/>
    </font>
    <font>
      <sz val="11"/>
      <color theme="1"/>
      <name val="Bookman Old Style"/>
      <family val="1"/>
    </font>
    <font>
      <sz val="10"/>
      <color rgb="FFFF0000"/>
      <name val="Bookman Old Style"/>
      <family val="1"/>
    </font>
    <font>
      <b/>
      <sz val="10"/>
      <color rgb="FF333333"/>
      <name val="Bookman Old Style"/>
      <family val="1"/>
    </font>
    <font>
      <sz val="10"/>
      <name val="Bookman Old Style"/>
      <family val="1"/>
    </font>
    <font>
      <sz val="10"/>
      <color theme="1"/>
      <name val="Calibri"/>
      <family val="2"/>
      <scheme val="minor"/>
    </font>
    <font>
      <b/>
      <i/>
      <sz val="12"/>
      <color theme="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rgb="FF000001"/>
      </left>
      <right style="medium">
        <color rgb="FF000001"/>
      </right>
      <top style="double">
        <color rgb="FF000001"/>
      </top>
      <bottom style="medium">
        <color rgb="FF000001"/>
      </bottom>
      <diagonal/>
    </border>
    <border>
      <left style="medium">
        <color rgb="FF000001"/>
      </left>
      <right style="medium">
        <color rgb="FF000001"/>
      </right>
      <top style="double">
        <color rgb="FF000001"/>
      </top>
      <bottom style="medium">
        <color rgb="FF000001"/>
      </bottom>
      <diagonal/>
    </border>
    <border>
      <left style="medium">
        <color rgb="FF000001"/>
      </left>
      <right style="double">
        <color rgb="FF000001"/>
      </right>
      <top style="double">
        <color rgb="FF000001"/>
      </top>
      <bottom style="medium">
        <color rgb="FF000001"/>
      </bottom>
      <diagonal/>
    </border>
    <border>
      <left style="double">
        <color rgb="FF000001"/>
      </left>
      <right style="medium">
        <color rgb="FF000001"/>
      </right>
      <top style="medium">
        <color rgb="FF000001"/>
      </top>
      <bottom style="medium">
        <color rgb="FF000001"/>
      </bottom>
      <diagonal/>
    </border>
    <border>
      <left style="medium">
        <color rgb="FF000001"/>
      </left>
      <right style="medium">
        <color rgb="FF000001"/>
      </right>
      <top style="medium">
        <color rgb="FF000001"/>
      </top>
      <bottom style="medium">
        <color rgb="FF000001"/>
      </bottom>
      <diagonal/>
    </border>
    <border>
      <left style="medium">
        <color rgb="FF000001"/>
      </left>
      <right style="double">
        <color rgb="FF000001"/>
      </right>
      <top style="medium">
        <color rgb="FF000001"/>
      </top>
      <bottom style="medium">
        <color rgb="FF000001"/>
      </bottom>
      <diagonal/>
    </border>
    <border>
      <left style="double">
        <color rgb="FF000001"/>
      </left>
      <right style="medium">
        <color rgb="FF000001"/>
      </right>
      <top style="medium">
        <color rgb="FF000001"/>
      </top>
      <bottom style="double">
        <color rgb="FF000001"/>
      </bottom>
      <diagonal/>
    </border>
    <border>
      <left style="medium">
        <color rgb="FF000001"/>
      </left>
      <right style="medium">
        <color rgb="FF000001"/>
      </right>
      <top style="medium">
        <color rgb="FF000001"/>
      </top>
      <bottom style="double">
        <color rgb="FF000001"/>
      </bottom>
      <diagonal/>
    </border>
    <border>
      <left style="medium">
        <color rgb="FF000001"/>
      </left>
      <right style="double">
        <color rgb="FF000001"/>
      </right>
      <top style="medium">
        <color rgb="FF000001"/>
      </top>
      <bottom style="double">
        <color rgb="FF000001"/>
      </bottom>
      <diagonal/>
    </border>
    <border>
      <left/>
      <right/>
      <top style="double">
        <color rgb="FF000001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BBBBBB"/>
      </bottom>
      <diagonal/>
    </border>
    <border>
      <left/>
      <right/>
      <top style="medium">
        <color rgb="FFBBBBBB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4">
    <xf numFmtId="0" fontId="0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8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9" fillId="0" borderId="0" xfId="0" applyFont="1" applyFill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4" xfId="0" applyFont="1" applyBorder="1"/>
    <xf numFmtId="0" fontId="4" fillId="0" borderId="4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3" fillId="0" borderId="0" xfId="0" applyFont="1"/>
    <xf numFmtId="0" fontId="12" fillId="0" borderId="1" xfId="0" applyFont="1" applyBorder="1" applyAlignment="1">
      <alignment vertical="center" wrapText="1"/>
    </xf>
    <xf numFmtId="49" fontId="5" fillId="2" borderId="2" xfId="0" applyNumberFormat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2" fillId="0" borderId="2" xfId="0" applyFont="1" applyBorder="1"/>
    <xf numFmtId="0" fontId="5" fillId="3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10" borderId="0" xfId="0" applyFont="1" applyFill="1"/>
    <xf numFmtId="0" fontId="5" fillId="6" borderId="3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19" fillId="11" borderId="13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19" fillId="11" borderId="1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" fillId="18" borderId="16" xfId="0" applyFont="1" applyFill="1" applyBorder="1" applyAlignment="1">
      <alignment horizontal="center" vertical="center" wrapText="1"/>
    </xf>
    <xf numFmtId="0" fontId="0" fillId="0" borderId="0" xfId="0" applyFont="1"/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19" borderId="16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19" borderId="0" xfId="0" applyFont="1" applyFill="1"/>
    <xf numFmtId="0" fontId="20" fillId="14" borderId="25" xfId="0" applyFont="1" applyFill="1" applyBorder="1" applyAlignment="1">
      <alignment horizontal="center"/>
    </xf>
    <xf numFmtId="0" fontId="20" fillId="14" borderId="26" xfId="0" applyFont="1" applyFill="1" applyBorder="1" applyAlignment="1">
      <alignment horizontal="center"/>
    </xf>
    <xf numFmtId="0" fontId="1" fillId="0" borderId="25" xfId="0" applyNumberFormat="1" applyFont="1" applyFill="1" applyBorder="1" applyAlignment="1">
      <alignment horizontal="center"/>
    </xf>
    <xf numFmtId="49" fontId="2" fillId="0" borderId="26" xfId="0" applyNumberFormat="1" applyFont="1" applyFill="1" applyBorder="1" applyAlignment="1">
      <alignment horizontal="left"/>
    </xf>
    <xf numFmtId="0" fontId="1" fillId="14" borderId="25" xfId="0" applyFont="1" applyFill="1" applyBorder="1" applyAlignment="1">
      <alignment horizontal="center"/>
    </xf>
    <xf numFmtId="0" fontId="2" fillId="14" borderId="26" xfId="0" applyFont="1" applyFill="1" applyBorder="1" applyAlignment="1">
      <alignment horizontal="left"/>
    </xf>
    <xf numFmtId="0" fontId="1" fillId="0" borderId="25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left"/>
    </xf>
    <xf numFmtId="0" fontId="1" fillId="14" borderId="27" xfId="0" applyFont="1" applyFill="1" applyBorder="1" applyAlignment="1">
      <alignment horizontal="center"/>
    </xf>
    <xf numFmtId="0" fontId="2" fillId="14" borderId="28" xfId="0" applyFont="1" applyFill="1" applyBorder="1" applyAlignment="1">
      <alignment horizontal="left"/>
    </xf>
    <xf numFmtId="0" fontId="21" fillId="0" borderId="0" xfId="0" applyFont="1"/>
    <xf numFmtId="0" fontId="1" fillId="6" borderId="2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2" fillId="0" borderId="29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1" fillId="6" borderId="1" xfId="0" applyFont="1" applyFill="1" applyBorder="1" applyAlignment="1">
      <alignment horizont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11" fillId="0" borderId="32" xfId="2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1" fillId="0" borderId="3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49" fontId="11" fillId="3" borderId="3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0" borderId="9" xfId="0" applyFont="1" applyBorder="1"/>
    <xf numFmtId="0" fontId="2" fillId="0" borderId="3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Border="1"/>
    <xf numFmtId="0" fontId="12" fillId="0" borderId="0" xfId="0" applyFont="1"/>
    <xf numFmtId="0" fontId="16" fillId="6" borderId="1" xfId="0" applyFont="1" applyFill="1" applyBorder="1" applyAlignment="1">
      <alignment horizontal="center" vertical="center"/>
    </xf>
    <xf numFmtId="49" fontId="16" fillId="6" borderId="2" xfId="0" applyNumberFormat="1" applyFont="1" applyFill="1" applyBorder="1" applyAlignment="1">
      <alignment horizontal="center" vertical="top"/>
    </xf>
    <xf numFmtId="0" fontId="16" fillId="6" borderId="3" xfId="0" applyFont="1" applyFill="1" applyBorder="1" applyAlignment="1">
      <alignment horizontal="center" vertical="top"/>
    </xf>
    <xf numFmtId="0" fontId="12" fillId="0" borderId="0" xfId="0" applyFont="1" applyFill="1" applyBorder="1"/>
    <xf numFmtId="0" fontId="12" fillId="0" borderId="0" xfId="0" applyFont="1" applyFill="1"/>
    <xf numFmtId="0" fontId="13" fillId="0" borderId="0" xfId="0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49" fontId="4" fillId="0" borderId="4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top" wrapText="1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top"/>
    </xf>
    <xf numFmtId="0" fontId="12" fillId="0" borderId="0" xfId="0" applyFont="1" applyBorder="1" applyAlignment="1">
      <alignment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" fillId="15" borderId="1" xfId="0" applyFont="1" applyFill="1" applyBorder="1" applyAlignment="1">
      <alignment horizontal="center" wrapText="1"/>
    </xf>
    <xf numFmtId="49" fontId="1" fillId="15" borderId="32" xfId="0" applyNumberFormat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/>
    </xf>
    <xf numFmtId="0" fontId="2" fillId="0" borderId="32" xfId="0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11" fillId="0" borderId="0" xfId="0" applyFont="1"/>
    <xf numFmtId="0" fontId="2" fillId="0" borderId="3" xfId="0" applyFont="1" applyBorder="1" applyAlignment="1">
      <alignment vertical="center"/>
    </xf>
    <xf numFmtId="0" fontId="2" fillId="0" borderId="1" xfId="0" applyFont="1" applyBorder="1"/>
    <xf numFmtId="49" fontId="2" fillId="0" borderId="32" xfId="1" applyNumberFormat="1" applyFont="1" applyBorder="1" applyAlignment="1">
      <alignment horizontal="center" vertical="center"/>
    </xf>
    <xf numFmtId="0" fontId="2" fillId="0" borderId="35" xfId="0" applyNumberFormat="1" applyFont="1" applyBorder="1" applyAlignment="1">
      <alignment horizontal="center" vertical="center"/>
    </xf>
    <xf numFmtId="0" fontId="2" fillId="0" borderId="5" xfId="0" applyFont="1" applyBorder="1"/>
    <xf numFmtId="49" fontId="2" fillId="0" borderId="0" xfId="0" applyNumberFormat="1" applyFont="1" applyAlignment="1">
      <alignment horizontal="center" vertical="center"/>
    </xf>
    <xf numFmtId="0" fontId="5" fillId="16" borderId="2" xfId="0" applyFont="1" applyFill="1" applyBorder="1" applyAlignment="1">
      <alignment horizontal="center"/>
    </xf>
    <xf numFmtId="49" fontId="18" fillId="3" borderId="2" xfId="0" applyNumberFormat="1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9" fillId="23" borderId="6" xfId="0" applyFont="1" applyFill="1" applyBorder="1" applyAlignment="1">
      <alignment horizontal="center" vertical="center"/>
    </xf>
    <xf numFmtId="0" fontId="9" fillId="23" borderId="7" xfId="0" applyFont="1" applyFill="1" applyBorder="1" applyAlignment="1">
      <alignment horizontal="center" vertical="center" wrapText="1"/>
    </xf>
    <xf numFmtId="0" fontId="9" fillId="23" borderId="8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3" fontId="2" fillId="0" borderId="3" xfId="3" applyFont="1" applyBorder="1" applyAlignment="1">
      <alignment horizontal="center"/>
    </xf>
    <xf numFmtId="43" fontId="2" fillId="0" borderId="3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43" fontId="1" fillId="0" borderId="3" xfId="3" applyFont="1" applyBorder="1" applyAlignment="1">
      <alignment horizontal="center"/>
    </xf>
    <xf numFmtId="0" fontId="34" fillId="0" borderId="0" xfId="0" applyFont="1"/>
    <xf numFmtId="43" fontId="4" fillId="0" borderId="3" xfId="3" applyFont="1" applyBorder="1" applyAlignment="1">
      <alignment horizontal="center"/>
    </xf>
    <xf numFmtId="0" fontId="37" fillId="6" borderId="6" xfId="0" applyFont="1" applyFill="1" applyBorder="1" applyAlignment="1">
      <alignment horizontal="center" vertical="center" wrapText="1"/>
    </xf>
    <xf numFmtId="0" fontId="37" fillId="6" borderId="7" xfId="0" applyFont="1" applyFill="1" applyBorder="1" applyAlignment="1">
      <alignment horizontal="center" vertical="center" wrapText="1"/>
    </xf>
    <xf numFmtId="0" fontId="37" fillId="6" borderId="8" xfId="0" applyFont="1" applyFill="1" applyBorder="1" applyAlignment="1">
      <alignment horizontal="center" vertical="center" wrapText="1"/>
    </xf>
    <xf numFmtId="0" fontId="37" fillId="25" borderId="1" xfId="0" applyFont="1" applyFill="1" applyBorder="1" applyAlignment="1">
      <alignment horizontal="justify" vertical="center" wrapText="1"/>
    </xf>
    <xf numFmtId="0" fontId="38" fillId="25" borderId="2" xfId="0" applyFont="1" applyFill="1" applyBorder="1" applyAlignment="1">
      <alignment horizontal="center" vertical="center" wrapText="1"/>
    </xf>
    <xf numFmtId="0" fontId="38" fillId="25" borderId="3" xfId="0" applyFont="1" applyFill="1" applyBorder="1" applyAlignment="1">
      <alignment horizontal="center" vertical="center" wrapText="1"/>
    </xf>
    <xf numFmtId="0" fontId="37" fillId="25" borderId="2" xfId="0" applyFont="1" applyFill="1" applyBorder="1" applyAlignment="1">
      <alignment horizontal="center" vertical="center" wrapText="1"/>
    </xf>
    <xf numFmtId="2" fontId="37" fillId="25" borderId="3" xfId="0" applyNumberFormat="1" applyFont="1" applyFill="1" applyBorder="1" applyAlignment="1">
      <alignment horizontal="center" vertical="center" wrapText="1"/>
    </xf>
    <xf numFmtId="0" fontId="37" fillId="25" borderId="42" xfId="0" applyFont="1" applyFill="1" applyBorder="1" applyAlignment="1">
      <alignment horizontal="justify" vertical="center" wrapText="1"/>
    </xf>
    <xf numFmtId="0" fontId="37" fillId="25" borderId="43" xfId="0" applyFont="1" applyFill="1" applyBorder="1" applyAlignment="1">
      <alignment horizontal="center" vertical="center" wrapText="1"/>
    </xf>
    <xf numFmtId="2" fontId="37" fillId="25" borderId="44" xfId="0" applyNumberFormat="1" applyFont="1" applyFill="1" applyBorder="1" applyAlignment="1">
      <alignment horizontal="center" vertical="center" wrapText="1"/>
    </xf>
    <xf numFmtId="0" fontId="44" fillId="0" borderId="0" xfId="0" applyFont="1"/>
    <xf numFmtId="0" fontId="40" fillId="0" borderId="1" xfId="0" applyFont="1" applyBorder="1"/>
    <xf numFmtId="0" fontId="40" fillId="0" borderId="3" xfId="0" applyFon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/>
    </xf>
    <xf numFmtId="0" fontId="40" fillId="6" borderId="6" xfId="0" applyFont="1" applyFill="1" applyBorder="1" applyAlignment="1">
      <alignment horizontal="center" vertical="center"/>
    </xf>
    <xf numFmtId="0" fontId="40" fillId="6" borderId="8" xfId="0" applyFont="1" applyFill="1" applyBorder="1" applyAlignment="1">
      <alignment horizontal="center" vertical="center"/>
    </xf>
    <xf numFmtId="43" fontId="33" fillId="0" borderId="0" xfId="0" applyNumberFormat="1" applyFont="1"/>
    <xf numFmtId="49" fontId="35" fillId="0" borderId="0" xfId="0" applyNumberFormat="1" applyFont="1" applyFill="1" applyBorder="1" applyAlignment="1">
      <alignment horizontal="center"/>
    </xf>
    <xf numFmtId="0" fontId="0" fillId="19" borderId="0" xfId="0" applyFill="1"/>
    <xf numFmtId="49" fontId="35" fillId="0" borderId="0" xfId="0" applyNumberFormat="1" applyFont="1" applyFill="1" applyBorder="1" applyAlignment="1">
      <alignment horizontal="left"/>
    </xf>
    <xf numFmtId="0" fontId="1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10" fillId="19" borderId="47" xfId="0" applyFont="1" applyFill="1" applyBorder="1" applyAlignment="1">
      <alignment horizontal="center"/>
    </xf>
    <xf numFmtId="43" fontId="1" fillId="0" borderId="51" xfId="3" applyFont="1" applyBorder="1" applyAlignment="1">
      <alignment horizontal="center"/>
    </xf>
    <xf numFmtId="0" fontId="9" fillId="24" borderId="1" xfId="0" applyFont="1" applyFill="1" applyBorder="1" applyAlignment="1">
      <alignment horizontal="center" vertical="center"/>
    </xf>
    <xf numFmtId="0" fontId="9" fillId="24" borderId="2" xfId="0" applyFont="1" applyFill="1" applyBorder="1" applyAlignment="1">
      <alignment horizontal="center" vertical="center" wrapText="1"/>
    </xf>
    <xf numFmtId="0" fontId="9" fillId="24" borderId="3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/>
    </xf>
    <xf numFmtId="43" fontId="2" fillId="0" borderId="5" xfId="3" applyFont="1" applyBorder="1" applyAlignment="1">
      <alignment horizontal="center"/>
    </xf>
    <xf numFmtId="43" fontId="33" fillId="0" borderId="0" xfId="3" applyFont="1"/>
    <xf numFmtId="49" fontId="10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18" borderId="17" xfId="0" applyFont="1" applyFill="1" applyBorder="1" applyAlignment="1">
      <alignment horizontal="center" vertical="center" wrapText="1"/>
    </xf>
    <xf numFmtId="0" fontId="1" fillId="18" borderId="18" xfId="0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center" wrapText="1"/>
    </xf>
    <xf numFmtId="0" fontId="2" fillId="19" borderId="16" xfId="0" applyFont="1" applyFill="1" applyBorder="1" applyAlignment="1">
      <alignment vertical="center" wrapText="1"/>
    </xf>
    <xf numFmtId="0" fontId="0" fillId="19" borderId="2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2" fillId="19" borderId="19" xfId="0" applyFont="1" applyFill="1" applyBorder="1" applyAlignment="1">
      <alignment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22" fillId="20" borderId="2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2" fillId="0" borderId="29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3" fillId="21" borderId="6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wrapText="1"/>
    </xf>
    <xf numFmtId="0" fontId="23" fillId="12" borderId="32" xfId="0" applyFont="1" applyFill="1" applyBorder="1" applyAlignment="1">
      <alignment horizontal="center" wrapText="1"/>
    </xf>
    <xf numFmtId="0" fontId="23" fillId="12" borderId="3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3" xfId="0" applyFont="1" applyFill="1" applyBorder="1" applyAlignment="1">
      <alignment horizontal="center" wrapText="1"/>
    </xf>
    <xf numFmtId="0" fontId="1" fillId="6" borderId="32" xfId="0" applyFont="1" applyFill="1" applyBorder="1" applyAlignment="1">
      <alignment horizontal="center" wrapText="1"/>
    </xf>
    <xf numFmtId="0" fontId="1" fillId="6" borderId="34" xfId="0" applyFont="1" applyFill="1" applyBorder="1" applyAlignment="1">
      <alignment horizont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top"/>
    </xf>
    <xf numFmtId="0" fontId="24" fillId="13" borderId="7" xfId="0" applyFont="1" applyFill="1" applyBorder="1" applyAlignment="1">
      <alignment horizontal="center" vertical="top"/>
    </xf>
    <xf numFmtId="0" fontId="24" fillId="13" borderId="8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top"/>
    </xf>
    <xf numFmtId="0" fontId="12" fillId="0" borderId="1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vertical="top"/>
    </xf>
    <xf numFmtId="0" fontId="12" fillId="0" borderId="1" xfId="0" applyFont="1" applyBorder="1" applyAlignment="1">
      <alignment vertical="center" wrapText="1"/>
    </xf>
    <xf numFmtId="0" fontId="3" fillId="22" borderId="6" xfId="0" applyFont="1" applyFill="1" applyBorder="1" applyAlignment="1">
      <alignment horizontal="center"/>
    </xf>
    <xf numFmtId="0" fontId="3" fillId="22" borderId="11" xfId="0" applyFont="1" applyFill="1" applyBorder="1" applyAlignment="1">
      <alignment horizontal="center"/>
    </xf>
    <xf numFmtId="0" fontId="3" fillId="22" borderId="8" xfId="0" applyFont="1" applyFill="1" applyBorder="1" applyAlignment="1">
      <alignment horizontal="center"/>
    </xf>
    <xf numFmtId="0" fontId="25" fillId="17" borderId="10" xfId="0" applyFont="1" applyFill="1" applyBorder="1" applyAlignment="1">
      <alignment horizontal="center"/>
    </xf>
    <xf numFmtId="0" fontId="25" fillId="17" borderId="12" xfId="0" applyFont="1" applyFill="1" applyBorder="1" applyAlignment="1">
      <alignment horizontal="center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2" fillId="0" borderId="38" xfId="0" applyFont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32" fillId="0" borderId="39" xfId="0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32" fillId="0" borderId="49" xfId="0" applyFont="1" applyBorder="1" applyAlignment="1">
      <alignment horizontal="center"/>
    </xf>
    <xf numFmtId="0" fontId="32" fillId="0" borderId="50" xfId="0" applyFont="1" applyBorder="1" applyAlignment="1">
      <alignment horizontal="center"/>
    </xf>
    <xf numFmtId="0" fontId="45" fillId="4" borderId="0" xfId="0" applyFont="1" applyFill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31" fillId="3" borderId="7" xfId="0" applyFont="1" applyFill="1" applyBorder="1" applyAlignment="1">
      <alignment horizontal="center"/>
    </xf>
    <xf numFmtId="0" fontId="31" fillId="3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43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2" fillId="20" borderId="40" xfId="0" applyFont="1" applyFill="1" applyBorder="1" applyAlignment="1">
      <alignment horizontal="center" vertical="center" wrapText="1"/>
    </xf>
    <xf numFmtId="0" fontId="36" fillId="0" borderId="41" xfId="0" applyFont="1" applyFill="1" applyBorder="1" applyAlignment="1">
      <alignment horizontal="center" vertical="center" wrapText="1"/>
    </xf>
    <xf numFmtId="0" fontId="39" fillId="0" borderId="36" xfId="0" applyFont="1" applyBorder="1" applyAlignment="1">
      <alignment horizontal="left" vertical="center" wrapText="1"/>
    </xf>
    <xf numFmtId="0" fontId="39" fillId="0" borderId="35" xfId="0" applyFont="1" applyBorder="1" applyAlignment="1">
      <alignment horizontal="left" vertical="center" wrapText="1"/>
    </xf>
    <xf numFmtId="0" fontId="39" fillId="0" borderId="37" xfId="0" applyFont="1" applyBorder="1" applyAlignment="1">
      <alignment horizontal="left" vertical="center" wrapText="1"/>
    </xf>
    <xf numFmtId="0" fontId="40" fillId="0" borderId="45" xfId="0" applyFont="1" applyBorder="1" applyAlignment="1">
      <alignment horizontal="center"/>
    </xf>
    <xf numFmtId="0" fontId="42" fillId="3" borderId="0" xfId="0" applyFont="1" applyFill="1" applyAlignment="1">
      <alignment horizontal="left" vertical="center" wrapText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colors>
    <mruColors>
      <color rgb="FF008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3425-B710-4BAE-BA7F-EFFF700AED1C}">
  <sheetPr>
    <tabColor rgb="FF002060"/>
  </sheetPr>
  <dimension ref="A1:O257"/>
  <sheetViews>
    <sheetView tabSelected="1" zoomScale="93" zoomScaleNormal="93" workbookViewId="0">
      <pane xSplit="13" ySplit="4" topLeftCell="N5" activePane="bottomRight" state="frozen"/>
      <selection pane="topRight" activeCell="N1" sqref="N1"/>
      <selection pane="bottomLeft" activeCell="A4" sqref="A4"/>
      <selection pane="bottomRight" activeCell="G194" sqref="G194"/>
    </sheetView>
  </sheetViews>
  <sheetFormatPr defaultRowHeight="15" x14ac:dyDescent="0.25"/>
  <cols>
    <col min="1" max="1" width="5" style="10" customWidth="1"/>
    <col min="2" max="2" width="52" style="1" customWidth="1"/>
    <col min="3" max="3" width="5.42578125" style="8" customWidth="1"/>
    <col min="4" max="4" width="8.5703125" style="1" customWidth="1"/>
    <col min="5" max="5" width="6.5703125" style="1" customWidth="1"/>
    <col min="6" max="7" width="6.85546875" style="1" customWidth="1"/>
    <col min="8" max="8" width="7.28515625" style="1" customWidth="1"/>
    <col min="9" max="10" width="7" style="1" customWidth="1"/>
    <col min="11" max="11" width="7.5703125" style="1" customWidth="1"/>
    <col min="12" max="12" width="8.5703125" style="1" customWidth="1"/>
    <col min="13" max="13" width="7.5703125" style="1" customWidth="1"/>
    <col min="14" max="16384" width="9.140625" style="1"/>
  </cols>
  <sheetData>
    <row r="1" spans="1:15" x14ac:dyDescent="0.25">
      <c r="A1" s="48"/>
      <c r="B1" s="1" t="s">
        <v>242</v>
      </c>
      <c r="C1" s="61"/>
      <c r="D1" s="62"/>
    </row>
    <row r="2" spans="1:15" ht="15.75" thickBot="1" x14ac:dyDescent="0.3">
      <c r="A2" s="59"/>
      <c r="B2" s="1" t="s">
        <v>460</v>
      </c>
    </row>
    <row r="3" spans="1:15" ht="15.75" thickTop="1" x14ac:dyDescent="0.25">
      <c r="A3" s="197" t="s">
        <v>243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9"/>
    </row>
    <row r="4" spans="1:15" s="2" customFormat="1" ht="42.75" x14ac:dyDescent="0.25">
      <c r="A4" s="49" t="s">
        <v>79</v>
      </c>
      <c r="B4" s="50" t="s">
        <v>1</v>
      </c>
      <c r="C4" s="50" t="s">
        <v>195</v>
      </c>
      <c r="D4" s="51" t="s">
        <v>2</v>
      </c>
      <c r="E4" s="50" t="s">
        <v>3</v>
      </c>
      <c r="F4" s="51" t="s">
        <v>4</v>
      </c>
      <c r="G4" s="50" t="s">
        <v>5</v>
      </c>
      <c r="H4" s="51" t="s">
        <v>6</v>
      </c>
      <c r="I4" s="51" t="s">
        <v>7</v>
      </c>
      <c r="J4" s="50" t="s">
        <v>8</v>
      </c>
      <c r="K4" s="51" t="s">
        <v>9</v>
      </c>
      <c r="L4" s="51" t="s">
        <v>10</v>
      </c>
      <c r="M4" s="52" t="s">
        <v>11</v>
      </c>
    </row>
    <row r="5" spans="1:15" x14ac:dyDescent="0.25">
      <c r="A5" s="3">
        <v>1</v>
      </c>
      <c r="B5" s="4" t="s">
        <v>12</v>
      </c>
      <c r="C5" s="147">
        <v>1</v>
      </c>
      <c r="D5" s="5">
        <v>1000</v>
      </c>
      <c r="E5" s="6">
        <v>11</v>
      </c>
      <c r="F5" s="43" t="s">
        <v>237</v>
      </c>
      <c r="G5" s="6">
        <v>11</v>
      </c>
      <c r="H5" s="43" t="s">
        <v>237</v>
      </c>
      <c r="I5" s="43" t="s">
        <v>237</v>
      </c>
      <c r="J5" s="42">
        <v>11</v>
      </c>
      <c r="K5" s="43" t="s">
        <v>237</v>
      </c>
      <c r="L5" s="43" t="s">
        <v>237</v>
      </c>
      <c r="M5" s="44" t="s">
        <v>237</v>
      </c>
      <c r="N5" s="7"/>
      <c r="O5" s="8"/>
    </row>
    <row r="6" spans="1:15" x14ac:dyDescent="0.25">
      <c r="A6" s="3">
        <v>2</v>
      </c>
      <c r="B6" s="4" t="s">
        <v>244</v>
      </c>
      <c r="C6" s="147">
        <v>1</v>
      </c>
      <c r="D6" s="5">
        <v>1000</v>
      </c>
      <c r="E6" s="6">
        <v>11</v>
      </c>
      <c r="F6" s="43" t="s">
        <v>237</v>
      </c>
      <c r="G6" s="6">
        <v>11</v>
      </c>
      <c r="H6" s="43" t="s">
        <v>237</v>
      </c>
      <c r="I6" s="43" t="s">
        <v>237</v>
      </c>
      <c r="J6" s="6">
        <v>11</v>
      </c>
      <c r="K6" s="43" t="s">
        <v>237</v>
      </c>
      <c r="L6" s="43" t="s">
        <v>237</v>
      </c>
      <c r="M6" s="44" t="s">
        <v>237</v>
      </c>
      <c r="N6" s="7"/>
      <c r="O6" s="8"/>
    </row>
    <row r="7" spans="1:15" x14ac:dyDescent="0.25">
      <c r="A7" s="3">
        <v>3</v>
      </c>
      <c r="B7" s="4" t="s">
        <v>245</v>
      </c>
      <c r="C7" s="147">
        <v>1</v>
      </c>
      <c r="D7" s="5">
        <v>1000</v>
      </c>
      <c r="E7" s="6">
        <v>11</v>
      </c>
      <c r="F7" s="43" t="s">
        <v>237</v>
      </c>
      <c r="G7" s="6">
        <v>11</v>
      </c>
      <c r="H7" s="43" t="s">
        <v>237</v>
      </c>
      <c r="I7" s="43" t="s">
        <v>237</v>
      </c>
      <c r="J7" s="6">
        <v>11</v>
      </c>
      <c r="K7" s="43" t="s">
        <v>237</v>
      </c>
      <c r="L7" s="43" t="s">
        <v>237</v>
      </c>
      <c r="M7" s="44" t="s">
        <v>237</v>
      </c>
      <c r="N7" s="7"/>
      <c r="O7" s="8"/>
    </row>
    <row r="8" spans="1:15" x14ac:dyDescent="0.25">
      <c r="A8" s="3">
        <v>4</v>
      </c>
      <c r="B8" s="4" t="s">
        <v>246</v>
      </c>
      <c r="C8" s="147">
        <v>1</v>
      </c>
      <c r="D8" s="5">
        <v>1000</v>
      </c>
      <c r="E8" s="6">
        <v>11</v>
      </c>
      <c r="F8" s="43" t="s">
        <v>237</v>
      </c>
      <c r="G8" s="6">
        <v>11</v>
      </c>
      <c r="H8" s="43" t="s">
        <v>237</v>
      </c>
      <c r="I8" s="43" t="s">
        <v>237</v>
      </c>
      <c r="J8" s="6">
        <v>11</v>
      </c>
      <c r="K8" s="43" t="s">
        <v>237</v>
      </c>
      <c r="L8" s="43" t="s">
        <v>237</v>
      </c>
      <c r="M8" s="44" t="s">
        <v>237</v>
      </c>
      <c r="N8" s="7"/>
      <c r="O8" s="8"/>
    </row>
    <row r="9" spans="1:15" x14ac:dyDescent="0.25">
      <c r="A9" s="3">
        <v>5</v>
      </c>
      <c r="B9" s="4" t="s">
        <v>247</v>
      </c>
      <c r="C9" s="147">
        <v>1</v>
      </c>
      <c r="D9" s="5">
        <v>4050</v>
      </c>
      <c r="E9" s="6">
        <v>21</v>
      </c>
      <c r="F9" s="43" t="s">
        <v>237</v>
      </c>
      <c r="G9" s="6">
        <v>11</v>
      </c>
      <c r="H9" s="43" t="s">
        <v>237</v>
      </c>
      <c r="I9" s="43" t="s">
        <v>237</v>
      </c>
      <c r="J9" s="6">
        <v>11</v>
      </c>
      <c r="K9" s="43" t="s">
        <v>237</v>
      </c>
      <c r="L9" s="43" t="s">
        <v>237</v>
      </c>
      <c r="M9" s="44" t="s">
        <v>237</v>
      </c>
      <c r="N9" s="7"/>
      <c r="O9" s="8"/>
    </row>
    <row r="10" spans="1:15" x14ac:dyDescent="0.25">
      <c r="A10" s="3">
        <v>6</v>
      </c>
      <c r="B10" s="4" t="s">
        <v>248</v>
      </c>
      <c r="C10" s="147">
        <v>1</v>
      </c>
      <c r="D10" s="5">
        <v>1299</v>
      </c>
      <c r="E10" s="43" t="s">
        <v>237</v>
      </c>
      <c r="F10" s="43" t="s">
        <v>237</v>
      </c>
      <c r="G10" s="43" t="s">
        <v>237</v>
      </c>
      <c r="H10" s="43" t="s">
        <v>237</v>
      </c>
      <c r="I10" s="43" t="s">
        <v>237</v>
      </c>
      <c r="J10" s="43" t="s">
        <v>237</v>
      </c>
      <c r="K10" s="43" t="s">
        <v>237</v>
      </c>
      <c r="L10" s="43" t="s">
        <v>237</v>
      </c>
      <c r="M10" s="44" t="s">
        <v>237</v>
      </c>
      <c r="N10" s="7"/>
      <c r="O10" s="8"/>
    </row>
    <row r="11" spans="1:15" x14ac:dyDescent="0.25">
      <c r="A11" s="58">
        <v>7</v>
      </c>
      <c r="B11" s="4" t="s">
        <v>249</v>
      </c>
      <c r="C11" s="147">
        <v>1</v>
      </c>
      <c r="D11" s="5">
        <v>9932</v>
      </c>
      <c r="E11" s="43" t="s">
        <v>237</v>
      </c>
      <c r="F11" s="43" t="s">
        <v>237</v>
      </c>
      <c r="G11" s="43" t="s">
        <v>237</v>
      </c>
      <c r="H11" s="43" t="s">
        <v>237</v>
      </c>
      <c r="I11" s="43" t="s">
        <v>237</v>
      </c>
      <c r="J11" s="43" t="s">
        <v>237</v>
      </c>
      <c r="K11" s="43" t="s">
        <v>237</v>
      </c>
      <c r="L11" s="43" t="s">
        <v>237</v>
      </c>
      <c r="M11" s="44" t="s">
        <v>237</v>
      </c>
      <c r="N11" s="7"/>
      <c r="O11" s="8"/>
    </row>
    <row r="12" spans="1:15" x14ac:dyDescent="0.25">
      <c r="A12" s="3">
        <v>8</v>
      </c>
      <c r="B12" s="4" t="s">
        <v>250</v>
      </c>
      <c r="C12" s="147">
        <v>1</v>
      </c>
      <c r="D12" s="5">
        <v>1299</v>
      </c>
      <c r="E12" s="43" t="s">
        <v>237</v>
      </c>
      <c r="F12" s="43" t="s">
        <v>237</v>
      </c>
      <c r="G12" s="43" t="s">
        <v>237</v>
      </c>
      <c r="H12" s="43" t="s">
        <v>237</v>
      </c>
      <c r="I12" s="43" t="s">
        <v>237</v>
      </c>
      <c r="J12" s="43" t="s">
        <v>237</v>
      </c>
      <c r="K12" s="43" t="s">
        <v>237</v>
      </c>
      <c r="L12" s="43" t="s">
        <v>237</v>
      </c>
      <c r="M12" s="44" t="s">
        <v>237</v>
      </c>
      <c r="N12" s="7"/>
      <c r="O12" s="8"/>
    </row>
    <row r="13" spans="1:15" x14ac:dyDescent="0.25">
      <c r="A13" s="3">
        <v>9</v>
      </c>
      <c r="B13" s="4" t="s">
        <v>251</v>
      </c>
      <c r="C13" s="147">
        <v>1</v>
      </c>
      <c r="D13" s="5">
        <v>1002</v>
      </c>
      <c r="E13" s="43" t="s">
        <v>237</v>
      </c>
      <c r="F13" s="43" t="s">
        <v>237</v>
      </c>
      <c r="G13" s="43" t="s">
        <v>237</v>
      </c>
      <c r="H13" s="43" t="s">
        <v>237</v>
      </c>
      <c r="I13" s="43" t="s">
        <v>237</v>
      </c>
      <c r="J13" s="43" t="s">
        <v>237</v>
      </c>
      <c r="K13" s="43" t="s">
        <v>237</v>
      </c>
      <c r="L13" s="43" t="s">
        <v>237</v>
      </c>
      <c r="M13" s="44" t="s">
        <v>237</v>
      </c>
      <c r="N13" s="7"/>
      <c r="O13" s="8"/>
    </row>
    <row r="14" spans="1:15" x14ac:dyDescent="0.25">
      <c r="A14" s="3">
        <v>10</v>
      </c>
      <c r="B14" s="4" t="s">
        <v>252</v>
      </c>
      <c r="C14" s="147">
        <v>1</v>
      </c>
      <c r="D14" s="5">
        <v>5501</v>
      </c>
      <c r="E14" s="43" t="s">
        <v>237</v>
      </c>
      <c r="F14" s="43" t="s">
        <v>237</v>
      </c>
      <c r="G14" s="43" t="s">
        <v>237</v>
      </c>
      <c r="H14" s="43" t="s">
        <v>237</v>
      </c>
      <c r="I14" s="43" t="s">
        <v>237</v>
      </c>
      <c r="J14" s="43" t="s">
        <v>237</v>
      </c>
      <c r="K14" s="43" t="s">
        <v>237</v>
      </c>
      <c r="L14" s="43" t="s">
        <v>237</v>
      </c>
      <c r="M14" s="44" t="s">
        <v>237</v>
      </c>
      <c r="N14" s="7"/>
      <c r="O14" s="8"/>
    </row>
    <row r="15" spans="1:15" x14ac:dyDescent="0.25">
      <c r="A15" s="3">
        <v>11</v>
      </c>
      <c r="B15" s="4" t="s">
        <v>253</v>
      </c>
      <c r="C15" s="147">
        <v>1</v>
      </c>
      <c r="D15" s="5">
        <v>5501</v>
      </c>
      <c r="E15" s="43" t="s">
        <v>237</v>
      </c>
      <c r="F15" s="43" t="s">
        <v>237</v>
      </c>
      <c r="G15" s="6">
        <v>11</v>
      </c>
      <c r="H15" s="43" t="s">
        <v>237</v>
      </c>
      <c r="I15" s="43" t="s">
        <v>237</v>
      </c>
      <c r="J15" s="43" t="s">
        <v>237</v>
      </c>
      <c r="K15" s="43" t="s">
        <v>237</v>
      </c>
      <c r="L15" s="43" t="s">
        <v>237</v>
      </c>
      <c r="M15" s="44" t="s">
        <v>237</v>
      </c>
      <c r="N15" s="7"/>
      <c r="O15" s="8"/>
    </row>
    <row r="16" spans="1:15" x14ac:dyDescent="0.25">
      <c r="A16" s="3">
        <v>12</v>
      </c>
      <c r="B16" s="4" t="s">
        <v>254</v>
      </c>
      <c r="C16" s="147">
        <v>1</v>
      </c>
      <c r="D16" s="5">
        <v>4050</v>
      </c>
      <c r="E16" s="6">
        <v>11</v>
      </c>
      <c r="F16" s="43" t="s">
        <v>237</v>
      </c>
      <c r="G16" s="6">
        <v>11</v>
      </c>
      <c r="H16" s="43" t="s">
        <v>237</v>
      </c>
      <c r="I16" s="43" t="s">
        <v>237</v>
      </c>
      <c r="J16" s="6">
        <v>11</v>
      </c>
      <c r="K16" s="43" t="s">
        <v>237</v>
      </c>
      <c r="L16" s="43" t="s">
        <v>237</v>
      </c>
      <c r="M16" s="44" t="s">
        <v>237</v>
      </c>
      <c r="N16" s="7"/>
      <c r="O16" s="8"/>
    </row>
    <row r="17" spans="1:15" x14ac:dyDescent="0.25">
      <c r="A17" s="3">
        <v>13</v>
      </c>
      <c r="B17" s="4" t="s">
        <v>255</v>
      </c>
      <c r="C17" s="147">
        <v>1</v>
      </c>
      <c r="D17" s="5">
        <v>4050</v>
      </c>
      <c r="E17" s="6">
        <v>11</v>
      </c>
      <c r="F17" s="43" t="s">
        <v>237</v>
      </c>
      <c r="G17" s="6">
        <v>11</v>
      </c>
      <c r="H17" s="43" t="s">
        <v>237</v>
      </c>
      <c r="I17" s="43" t="s">
        <v>237</v>
      </c>
      <c r="J17" s="6">
        <v>11</v>
      </c>
      <c r="K17" s="43" t="s">
        <v>237</v>
      </c>
      <c r="L17" s="43" t="s">
        <v>237</v>
      </c>
      <c r="M17" s="44" t="s">
        <v>237</v>
      </c>
      <c r="N17" s="7"/>
      <c r="O17" s="8"/>
    </row>
    <row r="18" spans="1:15" x14ac:dyDescent="0.25">
      <c r="A18" s="3">
        <v>14</v>
      </c>
      <c r="B18" s="4" t="s">
        <v>457</v>
      </c>
      <c r="C18" s="147">
        <v>3</v>
      </c>
      <c r="D18" s="5">
        <v>9930</v>
      </c>
      <c r="E18" s="9">
        <v>25</v>
      </c>
      <c r="F18" s="43" t="s">
        <v>237</v>
      </c>
      <c r="G18" s="43" t="s">
        <v>237</v>
      </c>
      <c r="H18" s="43" t="s">
        <v>237</v>
      </c>
      <c r="I18" s="43" t="s">
        <v>237</v>
      </c>
      <c r="J18" s="6">
        <v>11</v>
      </c>
      <c r="K18" s="43" t="s">
        <v>237</v>
      </c>
      <c r="L18" s="43" t="s">
        <v>237</v>
      </c>
      <c r="M18" s="44" t="s">
        <v>237</v>
      </c>
      <c r="N18" s="7"/>
      <c r="O18" s="8"/>
    </row>
    <row r="19" spans="1:15" x14ac:dyDescent="0.25">
      <c r="A19" s="3">
        <v>15</v>
      </c>
      <c r="B19" s="4" t="s">
        <v>256</v>
      </c>
      <c r="C19" s="147">
        <v>3</v>
      </c>
      <c r="D19" s="5">
        <v>5504</v>
      </c>
      <c r="E19" s="43" t="s">
        <v>237</v>
      </c>
      <c r="F19" s="43" t="s">
        <v>237</v>
      </c>
      <c r="G19" s="43" t="s">
        <v>237</v>
      </c>
      <c r="H19" s="43" t="s">
        <v>237</v>
      </c>
      <c r="I19" s="43" t="s">
        <v>237</v>
      </c>
      <c r="J19" s="43" t="s">
        <v>237</v>
      </c>
      <c r="K19" s="6">
        <v>12</v>
      </c>
      <c r="L19" s="43" t="s">
        <v>237</v>
      </c>
      <c r="M19" s="44" t="s">
        <v>237</v>
      </c>
      <c r="N19" s="7"/>
      <c r="O19" s="8"/>
    </row>
    <row r="20" spans="1:15" x14ac:dyDescent="0.25">
      <c r="A20" s="3">
        <v>16</v>
      </c>
      <c r="B20" s="4" t="s">
        <v>257</v>
      </c>
      <c r="C20" s="147">
        <v>3</v>
      </c>
      <c r="D20" s="5">
        <v>4051</v>
      </c>
      <c r="E20" s="9">
        <v>26</v>
      </c>
      <c r="F20" s="43" t="s">
        <v>237</v>
      </c>
      <c r="G20" s="43" t="s">
        <v>237</v>
      </c>
      <c r="H20" s="43" t="s">
        <v>237</v>
      </c>
      <c r="I20" s="43" t="s">
        <v>237</v>
      </c>
      <c r="J20" s="43" t="s">
        <v>237</v>
      </c>
      <c r="K20" s="6">
        <v>12</v>
      </c>
      <c r="L20" s="43" t="s">
        <v>237</v>
      </c>
      <c r="M20" s="44" t="s">
        <v>237</v>
      </c>
      <c r="N20" s="7"/>
      <c r="O20" s="8"/>
    </row>
    <row r="21" spans="1:15" x14ac:dyDescent="0.25">
      <c r="A21" s="3">
        <v>17</v>
      </c>
      <c r="B21" s="4" t="s">
        <v>258</v>
      </c>
      <c r="C21" s="147">
        <v>4</v>
      </c>
      <c r="D21" s="5">
        <v>9902</v>
      </c>
      <c r="E21" s="43" t="s">
        <v>237</v>
      </c>
      <c r="F21" s="43" t="s">
        <v>237</v>
      </c>
      <c r="G21" s="43" t="s">
        <v>237</v>
      </c>
      <c r="H21" s="43" t="s">
        <v>237</v>
      </c>
      <c r="I21" s="43" t="s">
        <v>237</v>
      </c>
      <c r="J21" s="43" t="s">
        <v>237</v>
      </c>
      <c r="K21" s="6">
        <v>12</v>
      </c>
      <c r="L21" s="43" t="s">
        <v>237</v>
      </c>
      <c r="M21" s="44" t="s">
        <v>237</v>
      </c>
      <c r="N21" s="7"/>
      <c r="O21" s="8"/>
    </row>
    <row r="22" spans="1:15" x14ac:dyDescent="0.25">
      <c r="A22" s="3">
        <v>18</v>
      </c>
      <c r="B22" s="4" t="s">
        <v>259</v>
      </c>
      <c r="C22" s="147">
        <v>3</v>
      </c>
      <c r="D22" s="5">
        <v>1009</v>
      </c>
      <c r="E22" s="9">
        <v>26</v>
      </c>
      <c r="F22" s="43" t="s">
        <v>237</v>
      </c>
      <c r="G22" s="43" t="s">
        <v>237</v>
      </c>
      <c r="H22" s="43" t="s">
        <v>237</v>
      </c>
      <c r="I22" s="43" t="s">
        <v>237</v>
      </c>
      <c r="J22" s="43" t="s">
        <v>237</v>
      </c>
      <c r="K22" s="6">
        <v>12</v>
      </c>
      <c r="L22" s="43" t="s">
        <v>237</v>
      </c>
      <c r="M22" s="44" t="s">
        <v>237</v>
      </c>
      <c r="N22" s="7"/>
      <c r="O22" s="8"/>
    </row>
    <row r="23" spans="1:15" x14ac:dyDescent="0.25">
      <c r="A23" s="3">
        <v>19</v>
      </c>
      <c r="B23" s="4" t="s">
        <v>260</v>
      </c>
      <c r="C23" s="147">
        <v>3</v>
      </c>
      <c r="D23" s="5">
        <v>5001</v>
      </c>
      <c r="E23" s="9">
        <v>24</v>
      </c>
      <c r="F23" s="43" t="s">
        <v>237</v>
      </c>
      <c r="G23" s="43" t="s">
        <v>237</v>
      </c>
      <c r="H23" s="43" t="s">
        <v>237</v>
      </c>
      <c r="I23" s="43" t="s">
        <v>237</v>
      </c>
      <c r="J23" s="6">
        <v>11</v>
      </c>
      <c r="K23" s="43" t="s">
        <v>237</v>
      </c>
      <c r="L23" s="43" t="s">
        <v>237</v>
      </c>
      <c r="M23" s="44" t="s">
        <v>237</v>
      </c>
      <c r="N23" s="7"/>
      <c r="O23" s="8"/>
    </row>
    <row r="24" spans="1:15" x14ac:dyDescent="0.25">
      <c r="A24" s="3">
        <v>20</v>
      </c>
      <c r="B24" s="4" t="s">
        <v>14</v>
      </c>
      <c r="C24" s="147">
        <v>1</v>
      </c>
      <c r="D24" s="5">
        <v>1020</v>
      </c>
      <c r="E24" s="6">
        <v>11</v>
      </c>
      <c r="F24" s="43" t="s">
        <v>237</v>
      </c>
      <c r="G24" s="43" t="s">
        <v>237</v>
      </c>
      <c r="H24" s="6">
        <v>13</v>
      </c>
      <c r="I24" s="43" t="s">
        <v>237</v>
      </c>
      <c r="J24" s="6">
        <v>11</v>
      </c>
      <c r="K24" s="43" t="s">
        <v>237</v>
      </c>
      <c r="L24" s="43" t="s">
        <v>237</v>
      </c>
      <c r="M24" s="44" t="s">
        <v>237</v>
      </c>
      <c r="N24" s="7"/>
      <c r="O24" s="8"/>
    </row>
    <row r="25" spans="1:15" x14ac:dyDescent="0.25">
      <c r="A25" s="3">
        <v>21</v>
      </c>
      <c r="B25" s="4" t="s">
        <v>15</v>
      </c>
      <c r="C25" s="147">
        <v>1</v>
      </c>
      <c r="D25" s="5">
        <v>1020</v>
      </c>
      <c r="E25" s="6">
        <v>11</v>
      </c>
      <c r="F25" s="43" t="s">
        <v>237</v>
      </c>
      <c r="G25" s="43" t="s">
        <v>237</v>
      </c>
      <c r="H25" s="6">
        <v>13</v>
      </c>
      <c r="I25" s="43" t="s">
        <v>237</v>
      </c>
      <c r="J25" s="6">
        <v>11</v>
      </c>
      <c r="K25" s="43" t="s">
        <v>237</v>
      </c>
      <c r="L25" s="43" t="s">
        <v>237</v>
      </c>
      <c r="M25" s="44" t="s">
        <v>237</v>
      </c>
      <c r="N25" s="7"/>
      <c r="O25" s="8"/>
    </row>
    <row r="26" spans="1:15" x14ac:dyDescent="0.25">
      <c r="A26" s="3">
        <v>22</v>
      </c>
      <c r="B26" s="4" t="s">
        <v>222</v>
      </c>
      <c r="C26" s="147">
        <v>1</v>
      </c>
      <c r="D26" s="5">
        <v>1023</v>
      </c>
      <c r="E26" s="43" t="s">
        <v>237</v>
      </c>
      <c r="F26" s="43" t="s">
        <v>237</v>
      </c>
      <c r="G26" s="43" t="s">
        <v>237</v>
      </c>
      <c r="H26" s="6">
        <v>75</v>
      </c>
      <c r="I26" s="43" t="s">
        <v>237</v>
      </c>
      <c r="J26" s="43" t="s">
        <v>237</v>
      </c>
      <c r="K26" s="43" t="s">
        <v>237</v>
      </c>
      <c r="L26" s="43" t="s">
        <v>237</v>
      </c>
      <c r="M26" s="44" t="s">
        <v>237</v>
      </c>
      <c r="N26" s="7"/>
      <c r="O26" s="8"/>
    </row>
    <row r="27" spans="1:15" x14ac:dyDescent="0.25">
      <c r="A27" s="3">
        <v>23</v>
      </c>
      <c r="B27" s="4" t="s">
        <v>261</v>
      </c>
      <c r="C27" s="147">
        <v>1</v>
      </c>
      <c r="D27" s="5">
        <v>1040</v>
      </c>
      <c r="E27" s="6">
        <v>11</v>
      </c>
      <c r="F27" s="43" t="s">
        <v>237</v>
      </c>
      <c r="G27" s="6">
        <v>11</v>
      </c>
      <c r="H27" s="43" t="s">
        <v>237</v>
      </c>
      <c r="I27" s="43" t="s">
        <v>237</v>
      </c>
      <c r="J27" s="6">
        <v>11</v>
      </c>
      <c r="K27" s="43" t="s">
        <v>237</v>
      </c>
      <c r="L27" s="43" t="s">
        <v>237</v>
      </c>
      <c r="M27" s="44" t="s">
        <v>237</v>
      </c>
      <c r="N27" s="7"/>
      <c r="O27" s="8"/>
    </row>
    <row r="28" spans="1:15" x14ac:dyDescent="0.25">
      <c r="A28" s="3">
        <v>24</v>
      </c>
      <c r="B28" s="4" t="s">
        <v>262</v>
      </c>
      <c r="C28" s="147">
        <v>2</v>
      </c>
      <c r="D28" s="5">
        <v>9299</v>
      </c>
      <c r="E28" s="43" t="s">
        <v>237</v>
      </c>
      <c r="F28" s="43" t="s">
        <v>237</v>
      </c>
      <c r="G28" s="43" t="s">
        <v>237</v>
      </c>
      <c r="H28" s="43" t="s">
        <v>237</v>
      </c>
      <c r="I28" s="43" t="s">
        <v>237</v>
      </c>
      <c r="J28" s="43" t="s">
        <v>237</v>
      </c>
      <c r="K28" s="43" t="s">
        <v>237</v>
      </c>
      <c r="L28" s="43" t="s">
        <v>237</v>
      </c>
      <c r="M28" s="44" t="s">
        <v>237</v>
      </c>
      <c r="N28" s="7"/>
      <c r="O28" s="8"/>
    </row>
    <row r="29" spans="1:15" x14ac:dyDescent="0.25">
      <c r="A29" s="3">
        <v>25</v>
      </c>
      <c r="B29" s="4" t="s">
        <v>16</v>
      </c>
      <c r="C29" s="147">
        <v>1</v>
      </c>
      <c r="D29" s="5">
        <v>6007</v>
      </c>
      <c r="E29" s="43" t="s">
        <v>237</v>
      </c>
      <c r="F29" s="43" t="s">
        <v>237</v>
      </c>
      <c r="G29" s="9">
        <v>74</v>
      </c>
      <c r="H29" s="43" t="s">
        <v>237</v>
      </c>
      <c r="I29" s="43" t="s">
        <v>237</v>
      </c>
      <c r="J29" s="43" t="s">
        <v>237</v>
      </c>
      <c r="K29" s="43" t="s">
        <v>237</v>
      </c>
      <c r="L29" s="43" t="s">
        <v>237</v>
      </c>
      <c r="M29" s="44" t="s">
        <v>237</v>
      </c>
      <c r="N29" s="7"/>
      <c r="O29" s="8"/>
    </row>
    <row r="30" spans="1:15" x14ac:dyDescent="0.25">
      <c r="A30" s="3">
        <v>26</v>
      </c>
      <c r="B30" s="4" t="s">
        <v>17</v>
      </c>
      <c r="C30" s="147">
        <v>1</v>
      </c>
      <c r="D30" s="5">
        <v>6006</v>
      </c>
      <c r="E30" s="43" t="s">
        <v>237</v>
      </c>
      <c r="F30" s="43" t="s">
        <v>237</v>
      </c>
      <c r="G30" s="9">
        <v>74</v>
      </c>
      <c r="H30" s="43" t="s">
        <v>237</v>
      </c>
      <c r="I30" s="43" t="s">
        <v>237</v>
      </c>
      <c r="J30" s="43" t="s">
        <v>237</v>
      </c>
      <c r="K30" s="43" t="s">
        <v>237</v>
      </c>
      <c r="L30" s="43" t="s">
        <v>237</v>
      </c>
      <c r="M30" s="44" t="s">
        <v>237</v>
      </c>
      <c r="N30" s="7"/>
      <c r="O30" s="8"/>
    </row>
    <row r="31" spans="1:15" x14ac:dyDescent="0.25">
      <c r="A31" s="3">
        <v>27</v>
      </c>
      <c r="B31" s="4" t="s">
        <v>18</v>
      </c>
      <c r="C31" s="147">
        <v>1</v>
      </c>
      <c r="D31" s="5">
        <v>6007</v>
      </c>
      <c r="E31" s="43" t="s">
        <v>237</v>
      </c>
      <c r="F31" s="43" t="s">
        <v>237</v>
      </c>
      <c r="G31" s="9">
        <v>74</v>
      </c>
      <c r="H31" s="43" t="s">
        <v>237</v>
      </c>
      <c r="I31" s="43" t="s">
        <v>237</v>
      </c>
      <c r="J31" s="43" t="s">
        <v>237</v>
      </c>
      <c r="K31" s="43" t="s">
        <v>237</v>
      </c>
      <c r="L31" s="43" t="s">
        <v>237</v>
      </c>
      <c r="M31" s="44" t="s">
        <v>237</v>
      </c>
      <c r="N31" s="7"/>
      <c r="O31" s="8"/>
    </row>
    <row r="32" spans="1:15" x14ac:dyDescent="0.25">
      <c r="A32" s="3">
        <v>28</v>
      </c>
      <c r="B32" s="4" t="s">
        <v>19</v>
      </c>
      <c r="C32" s="147">
        <v>2</v>
      </c>
      <c r="D32" s="5">
        <v>9221</v>
      </c>
      <c r="E32" s="43" t="s">
        <v>237</v>
      </c>
      <c r="F32" s="43" t="s">
        <v>237</v>
      </c>
      <c r="G32" s="146" t="s">
        <v>458</v>
      </c>
      <c r="H32" s="43" t="s">
        <v>237</v>
      </c>
      <c r="I32" s="43" t="s">
        <v>237</v>
      </c>
      <c r="J32" s="43" t="s">
        <v>237</v>
      </c>
      <c r="K32" s="43" t="s">
        <v>237</v>
      </c>
      <c r="L32" s="43" t="s">
        <v>237</v>
      </c>
      <c r="M32" s="44" t="s">
        <v>237</v>
      </c>
      <c r="N32" s="7"/>
      <c r="O32" s="8"/>
    </row>
    <row r="33" spans="1:15" x14ac:dyDescent="0.25">
      <c r="A33" s="3">
        <v>29</v>
      </c>
      <c r="B33" s="4" t="s">
        <v>263</v>
      </c>
      <c r="C33" s="147">
        <v>1</v>
      </c>
      <c r="D33" s="5">
        <v>1020</v>
      </c>
      <c r="E33" s="6">
        <v>11</v>
      </c>
      <c r="F33" s="43" t="s">
        <v>237</v>
      </c>
      <c r="G33" s="43" t="s">
        <v>237</v>
      </c>
      <c r="H33" s="6">
        <v>11</v>
      </c>
      <c r="I33" s="43" t="s">
        <v>237</v>
      </c>
      <c r="J33" s="6">
        <v>11</v>
      </c>
      <c r="K33" s="43" t="s">
        <v>237</v>
      </c>
      <c r="L33" s="43" t="s">
        <v>237</v>
      </c>
      <c r="M33" s="44" t="s">
        <v>237</v>
      </c>
      <c r="N33" s="7"/>
      <c r="O33" s="8"/>
    </row>
    <row r="34" spans="1:15" x14ac:dyDescent="0.25">
      <c r="A34" s="3">
        <v>30</v>
      </c>
      <c r="B34" s="4" t="s">
        <v>20</v>
      </c>
      <c r="C34" s="147">
        <v>1</v>
      </c>
      <c r="D34" s="5">
        <v>5001</v>
      </c>
      <c r="E34" s="43" t="s">
        <v>237</v>
      </c>
      <c r="F34" s="6">
        <v>12</v>
      </c>
      <c r="G34" s="43" t="s">
        <v>237</v>
      </c>
      <c r="H34" s="43" t="s">
        <v>237</v>
      </c>
      <c r="I34" s="6">
        <v>12</v>
      </c>
      <c r="J34" s="43" t="s">
        <v>237</v>
      </c>
      <c r="K34" s="6">
        <v>12</v>
      </c>
      <c r="L34" s="43" t="s">
        <v>237</v>
      </c>
      <c r="M34" s="44" t="s">
        <v>237</v>
      </c>
      <c r="N34" s="7"/>
      <c r="O34" s="8"/>
    </row>
    <row r="35" spans="1:15" x14ac:dyDescent="0.25">
      <c r="A35" s="3">
        <v>31</v>
      </c>
      <c r="B35" s="4" t="s">
        <v>21</v>
      </c>
      <c r="C35" s="147">
        <v>1</v>
      </c>
      <c r="D35" s="5">
        <v>5504</v>
      </c>
      <c r="E35" s="43" t="s">
        <v>237</v>
      </c>
      <c r="F35" s="43" t="s">
        <v>237</v>
      </c>
      <c r="G35" s="43" t="s">
        <v>237</v>
      </c>
      <c r="H35" s="43" t="s">
        <v>237</v>
      </c>
      <c r="I35" s="43" t="s">
        <v>237</v>
      </c>
      <c r="J35" s="43" t="s">
        <v>237</v>
      </c>
      <c r="K35" s="6">
        <v>12</v>
      </c>
      <c r="L35" s="43" t="s">
        <v>237</v>
      </c>
      <c r="M35" s="44" t="s">
        <v>237</v>
      </c>
      <c r="N35" s="7"/>
      <c r="O35" s="8"/>
    </row>
    <row r="36" spans="1:15" x14ac:dyDescent="0.25">
      <c r="A36" s="3">
        <v>32</v>
      </c>
      <c r="B36" s="4" t="s">
        <v>22</v>
      </c>
      <c r="C36" s="147">
        <v>2</v>
      </c>
      <c r="D36" s="5">
        <v>9214</v>
      </c>
      <c r="E36" s="43" t="s">
        <v>237</v>
      </c>
      <c r="F36" s="43" t="s">
        <v>237</v>
      </c>
      <c r="G36" s="43" t="s">
        <v>237</v>
      </c>
      <c r="H36" s="43" t="s">
        <v>237</v>
      </c>
      <c r="I36" s="43" t="s">
        <v>237</v>
      </c>
      <c r="J36" s="43" t="s">
        <v>237</v>
      </c>
      <c r="K36" s="6">
        <v>12</v>
      </c>
      <c r="L36" s="43" t="s">
        <v>237</v>
      </c>
      <c r="M36" s="44" t="s">
        <v>237</v>
      </c>
      <c r="N36" s="7"/>
      <c r="O36" s="8"/>
    </row>
    <row r="37" spans="1:15" x14ac:dyDescent="0.25">
      <c r="A37" s="3">
        <v>33</v>
      </c>
      <c r="B37" s="4" t="s">
        <v>23</v>
      </c>
      <c r="C37" s="147">
        <v>1</v>
      </c>
      <c r="D37" s="5">
        <v>6001</v>
      </c>
      <c r="E37" s="43" t="s">
        <v>237</v>
      </c>
      <c r="F37" s="6">
        <v>12</v>
      </c>
      <c r="G37" s="43" t="s">
        <v>237</v>
      </c>
      <c r="H37" s="43" t="s">
        <v>237</v>
      </c>
      <c r="I37" s="6">
        <v>12</v>
      </c>
      <c r="J37" s="43" t="s">
        <v>237</v>
      </c>
      <c r="K37" s="6">
        <v>21</v>
      </c>
      <c r="L37" s="43" t="s">
        <v>237</v>
      </c>
      <c r="M37" s="44" t="s">
        <v>237</v>
      </c>
      <c r="N37" s="7"/>
      <c r="O37" s="8"/>
    </row>
    <row r="38" spans="1:15" x14ac:dyDescent="0.25">
      <c r="A38" s="3">
        <v>34</v>
      </c>
      <c r="B38" s="4" t="s">
        <v>264</v>
      </c>
      <c r="C38" s="147">
        <v>1</v>
      </c>
      <c r="D38" s="5">
        <v>6102</v>
      </c>
      <c r="E38" s="43" t="s">
        <v>237</v>
      </c>
      <c r="F38" s="43" t="s">
        <v>237</v>
      </c>
      <c r="G38" s="9">
        <v>74</v>
      </c>
      <c r="H38" s="43" t="s">
        <v>237</v>
      </c>
      <c r="I38" s="43" t="s">
        <v>237</v>
      </c>
      <c r="J38" s="43" t="s">
        <v>237</v>
      </c>
      <c r="K38" s="43" t="s">
        <v>237</v>
      </c>
      <c r="L38" s="43" t="s">
        <v>237</v>
      </c>
      <c r="M38" s="44" t="s">
        <v>237</v>
      </c>
      <c r="N38" s="7"/>
      <c r="O38" s="8"/>
    </row>
    <row r="39" spans="1:15" x14ac:dyDescent="0.25">
      <c r="A39" s="3">
        <v>35</v>
      </c>
      <c r="B39" s="4" t="s">
        <v>24</v>
      </c>
      <c r="C39" s="147">
        <v>1</v>
      </c>
      <c r="D39" s="5">
        <v>6003</v>
      </c>
      <c r="E39" s="45" t="s">
        <v>237</v>
      </c>
      <c r="F39" s="145" t="s">
        <v>13</v>
      </c>
      <c r="G39" s="9">
        <v>74</v>
      </c>
      <c r="H39" s="43" t="s">
        <v>237</v>
      </c>
      <c r="I39" s="43" t="s">
        <v>237</v>
      </c>
      <c r="J39" s="6">
        <v>21</v>
      </c>
      <c r="K39" s="43" t="s">
        <v>237</v>
      </c>
      <c r="L39" s="43" t="s">
        <v>237</v>
      </c>
      <c r="M39" s="44" t="s">
        <v>237</v>
      </c>
      <c r="N39" s="7"/>
      <c r="O39" s="8"/>
    </row>
    <row r="40" spans="1:15" x14ac:dyDescent="0.25">
      <c r="A40" s="3">
        <v>36</v>
      </c>
      <c r="B40" s="4" t="s">
        <v>25</v>
      </c>
      <c r="C40" s="147">
        <v>1</v>
      </c>
      <c r="D40" s="5">
        <v>6000</v>
      </c>
      <c r="E40" s="6">
        <v>11</v>
      </c>
      <c r="F40" s="43" t="s">
        <v>237</v>
      </c>
      <c r="G40" s="6">
        <v>11</v>
      </c>
      <c r="H40" s="43" t="s">
        <v>237</v>
      </c>
      <c r="I40" s="43" t="s">
        <v>237</v>
      </c>
      <c r="J40" s="6">
        <v>11</v>
      </c>
      <c r="K40" s="43" t="s">
        <v>237</v>
      </c>
      <c r="L40" s="43" t="s">
        <v>237</v>
      </c>
      <c r="M40" s="44" t="s">
        <v>237</v>
      </c>
      <c r="N40" s="7"/>
      <c r="O40" s="8"/>
    </row>
    <row r="41" spans="1:15" x14ac:dyDescent="0.25">
      <c r="A41" s="3">
        <v>37</v>
      </c>
      <c r="B41" s="4" t="s">
        <v>26</v>
      </c>
      <c r="C41" s="147">
        <v>1</v>
      </c>
      <c r="D41" s="5">
        <v>6000</v>
      </c>
      <c r="E41" s="6">
        <v>11</v>
      </c>
      <c r="F41" s="43" t="s">
        <v>237</v>
      </c>
      <c r="G41" s="6">
        <v>11</v>
      </c>
      <c r="H41" s="43" t="s">
        <v>237</v>
      </c>
      <c r="I41" s="43" t="s">
        <v>237</v>
      </c>
      <c r="J41" s="6">
        <v>11</v>
      </c>
      <c r="K41" s="43" t="s">
        <v>237</v>
      </c>
      <c r="L41" s="43" t="s">
        <v>237</v>
      </c>
      <c r="M41" s="44" t="s">
        <v>237</v>
      </c>
      <c r="N41" s="7"/>
      <c r="O41" s="8"/>
    </row>
    <row r="42" spans="1:15" x14ac:dyDescent="0.25">
      <c r="A42" s="3">
        <v>38</v>
      </c>
      <c r="B42" s="4" t="s">
        <v>265</v>
      </c>
      <c r="C42" s="147">
        <v>1</v>
      </c>
      <c r="D42" s="5">
        <v>1409</v>
      </c>
      <c r="E42" s="9">
        <v>51</v>
      </c>
      <c r="F42" s="43" t="s">
        <v>237</v>
      </c>
      <c r="G42" s="9">
        <v>79</v>
      </c>
      <c r="H42" s="43" t="s">
        <v>237</v>
      </c>
      <c r="I42" s="43" t="s">
        <v>237</v>
      </c>
      <c r="J42" s="43" t="s">
        <v>237</v>
      </c>
      <c r="K42" s="43" t="s">
        <v>237</v>
      </c>
      <c r="L42" s="43" t="s">
        <v>237</v>
      </c>
      <c r="M42" s="44" t="s">
        <v>237</v>
      </c>
      <c r="N42" s="7"/>
      <c r="O42" s="8"/>
    </row>
    <row r="43" spans="1:15" x14ac:dyDescent="0.25">
      <c r="A43" s="3">
        <v>39</v>
      </c>
      <c r="B43" s="4" t="s">
        <v>266</v>
      </c>
      <c r="C43" s="147">
        <v>1</v>
      </c>
      <c r="D43" s="5">
        <v>1202</v>
      </c>
      <c r="E43" s="6">
        <v>11</v>
      </c>
      <c r="F43" s="43" t="s">
        <v>237</v>
      </c>
      <c r="G43" s="6">
        <v>11</v>
      </c>
      <c r="H43" s="43" t="s">
        <v>237</v>
      </c>
      <c r="I43" s="43" t="s">
        <v>237</v>
      </c>
      <c r="J43" s="6">
        <v>11</v>
      </c>
      <c r="K43" s="43" t="s">
        <v>237</v>
      </c>
      <c r="L43" s="57" t="s">
        <v>13</v>
      </c>
      <c r="M43" s="44" t="s">
        <v>237</v>
      </c>
      <c r="N43" s="7"/>
      <c r="O43" s="8"/>
    </row>
    <row r="44" spans="1:15" x14ac:dyDescent="0.25">
      <c r="A44" s="3">
        <v>40</v>
      </c>
      <c r="B44" s="4" t="s">
        <v>267</v>
      </c>
      <c r="C44" s="147">
        <v>1</v>
      </c>
      <c r="D44" s="5">
        <v>6003</v>
      </c>
      <c r="E44" s="6">
        <v>11</v>
      </c>
      <c r="F44" s="43" t="s">
        <v>237</v>
      </c>
      <c r="G44" s="6">
        <v>11</v>
      </c>
      <c r="H44" s="43" t="s">
        <v>237</v>
      </c>
      <c r="I44" s="43" t="s">
        <v>237</v>
      </c>
      <c r="J44" s="6">
        <v>11</v>
      </c>
      <c r="K44" s="43" t="s">
        <v>237</v>
      </c>
      <c r="L44" s="43" t="s">
        <v>237</v>
      </c>
      <c r="M44" s="44" t="s">
        <v>237</v>
      </c>
      <c r="N44" s="7"/>
      <c r="O44" s="8"/>
    </row>
    <row r="45" spans="1:15" x14ac:dyDescent="0.25">
      <c r="A45" s="3">
        <v>41</v>
      </c>
      <c r="B45" s="4" t="s">
        <v>268</v>
      </c>
      <c r="C45" s="147">
        <v>1</v>
      </c>
      <c r="D45" s="5">
        <v>6104</v>
      </c>
      <c r="E45" s="43" t="s">
        <v>237</v>
      </c>
      <c r="F45" s="43" t="s">
        <v>237</v>
      </c>
      <c r="G45" s="9">
        <v>74</v>
      </c>
      <c r="H45" s="43" t="s">
        <v>237</v>
      </c>
      <c r="I45" s="43" t="s">
        <v>237</v>
      </c>
      <c r="J45" s="43" t="s">
        <v>237</v>
      </c>
      <c r="K45" s="43" t="s">
        <v>237</v>
      </c>
      <c r="L45" s="43" t="s">
        <v>237</v>
      </c>
      <c r="M45" s="44" t="s">
        <v>237</v>
      </c>
      <c r="N45" s="7"/>
      <c r="O45" s="8"/>
    </row>
    <row r="46" spans="1:15" x14ac:dyDescent="0.25">
      <c r="A46" s="3">
        <v>42</v>
      </c>
      <c r="B46" s="4" t="s">
        <v>27</v>
      </c>
      <c r="C46" s="147">
        <v>1</v>
      </c>
      <c r="D46" s="5">
        <v>6102</v>
      </c>
      <c r="E46" s="43" t="s">
        <v>237</v>
      </c>
      <c r="F46" s="43" t="s">
        <v>237</v>
      </c>
      <c r="G46" s="9">
        <v>74</v>
      </c>
      <c r="H46" s="43" t="s">
        <v>237</v>
      </c>
      <c r="I46" s="43" t="s">
        <v>237</v>
      </c>
      <c r="J46" s="43" t="s">
        <v>237</v>
      </c>
      <c r="K46" s="43" t="s">
        <v>237</v>
      </c>
      <c r="L46" s="43" t="s">
        <v>237</v>
      </c>
      <c r="M46" s="44" t="s">
        <v>237</v>
      </c>
      <c r="N46" s="7"/>
      <c r="O46" s="8"/>
    </row>
    <row r="47" spans="1:15" x14ac:dyDescent="0.25">
      <c r="A47" s="3">
        <v>43</v>
      </c>
      <c r="B47" s="4" t="s">
        <v>269</v>
      </c>
      <c r="C47" s="147">
        <v>2</v>
      </c>
      <c r="D47" s="5">
        <v>6904</v>
      </c>
      <c r="E47" s="43" t="s">
        <v>237</v>
      </c>
      <c r="F47" s="43" t="s">
        <v>237</v>
      </c>
      <c r="G47" s="43" t="s">
        <v>237</v>
      </c>
      <c r="H47" s="43" t="s">
        <v>237</v>
      </c>
      <c r="I47" s="43" t="s">
        <v>237</v>
      </c>
      <c r="J47" s="43" t="s">
        <v>237</v>
      </c>
      <c r="K47" s="43" t="s">
        <v>237</v>
      </c>
      <c r="L47" s="43" t="s">
        <v>237</v>
      </c>
      <c r="M47" s="44" t="s">
        <v>237</v>
      </c>
      <c r="N47" s="7"/>
      <c r="O47" s="8"/>
    </row>
    <row r="48" spans="1:15" x14ac:dyDescent="0.25">
      <c r="A48" s="3">
        <v>44</v>
      </c>
      <c r="B48" s="4" t="s">
        <v>270</v>
      </c>
      <c r="C48" s="147">
        <v>2</v>
      </c>
      <c r="D48" s="5">
        <v>6901</v>
      </c>
      <c r="E48" s="43" t="s">
        <v>237</v>
      </c>
      <c r="F48" s="43" t="s">
        <v>237</v>
      </c>
      <c r="G48" s="43" t="s">
        <v>237</v>
      </c>
      <c r="H48" s="43" t="s">
        <v>237</v>
      </c>
      <c r="I48" s="43" t="s">
        <v>237</v>
      </c>
      <c r="J48" s="43" t="s">
        <v>237</v>
      </c>
      <c r="K48" s="43" t="s">
        <v>237</v>
      </c>
      <c r="L48" s="43" t="s">
        <v>237</v>
      </c>
      <c r="M48" s="44" t="s">
        <v>237</v>
      </c>
      <c r="N48" s="7"/>
      <c r="O48" s="8"/>
    </row>
    <row r="49" spans="1:15" x14ac:dyDescent="0.25">
      <c r="A49" s="3">
        <v>45</v>
      </c>
      <c r="B49" s="4" t="s">
        <v>271</v>
      </c>
      <c r="C49" s="147">
        <v>1</v>
      </c>
      <c r="D49" s="5">
        <v>1099</v>
      </c>
      <c r="E49" s="43" t="s">
        <v>237</v>
      </c>
      <c r="F49" s="43" t="s">
        <v>237</v>
      </c>
      <c r="G49" s="43" t="s">
        <v>237</v>
      </c>
      <c r="H49" s="43" t="s">
        <v>237</v>
      </c>
      <c r="I49" s="43" t="s">
        <v>237</v>
      </c>
      <c r="J49" s="43" t="s">
        <v>237</v>
      </c>
      <c r="K49" s="43" t="s">
        <v>237</v>
      </c>
      <c r="L49" s="43" t="s">
        <v>237</v>
      </c>
      <c r="M49" s="44" t="s">
        <v>237</v>
      </c>
      <c r="N49" s="7"/>
      <c r="O49" s="8"/>
    </row>
    <row r="50" spans="1:15" x14ac:dyDescent="0.25">
      <c r="A50" s="3">
        <v>46</v>
      </c>
      <c r="B50" s="4" t="s">
        <v>28</v>
      </c>
      <c r="C50" s="147">
        <v>1</v>
      </c>
      <c r="D50" s="5">
        <v>1020</v>
      </c>
      <c r="E50" s="6">
        <v>11</v>
      </c>
      <c r="F50" s="43" t="s">
        <v>237</v>
      </c>
      <c r="G50" s="43" t="s">
        <v>237</v>
      </c>
      <c r="H50" s="6">
        <v>13</v>
      </c>
      <c r="I50" s="43" t="s">
        <v>237</v>
      </c>
      <c r="J50" s="6">
        <v>11</v>
      </c>
      <c r="K50" s="43" t="s">
        <v>237</v>
      </c>
      <c r="L50" s="43" t="s">
        <v>237</v>
      </c>
      <c r="M50" s="44" t="s">
        <v>237</v>
      </c>
      <c r="N50" s="7"/>
      <c r="O50" s="8"/>
    </row>
    <row r="51" spans="1:15" x14ac:dyDescent="0.25">
      <c r="A51" s="3">
        <v>48</v>
      </c>
      <c r="B51" s="4" t="s">
        <v>272</v>
      </c>
      <c r="C51" s="147">
        <v>1</v>
      </c>
      <c r="D51" s="5">
        <v>5504</v>
      </c>
      <c r="E51" s="43" t="s">
        <v>237</v>
      </c>
      <c r="F51" s="43" t="s">
        <v>237</v>
      </c>
      <c r="G51" s="43" t="s">
        <v>237</v>
      </c>
      <c r="H51" s="43" t="s">
        <v>237</v>
      </c>
      <c r="I51" s="43" t="s">
        <v>237</v>
      </c>
      <c r="J51" s="43" t="s">
        <v>237</v>
      </c>
      <c r="K51" s="6">
        <v>12</v>
      </c>
      <c r="L51" s="43" t="s">
        <v>237</v>
      </c>
      <c r="M51" s="44" t="s">
        <v>237</v>
      </c>
      <c r="N51" s="7"/>
      <c r="O51" s="8"/>
    </row>
    <row r="52" spans="1:15" x14ac:dyDescent="0.25">
      <c r="A52" s="3">
        <v>49</v>
      </c>
      <c r="B52" s="4" t="s">
        <v>273</v>
      </c>
      <c r="C52" s="147">
        <v>1</v>
      </c>
      <c r="D52" s="5">
        <v>5001</v>
      </c>
      <c r="E52" s="43" t="s">
        <v>237</v>
      </c>
      <c r="F52" s="6">
        <v>12</v>
      </c>
      <c r="G52" s="43" t="s">
        <v>237</v>
      </c>
      <c r="H52" s="43" t="s">
        <v>237</v>
      </c>
      <c r="I52" s="6">
        <v>12</v>
      </c>
      <c r="J52" s="43" t="s">
        <v>237</v>
      </c>
      <c r="K52" s="6">
        <v>12</v>
      </c>
      <c r="L52" s="43" t="s">
        <v>237</v>
      </c>
      <c r="M52" s="44" t="s">
        <v>237</v>
      </c>
      <c r="N52" s="7"/>
      <c r="O52" s="8"/>
    </row>
    <row r="53" spans="1:15" x14ac:dyDescent="0.25">
      <c r="A53" s="3">
        <v>50</v>
      </c>
      <c r="B53" s="4" t="s">
        <v>29</v>
      </c>
      <c r="C53" s="147">
        <v>1</v>
      </c>
      <c r="D53" s="5">
        <v>1000</v>
      </c>
      <c r="E53" s="6">
        <v>11</v>
      </c>
      <c r="F53" s="43" t="s">
        <v>237</v>
      </c>
      <c r="G53" s="6">
        <v>11</v>
      </c>
      <c r="H53" s="43" t="s">
        <v>237</v>
      </c>
      <c r="I53" s="43" t="s">
        <v>237</v>
      </c>
      <c r="J53" s="6">
        <v>11</v>
      </c>
      <c r="K53" s="43" t="s">
        <v>237</v>
      </c>
      <c r="L53" s="43" t="s">
        <v>237</v>
      </c>
      <c r="M53" s="44" t="s">
        <v>237</v>
      </c>
      <c r="N53" s="7"/>
      <c r="O53" s="8"/>
    </row>
    <row r="54" spans="1:15" x14ac:dyDescent="0.25">
      <c r="A54" s="3">
        <v>51</v>
      </c>
      <c r="B54" s="4" t="s">
        <v>274</v>
      </c>
      <c r="C54" s="147">
        <v>1</v>
      </c>
      <c r="D54" s="5">
        <v>1003</v>
      </c>
      <c r="E54" s="6">
        <v>11</v>
      </c>
      <c r="F54" s="43" t="s">
        <v>237</v>
      </c>
      <c r="G54" s="6">
        <v>11</v>
      </c>
      <c r="H54" s="43" t="s">
        <v>237</v>
      </c>
      <c r="I54" s="43" t="s">
        <v>237</v>
      </c>
      <c r="J54" s="6">
        <v>11</v>
      </c>
      <c r="K54" s="43" t="s">
        <v>237</v>
      </c>
      <c r="L54" s="57" t="s">
        <v>13</v>
      </c>
      <c r="M54" s="44" t="s">
        <v>237</v>
      </c>
      <c r="N54" s="7"/>
      <c r="O54" s="8"/>
    </row>
    <row r="55" spans="1:15" x14ac:dyDescent="0.25">
      <c r="A55" s="3">
        <v>52</v>
      </c>
      <c r="B55" s="4" t="s">
        <v>275</v>
      </c>
      <c r="C55" s="147">
        <v>1</v>
      </c>
      <c r="D55" s="5">
        <v>1409</v>
      </c>
      <c r="E55" s="9">
        <v>51</v>
      </c>
      <c r="F55" s="43" t="s">
        <v>237</v>
      </c>
      <c r="G55" s="9">
        <v>79</v>
      </c>
      <c r="H55" s="43" t="s">
        <v>237</v>
      </c>
      <c r="I55" s="43" t="s">
        <v>237</v>
      </c>
      <c r="J55" s="43" t="s">
        <v>237</v>
      </c>
      <c r="K55" s="43" t="s">
        <v>237</v>
      </c>
      <c r="L55" s="43" t="s">
        <v>237</v>
      </c>
      <c r="M55" s="44" t="s">
        <v>237</v>
      </c>
      <c r="N55" s="7"/>
      <c r="O55" s="8"/>
    </row>
    <row r="56" spans="1:15" x14ac:dyDescent="0.25">
      <c r="A56" s="3">
        <v>53</v>
      </c>
      <c r="B56" s="4" t="s">
        <v>276</v>
      </c>
      <c r="C56" s="147">
        <v>1</v>
      </c>
      <c r="D56" s="5">
        <v>1020</v>
      </c>
      <c r="E56" s="6">
        <v>11</v>
      </c>
      <c r="F56" s="43" t="s">
        <v>237</v>
      </c>
      <c r="G56" s="43" t="s">
        <v>237</v>
      </c>
      <c r="H56" s="6">
        <v>13</v>
      </c>
      <c r="I56" s="43" t="s">
        <v>237</v>
      </c>
      <c r="J56" s="6">
        <v>11</v>
      </c>
      <c r="K56" s="43" t="s">
        <v>237</v>
      </c>
      <c r="L56" s="43" t="s">
        <v>237</v>
      </c>
      <c r="M56" s="44" t="s">
        <v>237</v>
      </c>
      <c r="N56" s="7"/>
      <c r="O56" s="8"/>
    </row>
    <row r="57" spans="1:15" x14ac:dyDescent="0.25">
      <c r="A57" s="3">
        <v>54</v>
      </c>
      <c r="B57" s="4" t="s">
        <v>277</v>
      </c>
      <c r="C57" s="147">
        <v>1</v>
      </c>
      <c r="D57" s="5">
        <v>5005</v>
      </c>
      <c r="E57" s="43" t="s">
        <v>237</v>
      </c>
      <c r="F57" s="6">
        <v>12</v>
      </c>
      <c r="G57" s="43" t="s">
        <v>237</v>
      </c>
      <c r="H57" s="43" t="s">
        <v>237</v>
      </c>
      <c r="I57" s="6">
        <v>12</v>
      </c>
      <c r="J57" s="43" t="s">
        <v>237</v>
      </c>
      <c r="K57" s="6">
        <v>12</v>
      </c>
      <c r="L57" s="43" t="s">
        <v>237</v>
      </c>
      <c r="M57" s="44" t="s">
        <v>237</v>
      </c>
      <c r="N57" s="7"/>
      <c r="O57" s="8"/>
    </row>
    <row r="58" spans="1:15" x14ac:dyDescent="0.25">
      <c r="A58" s="3">
        <v>55</v>
      </c>
      <c r="B58" s="4" t="s">
        <v>278</v>
      </c>
      <c r="C58" s="147">
        <v>1</v>
      </c>
      <c r="D58" s="5">
        <v>1099</v>
      </c>
      <c r="E58" s="6">
        <v>11</v>
      </c>
      <c r="F58" s="43" t="s">
        <v>237</v>
      </c>
      <c r="G58" s="6">
        <v>11</v>
      </c>
      <c r="H58" s="43" t="s">
        <v>237</v>
      </c>
      <c r="I58" s="43" t="s">
        <v>237</v>
      </c>
      <c r="J58" s="6">
        <v>11</v>
      </c>
      <c r="K58" s="43" t="s">
        <v>237</v>
      </c>
      <c r="L58" s="43" t="s">
        <v>237</v>
      </c>
      <c r="M58" s="44" t="s">
        <v>237</v>
      </c>
      <c r="N58" s="7"/>
      <c r="O58" s="8"/>
    </row>
    <row r="59" spans="1:15" x14ac:dyDescent="0.25">
      <c r="A59" s="3">
        <v>56</v>
      </c>
      <c r="B59" s="4" t="s">
        <v>279</v>
      </c>
      <c r="C59" s="147">
        <v>2</v>
      </c>
      <c r="D59" s="5">
        <v>9203</v>
      </c>
      <c r="E59" s="43" t="s">
        <v>237</v>
      </c>
      <c r="F59" s="43" t="s">
        <v>237</v>
      </c>
      <c r="G59" s="43" t="s">
        <v>237</v>
      </c>
      <c r="H59" s="43" t="s">
        <v>237</v>
      </c>
      <c r="I59" s="43" t="s">
        <v>237</v>
      </c>
      <c r="J59" s="43" t="s">
        <v>237</v>
      </c>
      <c r="K59" s="43" t="s">
        <v>237</v>
      </c>
      <c r="L59" s="43" t="s">
        <v>237</v>
      </c>
      <c r="M59" s="44" t="s">
        <v>237</v>
      </c>
      <c r="N59" s="7"/>
      <c r="O59" s="8"/>
    </row>
    <row r="60" spans="1:15" x14ac:dyDescent="0.25">
      <c r="A60" s="3">
        <v>57</v>
      </c>
      <c r="B60" s="4" t="s">
        <v>280</v>
      </c>
      <c r="C60" s="147">
        <v>2</v>
      </c>
      <c r="D60" s="5">
        <v>9201</v>
      </c>
      <c r="E60" s="43" t="s">
        <v>237</v>
      </c>
      <c r="F60" s="43" t="s">
        <v>237</v>
      </c>
      <c r="G60" s="43" t="s">
        <v>237</v>
      </c>
      <c r="H60" s="43" t="s">
        <v>237</v>
      </c>
      <c r="I60" s="43" t="s">
        <v>237</v>
      </c>
      <c r="J60" s="43" t="s">
        <v>237</v>
      </c>
      <c r="K60" s="43" t="s">
        <v>237</v>
      </c>
      <c r="L60" s="43" t="s">
        <v>237</v>
      </c>
      <c r="M60" s="44" t="s">
        <v>237</v>
      </c>
      <c r="N60" s="7"/>
      <c r="O60" s="8"/>
    </row>
    <row r="61" spans="1:15" x14ac:dyDescent="0.25">
      <c r="A61" s="3">
        <v>58</v>
      </c>
      <c r="B61" s="4" t="s">
        <v>281</v>
      </c>
      <c r="C61" s="147">
        <v>1</v>
      </c>
      <c r="D61" s="5">
        <v>1099</v>
      </c>
      <c r="E61" s="43" t="s">
        <v>237</v>
      </c>
      <c r="F61" s="43" t="s">
        <v>237</v>
      </c>
      <c r="G61" s="43" t="s">
        <v>237</v>
      </c>
      <c r="H61" s="43" t="s">
        <v>237</v>
      </c>
      <c r="I61" s="43" t="s">
        <v>237</v>
      </c>
      <c r="J61" s="43" t="s">
        <v>237</v>
      </c>
      <c r="K61" s="43" t="s">
        <v>237</v>
      </c>
      <c r="L61" s="43" t="s">
        <v>237</v>
      </c>
      <c r="M61" s="44" t="s">
        <v>237</v>
      </c>
      <c r="N61" s="7"/>
      <c r="O61" s="8"/>
    </row>
    <row r="62" spans="1:15" x14ac:dyDescent="0.25">
      <c r="A62" s="3">
        <v>59</v>
      </c>
      <c r="B62" s="4" t="s">
        <v>282</v>
      </c>
      <c r="C62" s="147">
        <v>2</v>
      </c>
      <c r="D62" s="5">
        <v>9203</v>
      </c>
      <c r="E62" s="43" t="s">
        <v>237</v>
      </c>
      <c r="F62" s="43" t="s">
        <v>237</v>
      </c>
      <c r="G62" s="43" t="s">
        <v>237</v>
      </c>
      <c r="H62" s="43" t="s">
        <v>237</v>
      </c>
      <c r="I62" s="43" t="s">
        <v>237</v>
      </c>
      <c r="J62" s="43" t="s">
        <v>237</v>
      </c>
      <c r="K62" s="43" t="s">
        <v>237</v>
      </c>
      <c r="L62" s="43" t="s">
        <v>237</v>
      </c>
      <c r="M62" s="44" t="s">
        <v>237</v>
      </c>
      <c r="N62" s="7"/>
      <c r="O62" s="8"/>
    </row>
    <row r="63" spans="1:15" x14ac:dyDescent="0.25">
      <c r="A63" s="3">
        <v>60</v>
      </c>
      <c r="B63" s="4" t="s">
        <v>283</v>
      </c>
      <c r="C63" s="147">
        <v>2</v>
      </c>
      <c r="D63" s="5">
        <v>9201</v>
      </c>
      <c r="E63" s="43" t="s">
        <v>237</v>
      </c>
      <c r="F63" s="43" t="s">
        <v>237</v>
      </c>
      <c r="G63" s="43" t="s">
        <v>237</v>
      </c>
      <c r="H63" s="43" t="s">
        <v>237</v>
      </c>
      <c r="I63" s="43" t="s">
        <v>237</v>
      </c>
      <c r="J63" s="43" t="s">
        <v>237</v>
      </c>
      <c r="K63" s="43" t="s">
        <v>237</v>
      </c>
      <c r="L63" s="43" t="s">
        <v>237</v>
      </c>
      <c r="M63" s="44" t="s">
        <v>237</v>
      </c>
      <c r="N63" s="7"/>
      <c r="O63" s="8"/>
    </row>
    <row r="64" spans="1:15" x14ac:dyDescent="0.25">
      <c r="A64" s="3">
        <v>61</v>
      </c>
      <c r="B64" s="4" t="s">
        <v>284</v>
      </c>
      <c r="C64" s="147">
        <v>1</v>
      </c>
      <c r="D64" s="5">
        <v>1099</v>
      </c>
      <c r="E64" s="43" t="s">
        <v>237</v>
      </c>
      <c r="F64" s="43" t="s">
        <v>237</v>
      </c>
      <c r="G64" s="43" t="s">
        <v>237</v>
      </c>
      <c r="H64" s="43" t="s">
        <v>237</v>
      </c>
      <c r="I64" s="43" t="s">
        <v>237</v>
      </c>
      <c r="J64" s="43" t="s">
        <v>237</v>
      </c>
      <c r="K64" s="43" t="s">
        <v>237</v>
      </c>
      <c r="L64" s="43" t="s">
        <v>237</v>
      </c>
      <c r="M64" s="44" t="s">
        <v>237</v>
      </c>
      <c r="N64" s="7"/>
      <c r="O64" s="8"/>
    </row>
    <row r="65" spans="1:15" x14ac:dyDescent="0.25">
      <c r="A65" s="3">
        <v>62</v>
      </c>
      <c r="B65" s="4" t="s">
        <v>285</v>
      </c>
      <c r="C65" s="147">
        <v>1</v>
      </c>
      <c r="D65" s="5">
        <v>1205</v>
      </c>
      <c r="E65" s="6">
        <v>11</v>
      </c>
      <c r="F65" s="43" t="s">
        <v>237</v>
      </c>
      <c r="G65" s="6">
        <v>11</v>
      </c>
      <c r="H65" s="43" t="s">
        <v>237</v>
      </c>
      <c r="I65" s="43" t="s">
        <v>237</v>
      </c>
      <c r="J65" s="6">
        <v>11</v>
      </c>
      <c r="K65" s="43" t="s">
        <v>237</v>
      </c>
      <c r="L65" s="43" t="s">
        <v>237</v>
      </c>
      <c r="M65" s="44" t="s">
        <v>237</v>
      </c>
      <c r="N65" s="7"/>
      <c r="O65" s="8"/>
    </row>
    <row r="66" spans="1:15" x14ac:dyDescent="0.25">
      <c r="A66" s="3">
        <v>63</v>
      </c>
      <c r="B66" s="4" t="s">
        <v>286</v>
      </c>
      <c r="C66" s="147">
        <v>1</v>
      </c>
      <c r="D66" s="5">
        <v>1002</v>
      </c>
      <c r="E66" s="6">
        <v>11</v>
      </c>
      <c r="F66" s="43" t="s">
        <v>237</v>
      </c>
      <c r="G66" s="6">
        <v>11</v>
      </c>
      <c r="H66" s="43" t="s">
        <v>237</v>
      </c>
      <c r="I66" s="43" t="s">
        <v>237</v>
      </c>
      <c r="J66" s="6">
        <v>11</v>
      </c>
      <c r="K66" s="43" t="s">
        <v>237</v>
      </c>
      <c r="L66" s="43" t="s">
        <v>237</v>
      </c>
      <c r="M66" s="44" t="s">
        <v>237</v>
      </c>
      <c r="N66" s="7"/>
      <c r="O66" s="8"/>
    </row>
    <row r="67" spans="1:15" x14ac:dyDescent="0.25">
      <c r="A67" s="3">
        <v>64</v>
      </c>
      <c r="B67" s="4" t="s">
        <v>287</v>
      </c>
      <c r="C67" s="147">
        <v>1</v>
      </c>
      <c r="D67" s="5">
        <v>5005</v>
      </c>
      <c r="E67" s="43" t="s">
        <v>237</v>
      </c>
      <c r="F67" s="6">
        <v>12</v>
      </c>
      <c r="G67" s="43" t="s">
        <v>237</v>
      </c>
      <c r="H67" s="43" t="s">
        <v>237</v>
      </c>
      <c r="I67" s="6">
        <v>12</v>
      </c>
      <c r="J67" s="43" t="s">
        <v>237</v>
      </c>
      <c r="K67" s="6">
        <v>12</v>
      </c>
      <c r="L67" s="43" t="s">
        <v>237</v>
      </c>
      <c r="M67" s="44" t="s">
        <v>237</v>
      </c>
      <c r="N67" s="7"/>
      <c r="O67" s="8"/>
    </row>
    <row r="68" spans="1:15" x14ac:dyDescent="0.25">
      <c r="A68" s="3">
        <v>65</v>
      </c>
      <c r="B68" s="4" t="s">
        <v>209</v>
      </c>
      <c r="C68" s="147">
        <v>1</v>
      </c>
      <c r="D68" s="5">
        <v>1299</v>
      </c>
      <c r="E68" s="43" t="s">
        <v>237</v>
      </c>
      <c r="F68" s="43" t="s">
        <v>237</v>
      </c>
      <c r="G68" s="9">
        <v>73</v>
      </c>
      <c r="H68" s="43" t="s">
        <v>237</v>
      </c>
      <c r="I68" s="43" t="s">
        <v>237</v>
      </c>
      <c r="J68" s="43" t="s">
        <v>237</v>
      </c>
      <c r="K68" s="43" t="s">
        <v>237</v>
      </c>
      <c r="L68" s="43" t="s">
        <v>237</v>
      </c>
      <c r="M68" s="44" t="s">
        <v>237</v>
      </c>
      <c r="N68" s="7"/>
      <c r="O68" s="8"/>
    </row>
    <row r="69" spans="1:15" x14ac:dyDescent="0.25">
      <c r="A69" s="3">
        <v>66</v>
      </c>
      <c r="B69" s="4" t="s">
        <v>288</v>
      </c>
      <c r="C69" s="147">
        <v>3</v>
      </c>
      <c r="D69" s="5">
        <v>1099</v>
      </c>
      <c r="E69" s="9">
        <v>23</v>
      </c>
      <c r="F69" s="43" t="s">
        <v>237</v>
      </c>
      <c r="G69" s="43" t="s">
        <v>237</v>
      </c>
      <c r="H69" s="43" t="s">
        <v>237</v>
      </c>
      <c r="I69" s="43" t="s">
        <v>237</v>
      </c>
      <c r="J69" s="6">
        <v>11</v>
      </c>
      <c r="K69" s="43" t="s">
        <v>237</v>
      </c>
      <c r="L69" s="43" t="s">
        <v>237</v>
      </c>
      <c r="M69" s="44" t="s">
        <v>237</v>
      </c>
      <c r="N69" s="7"/>
      <c r="O69" s="8"/>
    </row>
    <row r="70" spans="1:15" x14ac:dyDescent="0.25">
      <c r="A70" s="3">
        <v>69</v>
      </c>
      <c r="B70" s="4" t="s">
        <v>289</v>
      </c>
      <c r="C70" s="147">
        <v>3</v>
      </c>
      <c r="D70" s="5">
        <v>1099</v>
      </c>
      <c r="E70" s="9">
        <v>24</v>
      </c>
      <c r="F70" s="43" t="s">
        <v>237</v>
      </c>
      <c r="G70" s="43" t="s">
        <v>237</v>
      </c>
      <c r="H70" s="43" t="s">
        <v>237</v>
      </c>
      <c r="I70" s="43" t="s">
        <v>237</v>
      </c>
      <c r="J70" s="43" t="s">
        <v>237</v>
      </c>
      <c r="K70" s="6">
        <v>12</v>
      </c>
      <c r="L70" s="43" t="s">
        <v>237</v>
      </c>
      <c r="M70" s="44" t="s">
        <v>237</v>
      </c>
      <c r="N70" s="7"/>
      <c r="O70" s="8"/>
    </row>
    <row r="71" spans="1:15" x14ac:dyDescent="0.25">
      <c r="A71" s="3">
        <v>70</v>
      </c>
      <c r="B71" s="4" t="s">
        <v>290</v>
      </c>
      <c r="C71" s="147">
        <v>3</v>
      </c>
      <c r="D71" s="5">
        <v>1099</v>
      </c>
      <c r="E71" s="9">
        <v>23</v>
      </c>
      <c r="F71" s="43" t="s">
        <v>237</v>
      </c>
      <c r="G71" s="43" t="s">
        <v>237</v>
      </c>
      <c r="H71" s="43" t="s">
        <v>237</v>
      </c>
      <c r="I71" s="43" t="s">
        <v>237</v>
      </c>
      <c r="J71" s="6">
        <v>11</v>
      </c>
      <c r="K71" s="43" t="s">
        <v>237</v>
      </c>
      <c r="L71" s="43" t="s">
        <v>237</v>
      </c>
      <c r="M71" s="44" t="s">
        <v>237</v>
      </c>
      <c r="N71" s="7"/>
      <c r="O71" s="8"/>
    </row>
    <row r="72" spans="1:15" x14ac:dyDescent="0.25">
      <c r="A72" s="3">
        <v>71</v>
      </c>
      <c r="B72" s="4" t="s">
        <v>291</v>
      </c>
      <c r="C72" s="147">
        <v>3</v>
      </c>
      <c r="D72" s="5">
        <v>1099</v>
      </c>
      <c r="E72" s="43" t="s">
        <v>237</v>
      </c>
      <c r="F72" s="43" t="s">
        <v>237</v>
      </c>
      <c r="G72" s="43" t="s">
        <v>237</v>
      </c>
      <c r="H72" s="43" t="s">
        <v>237</v>
      </c>
      <c r="I72" s="43" t="s">
        <v>237</v>
      </c>
      <c r="J72" s="6">
        <v>11</v>
      </c>
      <c r="K72" s="43" t="s">
        <v>237</v>
      </c>
      <c r="L72" s="43" t="s">
        <v>237</v>
      </c>
      <c r="M72" s="44" t="s">
        <v>237</v>
      </c>
      <c r="N72" s="7"/>
      <c r="O72" s="8"/>
    </row>
    <row r="73" spans="1:15" x14ac:dyDescent="0.25">
      <c r="A73" s="3">
        <v>72</v>
      </c>
      <c r="B73" s="4" t="s">
        <v>292</v>
      </c>
      <c r="C73" s="147">
        <v>3</v>
      </c>
      <c r="D73" s="5">
        <v>1099</v>
      </c>
      <c r="E73" s="9">
        <v>23</v>
      </c>
      <c r="F73" s="43" t="s">
        <v>237</v>
      </c>
      <c r="G73" s="43" t="s">
        <v>237</v>
      </c>
      <c r="H73" s="43" t="s">
        <v>237</v>
      </c>
      <c r="I73" s="43" t="s">
        <v>237</v>
      </c>
      <c r="J73" s="6">
        <v>11</v>
      </c>
      <c r="K73" s="43" t="s">
        <v>237</v>
      </c>
      <c r="L73" s="43" t="s">
        <v>237</v>
      </c>
      <c r="M73" s="44" t="s">
        <v>237</v>
      </c>
      <c r="N73" s="7"/>
      <c r="O73" s="8"/>
    </row>
    <row r="74" spans="1:15" x14ac:dyDescent="0.25">
      <c r="A74" s="3">
        <v>73</v>
      </c>
      <c r="B74" s="4" t="s">
        <v>293</v>
      </c>
      <c r="C74" s="147">
        <v>3</v>
      </c>
      <c r="D74" s="5">
        <v>5504</v>
      </c>
      <c r="E74" s="43" t="s">
        <v>237</v>
      </c>
      <c r="F74" s="43" t="s">
        <v>237</v>
      </c>
      <c r="G74" s="43" t="s">
        <v>237</v>
      </c>
      <c r="H74" s="43" t="s">
        <v>237</v>
      </c>
      <c r="I74" s="43" t="s">
        <v>237</v>
      </c>
      <c r="J74" s="6">
        <v>11</v>
      </c>
      <c r="K74" s="43" t="s">
        <v>237</v>
      </c>
      <c r="L74" s="43" t="s">
        <v>237</v>
      </c>
      <c r="M74" s="44" t="s">
        <v>237</v>
      </c>
      <c r="N74" s="7"/>
      <c r="O74" s="8"/>
    </row>
    <row r="75" spans="1:15" x14ac:dyDescent="0.25">
      <c r="A75" s="3">
        <v>74</v>
      </c>
      <c r="B75" s="4" t="s">
        <v>294</v>
      </c>
      <c r="C75" s="147">
        <v>3</v>
      </c>
      <c r="D75" s="5">
        <v>5001</v>
      </c>
      <c r="E75" s="43" t="s">
        <v>237</v>
      </c>
      <c r="F75" s="43" t="s">
        <v>237</v>
      </c>
      <c r="G75" s="43" t="s">
        <v>237</v>
      </c>
      <c r="H75" s="43" t="s">
        <v>237</v>
      </c>
      <c r="I75" s="43" t="s">
        <v>237</v>
      </c>
      <c r="J75" s="6">
        <v>11</v>
      </c>
      <c r="K75" s="43" t="s">
        <v>237</v>
      </c>
      <c r="L75" s="43" t="s">
        <v>237</v>
      </c>
      <c r="M75" s="44" t="s">
        <v>237</v>
      </c>
      <c r="N75" s="7"/>
      <c r="O75" s="8"/>
    </row>
    <row r="76" spans="1:15" x14ac:dyDescent="0.25">
      <c r="A76" s="3">
        <v>75</v>
      </c>
      <c r="B76" s="4" t="s">
        <v>295</v>
      </c>
      <c r="C76" s="147">
        <v>1</v>
      </c>
      <c r="D76" s="5">
        <v>1023</v>
      </c>
      <c r="E76" s="43" t="s">
        <v>237</v>
      </c>
      <c r="F76" s="43" t="s">
        <v>237</v>
      </c>
      <c r="G76" s="9">
        <v>75</v>
      </c>
      <c r="H76" s="43" t="s">
        <v>237</v>
      </c>
      <c r="I76" s="43" t="s">
        <v>237</v>
      </c>
      <c r="J76" s="43" t="s">
        <v>237</v>
      </c>
      <c r="K76" s="43" t="s">
        <v>237</v>
      </c>
      <c r="L76" s="43" t="s">
        <v>237</v>
      </c>
      <c r="M76" s="44" t="s">
        <v>237</v>
      </c>
      <c r="N76" s="7"/>
      <c r="O76" s="8"/>
    </row>
    <row r="77" spans="1:15" x14ac:dyDescent="0.25">
      <c r="A77" s="3">
        <v>76</v>
      </c>
      <c r="B77" s="4" t="s">
        <v>296</v>
      </c>
      <c r="C77" s="147">
        <v>3</v>
      </c>
      <c r="D77" s="5">
        <v>5005</v>
      </c>
      <c r="E77" s="43" t="s">
        <v>237</v>
      </c>
      <c r="F77" s="43" t="s">
        <v>237</v>
      </c>
      <c r="G77" s="43" t="s">
        <v>237</v>
      </c>
      <c r="H77" s="43" t="s">
        <v>237</v>
      </c>
      <c r="I77" s="43" t="s">
        <v>237</v>
      </c>
      <c r="J77" s="6">
        <v>11</v>
      </c>
      <c r="K77" s="43" t="s">
        <v>237</v>
      </c>
      <c r="L77" s="43" t="s">
        <v>237</v>
      </c>
      <c r="M77" s="44" t="s">
        <v>237</v>
      </c>
      <c r="N77" s="7"/>
      <c r="O77" s="8"/>
    </row>
    <row r="78" spans="1:15" x14ac:dyDescent="0.25">
      <c r="A78" s="3">
        <v>77</v>
      </c>
      <c r="B78" s="4" t="s">
        <v>297</v>
      </c>
      <c r="C78" s="147">
        <v>3</v>
      </c>
      <c r="D78" s="5">
        <v>5504</v>
      </c>
      <c r="E78" s="43" t="s">
        <v>237</v>
      </c>
      <c r="F78" s="43" t="s">
        <v>237</v>
      </c>
      <c r="G78" s="43" t="s">
        <v>237</v>
      </c>
      <c r="H78" s="43" t="s">
        <v>237</v>
      </c>
      <c r="I78" s="43" t="s">
        <v>237</v>
      </c>
      <c r="J78" s="6">
        <v>11</v>
      </c>
      <c r="K78" s="43" t="s">
        <v>237</v>
      </c>
      <c r="L78" s="43" t="s">
        <v>237</v>
      </c>
      <c r="M78" s="44" t="s">
        <v>237</v>
      </c>
      <c r="N78" s="7"/>
      <c r="O78" s="8"/>
    </row>
    <row r="79" spans="1:15" x14ac:dyDescent="0.25">
      <c r="A79" s="3">
        <v>78</v>
      </c>
      <c r="B79" s="4" t="s">
        <v>298</v>
      </c>
      <c r="C79" s="147">
        <v>3</v>
      </c>
      <c r="D79" s="5">
        <v>5001</v>
      </c>
      <c r="E79" s="9">
        <v>24</v>
      </c>
      <c r="F79" s="43" t="s">
        <v>237</v>
      </c>
      <c r="G79" s="43" t="s">
        <v>237</v>
      </c>
      <c r="H79" s="43" t="s">
        <v>237</v>
      </c>
      <c r="I79" s="43" t="s">
        <v>237</v>
      </c>
      <c r="J79" s="6">
        <v>11</v>
      </c>
      <c r="K79" s="43" t="s">
        <v>237</v>
      </c>
      <c r="L79" s="43" t="s">
        <v>237</v>
      </c>
      <c r="M79" s="44" t="s">
        <v>237</v>
      </c>
      <c r="N79" s="7"/>
      <c r="O79" s="8"/>
    </row>
    <row r="80" spans="1:15" x14ac:dyDescent="0.25">
      <c r="A80" s="3">
        <v>79</v>
      </c>
      <c r="B80" s="4" t="s">
        <v>299</v>
      </c>
      <c r="C80" s="147">
        <v>3</v>
      </c>
      <c r="D80" s="5">
        <v>5005</v>
      </c>
      <c r="E80" s="9">
        <v>24</v>
      </c>
      <c r="F80" s="43" t="s">
        <v>237</v>
      </c>
      <c r="G80" s="43" t="s">
        <v>237</v>
      </c>
      <c r="H80" s="43" t="s">
        <v>237</v>
      </c>
      <c r="I80" s="43" t="s">
        <v>237</v>
      </c>
      <c r="J80" s="6">
        <v>11</v>
      </c>
      <c r="K80" s="43" t="s">
        <v>237</v>
      </c>
      <c r="L80" s="43" t="s">
        <v>237</v>
      </c>
      <c r="M80" s="44" t="s">
        <v>237</v>
      </c>
      <c r="N80" s="7"/>
      <c r="O80" s="8"/>
    </row>
    <row r="81" spans="1:15" x14ac:dyDescent="0.25">
      <c r="A81" s="3">
        <v>80</v>
      </c>
      <c r="B81" s="4" t="s">
        <v>300</v>
      </c>
      <c r="C81" s="147">
        <v>1</v>
      </c>
      <c r="D81" s="5">
        <v>1023</v>
      </c>
      <c r="E81" s="43" t="s">
        <v>237</v>
      </c>
      <c r="F81" s="43" t="s">
        <v>237</v>
      </c>
      <c r="G81" s="9">
        <v>75</v>
      </c>
      <c r="H81" s="43" t="s">
        <v>237</v>
      </c>
      <c r="I81" s="43" t="s">
        <v>237</v>
      </c>
      <c r="J81" s="43" t="s">
        <v>237</v>
      </c>
      <c r="K81" s="43" t="s">
        <v>237</v>
      </c>
      <c r="L81" s="43" t="s">
        <v>237</v>
      </c>
      <c r="M81" s="44" t="s">
        <v>237</v>
      </c>
      <c r="N81" s="7"/>
      <c r="O81" s="8"/>
    </row>
    <row r="82" spans="1:15" x14ac:dyDescent="0.25">
      <c r="A82" s="3">
        <v>81</v>
      </c>
      <c r="B82" s="4" t="s">
        <v>301</v>
      </c>
      <c r="C82" s="147">
        <v>2</v>
      </c>
      <c r="D82" s="5">
        <v>5501</v>
      </c>
      <c r="E82" s="43" t="s">
        <v>237</v>
      </c>
      <c r="F82" s="43" t="s">
        <v>237</v>
      </c>
      <c r="G82" s="43" t="s">
        <v>237</v>
      </c>
      <c r="H82" s="43" t="s">
        <v>237</v>
      </c>
      <c r="I82" s="43" t="s">
        <v>237</v>
      </c>
      <c r="J82" s="43" t="s">
        <v>237</v>
      </c>
      <c r="K82" s="43" t="s">
        <v>237</v>
      </c>
      <c r="L82" s="43" t="s">
        <v>237</v>
      </c>
      <c r="M82" s="44" t="s">
        <v>237</v>
      </c>
      <c r="N82" s="7"/>
      <c r="O82" s="8"/>
    </row>
    <row r="83" spans="1:15" x14ac:dyDescent="0.25">
      <c r="A83" s="3">
        <v>82</v>
      </c>
      <c r="B83" s="4" t="s">
        <v>302</v>
      </c>
      <c r="C83" s="147">
        <v>1</v>
      </c>
      <c r="D83" s="5">
        <v>1099</v>
      </c>
      <c r="E83" s="6">
        <v>11</v>
      </c>
      <c r="F83" s="43" t="s">
        <v>237</v>
      </c>
      <c r="G83" s="6">
        <v>11</v>
      </c>
      <c r="H83" s="43" t="s">
        <v>237</v>
      </c>
      <c r="I83" s="43" t="s">
        <v>237</v>
      </c>
      <c r="J83" s="6">
        <v>11</v>
      </c>
      <c r="K83" s="43" t="s">
        <v>237</v>
      </c>
      <c r="L83" s="43" t="s">
        <v>237</v>
      </c>
      <c r="M83" s="44" t="s">
        <v>237</v>
      </c>
      <c r="N83" s="7"/>
      <c r="O83" s="8"/>
    </row>
    <row r="84" spans="1:15" x14ac:dyDescent="0.25">
      <c r="A84" s="3">
        <v>83</v>
      </c>
      <c r="B84" s="4" t="s">
        <v>303</v>
      </c>
      <c r="C84" s="147">
        <v>1</v>
      </c>
      <c r="D84" s="5">
        <v>1023</v>
      </c>
      <c r="E84" s="43" t="s">
        <v>237</v>
      </c>
      <c r="F84" s="43" t="s">
        <v>237</v>
      </c>
      <c r="G84" s="43" t="s">
        <v>237</v>
      </c>
      <c r="H84" s="43" t="s">
        <v>237</v>
      </c>
      <c r="I84" s="43" t="s">
        <v>237</v>
      </c>
      <c r="J84" s="43" t="s">
        <v>237</v>
      </c>
      <c r="K84" s="43" t="s">
        <v>237</v>
      </c>
      <c r="L84" s="43" t="s">
        <v>237</v>
      </c>
      <c r="M84" s="44" t="s">
        <v>237</v>
      </c>
      <c r="N84" s="7"/>
      <c r="O84" s="8"/>
    </row>
    <row r="85" spans="1:15" x14ac:dyDescent="0.25">
      <c r="A85" s="3">
        <v>84</v>
      </c>
      <c r="B85" s="4" t="s">
        <v>304</v>
      </c>
      <c r="C85" s="147">
        <v>1</v>
      </c>
      <c r="D85" s="5">
        <v>1040</v>
      </c>
      <c r="E85" s="6">
        <v>11</v>
      </c>
      <c r="F85" s="43" t="s">
        <v>237</v>
      </c>
      <c r="G85" s="6">
        <v>11</v>
      </c>
      <c r="H85" s="43" t="s">
        <v>237</v>
      </c>
      <c r="I85" s="43" t="s">
        <v>237</v>
      </c>
      <c r="J85" s="6">
        <v>11</v>
      </c>
      <c r="K85" s="43" t="s">
        <v>237</v>
      </c>
      <c r="L85" s="43" t="s">
        <v>237</v>
      </c>
      <c r="M85" s="44" t="s">
        <v>237</v>
      </c>
      <c r="N85" s="7"/>
      <c r="O85" s="8"/>
    </row>
    <row r="86" spans="1:15" x14ac:dyDescent="0.25">
      <c r="A86" s="3">
        <v>85</v>
      </c>
      <c r="B86" s="4" t="s">
        <v>305</v>
      </c>
      <c r="C86" s="147">
        <v>1</v>
      </c>
      <c r="D86" s="5">
        <v>1002</v>
      </c>
      <c r="E86" s="43" t="s">
        <v>237</v>
      </c>
      <c r="F86" s="43" t="s">
        <v>237</v>
      </c>
      <c r="G86" s="43" t="s">
        <v>237</v>
      </c>
      <c r="H86" s="43" t="s">
        <v>237</v>
      </c>
      <c r="I86" s="43" t="s">
        <v>237</v>
      </c>
      <c r="J86" s="43" t="s">
        <v>237</v>
      </c>
      <c r="K86" s="43" t="s">
        <v>237</v>
      </c>
      <c r="L86" s="43" t="s">
        <v>237</v>
      </c>
      <c r="M86" s="44" t="s">
        <v>237</v>
      </c>
      <c r="N86" s="7"/>
      <c r="O86" s="8"/>
    </row>
    <row r="87" spans="1:15" x14ac:dyDescent="0.25">
      <c r="A87" s="3">
        <v>86</v>
      </c>
      <c r="B87" s="4" t="s">
        <v>30</v>
      </c>
      <c r="C87" s="147">
        <v>1</v>
      </c>
      <c r="D87" s="5">
        <v>6006</v>
      </c>
      <c r="E87" s="43" t="s">
        <v>237</v>
      </c>
      <c r="F87" s="43" t="s">
        <v>237</v>
      </c>
      <c r="G87" s="9">
        <v>74</v>
      </c>
      <c r="H87" s="43" t="s">
        <v>237</v>
      </c>
      <c r="I87" s="43" t="s">
        <v>237</v>
      </c>
      <c r="J87" s="43" t="s">
        <v>237</v>
      </c>
      <c r="K87" s="43" t="s">
        <v>237</v>
      </c>
      <c r="L87" s="43" t="s">
        <v>237</v>
      </c>
      <c r="M87" s="44" t="s">
        <v>237</v>
      </c>
      <c r="N87" s="7"/>
      <c r="O87" s="8"/>
    </row>
    <row r="88" spans="1:15" x14ac:dyDescent="0.25">
      <c r="A88" s="3">
        <v>87</v>
      </c>
      <c r="B88" s="4" t="s">
        <v>306</v>
      </c>
      <c r="C88" s="147">
        <v>1</v>
      </c>
      <c r="D88" s="5">
        <v>5001</v>
      </c>
      <c r="E88" s="43" t="s">
        <v>237</v>
      </c>
      <c r="F88" s="43" t="s">
        <v>237</v>
      </c>
      <c r="G88" s="43" t="s">
        <v>237</v>
      </c>
      <c r="H88" s="43" t="s">
        <v>237</v>
      </c>
      <c r="I88" s="43" t="s">
        <v>237</v>
      </c>
      <c r="J88" s="43" t="s">
        <v>237</v>
      </c>
      <c r="K88" s="43" t="s">
        <v>237</v>
      </c>
      <c r="L88" s="43" t="s">
        <v>237</v>
      </c>
      <c r="M88" s="44" t="s">
        <v>237</v>
      </c>
      <c r="N88" s="7"/>
      <c r="O88" s="8"/>
    </row>
    <row r="89" spans="1:15" x14ac:dyDescent="0.25">
      <c r="A89" s="3">
        <v>88</v>
      </c>
      <c r="B89" s="4" t="s">
        <v>307</v>
      </c>
      <c r="C89" s="147">
        <v>2</v>
      </c>
      <c r="D89" s="5">
        <v>9230</v>
      </c>
      <c r="E89" s="43" t="s">
        <v>237</v>
      </c>
      <c r="F89" s="43" t="s">
        <v>237</v>
      </c>
      <c r="G89" s="43" t="s">
        <v>237</v>
      </c>
      <c r="H89" s="43" t="s">
        <v>237</v>
      </c>
      <c r="I89" s="43" t="s">
        <v>237</v>
      </c>
      <c r="J89" s="43" t="s">
        <v>237</v>
      </c>
      <c r="K89" s="43" t="s">
        <v>237</v>
      </c>
      <c r="L89" s="43" t="s">
        <v>237</v>
      </c>
      <c r="M89" s="44" t="s">
        <v>237</v>
      </c>
      <c r="N89" s="7"/>
      <c r="O89" s="8"/>
    </row>
    <row r="90" spans="1:15" x14ac:dyDescent="0.25">
      <c r="A90" s="3">
        <v>89</v>
      </c>
      <c r="B90" s="4" t="s">
        <v>308</v>
      </c>
      <c r="C90" s="147">
        <v>2</v>
      </c>
      <c r="D90" s="5">
        <v>9209</v>
      </c>
      <c r="E90" s="6">
        <v>11</v>
      </c>
      <c r="F90" s="43" t="s">
        <v>237</v>
      </c>
      <c r="G90" s="6">
        <v>11</v>
      </c>
      <c r="H90" s="43" t="s">
        <v>237</v>
      </c>
      <c r="I90" s="43" t="s">
        <v>237</v>
      </c>
      <c r="J90" s="6">
        <v>11</v>
      </c>
      <c r="K90" s="43" t="s">
        <v>237</v>
      </c>
      <c r="L90" s="43" t="s">
        <v>237</v>
      </c>
      <c r="M90" s="44" t="s">
        <v>237</v>
      </c>
      <c r="N90" s="7"/>
      <c r="O90" s="8"/>
    </row>
    <row r="91" spans="1:15" x14ac:dyDescent="0.25">
      <c r="A91" s="3">
        <v>90</v>
      </c>
      <c r="B91" s="4" t="s">
        <v>309</v>
      </c>
      <c r="C91" s="147">
        <v>2</v>
      </c>
      <c r="D91" s="5">
        <v>9209</v>
      </c>
      <c r="E91" s="6">
        <v>11</v>
      </c>
      <c r="F91" s="43" t="s">
        <v>237</v>
      </c>
      <c r="G91" s="6">
        <v>11</v>
      </c>
      <c r="H91" s="43" t="s">
        <v>237</v>
      </c>
      <c r="I91" s="43" t="s">
        <v>237</v>
      </c>
      <c r="J91" s="6">
        <v>11</v>
      </c>
      <c r="K91" s="43" t="s">
        <v>237</v>
      </c>
      <c r="L91" s="43" t="s">
        <v>237</v>
      </c>
      <c r="M91" s="44" t="s">
        <v>237</v>
      </c>
      <c r="N91" s="7"/>
      <c r="O91" s="8"/>
    </row>
    <row r="92" spans="1:15" x14ac:dyDescent="0.25">
      <c r="A92" s="3">
        <v>91</v>
      </c>
      <c r="B92" s="4" t="s">
        <v>310</v>
      </c>
      <c r="C92" s="147">
        <v>2</v>
      </c>
      <c r="D92" s="5">
        <v>9209</v>
      </c>
      <c r="E92" s="6">
        <v>11</v>
      </c>
      <c r="F92" s="43" t="s">
        <v>237</v>
      </c>
      <c r="G92" s="6">
        <v>11</v>
      </c>
      <c r="H92" s="43" t="s">
        <v>237</v>
      </c>
      <c r="I92" s="43" t="s">
        <v>237</v>
      </c>
      <c r="J92" s="6">
        <v>11</v>
      </c>
      <c r="K92" s="43" t="s">
        <v>237</v>
      </c>
      <c r="L92" s="43" t="s">
        <v>237</v>
      </c>
      <c r="M92" s="44" t="s">
        <v>237</v>
      </c>
      <c r="N92" s="7"/>
      <c r="O92" s="8"/>
    </row>
    <row r="93" spans="1:15" x14ac:dyDescent="0.25">
      <c r="A93" s="3">
        <v>92</v>
      </c>
      <c r="B93" s="4" t="s">
        <v>31</v>
      </c>
      <c r="C93" s="147">
        <v>2</v>
      </c>
      <c r="D93" s="5">
        <v>9230</v>
      </c>
      <c r="E93" s="43" t="s">
        <v>237</v>
      </c>
      <c r="F93" s="43" t="s">
        <v>237</v>
      </c>
      <c r="G93" s="43" t="s">
        <v>237</v>
      </c>
      <c r="H93" s="43" t="s">
        <v>237</v>
      </c>
      <c r="I93" s="43" t="s">
        <v>237</v>
      </c>
      <c r="J93" s="43" t="s">
        <v>237</v>
      </c>
      <c r="K93" s="43" t="s">
        <v>237</v>
      </c>
      <c r="L93" s="43" t="s">
        <v>237</v>
      </c>
      <c r="M93" s="44" t="s">
        <v>237</v>
      </c>
      <c r="N93" s="7"/>
      <c r="O93" s="8"/>
    </row>
    <row r="94" spans="1:15" x14ac:dyDescent="0.25">
      <c r="A94" s="3">
        <v>93</v>
      </c>
      <c r="B94" s="4" t="s">
        <v>311</v>
      </c>
      <c r="C94" s="147">
        <v>2</v>
      </c>
      <c r="D94" s="5">
        <v>9216</v>
      </c>
      <c r="E94" s="43" t="s">
        <v>237</v>
      </c>
      <c r="F94" s="43" t="s">
        <v>237</v>
      </c>
      <c r="G94" s="45" t="s">
        <v>458</v>
      </c>
      <c r="H94" s="43" t="s">
        <v>237</v>
      </c>
      <c r="I94" s="43" t="s">
        <v>237</v>
      </c>
      <c r="J94" s="43" t="s">
        <v>237</v>
      </c>
      <c r="K94" s="43" t="s">
        <v>237</v>
      </c>
      <c r="L94" s="43" t="s">
        <v>237</v>
      </c>
      <c r="M94" s="44" t="s">
        <v>237</v>
      </c>
      <c r="N94" s="7"/>
      <c r="O94" s="8"/>
    </row>
    <row r="95" spans="1:15" x14ac:dyDescent="0.25">
      <c r="A95" s="3">
        <v>94</v>
      </c>
      <c r="B95" s="4" t="s">
        <v>311</v>
      </c>
      <c r="C95" s="147">
        <v>2</v>
      </c>
      <c r="D95" s="5">
        <v>9216</v>
      </c>
      <c r="E95" s="43" t="s">
        <v>237</v>
      </c>
      <c r="F95" s="43" t="s">
        <v>237</v>
      </c>
      <c r="G95" s="45" t="s">
        <v>458</v>
      </c>
      <c r="H95" s="43" t="s">
        <v>237</v>
      </c>
      <c r="I95" s="43" t="s">
        <v>237</v>
      </c>
      <c r="J95" s="43" t="s">
        <v>237</v>
      </c>
      <c r="K95" s="43" t="s">
        <v>237</v>
      </c>
      <c r="L95" s="43" t="s">
        <v>237</v>
      </c>
      <c r="M95" s="44" t="s">
        <v>237</v>
      </c>
      <c r="N95" s="7"/>
      <c r="O95" s="8"/>
    </row>
    <row r="96" spans="1:15" x14ac:dyDescent="0.25">
      <c r="A96" s="3">
        <v>95</v>
      </c>
      <c r="B96" s="4" t="s">
        <v>311</v>
      </c>
      <c r="C96" s="147">
        <v>2</v>
      </c>
      <c r="D96" s="5">
        <v>9216</v>
      </c>
      <c r="E96" s="43" t="s">
        <v>237</v>
      </c>
      <c r="F96" s="43" t="s">
        <v>237</v>
      </c>
      <c r="G96" s="45" t="s">
        <v>458</v>
      </c>
      <c r="H96" s="43" t="s">
        <v>237</v>
      </c>
      <c r="I96" s="43" t="s">
        <v>237</v>
      </c>
      <c r="J96" s="43" t="s">
        <v>237</v>
      </c>
      <c r="K96" s="43" t="s">
        <v>237</v>
      </c>
      <c r="L96" s="43" t="s">
        <v>237</v>
      </c>
      <c r="M96" s="44" t="s">
        <v>237</v>
      </c>
      <c r="N96" s="7"/>
      <c r="O96" s="8"/>
    </row>
    <row r="97" spans="1:15" x14ac:dyDescent="0.25">
      <c r="A97" s="3">
        <v>96</v>
      </c>
      <c r="B97" s="4" t="s">
        <v>312</v>
      </c>
      <c r="C97" s="147">
        <v>2</v>
      </c>
      <c r="D97" s="5">
        <v>9299</v>
      </c>
      <c r="E97" s="43" t="s">
        <v>237</v>
      </c>
      <c r="F97" s="43" t="s">
        <v>237</v>
      </c>
      <c r="G97" s="43" t="s">
        <v>237</v>
      </c>
      <c r="H97" s="43" t="s">
        <v>237</v>
      </c>
      <c r="I97" s="43" t="s">
        <v>237</v>
      </c>
      <c r="J97" s="43" t="s">
        <v>237</v>
      </c>
      <c r="K97" s="43" t="s">
        <v>237</v>
      </c>
      <c r="L97" s="43" t="s">
        <v>237</v>
      </c>
      <c r="M97" s="44" t="s">
        <v>237</v>
      </c>
      <c r="N97" s="7"/>
      <c r="O97" s="8"/>
    </row>
    <row r="98" spans="1:15" x14ac:dyDescent="0.25">
      <c r="A98" s="3">
        <v>97</v>
      </c>
      <c r="B98" s="4" t="s">
        <v>311</v>
      </c>
      <c r="C98" s="147">
        <v>2</v>
      </c>
      <c r="D98" s="5">
        <v>9216</v>
      </c>
      <c r="E98" s="43" t="s">
        <v>237</v>
      </c>
      <c r="F98" s="43" t="s">
        <v>237</v>
      </c>
      <c r="G98" s="45" t="s">
        <v>458</v>
      </c>
      <c r="H98" s="43" t="s">
        <v>237</v>
      </c>
      <c r="I98" s="43" t="s">
        <v>237</v>
      </c>
      <c r="J98" s="43" t="s">
        <v>237</v>
      </c>
      <c r="K98" s="43" t="s">
        <v>237</v>
      </c>
      <c r="L98" s="43" t="s">
        <v>237</v>
      </c>
      <c r="M98" s="44" t="s">
        <v>237</v>
      </c>
      <c r="N98" s="7"/>
      <c r="O98" s="8"/>
    </row>
    <row r="99" spans="1:15" x14ac:dyDescent="0.25">
      <c r="A99" s="3">
        <v>98</v>
      </c>
      <c r="B99" s="4" t="s">
        <v>313</v>
      </c>
      <c r="C99" s="147">
        <v>2</v>
      </c>
      <c r="D99" s="5">
        <v>9200</v>
      </c>
      <c r="E99" s="43" t="s">
        <v>237</v>
      </c>
      <c r="F99" s="43" t="s">
        <v>237</v>
      </c>
      <c r="G99" s="43" t="s">
        <v>237</v>
      </c>
      <c r="H99" s="43" t="s">
        <v>237</v>
      </c>
      <c r="I99" s="43" t="s">
        <v>237</v>
      </c>
      <c r="J99" s="43" t="s">
        <v>237</v>
      </c>
      <c r="K99" s="43" t="s">
        <v>237</v>
      </c>
      <c r="L99" s="43" t="s">
        <v>237</v>
      </c>
      <c r="M99" s="44" t="s">
        <v>237</v>
      </c>
      <c r="N99" s="7"/>
      <c r="O99" s="8"/>
    </row>
    <row r="100" spans="1:15" x14ac:dyDescent="0.25">
      <c r="A100" s="3">
        <v>99</v>
      </c>
      <c r="B100" s="4" t="s">
        <v>314</v>
      </c>
      <c r="C100" s="147">
        <v>2</v>
      </c>
      <c r="D100" s="5">
        <v>9210</v>
      </c>
      <c r="E100" s="6">
        <v>11</v>
      </c>
      <c r="F100" s="43" t="s">
        <v>237</v>
      </c>
      <c r="G100" s="6">
        <v>11</v>
      </c>
      <c r="H100" s="43" t="s">
        <v>237</v>
      </c>
      <c r="I100" s="43" t="s">
        <v>237</v>
      </c>
      <c r="J100" s="6">
        <v>11</v>
      </c>
      <c r="K100" s="43" t="s">
        <v>237</v>
      </c>
      <c r="L100" s="43" t="s">
        <v>237</v>
      </c>
      <c r="M100" s="44" t="s">
        <v>237</v>
      </c>
      <c r="N100" s="7"/>
      <c r="O100" s="8"/>
    </row>
    <row r="101" spans="1:15" x14ac:dyDescent="0.25">
      <c r="A101" s="3">
        <v>100</v>
      </c>
      <c r="B101" s="4" t="s">
        <v>315</v>
      </c>
      <c r="C101" s="147">
        <v>1</v>
      </c>
      <c r="D101" s="5">
        <v>1003</v>
      </c>
      <c r="E101" s="6">
        <v>11</v>
      </c>
      <c r="F101" s="43" t="s">
        <v>237</v>
      </c>
      <c r="G101" s="6">
        <v>11</v>
      </c>
      <c r="H101" s="43" t="s">
        <v>237</v>
      </c>
      <c r="I101" s="43" t="s">
        <v>237</v>
      </c>
      <c r="J101" s="6">
        <v>11</v>
      </c>
      <c r="K101" s="43" t="s">
        <v>237</v>
      </c>
      <c r="L101" s="57" t="s">
        <v>13</v>
      </c>
      <c r="M101" s="44" t="s">
        <v>237</v>
      </c>
      <c r="N101" s="7"/>
      <c r="O101" s="8"/>
    </row>
    <row r="102" spans="1:15" x14ac:dyDescent="0.25">
      <c r="A102" s="3">
        <v>101</v>
      </c>
      <c r="B102" s="4" t="s">
        <v>316</v>
      </c>
      <c r="C102" s="147">
        <v>1</v>
      </c>
      <c r="D102" s="5">
        <v>1003</v>
      </c>
      <c r="E102" s="6">
        <v>11</v>
      </c>
      <c r="F102" s="43" t="s">
        <v>237</v>
      </c>
      <c r="G102" s="6">
        <v>11</v>
      </c>
      <c r="H102" s="43" t="s">
        <v>237</v>
      </c>
      <c r="I102" s="43" t="s">
        <v>237</v>
      </c>
      <c r="J102" s="6">
        <v>11</v>
      </c>
      <c r="K102" s="43" t="s">
        <v>237</v>
      </c>
      <c r="L102" s="57" t="s">
        <v>13</v>
      </c>
      <c r="M102" s="44" t="s">
        <v>237</v>
      </c>
      <c r="N102" s="7"/>
      <c r="O102" s="8"/>
    </row>
    <row r="103" spans="1:15" x14ac:dyDescent="0.25">
      <c r="A103" s="3">
        <v>102</v>
      </c>
      <c r="B103" s="4" t="s">
        <v>317</v>
      </c>
      <c r="C103" s="147">
        <v>1</v>
      </c>
      <c r="D103" s="5">
        <v>1003</v>
      </c>
      <c r="E103" s="6">
        <v>11</v>
      </c>
      <c r="F103" s="43" t="s">
        <v>237</v>
      </c>
      <c r="G103" s="6">
        <v>11</v>
      </c>
      <c r="H103" s="43" t="s">
        <v>237</v>
      </c>
      <c r="I103" s="43" t="s">
        <v>237</v>
      </c>
      <c r="J103" s="6">
        <v>11</v>
      </c>
      <c r="K103" s="43" t="s">
        <v>237</v>
      </c>
      <c r="L103" s="57" t="s">
        <v>13</v>
      </c>
      <c r="M103" s="44" t="s">
        <v>237</v>
      </c>
      <c r="N103" s="7"/>
      <c r="O103" s="8"/>
    </row>
    <row r="104" spans="1:15" x14ac:dyDescent="0.25">
      <c r="A104" s="3">
        <v>103</v>
      </c>
      <c r="B104" s="4" t="s">
        <v>318</v>
      </c>
      <c r="C104" s="147">
        <v>1</v>
      </c>
      <c r="D104" s="5">
        <v>1003</v>
      </c>
      <c r="E104" s="6">
        <v>11</v>
      </c>
      <c r="F104" s="43" t="s">
        <v>237</v>
      </c>
      <c r="G104" s="6">
        <v>11</v>
      </c>
      <c r="H104" s="43" t="s">
        <v>237</v>
      </c>
      <c r="I104" s="43" t="s">
        <v>237</v>
      </c>
      <c r="J104" s="6">
        <v>11</v>
      </c>
      <c r="K104" s="43" t="s">
        <v>237</v>
      </c>
      <c r="L104" s="57" t="s">
        <v>13</v>
      </c>
      <c r="M104" s="44" t="s">
        <v>237</v>
      </c>
      <c r="N104" s="7"/>
      <c r="O104" s="8"/>
    </row>
    <row r="105" spans="1:15" x14ac:dyDescent="0.25">
      <c r="A105" s="3">
        <v>104</v>
      </c>
      <c r="B105" s="4" t="s">
        <v>319</v>
      </c>
      <c r="C105" s="147">
        <v>1</v>
      </c>
      <c r="D105" s="5">
        <v>1003</v>
      </c>
      <c r="E105" s="6">
        <v>11</v>
      </c>
      <c r="F105" s="43" t="s">
        <v>237</v>
      </c>
      <c r="G105" s="6">
        <v>11</v>
      </c>
      <c r="H105" s="43" t="s">
        <v>237</v>
      </c>
      <c r="I105" s="43" t="s">
        <v>237</v>
      </c>
      <c r="J105" s="6">
        <v>11</v>
      </c>
      <c r="K105" s="43" t="s">
        <v>237</v>
      </c>
      <c r="L105" s="57" t="s">
        <v>13</v>
      </c>
      <c r="M105" s="44" t="s">
        <v>237</v>
      </c>
      <c r="N105" s="7"/>
      <c r="O105" s="8"/>
    </row>
    <row r="106" spans="1:15" x14ac:dyDescent="0.25">
      <c r="A106" s="3">
        <v>105</v>
      </c>
      <c r="B106" s="4" t="s">
        <v>320</v>
      </c>
      <c r="C106" s="147">
        <v>1</v>
      </c>
      <c r="D106" s="5">
        <v>1202</v>
      </c>
      <c r="E106" s="6">
        <v>11</v>
      </c>
      <c r="F106" s="43" t="s">
        <v>237</v>
      </c>
      <c r="G106" s="6">
        <v>11</v>
      </c>
      <c r="H106" s="43" t="s">
        <v>237</v>
      </c>
      <c r="I106" s="43" t="s">
        <v>237</v>
      </c>
      <c r="J106" s="6">
        <v>11</v>
      </c>
      <c r="K106" s="43" t="s">
        <v>237</v>
      </c>
      <c r="L106" s="57" t="s">
        <v>13</v>
      </c>
      <c r="M106" s="44" t="s">
        <v>237</v>
      </c>
      <c r="N106" s="7"/>
      <c r="O106" s="8"/>
    </row>
    <row r="107" spans="1:15" x14ac:dyDescent="0.25">
      <c r="A107" s="3">
        <v>106</v>
      </c>
      <c r="B107" s="4" t="s">
        <v>321</v>
      </c>
      <c r="C107" s="147">
        <v>1</v>
      </c>
      <c r="D107" s="5">
        <v>1202</v>
      </c>
      <c r="E107" s="6">
        <v>11</v>
      </c>
      <c r="F107" s="43" t="s">
        <v>237</v>
      </c>
      <c r="G107" s="6">
        <v>11</v>
      </c>
      <c r="H107" s="43" t="s">
        <v>237</v>
      </c>
      <c r="I107" s="43" t="s">
        <v>237</v>
      </c>
      <c r="J107" s="6">
        <v>11</v>
      </c>
      <c r="K107" s="43" t="s">
        <v>237</v>
      </c>
      <c r="L107" s="57" t="s">
        <v>13</v>
      </c>
      <c r="M107" s="44" t="s">
        <v>237</v>
      </c>
      <c r="N107" s="7"/>
      <c r="O107" s="8"/>
    </row>
    <row r="108" spans="1:15" x14ac:dyDescent="0.25">
      <c r="A108" s="3">
        <v>107</v>
      </c>
      <c r="B108" s="4" t="s">
        <v>320</v>
      </c>
      <c r="C108" s="147">
        <v>1</v>
      </c>
      <c r="D108" s="5">
        <v>1202</v>
      </c>
      <c r="E108" s="6">
        <v>11</v>
      </c>
      <c r="F108" s="43" t="s">
        <v>237</v>
      </c>
      <c r="G108" s="6">
        <v>11</v>
      </c>
      <c r="H108" s="43" t="s">
        <v>237</v>
      </c>
      <c r="I108" s="43" t="s">
        <v>237</v>
      </c>
      <c r="J108" s="6">
        <v>11</v>
      </c>
      <c r="K108" s="43" t="s">
        <v>237</v>
      </c>
      <c r="L108" s="57" t="s">
        <v>13</v>
      </c>
      <c r="M108" s="44" t="s">
        <v>237</v>
      </c>
      <c r="N108" s="7"/>
      <c r="O108" s="8"/>
    </row>
    <row r="109" spans="1:15" x14ac:dyDescent="0.25">
      <c r="A109" s="3">
        <v>108</v>
      </c>
      <c r="B109" s="4" t="s">
        <v>322</v>
      </c>
      <c r="C109" s="147">
        <v>1</v>
      </c>
      <c r="D109" s="5">
        <v>1202</v>
      </c>
      <c r="E109" s="6">
        <v>11</v>
      </c>
      <c r="F109" s="43" t="s">
        <v>237</v>
      </c>
      <c r="G109" s="6">
        <v>11</v>
      </c>
      <c r="H109" s="43" t="s">
        <v>237</v>
      </c>
      <c r="I109" s="43" t="s">
        <v>237</v>
      </c>
      <c r="J109" s="6">
        <v>11</v>
      </c>
      <c r="K109" s="43" t="s">
        <v>237</v>
      </c>
      <c r="L109" s="57" t="s">
        <v>13</v>
      </c>
      <c r="M109" s="44" t="s">
        <v>237</v>
      </c>
      <c r="N109" s="7"/>
      <c r="O109" s="8"/>
    </row>
    <row r="110" spans="1:15" x14ac:dyDescent="0.25">
      <c r="A110" s="3">
        <v>109</v>
      </c>
      <c r="B110" s="4" t="s">
        <v>266</v>
      </c>
      <c r="C110" s="147">
        <v>1</v>
      </c>
      <c r="D110" s="5">
        <v>1202</v>
      </c>
      <c r="E110" s="6">
        <v>11</v>
      </c>
      <c r="F110" s="43" t="s">
        <v>237</v>
      </c>
      <c r="G110" s="6">
        <v>11</v>
      </c>
      <c r="H110" s="43" t="s">
        <v>237</v>
      </c>
      <c r="I110" s="43" t="s">
        <v>237</v>
      </c>
      <c r="J110" s="6">
        <v>11</v>
      </c>
      <c r="K110" s="43" t="s">
        <v>237</v>
      </c>
      <c r="L110" s="57" t="s">
        <v>13</v>
      </c>
      <c r="M110" s="44" t="s">
        <v>237</v>
      </c>
      <c r="N110" s="7"/>
      <c r="O110" s="8"/>
    </row>
    <row r="111" spans="1:15" x14ac:dyDescent="0.25">
      <c r="A111" s="3">
        <v>110</v>
      </c>
      <c r="B111" s="4" t="s">
        <v>323</v>
      </c>
      <c r="C111" s="147">
        <v>1</v>
      </c>
      <c r="D111" s="5">
        <v>1207</v>
      </c>
      <c r="E111" s="6">
        <v>11</v>
      </c>
      <c r="F111" s="43" t="s">
        <v>237</v>
      </c>
      <c r="G111" s="6">
        <v>11</v>
      </c>
      <c r="H111" s="43" t="s">
        <v>237</v>
      </c>
      <c r="I111" s="43" t="s">
        <v>237</v>
      </c>
      <c r="J111" s="6">
        <v>11</v>
      </c>
      <c r="K111" s="43" t="s">
        <v>237</v>
      </c>
      <c r="L111" s="43" t="s">
        <v>237</v>
      </c>
      <c r="M111" s="44" t="s">
        <v>237</v>
      </c>
      <c r="N111" s="7"/>
      <c r="O111" s="8"/>
    </row>
    <row r="112" spans="1:15" x14ac:dyDescent="0.25">
      <c r="A112" s="3">
        <v>111</v>
      </c>
      <c r="B112" s="4" t="s">
        <v>324</v>
      </c>
      <c r="C112" s="147">
        <v>1</v>
      </c>
      <c r="D112" s="5">
        <v>1207</v>
      </c>
      <c r="E112" s="6">
        <v>11</v>
      </c>
      <c r="F112" s="43" t="s">
        <v>237</v>
      </c>
      <c r="G112" s="6">
        <v>11</v>
      </c>
      <c r="H112" s="43" t="s">
        <v>237</v>
      </c>
      <c r="I112" s="43" t="s">
        <v>237</v>
      </c>
      <c r="J112" s="6">
        <v>11</v>
      </c>
      <c r="K112" s="43" t="s">
        <v>237</v>
      </c>
      <c r="L112" s="43" t="s">
        <v>237</v>
      </c>
      <c r="M112" s="44" t="s">
        <v>237</v>
      </c>
      <c r="N112" s="7"/>
      <c r="O112" s="8"/>
    </row>
    <row r="113" spans="1:15" x14ac:dyDescent="0.25">
      <c r="A113" s="3">
        <v>112</v>
      </c>
      <c r="B113" s="4" t="s">
        <v>325</v>
      </c>
      <c r="C113" s="147">
        <v>1</v>
      </c>
      <c r="D113" s="5">
        <v>1205</v>
      </c>
      <c r="E113" s="6">
        <v>11</v>
      </c>
      <c r="F113" s="43" t="s">
        <v>237</v>
      </c>
      <c r="G113" s="6">
        <v>11</v>
      </c>
      <c r="H113" s="43" t="s">
        <v>237</v>
      </c>
      <c r="I113" s="43" t="s">
        <v>237</v>
      </c>
      <c r="J113" s="6">
        <v>11</v>
      </c>
      <c r="K113" s="43" t="s">
        <v>237</v>
      </c>
      <c r="L113" s="57" t="s">
        <v>13</v>
      </c>
      <c r="M113" s="44" t="s">
        <v>237</v>
      </c>
      <c r="N113" s="7"/>
      <c r="O113" s="8"/>
    </row>
    <row r="114" spans="1:15" x14ac:dyDescent="0.25">
      <c r="A114" s="3">
        <v>113</v>
      </c>
      <c r="B114" s="4" t="s">
        <v>326</v>
      </c>
      <c r="C114" s="147">
        <v>1</v>
      </c>
      <c r="D114" s="5">
        <v>1211</v>
      </c>
      <c r="E114" s="6">
        <v>11</v>
      </c>
      <c r="F114" s="43" t="s">
        <v>237</v>
      </c>
      <c r="G114" s="6">
        <v>11</v>
      </c>
      <c r="H114" s="43" t="s">
        <v>237</v>
      </c>
      <c r="I114" s="43" t="s">
        <v>237</v>
      </c>
      <c r="J114" s="6">
        <v>11</v>
      </c>
      <c r="K114" s="43" t="s">
        <v>237</v>
      </c>
      <c r="L114" s="43" t="s">
        <v>237</v>
      </c>
      <c r="M114" s="44" t="s">
        <v>237</v>
      </c>
      <c r="N114" s="7"/>
      <c r="O114" s="8"/>
    </row>
    <row r="115" spans="1:15" x14ac:dyDescent="0.25">
      <c r="A115" s="3">
        <v>114</v>
      </c>
      <c r="B115" s="4" t="s">
        <v>327</v>
      </c>
      <c r="C115" s="147">
        <v>1</v>
      </c>
      <c r="D115" s="5">
        <v>1203</v>
      </c>
      <c r="E115" s="6">
        <v>11</v>
      </c>
      <c r="F115" s="43" t="s">
        <v>237</v>
      </c>
      <c r="G115" s="6">
        <v>11</v>
      </c>
      <c r="H115" s="43" t="s">
        <v>237</v>
      </c>
      <c r="I115" s="43" t="s">
        <v>237</v>
      </c>
      <c r="J115" s="6">
        <v>11</v>
      </c>
      <c r="K115" s="43" t="s">
        <v>237</v>
      </c>
      <c r="L115" s="57" t="s">
        <v>13</v>
      </c>
      <c r="M115" s="44" t="s">
        <v>237</v>
      </c>
      <c r="N115" s="7"/>
      <c r="O115" s="8"/>
    </row>
    <row r="116" spans="1:15" x14ac:dyDescent="0.25">
      <c r="A116" s="3">
        <v>115</v>
      </c>
      <c r="B116" s="4" t="s">
        <v>328</v>
      </c>
      <c r="C116" s="147">
        <v>1</v>
      </c>
      <c r="D116" s="5">
        <v>2501</v>
      </c>
      <c r="E116" s="43" t="s">
        <v>237</v>
      </c>
      <c r="F116" s="43" t="s">
        <v>237</v>
      </c>
      <c r="G116" s="6">
        <v>11</v>
      </c>
      <c r="H116" s="43" t="s">
        <v>237</v>
      </c>
      <c r="I116" s="43" t="s">
        <v>237</v>
      </c>
      <c r="J116" s="43" t="s">
        <v>237</v>
      </c>
      <c r="K116" s="43" t="s">
        <v>237</v>
      </c>
      <c r="L116" s="43" t="s">
        <v>237</v>
      </c>
      <c r="M116" s="44" t="s">
        <v>237</v>
      </c>
      <c r="N116" s="7"/>
      <c r="O116" s="8"/>
    </row>
    <row r="117" spans="1:15" x14ac:dyDescent="0.25">
      <c r="A117" s="3">
        <v>116</v>
      </c>
      <c r="B117" s="4" t="s">
        <v>329</v>
      </c>
      <c r="C117" s="147">
        <v>1</v>
      </c>
      <c r="D117" s="5">
        <v>1225</v>
      </c>
      <c r="E117" s="6">
        <v>11</v>
      </c>
      <c r="F117" s="43" t="s">
        <v>237</v>
      </c>
      <c r="G117" s="6">
        <v>11</v>
      </c>
      <c r="H117" s="43" t="s">
        <v>237</v>
      </c>
      <c r="I117" s="43" t="s">
        <v>237</v>
      </c>
      <c r="J117" s="6" t="s">
        <v>13</v>
      </c>
      <c r="K117" s="43" t="s">
        <v>237</v>
      </c>
      <c r="L117" s="43" t="s">
        <v>237</v>
      </c>
      <c r="M117" s="44" t="s">
        <v>237</v>
      </c>
      <c r="N117" s="7"/>
      <c r="O117" s="8"/>
    </row>
    <row r="118" spans="1:15" x14ac:dyDescent="0.25">
      <c r="A118" s="3">
        <v>117</v>
      </c>
      <c r="B118" s="4" t="s">
        <v>330</v>
      </c>
      <c r="C118" s="147">
        <v>1</v>
      </c>
      <c r="D118" s="5">
        <v>1225</v>
      </c>
      <c r="E118" s="6">
        <v>11</v>
      </c>
      <c r="F118" s="43" t="s">
        <v>237</v>
      </c>
      <c r="G118" s="6">
        <v>11</v>
      </c>
      <c r="H118" s="43" t="s">
        <v>237</v>
      </c>
      <c r="I118" s="43" t="s">
        <v>237</v>
      </c>
      <c r="J118" s="6" t="s">
        <v>13</v>
      </c>
      <c r="K118" s="43" t="s">
        <v>237</v>
      </c>
      <c r="L118" s="43" t="s">
        <v>237</v>
      </c>
      <c r="M118" s="44" t="s">
        <v>237</v>
      </c>
      <c r="N118" s="7"/>
      <c r="O118" s="8"/>
    </row>
    <row r="119" spans="1:15" x14ac:dyDescent="0.25">
      <c r="A119" s="3">
        <v>118</v>
      </c>
      <c r="B119" s="4" t="s">
        <v>331</v>
      </c>
      <c r="C119" s="147">
        <v>1</v>
      </c>
      <c r="D119" s="5">
        <v>1211</v>
      </c>
      <c r="E119" s="6">
        <v>11</v>
      </c>
      <c r="F119" s="43" t="s">
        <v>237</v>
      </c>
      <c r="G119" s="6">
        <v>11</v>
      </c>
      <c r="H119" s="43" t="s">
        <v>237</v>
      </c>
      <c r="I119" s="43" t="s">
        <v>237</v>
      </c>
      <c r="J119" s="6" t="s">
        <v>13</v>
      </c>
      <c r="K119" s="43" t="s">
        <v>237</v>
      </c>
      <c r="L119" s="43" t="s">
        <v>237</v>
      </c>
      <c r="M119" s="44" t="s">
        <v>237</v>
      </c>
      <c r="N119" s="7"/>
      <c r="O119" s="8"/>
    </row>
    <row r="120" spans="1:15" x14ac:dyDescent="0.25">
      <c r="A120" s="3">
        <v>119</v>
      </c>
      <c r="B120" s="4" t="s">
        <v>332</v>
      </c>
      <c r="C120" s="147">
        <v>1</v>
      </c>
      <c r="D120" s="5">
        <v>1211</v>
      </c>
      <c r="E120" s="6">
        <v>11</v>
      </c>
      <c r="F120" s="43" t="s">
        <v>237</v>
      </c>
      <c r="G120" s="6">
        <v>11</v>
      </c>
      <c r="H120" s="43" t="s">
        <v>237</v>
      </c>
      <c r="I120" s="43" t="s">
        <v>237</v>
      </c>
      <c r="J120" s="6">
        <v>11</v>
      </c>
      <c r="K120" s="43" t="s">
        <v>237</v>
      </c>
      <c r="L120" s="43" t="s">
        <v>237</v>
      </c>
      <c r="M120" s="44" t="s">
        <v>237</v>
      </c>
      <c r="N120" s="7"/>
      <c r="O120" s="8"/>
    </row>
    <row r="121" spans="1:15" x14ac:dyDescent="0.25">
      <c r="A121" s="3">
        <v>120</v>
      </c>
      <c r="B121" s="4" t="s">
        <v>333</v>
      </c>
      <c r="C121" s="147">
        <v>1</v>
      </c>
      <c r="D121" s="5">
        <v>1300</v>
      </c>
      <c r="E121" s="43" t="s">
        <v>237</v>
      </c>
      <c r="F121" s="43" t="s">
        <v>237</v>
      </c>
      <c r="G121" s="6">
        <v>11</v>
      </c>
      <c r="H121" s="43" t="s">
        <v>237</v>
      </c>
      <c r="I121" s="43" t="s">
        <v>237</v>
      </c>
      <c r="J121" s="43" t="s">
        <v>237</v>
      </c>
      <c r="K121" s="43" t="s">
        <v>237</v>
      </c>
      <c r="L121" s="43" t="s">
        <v>237</v>
      </c>
      <c r="M121" s="44" t="s">
        <v>237</v>
      </c>
      <c r="N121" s="7"/>
      <c r="O121" s="8"/>
    </row>
    <row r="122" spans="1:15" x14ac:dyDescent="0.25">
      <c r="A122" s="3">
        <v>121</v>
      </c>
      <c r="B122" s="4" t="s">
        <v>334</v>
      </c>
      <c r="C122" s="147">
        <v>1</v>
      </c>
      <c r="D122" s="5">
        <v>1207</v>
      </c>
      <c r="E122" s="6">
        <v>11</v>
      </c>
      <c r="F122" s="43" t="s">
        <v>237</v>
      </c>
      <c r="G122" s="6">
        <v>11</v>
      </c>
      <c r="H122" s="43" t="s">
        <v>237</v>
      </c>
      <c r="I122" s="43" t="s">
        <v>237</v>
      </c>
      <c r="J122" s="6">
        <v>11</v>
      </c>
      <c r="K122" s="43" t="s">
        <v>237</v>
      </c>
      <c r="L122" s="43" t="s">
        <v>237</v>
      </c>
      <c r="M122" s="44" t="s">
        <v>237</v>
      </c>
      <c r="N122" s="7"/>
      <c r="O122" s="8"/>
    </row>
    <row r="123" spans="1:15" x14ac:dyDescent="0.25">
      <c r="A123" s="3">
        <v>130</v>
      </c>
      <c r="B123" s="4" t="s">
        <v>335</v>
      </c>
      <c r="C123" s="147">
        <v>1</v>
      </c>
      <c r="D123" s="5">
        <v>1206</v>
      </c>
      <c r="E123" s="6">
        <v>11</v>
      </c>
      <c r="F123" s="43" t="s">
        <v>237</v>
      </c>
      <c r="G123" s="6">
        <v>11</v>
      </c>
      <c r="H123" s="43" t="s">
        <v>237</v>
      </c>
      <c r="I123" s="43" t="s">
        <v>237</v>
      </c>
      <c r="J123" s="6">
        <v>11</v>
      </c>
      <c r="K123" s="43" t="s">
        <v>237</v>
      </c>
      <c r="L123" s="43" t="s">
        <v>237</v>
      </c>
      <c r="M123" s="44" t="s">
        <v>237</v>
      </c>
      <c r="N123" s="7"/>
      <c r="O123" s="8"/>
    </row>
    <row r="124" spans="1:15" x14ac:dyDescent="0.25">
      <c r="A124" s="3">
        <v>131</v>
      </c>
      <c r="B124" s="4" t="s">
        <v>336</v>
      </c>
      <c r="C124" s="147">
        <v>1</v>
      </c>
      <c r="D124" s="5">
        <v>1206</v>
      </c>
      <c r="E124" s="6">
        <v>11</v>
      </c>
      <c r="F124" s="43" t="s">
        <v>237</v>
      </c>
      <c r="G124" s="6">
        <v>11</v>
      </c>
      <c r="H124" s="43" t="s">
        <v>237</v>
      </c>
      <c r="I124" s="43" t="s">
        <v>237</v>
      </c>
      <c r="J124" s="6">
        <v>11</v>
      </c>
      <c r="K124" s="43" t="s">
        <v>237</v>
      </c>
      <c r="L124" s="43" t="s">
        <v>237</v>
      </c>
      <c r="M124" s="44" t="s">
        <v>237</v>
      </c>
      <c r="N124" s="7"/>
      <c r="O124" s="8"/>
    </row>
    <row r="125" spans="1:15" x14ac:dyDescent="0.25">
      <c r="A125" s="3">
        <v>132</v>
      </c>
      <c r="B125" s="4" t="s">
        <v>337</v>
      </c>
      <c r="C125" s="147">
        <v>1</v>
      </c>
      <c r="D125" s="5">
        <v>1206</v>
      </c>
      <c r="E125" s="6">
        <v>11</v>
      </c>
      <c r="F125" s="43" t="s">
        <v>237</v>
      </c>
      <c r="G125" s="6">
        <v>11</v>
      </c>
      <c r="H125" s="43" t="s">
        <v>237</v>
      </c>
      <c r="I125" s="43" t="s">
        <v>237</v>
      </c>
      <c r="J125" s="6">
        <v>11</v>
      </c>
      <c r="K125" s="43" t="s">
        <v>237</v>
      </c>
      <c r="L125" s="43" t="s">
        <v>237</v>
      </c>
      <c r="M125" s="44" t="s">
        <v>237</v>
      </c>
      <c r="N125" s="7"/>
      <c r="O125" s="8"/>
    </row>
    <row r="126" spans="1:15" x14ac:dyDescent="0.25">
      <c r="A126" s="3">
        <v>133</v>
      </c>
      <c r="B126" s="4" t="s">
        <v>338</v>
      </c>
      <c r="C126" s="147">
        <v>1</v>
      </c>
      <c r="D126" s="5">
        <v>1206</v>
      </c>
      <c r="E126" s="6">
        <v>11</v>
      </c>
      <c r="F126" s="43" t="s">
        <v>237</v>
      </c>
      <c r="G126" s="6">
        <v>11</v>
      </c>
      <c r="H126" s="43" t="s">
        <v>237</v>
      </c>
      <c r="I126" s="43" t="s">
        <v>237</v>
      </c>
      <c r="J126" s="6">
        <v>11</v>
      </c>
      <c r="K126" s="43" t="s">
        <v>237</v>
      </c>
      <c r="L126" s="43" t="s">
        <v>237</v>
      </c>
      <c r="M126" s="44" t="s">
        <v>237</v>
      </c>
      <c r="N126" s="7"/>
      <c r="O126" s="8"/>
    </row>
    <row r="127" spans="1:15" x14ac:dyDescent="0.25">
      <c r="A127" s="3">
        <v>134</v>
      </c>
      <c r="B127" s="4" t="s">
        <v>339</v>
      </c>
      <c r="C127" s="147">
        <v>1</v>
      </c>
      <c r="D127" s="5">
        <v>1206</v>
      </c>
      <c r="E127" s="6">
        <v>11</v>
      </c>
      <c r="F127" s="43" t="s">
        <v>237</v>
      </c>
      <c r="G127" s="6">
        <v>11</v>
      </c>
      <c r="H127" s="43" t="s">
        <v>237</v>
      </c>
      <c r="I127" s="43" t="s">
        <v>237</v>
      </c>
      <c r="J127" s="6">
        <v>11</v>
      </c>
      <c r="K127" s="43" t="s">
        <v>237</v>
      </c>
      <c r="L127" s="43" t="s">
        <v>237</v>
      </c>
      <c r="M127" s="44" t="s">
        <v>237</v>
      </c>
      <c r="N127" s="7"/>
      <c r="O127" s="8"/>
    </row>
    <row r="128" spans="1:15" x14ac:dyDescent="0.25">
      <c r="A128" s="3">
        <v>140</v>
      </c>
      <c r="B128" s="4" t="s">
        <v>340</v>
      </c>
      <c r="C128" s="147">
        <v>1</v>
      </c>
      <c r="D128" s="5">
        <v>1209</v>
      </c>
      <c r="E128" s="6">
        <v>11</v>
      </c>
      <c r="F128" s="43" t="s">
        <v>237</v>
      </c>
      <c r="G128" s="6">
        <v>11</v>
      </c>
      <c r="H128" s="43" t="s">
        <v>237</v>
      </c>
      <c r="I128" s="43" t="s">
        <v>237</v>
      </c>
      <c r="J128" s="6">
        <v>11</v>
      </c>
      <c r="K128" s="43" t="s">
        <v>237</v>
      </c>
      <c r="L128" s="43" t="s">
        <v>237</v>
      </c>
      <c r="M128" s="44" t="s">
        <v>237</v>
      </c>
      <c r="N128" s="7"/>
      <c r="O128" s="8"/>
    </row>
    <row r="129" spans="1:15" x14ac:dyDescent="0.25">
      <c r="A129" s="3">
        <v>141</v>
      </c>
      <c r="B129" s="4" t="s">
        <v>341</v>
      </c>
      <c r="C129" s="147">
        <v>1</v>
      </c>
      <c r="D129" s="5">
        <v>1209</v>
      </c>
      <c r="E129" s="6">
        <v>11</v>
      </c>
      <c r="F129" s="43" t="s">
        <v>237</v>
      </c>
      <c r="G129" s="6">
        <v>11</v>
      </c>
      <c r="H129" s="43" t="s">
        <v>237</v>
      </c>
      <c r="I129" s="43" t="s">
        <v>237</v>
      </c>
      <c r="J129" s="6">
        <v>11</v>
      </c>
      <c r="K129" s="43" t="s">
        <v>237</v>
      </c>
      <c r="L129" s="43" t="s">
        <v>237</v>
      </c>
      <c r="M129" s="44" t="s">
        <v>237</v>
      </c>
      <c r="N129" s="7"/>
      <c r="O129" s="8"/>
    </row>
    <row r="130" spans="1:15" x14ac:dyDescent="0.25">
      <c r="A130" s="3">
        <v>145</v>
      </c>
      <c r="B130" s="4" t="s">
        <v>342</v>
      </c>
      <c r="C130" s="147">
        <v>1</v>
      </c>
      <c r="D130" s="5">
        <v>1805</v>
      </c>
      <c r="E130" s="6">
        <v>11</v>
      </c>
      <c r="F130" s="43" t="s">
        <v>237</v>
      </c>
      <c r="G130" s="6">
        <v>11</v>
      </c>
      <c r="H130" s="43" t="s">
        <v>237</v>
      </c>
      <c r="I130" s="43" t="s">
        <v>237</v>
      </c>
      <c r="J130" s="6">
        <v>11</v>
      </c>
      <c r="K130" s="43" t="s">
        <v>237</v>
      </c>
      <c r="L130" s="43" t="s">
        <v>237</v>
      </c>
      <c r="M130" s="44" t="s">
        <v>237</v>
      </c>
      <c r="N130" s="7"/>
      <c r="O130" s="8"/>
    </row>
    <row r="131" spans="1:15" x14ac:dyDescent="0.25">
      <c r="A131" s="3">
        <v>146</v>
      </c>
      <c r="B131" s="4" t="s">
        <v>343</v>
      </c>
      <c r="C131" s="147">
        <v>1</v>
      </c>
      <c r="D131" s="5">
        <v>1299</v>
      </c>
      <c r="E131" s="43" t="s">
        <v>237</v>
      </c>
      <c r="F131" s="43" t="s">
        <v>237</v>
      </c>
      <c r="G131" s="43" t="s">
        <v>237</v>
      </c>
      <c r="H131" s="43" t="s">
        <v>237</v>
      </c>
      <c r="I131" s="43" t="s">
        <v>237</v>
      </c>
      <c r="J131" s="43" t="s">
        <v>237</v>
      </c>
      <c r="K131" s="43" t="s">
        <v>237</v>
      </c>
      <c r="L131" s="43" t="s">
        <v>237</v>
      </c>
      <c r="M131" s="44" t="s">
        <v>237</v>
      </c>
      <c r="N131" s="7"/>
      <c r="O131" s="8"/>
    </row>
    <row r="132" spans="1:15" x14ac:dyDescent="0.25">
      <c r="A132" s="53">
        <v>150</v>
      </c>
      <c r="B132" s="54" t="s">
        <v>344</v>
      </c>
      <c r="C132" s="147">
        <v>1</v>
      </c>
      <c r="D132" s="5">
        <v>1401</v>
      </c>
      <c r="E132" s="43" t="s">
        <v>237</v>
      </c>
      <c r="F132" s="43" t="s">
        <v>237</v>
      </c>
      <c r="G132" s="6">
        <v>11</v>
      </c>
      <c r="H132" s="43" t="s">
        <v>237</v>
      </c>
      <c r="I132" s="43" t="s">
        <v>237</v>
      </c>
      <c r="J132" s="43" t="s">
        <v>237</v>
      </c>
      <c r="K132" s="43" t="s">
        <v>237</v>
      </c>
      <c r="L132" s="43" t="s">
        <v>237</v>
      </c>
      <c r="M132" s="44" t="s">
        <v>237</v>
      </c>
      <c r="N132" s="7"/>
      <c r="O132" s="8"/>
    </row>
    <row r="133" spans="1:15" x14ac:dyDescent="0.25">
      <c r="A133" s="3">
        <v>153</v>
      </c>
      <c r="B133" s="4" t="s">
        <v>345</v>
      </c>
      <c r="C133" s="147">
        <v>1</v>
      </c>
      <c r="D133" s="5">
        <v>1099</v>
      </c>
      <c r="E133" s="43" t="s">
        <v>237</v>
      </c>
      <c r="F133" s="43" t="s">
        <v>237</v>
      </c>
      <c r="G133" s="43" t="s">
        <v>237</v>
      </c>
      <c r="H133" s="43" t="s">
        <v>237</v>
      </c>
      <c r="I133" s="43" t="s">
        <v>237</v>
      </c>
      <c r="J133" s="43" t="s">
        <v>237</v>
      </c>
      <c r="K133" s="43" t="s">
        <v>237</v>
      </c>
      <c r="L133" s="43" t="s">
        <v>237</v>
      </c>
      <c r="M133" s="44" t="s">
        <v>237</v>
      </c>
      <c r="N133" s="7"/>
      <c r="O133" s="8"/>
    </row>
    <row r="134" spans="1:15" x14ac:dyDescent="0.25">
      <c r="A134" s="3">
        <v>160</v>
      </c>
      <c r="B134" s="4" t="s">
        <v>346</v>
      </c>
      <c r="C134" s="147">
        <v>1</v>
      </c>
      <c r="D134" s="5">
        <v>1024</v>
      </c>
      <c r="E134" s="43" t="s">
        <v>237</v>
      </c>
      <c r="F134" s="43" t="s">
        <v>237</v>
      </c>
      <c r="G134" s="43" t="s">
        <v>237</v>
      </c>
      <c r="H134" s="6">
        <v>13</v>
      </c>
      <c r="I134" s="43" t="s">
        <v>237</v>
      </c>
      <c r="J134" s="43" t="s">
        <v>237</v>
      </c>
      <c r="K134" s="43" t="s">
        <v>237</v>
      </c>
      <c r="L134" s="43" t="s">
        <v>237</v>
      </c>
      <c r="M134" s="44" t="s">
        <v>237</v>
      </c>
      <c r="N134" s="7"/>
      <c r="O134" s="8"/>
    </row>
    <row r="135" spans="1:15" x14ac:dyDescent="0.25">
      <c r="A135" s="3">
        <v>161</v>
      </c>
      <c r="B135" s="4" t="s">
        <v>347</v>
      </c>
      <c r="C135" s="147">
        <v>1</v>
      </c>
      <c r="D135" s="5">
        <v>1024</v>
      </c>
      <c r="E135" s="43" t="s">
        <v>237</v>
      </c>
      <c r="F135" s="43" t="s">
        <v>237</v>
      </c>
      <c r="G135" s="43" t="s">
        <v>237</v>
      </c>
      <c r="H135" s="6">
        <v>13</v>
      </c>
      <c r="I135" s="43" t="s">
        <v>237</v>
      </c>
      <c r="J135" s="43" t="s">
        <v>237</v>
      </c>
      <c r="K135" s="43" t="s">
        <v>237</v>
      </c>
      <c r="L135" s="43" t="s">
        <v>237</v>
      </c>
      <c r="M135" s="44" t="s">
        <v>237</v>
      </c>
      <c r="N135" s="7"/>
      <c r="O135" s="8"/>
    </row>
    <row r="136" spans="1:15" x14ac:dyDescent="0.25">
      <c r="A136" s="3">
        <v>162</v>
      </c>
      <c r="B136" s="4" t="s">
        <v>348</v>
      </c>
      <c r="C136" s="147">
        <v>1</v>
      </c>
      <c r="D136" s="5">
        <v>1024</v>
      </c>
      <c r="E136" s="43" t="s">
        <v>237</v>
      </c>
      <c r="F136" s="43" t="s">
        <v>237</v>
      </c>
      <c r="G136" s="43" t="s">
        <v>237</v>
      </c>
      <c r="H136" s="43" t="s">
        <v>237</v>
      </c>
      <c r="I136" s="43" t="s">
        <v>237</v>
      </c>
      <c r="J136" s="43" t="s">
        <v>237</v>
      </c>
      <c r="K136" s="43" t="s">
        <v>237</v>
      </c>
      <c r="L136" s="43" t="s">
        <v>237</v>
      </c>
      <c r="M136" s="44" t="s">
        <v>237</v>
      </c>
      <c r="N136" s="7"/>
      <c r="O136" s="8"/>
    </row>
    <row r="137" spans="1:15" x14ac:dyDescent="0.25">
      <c r="A137" s="3">
        <v>163</v>
      </c>
      <c r="B137" s="4" t="s">
        <v>349</v>
      </c>
      <c r="C137" s="147">
        <v>1</v>
      </c>
      <c r="D137" s="5">
        <v>1024</v>
      </c>
      <c r="E137" s="43" t="s">
        <v>237</v>
      </c>
      <c r="F137" s="43" t="s">
        <v>237</v>
      </c>
      <c r="G137" s="43" t="s">
        <v>237</v>
      </c>
      <c r="H137" s="43" t="s">
        <v>237</v>
      </c>
      <c r="I137" s="43" t="s">
        <v>237</v>
      </c>
      <c r="J137" s="43" t="s">
        <v>237</v>
      </c>
      <c r="K137" s="43" t="s">
        <v>237</v>
      </c>
      <c r="L137" s="43" t="s">
        <v>237</v>
      </c>
      <c r="M137" s="44" t="s">
        <v>237</v>
      </c>
      <c r="N137" s="7"/>
      <c r="O137" s="8"/>
    </row>
    <row r="138" spans="1:15" x14ac:dyDescent="0.25">
      <c r="A138" s="3">
        <v>164</v>
      </c>
      <c r="B138" s="4" t="s">
        <v>238</v>
      </c>
      <c r="C138" s="147">
        <v>1</v>
      </c>
      <c r="D138" s="5">
        <v>6004</v>
      </c>
      <c r="E138" s="43" t="s">
        <v>237</v>
      </c>
      <c r="F138" s="43" t="s">
        <v>237</v>
      </c>
      <c r="G138" s="9">
        <v>74</v>
      </c>
      <c r="H138" s="43" t="s">
        <v>237</v>
      </c>
      <c r="I138" s="43" t="s">
        <v>237</v>
      </c>
      <c r="J138" s="43" t="s">
        <v>237</v>
      </c>
      <c r="K138" s="43" t="s">
        <v>237</v>
      </c>
      <c r="L138" s="43" t="s">
        <v>237</v>
      </c>
      <c r="M138" s="44" t="s">
        <v>237</v>
      </c>
      <c r="N138" s="7"/>
      <c r="O138" s="8"/>
    </row>
    <row r="139" spans="1:15" x14ac:dyDescent="0.25">
      <c r="A139" s="3">
        <v>165</v>
      </c>
      <c r="B139" s="4" t="s">
        <v>239</v>
      </c>
      <c r="C139" s="147">
        <v>1</v>
      </c>
      <c r="D139" s="5">
        <v>6004</v>
      </c>
      <c r="E139" s="43" t="s">
        <v>237</v>
      </c>
      <c r="F139" s="43" t="s">
        <v>237</v>
      </c>
      <c r="G139" s="9">
        <v>74</v>
      </c>
      <c r="H139" s="43" t="s">
        <v>237</v>
      </c>
      <c r="I139" s="43" t="s">
        <v>237</v>
      </c>
      <c r="J139" s="43" t="s">
        <v>237</v>
      </c>
      <c r="K139" s="43" t="s">
        <v>237</v>
      </c>
      <c r="L139" s="43" t="s">
        <v>237</v>
      </c>
      <c r="M139" s="44" t="s">
        <v>237</v>
      </c>
      <c r="N139" s="7"/>
      <c r="O139" s="8"/>
    </row>
    <row r="140" spans="1:15" x14ac:dyDescent="0.25">
      <c r="A140" s="3">
        <v>170</v>
      </c>
      <c r="B140" s="4" t="s">
        <v>350</v>
      </c>
      <c r="C140" s="147">
        <v>2</v>
      </c>
      <c r="D140" s="5">
        <v>9299</v>
      </c>
      <c r="E140" s="43" t="s">
        <v>237</v>
      </c>
      <c r="F140" s="43" t="s">
        <v>237</v>
      </c>
      <c r="G140" s="43" t="s">
        <v>237</v>
      </c>
      <c r="H140" s="43" t="s">
        <v>237</v>
      </c>
      <c r="I140" s="43" t="s">
        <v>237</v>
      </c>
      <c r="J140" s="43" t="s">
        <v>237</v>
      </c>
      <c r="K140" s="43" t="s">
        <v>237</v>
      </c>
      <c r="L140" s="43" t="s">
        <v>237</v>
      </c>
      <c r="M140" s="44" t="s">
        <v>237</v>
      </c>
      <c r="N140" s="7"/>
      <c r="O140" s="8"/>
    </row>
    <row r="141" spans="1:15" x14ac:dyDescent="0.25">
      <c r="A141" s="3">
        <v>171</v>
      </c>
      <c r="B141" s="4" t="s">
        <v>351</v>
      </c>
      <c r="C141" s="147">
        <v>1</v>
      </c>
      <c r="D141" s="5">
        <v>1099</v>
      </c>
      <c r="E141" s="43" t="s">
        <v>237</v>
      </c>
      <c r="F141" s="43" t="s">
        <v>237</v>
      </c>
      <c r="G141" s="43" t="s">
        <v>237</v>
      </c>
      <c r="H141" s="43" t="s">
        <v>237</v>
      </c>
      <c r="I141" s="43" t="s">
        <v>237</v>
      </c>
      <c r="J141" s="43" t="s">
        <v>237</v>
      </c>
      <c r="K141" s="43" t="s">
        <v>237</v>
      </c>
      <c r="L141" s="43" t="s">
        <v>237</v>
      </c>
      <c r="M141" s="44" t="s">
        <v>237</v>
      </c>
      <c r="N141" s="7"/>
      <c r="O141" s="8"/>
    </row>
    <row r="142" spans="1:15" x14ac:dyDescent="0.25">
      <c r="A142" s="3">
        <v>200</v>
      </c>
      <c r="B142" s="4" t="s">
        <v>352</v>
      </c>
      <c r="C142" s="147">
        <v>2</v>
      </c>
      <c r="D142" s="5">
        <v>9232</v>
      </c>
      <c r="E142" s="43" t="s">
        <v>237</v>
      </c>
      <c r="F142" s="43" t="s">
        <v>237</v>
      </c>
      <c r="G142" s="43" t="s">
        <v>237</v>
      </c>
      <c r="H142" s="43" t="s">
        <v>237</v>
      </c>
      <c r="I142" s="43" t="s">
        <v>237</v>
      </c>
      <c r="J142" s="43" t="s">
        <v>237</v>
      </c>
      <c r="K142" s="43" t="s">
        <v>237</v>
      </c>
      <c r="L142" s="43" t="s">
        <v>237</v>
      </c>
      <c r="M142" s="44" t="s">
        <v>237</v>
      </c>
      <c r="N142" s="7"/>
      <c r="O142" s="8"/>
    </row>
    <row r="143" spans="1:15" x14ac:dyDescent="0.25">
      <c r="A143" s="3">
        <v>201</v>
      </c>
      <c r="B143" s="4" t="s">
        <v>353</v>
      </c>
      <c r="C143" s="147">
        <v>2</v>
      </c>
      <c r="D143" s="5">
        <v>9232</v>
      </c>
      <c r="E143" s="43" t="s">
        <v>237</v>
      </c>
      <c r="F143" s="43" t="s">
        <v>237</v>
      </c>
      <c r="G143" s="43" t="s">
        <v>237</v>
      </c>
      <c r="H143" s="43" t="s">
        <v>237</v>
      </c>
      <c r="I143" s="43" t="s">
        <v>237</v>
      </c>
      <c r="J143" s="43" t="s">
        <v>237</v>
      </c>
      <c r="K143" s="43" t="s">
        <v>237</v>
      </c>
      <c r="L143" s="43" t="s">
        <v>237</v>
      </c>
      <c r="M143" s="44" t="s">
        <v>237</v>
      </c>
      <c r="N143" s="7"/>
      <c r="O143" s="8"/>
    </row>
    <row r="144" spans="1:15" x14ac:dyDescent="0.25">
      <c r="A144" s="3">
        <v>202</v>
      </c>
      <c r="B144" s="4" t="s">
        <v>354</v>
      </c>
      <c r="C144" s="147">
        <v>2</v>
      </c>
      <c r="D144" s="5">
        <v>9232</v>
      </c>
      <c r="E144" s="43" t="s">
        <v>237</v>
      </c>
      <c r="F144" s="43" t="s">
        <v>237</v>
      </c>
      <c r="G144" s="43" t="s">
        <v>237</v>
      </c>
      <c r="H144" s="43" t="s">
        <v>237</v>
      </c>
      <c r="I144" s="43" t="s">
        <v>237</v>
      </c>
      <c r="J144" s="43" t="s">
        <v>237</v>
      </c>
      <c r="K144" s="43" t="s">
        <v>237</v>
      </c>
      <c r="L144" s="43" t="s">
        <v>237</v>
      </c>
      <c r="M144" s="44" t="s">
        <v>237</v>
      </c>
      <c r="N144" s="7"/>
      <c r="O144" s="8"/>
    </row>
    <row r="145" spans="1:15" x14ac:dyDescent="0.25">
      <c r="A145" s="3">
        <v>203</v>
      </c>
      <c r="B145" s="4" t="s">
        <v>355</v>
      </c>
      <c r="C145" s="147">
        <v>2</v>
      </c>
      <c r="D145" s="5">
        <v>9233</v>
      </c>
      <c r="E145" s="43" t="s">
        <v>237</v>
      </c>
      <c r="F145" s="43" t="s">
        <v>237</v>
      </c>
      <c r="G145" s="43" t="s">
        <v>237</v>
      </c>
      <c r="H145" s="43" t="s">
        <v>237</v>
      </c>
      <c r="I145" s="43" t="s">
        <v>237</v>
      </c>
      <c r="J145" s="43" t="s">
        <v>237</v>
      </c>
      <c r="K145" s="43" t="s">
        <v>237</v>
      </c>
      <c r="L145" s="43" t="s">
        <v>237</v>
      </c>
      <c r="M145" s="44" t="s">
        <v>237</v>
      </c>
      <c r="N145" s="7"/>
      <c r="O145" s="8"/>
    </row>
    <row r="146" spans="1:15" x14ac:dyDescent="0.25">
      <c r="A146" s="3">
        <v>204</v>
      </c>
      <c r="B146" s="4" t="s">
        <v>356</v>
      </c>
      <c r="C146" s="147">
        <v>2</v>
      </c>
      <c r="D146" s="5">
        <v>9233</v>
      </c>
      <c r="E146" s="43" t="s">
        <v>237</v>
      </c>
      <c r="F146" s="43" t="s">
        <v>237</v>
      </c>
      <c r="G146" s="43" t="s">
        <v>237</v>
      </c>
      <c r="H146" s="43" t="s">
        <v>237</v>
      </c>
      <c r="I146" s="43" t="s">
        <v>237</v>
      </c>
      <c r="J146" s="43" t="s">
        <v>237</v>
      </c>
      <c r="K146" s="43" t="s">
        <v>237</v>
      </c>
      <c r="L146" s="43" t="s">
        <v>237</v>
      </c>
      <c r="M146" s="44" t="s">
        <v>237</v>
      </c>
      <c r="N146" s="7"/>
      <c r="O146" s="8"/>
    </row>
    <row r="147" spans="1:15" x14ac:dyDescent="0.25">
      <c r="A147" s="3">
        <v>205</v>
      </c>
      <c r="B147" s="4" t="s">
        <v>357</v>
      </c>
      <c r="C147" s="147">
        <v>2</v>
      </c>
      <c r="D147" s="5">
        <v>9233</v>
      </c>
      <c r="E147" s="43" t="s">
        <v>237</v>
      </c>
      <c r="F147" s="43" t="s">
        <v>237</v>
      </c>
      <c r="G147" s="43" t="s">
        <v>237</v>
      </c>
      <c r="H147" s="43" t="s">
        <v>237</v>
      </c>
      <c r="I147" s="43" t="s">
        <v>237</v>
      </c>
      <c r="J147" s="43" t="s">
        <v>237</v>
      </c>
      <c r="K147" s="43" t="s">
        <v>237</v>
      </c>
      <c r="L147" s="43" t="s">
        <v>237</v>
      </c>
      <c r="M147" s="44" t="s">
        <v>237</v>
      </c>
      <c r="N147" s="7"/>
      <c r="O147" s="8"/>
    </row>
    <row r="148" spans="1:15" x14ac:dyDescent="0.25">
      <c r="A148" s="3">
        <v>206</v>
      </c>
      <c r="B148" s="4" t="s">
        <v>358</v>
      </c>
      <c r="C148" s="147">
        <v>2</v>
      </c>
      <c r="D148" s="5">
        <v>9232</v>
      </c>
      <c r="E148" s="43" t="s">
        <v>237</v>
      </c>
      <c r="F148" s="43" t="s">
        <v>237</v>
      </c>
      <c r="G148" s="43" t="s">
        <v>237</v>
      </c>
      <c r="H148" s="43" t="s">
        <v>237</v>
      </c>
      <c r="I148" s="43" t="s">
        <v>237</v>
      </c>
      <c r="J148" s="43" t="s">
        <v>237</v>
      </c>
      <c r="K148" s="43" t="s">
        <v>237</v>
      </c>
      <c r="L148" s="43" t="s">
        <v>237</v>
      </c>
      <c r="M148" s="44" t="s">
        <v>237</v>
      </c>
      <c r="N148" s="7"/>
      <c r="O148" s="8"/>
    </row>
    <row r="149" spans="1:15" x14ac:dyDescent="0.25">
      <c r="A149" s="3">
        <v>207</v>
      </c>
      <c r="B149" s="4" t="s">
        <v>359</v>
      </c>
      <c r="C149" s="147">
        <v>2</v>
      </c>
      <c r="D149" s="5">
        <v>9231</v>
      </c>
      <c r="E149" s="43" t="s">
        <v>237</v>
      </c>
      <c r="F149" s="43" t="s">
        <v>237</v>
      </c>
      <c r="G149" s="43" t="s">
        <v>237</v>
      </c>
      <c r="H149" s="43" t="s">
        <v>237</v>
      </c>
      <c r="I149" s="43" t="s">
        <v>237</v>
      </c>
      <c r="J149" s="43" t="s">
        <v>237</v>
      </c>
      <c r="K149" s="43" t="s">
        <v>237</v>
      </c>
      <c r="L149" s="43" t="s">
        <v>237</v>
      </c>
      <c r="M149" s="44" t="s">
        <v>237</v>
      </c>
      <c r="N149" s="7"/>
      <c r="O149" s="8"/>
    </row>
    <row r="150" spans="1:15" x14ac:dyDescent="0.25">
      <c r="A150" s="3">
        <v>208</v>
      </c>
      <c r="B150" s="4" t="s">
        <v>360</v>
      </c>
      <c r="C150" s="147">
        <v>2</v>
      </c>
      <c r="D150" s="5">
        <v>9299</v>
      </c>
      <c r="E150" s="43" t="s">
        <v>237</v>
      </c>
      <c r="F150" s="43" t="s">
        <v>237</v>
      </c>
      <c r="G150" s="43" t="s">
        <v>237</v>
      </c>
      <c r="H150" s="43" t="s">
        <v>237</v>
      </c>
      <c r="I150" s="43" t="s">
        <v>237</v>
      </c>
      <c r="J150" s="43" t="s">
        <v>237</v>
      </c>
      <c r="K150" s="43" t="s">
        <v>237</v>
      </c>
      <c r="L150" s="43" t="s">
        <v>237</v>
      </c>
      <c r="M150" s="44" t="s">
        <v>237</v>
      </c>
      <c r="N150" s="7"/>
      <c r="O150" s="8"/>
    </row>
    <row r="151" spans="1:15" x14ac:dyDescent="0.25">
      <c r="A151" s="3">
        <v>209</v>
      </c>
      <c r="B151" s="4" t="s">
        <v>361</v>
      </c>
      <c r="C151" s="147">
        <v>2</v>
      </c>
      <c r="D151" s="5">
        <v>9299</v>
      </c>
      <c r="E151" s="43" t="s">
        <v>237</v>
      </c>
      <c r="F151" s="43" t="s">
        <v>237</v>
      </c>
      <c r="G151" s="43" t="s">
        <v>237</v>
      </c>
      <c r="H151" s="43" t="s">
        <v>237</v>
      </c>
      <c r="I151" s="43" t="s">
        <v>237</v>
      </c>
      <c r="J151" s="43" t="s">
        <v>237</v>
      </c>
      <c r="K151" s="43" t="s">
        <v>237</v>
      </c>
      <c r="L151" s="43" t="s">
        <v>237</v>
      </c>
      <c r="M151" s="44" t="s">
        <v>237</v>
      </c>
      <c r="N151" s="7"/>
      <c r="O151" s="8"/>
    </row>
    <row r="152" spans="1:15" x14ac:dyDescent="0.25">
      <c r="A152" s="3">
        <v>210</v>
      </c>
      <c r="B152" s="4" t="s">
        <v>362</v>
      </c>
      <c r="C152" s="147">
        <v>2</v>
      </c>
      <c r="D152" s="5">
        <v>9220</v>
      </c>
      <c r="E152" s="43" t="s">
        <v>237</v>
      </c>
      <c r="F152" s="43" t="s">
        <v>237</v>
      </c>
      <c r="G152" s="43" t="s">
        <v>237</v>
      </c>
      <c r="H152" s="43" t="s">
        <v>237</v>
      </c>
      <c r="I152" s="43" t="s">
        <v>237</v>
      </c>
      <c r="J152" s="43" t="s">
        <v>237</v>
      </c>
      <c r="K152" s="43" t="s">
        <v>237</v>
      </c>
      <c r="L152" s="43" t="s">
        <v>237</v>
      </c>
      <c r="M152" s="44" t="s">
        <v>237</v>
      </c>
      <c r="N152" s="7"/>
      <c r="O152" s="8"/>
    </row>
    <row r="153" spans="1:15" x14ac:dyDescent="0.25">
      <c r="A153" s="3">
        <v>211</v>
      </c>
      <c r="B153" s="4" t="s">
        <v>363</v>
      </c>
      <c r="C153" s="147">
        <v>2</v>
      </c>
      <c r="D153" s="5">
        <v>9220</v>
      </c>
      <c r="E153" s="43" t="s">
        <v>237</v>
      </c>
      <c r="F153" s="43" t="s">
        <v>237</v>
      </c>
      <c r="G153" s="43" t="s">
        <v>237</v>
      </c>
      <c r="H153" s="43" t="s">
        <v>237</v>
      </c>
      <c r="I153" s="43" t="s">
        <v>237</v>
      </c>
      <c r="J153" s="43" t="s">
        <v>237</v>
      </c>
      <c r="K153" s="43" t="s">
        <v>237</v>
      </c>
      <c r="L153" s="43" t="s">
        <v>237</v>
      </c>
      <c r="M153" s="44" t="s">
        <v>237</v>
      </c>
      <c r="N153" s="7"/>
      <c r="O153" s="8"/>
    </row>
    <row r="154" spans="1:15" x14ac:dyDescent="0.25">
      <c r="A154" s="3">
        <v>212</v>
      </c>
      <c r="B154" s="4" t="s">
        <v>364</v>
      </c>
      <c r="C154" s="147">
        <v>2</v>
      </c>
      <c r="D154" s="5">
        <v>9299</v>
      </c>
      <c r="E154" s="43" t="s">
        <v>237</v>
      </c>
      <c r="F154" s="43" t="s">
        <v>237</v>
      </c>
      <c r="G154" s="43" t="s">
        <v>237</v>
      </c>
      <c r="H154" s="43" t="s">
        <v>237</v>
      </c>
      <c r="I154" s="43" t="s">
        <v>237</v>
      </c>
      <c r="J154" s="43" t="s">
        <v>237</v>
      </c>
      <c r="K154" s="43" t="s">
        <v>237</v>
      </c>
      <c r="L154" s="43" t="s">
        <v>237</v>
      </c>
      <c r="M154" s="44" t="s">
        <v>237</v>
      </c>
      <c r="N154" s="7"/>
      <c r="O154" s="8"/>
    </row>
    <row r="155" spans="1:15" x14ac:dyDescent="0.25">
      <c r="A155" s="3">
        <v>213</v>
      </c>
      <c r="B155" s="4" t="s">
        <v>365</v>
      </c>
      <c r="C155" s="147">
        <v>2</v>
      </c>
      <c r="D155" s="5">
        <v>9219</v>
      </c>
      <c r="E155" s="43" t="s">
        <v>237</v>
      </c>
      <c r="F155" s="43" t="s">
        <v>237</v>
      </c>
      <c r="G155" s="43" t="s">
        <v>237</v>
      </c>
      <c r="H155" s="43" t="s">
        <v>237</v>
      </c>
      <c r="I155" s="43" t="s">
        <v>237</v>
      </c>
      <c r="J155" s="43" t="s">
        <v>237</v>
      </c>
      <c r="K155" s="43" t="s">
        <v>237</v>
      </c>
      <c r="L155" s="43" t="s">
        <v>237</v>
      </c>
      <c r="M155" s="44" t="s">
        <v>237</v>
      </c>
      <c r="N155" s="7"/>
      <c r="O155" s="8"/>
    </row>
    <row r="156" spans="1:15" x14ac:dyDescent="0.25">
      <c r="A156" s="3">
        <v>214</v>
      </c>
      <c r="B156" s="4" t="s">
        <v>366</v>
      </c>
      <c r="C156" s="147">
        <v>2</v>
      </c>
      <c r="D156" s="5">
        <v>9250</v>
      </c>
      <c r="E156" s="43" t="s">
        <v>237</v>
      </c>
      <c r="F156" s="43" t="s">
        <v>237</v>
      </c>
      <c r="G156" s="43" t="s">
        <v>237</v>
      </c>
      <c r="H156" s="43" t="s">
        <v>237</v>
      </c>
      <c r="I156" s="43" t="s">
        <v>237</v>
      </c>
      <c r="J156" s="43" t="s">
        <v>237</v>
      </c>
      <c r="K156" s="43" t="s">
        <v>237</v>
      </c>
      <c r="L156" s="43" t="s">
        <v>237</v>
      </c>
      <c r="M156" s="44" t="s">
        <v>237</v>
      </c>
      <c r="N156" s="7"/>
      <c r="O156" s="8"/>
    </row>
    <row r="157" spans="1:15" x14ac:dyDescent="0.25">
      <c r="A157" s="3">
        <v>215</v>
      </c>
      <c r="B157" s="4" t="s">
        <v>367</v>
      </c>
      <c r="C157" s="147">
        <v>2</v>
      </c>
      <c r="D157" s="5">
        <v>9220</v>
      </c>
      <c r="E157" s="43" t="s">
        <v>237</v>
      </c>
      <c r="F157" s="43" t="s">
        <v>237</v>
      </c>
      <c r="G157" s="43" t="s">
        <v>237</v>
      </c>
      <c r="H157" s="43" t="s">
        <v>237</v>
      </c>
      <c r="I157" s="43" t="s">
        <v>237</v>
      </c>
      <c r="J157" s="43" t="s">
        <v>237</v>
      </c>
      <c r="K157" s="43" t="s">
        <v>237</v>
      </c>
      <c r="L157" s="43" t="s">
        <v>237</v>
      </c>
      <c r="M157" s="44" t="s">
        <v>237</v>
      </c>
      <c r="N157" s="7"/>
      <c r="O157" s="8"/>
    </row>
    <row r="158" spans="1:15" x14ac:dyDescent="0.25">
      <c r="A158" s="3">
        <v>216</v>
      </c>
      <c r="B158" s="4" t="s">
        <v>368</v>
      </c>
      <c r="C158" s="147">
        <v>2</v>
      </c>
      <c r="D158" s="5">
        <v>9232</v>
      </c>
      <c r="E158" s="43" t="s">
        <v>237</v>
      </c>
      <c r="F158" s="43" t="s">
        <v>237</v>
      </c>
      <c r="G158" s="43" t="s">
        <v>237</v>
      </c>
      <c r="H158" s="43" t="s">
        <v>237</v>
      </c>
      <c r="I158" s="43" t="s">
        <v>237</v>
      </c>
      <c r="J158" s="43" t="s">
        <v>237</v>
      </c>
      <c r="K158" s="43" t="s">
        <v>237</v>
      </c>
      <c r="L158" s="43" t="s">
        <v>237</v>
      </c>
      <c r="M158" s="44" t="s">
        <v>237</v>
      </c>
      <c r="N158" s="7"/>
      <c r="O158" s="8"/>
    </row>
    <row r="159" spans="1:15" x14ac:dyDescent="0.25">
      <c r="A159" s="3">
        <v>217</v>
      </c>
      <c r="B159" s="4" t="s">
        <v>369</v>
      </c>
      <c r="C159" s="147">
        <v>2</v>
      </c>
      <c r="D159" s="5">
        <v>9219</v>
      </c>
      <c r="E159" s="43" t="s">
        <v>237</v>
      </c>
      <c r="F159" s="43" t="s">
        <v>237</v>
      </c>
      <c r="G159" s="45" t="s">
        <v>458</v>
      </c>
      <c r="H159" s="43" t="s">
        <v>237</v>
      </c>
      <c r="I159" s="43" t="s">
        <v>237</v>
      </c>
      <c r="J159" s="43" t="s">
        <v>237</v>
      </c>
      <c r="K159" s="43" t="s">
        <v>237</v>
      </c>
      <c r="L159" s="43" t="s">
        <v>237</v>
      </c>
      <c r="M159" s="44" t="s">
        <v>237</v>
      </c>
      <c r="N159" s="7"/>
      <c r="O159" s="8"/>
    </row>
    <row r="160" spans="1:15" x14ac:dyDescent="0.25">
      <c r="A160" s="3">
        <v>221</v>
      </c>
      <c r="B160" s="4" t="s">
        <v>370</v>
      </c>
      <c r="C160" s="147">
        <v>2</v>
      </c>
      <c r="D160" s="5">
        <v>9213</v>
      </c>
      <c r="E160" s="43" t="s">
        <v>237</v>
      </c>
      <c r="F160" s="43" t="s">
        <v>237</v>
      </c>
      <c r="G160" s="9">
        <v>51</v>
      </c>
      <c r="H160" s="43" t="s">
        <v>237</v>
      </c>
      <c r="I160" s="43" t="s">
        <v>237</v>
      </c>
      <c r="J160" s="43" t="s">
        <v>237</v>
      </c>
      <c r="K160" s="43" t="s">
        <v>237</v>
      </c>
      <c r="L160" s="43" t="s">
        <v>237</v>
      </c>
      <c r="M160" s="44" t="s">
        <v>237</v>
      </c>
      <c r="N160" s="7"/>
      <c r="O160" s="8"/>
    </row>
    <row r="161" spans="1:15" x14ac:dyDescent="0.25">
      <c r="A161" s="3">
        <v>222</v>
      </c>
      <c r="B161" s="4" t="s">
        <v>371</v>
      </c>
      <c r="C161" s="147">
        <v>2</v>
      </c>
      <c r="D161" s="5">
        <v>9213</v>
      </c>
      <c r="E161" s="43" t="s">
        <v>237</v>
      </c>
      <c r="F161" s="43" t="s">
        <v>237</v>
      </c>
      <c r="G161" s="43" t="s">
        <v>237</v>
      </c>
      <c r="H161" s="9">
        <v>53</v>
      </c>
      <c r="I161" s="43" t="s">
        <v>237</v>
      </c>
      <c r="J161" s="43" t="s">
        <v>237</v>
      </c>
      <c r="K161" s="43" t="s">
        <v>237</v>
      </c>
      <c r="L161" s="43" t="s">
        <v>237</v>
      </c>
      <c r="M161" s="44" t="s">
        <v>237</v>
      </c>
      <c r="N161" s="7"/>
      <c r="O161" s="8"/>
    </row>
    <row r="162" spans="1:15" x14ac:dyDescent="0.25">
      <c r="A162" s="3">
        <v>223</v>
      </c>
      <c r="B162" s="4" t="s">
        <v>372</v>
      </c>
      <c r="C162" s="147">
        <v>2</v>
      </c>
      <c r="D162" s="5">
        <v>9213</v>
      </c>
      <c r="E162" s="43" t="s">
        <v>237</v>
      </c>
      <c r="F162" s="43" t="s">
        <v>237</v>
      </c>
      <c r="G162" s="43" t="s">
        <v>237</v>
      </c>
      <c r="H162" s="43" t="s">
        <v>237</v>
      </c>
      <c r="I162" s="9">
        <v>52</v>
      </c>
      <c r="J162" s="43" t="s">
        <v>237</v>
      </c>
      <c r="K162" s="43" t="s">
        <v>237</v>
      </c>
      <c r="L162" s="43" t="s">
        <v>237</v>
      </c>
      <c r="M162" s="44" t="s">
        <v>237</v>
      </c>
      <c r="N162" s="7"/>
      <c r="O162" s="8"/>
    </row>
    <row r="163" spans="1:15" x14ac:dyDescent="0.25">
      <c r="A163" s="3">
        <v>224</v>
      </c>
      <c r="B163" s="4" t="s">
        <v>373</v>
      </c>
      <c r="C163" s="147">
        <v>2</v>
      </c>
      <c r="D163" s="5">
        <v>9213</v>
      </c>
      <c r="E163" s="43" t="s">
        <v>237</v>
      </c>
      <c r="F163" s="43" t="s">
        <v>237</v>
      </c>
      <c r="G163" s="9">
        <v>51</v>
      </c>
      <c r="H163" s="43" t="s">
        <v>237</v>
      </c>
      <c r="I163" s="43" t="s">
        <v>237</v>
      </c>
      <c r="J163" s="43" t="s">
        <v>237</v>
      </c>
      <c r="K163" s="43" t="s">
        <v>237</v>
      </c>
      <c r="L163" s="43" t="s">
        <v>237</v>
      </c>
      <c r="M163" s="44" t="s">
        <v>237</v>
      </c>
      <c r="N163" s="7"/>
      <c r="O163" s="8"/>
    </row>
    <row r="164" spans="1:15" x14ac:dyDescent="0.25">
      <c r="A164" s="3">
        <v>225</v>
      </c>
      <c r="B164" s="4" t="s">
        <v>374</v>
      </c>
      <c r="C164" s="147">
        <v>1</v>
      </c>
      <c r="D164" s="5">
        <v>5504</v>
      </c>
      <c r="E164" s="43" t="s">
        <v>237</v>
      </c>
      <c r="F164" s="43" t="s">
        <v>237</v>
      </c>
      <c r="G164" s="43" t="s">
        <v>237</v>
      </c>
      <c r="H164" s="43" t="s">
        <v>237</v>
      </c>
      <c r="I164" s="43" t="s">
        <v>237</v>
      </c>
      <c r="J164" s="43" t="s">
        <v>237</v>
      </c>
      <c r="K164" s="43" t="s">
        <v>237</v>
      </c>
      <c r="L164" s="43" t="s">
        <v>237</v>
      </c>
      <c r="M164" s="44" t="s">
        <v>237</v>
      </c>
      <c r="N164" s="7"/>
      <c r="O164" s="8"/>
    </row>
    <row r="165" spans="1:15" x14ac:dyDescent="0.25">
      <c r="A165" s="3">
        <v>226</v>
      </c>
      <c r="B165" s="4" t="s">
        <v>375</v>
      </c>
      <c r="C165" s="147">
        <v>2</v>
      </c>
      <c r="D165" s="5">
        <v>9213</v>
      </c>
      <c r="E165" s="43" t="s">
        <v>237</v>
      </c>
      <c r="F165" s="43" t="s">
        <v>237</v>
      </c>
      <c r="G165" s="9">
        <v>54</v>
      </c>
      <c r="H165" s="43" t="s">
        <v>237</v>
      </c>
      <c r="I165" s="43" t="s">
        <v>237</v>
      </c>
      <c r="J165" s="43" t="s">
        <v>237</v>
      </c>
      <c r="K165" s="43" t="s">
        <v>237</v>
      </c>
      <c r="L165" s="43" t="s">
        <v>237</v>
      </c>
      <c r="M165" s="44" t="s">
        <v>237</v>
      </c>
      <c r="N165" s="7"/>
      <c r="O165" s="8"/>
    </row>
    <row r="166" spans="1:15" x14ac:dyDescent="0.25">
      <c r="A166" s="3">
        <v>240</v>
      </c>
      <c r="B166" s="4" t="s">
        <v>376</v>
      </c>
      <c r="C166" s="147">
        <v>1</v>
      </c>
      <c r="D166" s="5">
        <v>1000</v>
      </c>
      <c r="E166" s="6">
        <v>11</v>
      </c>
      <c r="F166" s="43" t="s">
        <v>237</v>
      </c>
      <c r="G166" s="6">
        <v>11</v>
      </c>
      <c r="H166" s="43" t="s">
        <v>237</v>
      </c>
      <c r="I166" s="43" t="s">
        <v>237</v>
      </c>
      <c r="J166" s="6">
        <v>11</v>
      </c>
      <c r="K166" s="43" t="s">
        <v>237</v>
      </c>
      <c r="L166" s="43" t="s">
        <v>237</v>
      </c>
      <c r="M166" s="44" t="s">
        <v>237</v>
      </c>
      <c r="N166" s="7"/>
      <c r="O166" s="8"/>
    </row>
    <row r="167" spans="1:15" x14ac:dyDescent="0.25">
      <c r="A167" s="3">
        <v>241</v>
      </c>
      <c r="B167" s="4" t="s">
        <v>377</v>
      </c>
      <c r="C167" s="147">
        <v>1</v>
      </c>
      <c r="D167" s="5">
        <v>1000</v>
      </c>
      <c r="E167" s="6">
        <v>11</v>
      </c>
      <c r="F167" s="43" t="s">
        <v>237</v>
      </c>
      <c r="G167" s="6">
        <v>11</v>
      </c>
      <c r="H167" s="43" t="s">
        <v>237</v>
      </c>
      <c r="I167" s="43" t="s">
        <v>237</v>
      </c>
      <c r="J167" s="6">
        <v>11</v>
      </c>
      <c r="K167" s="43" t="s">
        <v>237</v>
      </c>
      <c r="L167" s="43" t="s">
        <v>237</v>
      </c>
      <c r="M167" s="44" t="s">
        <v>237</v>
      </c>
      <c r="N167" s="7"/>
      <c r="O167" s="8"/>
    </row>
    <row r="168" spans="1:15" x14ac:dyDescent="0.25">
      <c r="A168" s="3">
        <v>400</v>
      </c>
      <c r="B168" s="4" t="s">
        <v>378</v>
      </c>
      <c r="C168" s="147">
        <v>1</v>
      </c>
      <c r="D168" s="5">
        <v>3508</v>
      </c>
      <c r="E168" s="6">
        <v>11</v>
      </c>
      <c r="F168" s="43" t="s">
        <v>237</v>
      </c>
      <c r="G168" s="6">
        <v>11</v>
      </c>
      <c r="H168" s="43" t="s">
        <v>237</v>
      </c>
      <c r="I168" s="43" t="s">
        <v>237</v>
      </c>
      <c r="J168" s="9" t="s">
        <v>379</v>
      </c>
      <c r="K168" s="43" t="s">
        <v>237</v>
      </c>
      <c r="L168" s="43" t="s">
        <v>237</v>
      </c>
      <c r="M168" s="60" t="s">
        <v>13</v>
      </c>
      <c r="N168" s="7"/>
      <c r="O168" s="8"/>
    </row>
    <row r="169" spans="1:15" x14ac:dyDescent="0.25">
      <c r="A169" s="3">
        <v>410</v>
      </c>
      <c r="B169" s="4" t="s">
        <v>380</v>
      </c>
      <c r="C169" s="147">
        <v>1</v>
      </c>
      <c r="D169" s="5">
        <v>3501</v>
      </c>
      <c r="E169" s="6">
        <v>11</v>
      </c>
      <c r="F169" s="43" t="s">
        <v>237</v>
      </c>
      <c r="G169" s="6">
        <v>11</v>
      </c>
      <c r="H169" s="43" t="s">
        <v>237</v>
      </c>
      <c r="I169" s="43" t="s">
        <v>237</v>
      </c>
      <c r="J169" s="43" t="s">
        <v>237</v>
      </c>
      <c r="K169" s="43" t="s">
        <v>237</v>
      </c>
      <c r="L169" s="43" t="s">
        <v>237</v>
      </c>
      <c r="M169" s="60" t="s">
        <v>13</v>
      </c>
      <c r="N169" s="7"/>
      <c r="O169" s="8"/>
    </row>
    <row r="170" spans="1:15" x14ac:dyDescent="0.25">
      <c r="A170" s="3">
        <v>411</v>
      </c>
      <c r="B170" s="4" t="s">
        <v>381</v>
      </c>
      <c r="C170" s="147">
        <v>1</v>
      </c>
      <c r="D170" s="5">
        <v>3501</v>
      </c>
      <c r="E170" s="6">
        <v>11</v>
      </c>
      <c r="F170" s="43" t="s">
        <v>237</v>
      </c>
      <c r="G170" s="6">
        <v>11</v>
      </c>
      <c r="H170" s="43" t="s">
        <v>237</v>
      </c>
      <c r="I170" s="43" t="s">
        <v>237</v>
      </c>
      <c r="J170" s="43" t="s">
        <v>237</v>
      </c>
      <c r="K170" s="43" t="s">
        <v>237</v>
      </c>
      <c r="L170" s="43" t="s">
        <v>237</v>
      </c>
      <c r="M170" s="60" t="s">
        <v>13</v>
      </c>
      <c r="N170" s="7"/>
      <c r="O170" s="8"/>
    </row>
    <row r="171" spans="1:15" x14ac:dyDescent="0.25">
      <c r="A171" s="3">
        <v>480</v>
      </c>
      <c r="B171" s="4" t="s">
        <v>382</v>
      </c>
      <c r="C171" s="147">
        <v>3</v>
      </c>
      <c r="D171" s="5">
        <v>5001</v>
      </c>
      <c r="E171" s="43" t="s">
        <v>237</v>
      </c>
      <c r="F171" s="43" t="s">
        <v>237</v>
      </c>
      <c r="G171" s="43" t="s">
        <v>237</v>
      </c>
      <c r="H171" s="43" t="s">
        <v>237</v>
      </c>
      <c r="I171" s="43" t="s">
        <v>237</v>
      </c>
      <c r="J171" s="6">
        <v>11</v>
      </c>
      <c r="K171" s="43" t="s">
        <v>237</v>
      </c>
      <c r="L171" s="43" t="s">
        <v>237</v>
      </c>
      <c r="M171" s="44" t="s">
        <v>237</v>
      </c>
      <c r="N171" s="7"/>
      <c r="O171" s="8"/>
    </row>
    <row r="172" spans="1:15" x14ac:dyDescent="0.25">
      <c r="A172" s="3">
        <v>481</v>
      </c>
      <c r="B172" s="4" t="s">
        <v>383</v>
      </c>
      <c r="C172" s="147">
        <v>3</v>
      </c>
      <c r="D172" s="5">
        <v>5001</v>
      </c>
      <c r="E172" s="43" t="s">
        <v>237</v>
      </c>
      <c r="F172" s="43" t="s">
        <v>237</v>
      </c>
      <c r="G172" s="43" t="s">
        <v>237</v>
      </c>
      <c r="H172" s="43" t="s">
        <v>237</v>
      </c>
      <c r="I172" s="43" t="s">
        <v>237</v>
      </c>
      <c r="J172" s="6">
        <v>11</v>
      </c>
      <c r="K172" s="43" t="s">
        <v>237</v>
      </c>
      <c r="L172" s="43" t="s">
        <v>237</v>
      </c>
      <c r="M172" s="44" t="s">
        <v>237</v>
      </c>
      <c r="N172" s="7"/>
      <c r="O172" s="8"/>
    </row>
    <row r="173" spans="1:15" x14ac:dyDescent="0.25">
      <c r="A173" s="3">
        <v>482</v>
      </c>
      <c r="B173" s="4" t="s">
        <v>384</v>
      </c>
      <c r="C173" s="147">
        <v>3</v>
      </c>
      <c r="D173" s="5">
        <v>5001</v>
      </c>
      <c r="E173" s="43" t="s">
        <v>237</v>
      </c>
      <c r="F173" s="43" t="s">
        <v>237</v>
      </c>
      <c r="G173" s="43" t="s">
        <v>237</v>
      </c>
      <c r="H173" s="43" t="s">
        <v>237</v>
      </c>
      <c r="I173" s="43" t="s">
        <v>237</v>
      </c>
      <c r="J173" s="6">
        <v>11</v>
      </c>
      <c r="K173" s="43" t="s">
        <v>237</v>
      </c>
      <c r="L173" s="43" t="s">
        <v>237</v>
      </c>
      <c r="M173" s="44" t="s">
        <v>237</v>
      </c>
      <c r="N173" s="7"/>
      <c r="O173" s="8"/>
    </row>
    <row r="174" spans="1:15" x14ac:dyDescent="0.25">
      <c r="A174" s="3">
        <v>483</v>
      </c>
      <c r="B174" s="4" t="s">
        <v>385</v>
      </c>
      <c r="C174" s="147">
        <v>3</v>
      </c>
      <c r="D174" s="5">
        <v>5001</v>
      </c>
      <c r="E174" s="43" t="s">
        <v>237</v>
      </c>
      <c r="F174" s="43" t="s">
        <v>237</v>
      </c>
      <c r="G174" s="43" t="s">
        <v>237</v>
      </c>
      <c r="H174" s="43" t="s">
        <v>237</v>
      </c>
      <c r="I174" s="43" t="s">
        <v>237</v>
      </c>
      <c r="J174" s="6">
        <v>11</v>
      </c>
      <c r="K174" s="43" t="s">
        <v>237</v>
      </c>
      <c r="L174" s="43" t="s">
        <v>237</v>
      </c>
      <c r="M174" s="44" t="s">
        <v>237</v>
      </c>
      <c r="N174" s="7"/>
      <c r="O174" s="8"/>
    </row>
    <row r="175" spans="1:15" x14ac:dyDescent="0.25">
      <c r="A175" s="3">
        <v>500</v>
      </c>
      <c r="B175" s="4" t="s">
        <v>10</v>
      </c>
      <c r="C175" s="147">
        <v>1</v>
      </c>
      <c r="D175" s="5">
        <v>1409</v>
      </c>
      <c r="E175" s="9">
        <v>51</v>
      </c>
      <c r="F175" s="43" t="s">
        <v>237</v>
      </c>
      <c r="G175" s="9">
        <v>79</v>
      </c>
      <c r="H175" s="43" t="s">
        <v>237</v>
      </c>
      <c r="I175" s="43" t="s">
        <v>237</v>
      </c>
      <c r="J175" s="43" t="s">
        <v>237</v>
      </c>
      <c r="K175" s="43" t="s">
        <v>237</v>
      </c>
      <c r="L175" s="43" t="s">
        <v>237</v>
      </c>
      <c r="M175" s="44" t="s">
        <v>237</v>
      </c>
      <c r="N175" s="7"/>
      <c r="O175" s="8"/>
    </row>
    <row r="176" spans="1:15" x14ac:dyDescent="0.25">
      <c r="A176" s="3">
        <v>501</v>
      </c>
      <c r="B176" s="4" t="s">
        <v>386</v>
      </c>
      <c r="C176" s="147">
        <v>1</v>
      </c>
      <c r="D176" s="5">
        <v>6129</v>
      </c>
      <c r="E176" s="43" t="s">
        <v>237</v>
      </c>
      <c r="F176" s="43" t="s">
        <v>237</v>
      </c>
      <c r="G176" s="43" t="s">
        <v>237</v>
      </c>
      <c r="H176" s="43" t="s">
        <v>237</v>
      </c>
      <c r="I176" s="43" t="s">
        <v>237</v>
      </c>
      <c r="J176" s="43" t="s">
        <v>237</v>
      </c>
      <c r="K176" s="43" t="s">
        <v>237</v>
      </c>
      <c r="L176" s="43" t="s">
        <v>237</v>
      </c>
      <c r="M176" s="44" t="s">
        <v>237</v>
      </c>
      <c r="N176" s="7"/>
      <c r="O176" s="8"/>
    </row>
    <row r="177" spans="1:15" x14ac:dyDescent="0.25">
      <c r="A177" s="3">
        <v>505</v>
      </c>
      <c r="B177" s="4" t="s">
        <v>387</v>
      </c>
      <c r="C177" s="147">
        <v>1</v>
      </c>
      <c r="D177" s="5">
        <v>1002</v>
      </c>
      <c r="E177" s="6">
        <v>11</v>
      </c>
      <c r="F177" s="43" t="s">
        <v>237</v>
      </c>
      <c r="G177" s="6">
        <v>11</v>
      </c>
      <c r="H177" s="43" t="s">
        <v>237</v>
      </c>
      <c r="I177" s="43" t="s">
        <v>237</v>
      </c>
      <c r="J177" s="6">
        <v>11</v>
      </c>
      <c r="K177" s="43" t="s">
        <v>237</v>
      </c>
      <c r="L177" s="43" t="s">
        <v>237</v>
      </c>
      <c r="M177" s="44" t="s">
        <v>237</v>
      </c>
      <c r="N177" s="7"/>
      <c r="O177" s="8"/>
    </row>
    <row r="178" spans="1:15" x14ac:dyDescent="0.25">
      <c r="A178" s="3">
        <v>506</v>
      </c>
      <c r="B178" s="4" t="s">
        <v>388</v>
      </c>
      <c r="C178" s="147">
        <v>1</v>
      </c>
      <c r="D178" s="5">
        <v>1002</v>
      </c>
      <c r="E178" s="6">
        <v>11</v>
      </c>
      <c r="F178" s="43" t="s">
        <v>237</v>
      </c>
      <c r="G178" s="6">
        <v>11</v>
      </c>
      <c r="H178" s="43" t="s">
        <v>237</v>
      </c>
      <c r="I178" s="43" t="s">
        <v>237</v>
      </c>
      <c r="J178" s="6">
        <v>11</v>
      </c>
      <c r="K178" s="43" t="s">
        <v>237</v>
      </c>
      <c r="L178" s="43" t="s">
        <v>237</v>
      </c>
      <c r="M178" s="44" t="s">
        <v>237</v>
      </c>
      <c r="N178" s="7"/>
      <c r="O178" s="8"/>
    </row>
    <row r="179" spans="1:15" x14ac:dyDescent="0.25">
      <c r="A179" s="3">
        <v>507</v>
      </c>
      <c r="B179" s="4" t="s">
        <v>389</v>
      </c>
      <c r="C179" s="147">
        <v>1</v>
      </c>
      <c r="D179" s="5">
        <v>1002</v>
      </c>
      <c r="E179" s="6">
        <v>11</v>
      </c>
      <c r="F179" s="43" t="s">
        <v>237</v>
      </c>
      <c r="G179" s="6">
        <v>11</v>
      </c>
      <c r="H179" s="43" t="s">
        <v>237</v>
      </c>
      <c r="I179" s="43" t="s">
        <v>237</v>
      </c>
      <c r="J179" s="6">
        <v>11</v>
      </c>
      <c r="K179" s="43" t="s">
        <v>237</v>
      </c>
      <c r="L179" s="43" t="s">
        <v>237</v>
      </c>
      <c r="M179" s="44" t="s">
        <v>237</v>
      </c>
      <c r="N179" s="7"/>
      <c r="O179" s="8"/>
    </row>
    <row r="180" spans="1:15" x14ac:dyDescent="0.25">
      <c r="A180" s="3">
        <v>510</v>
      </c>
      <c r="B180" s="4" t="s">
        <v>390</v>
      </c>
      <c r="C180" s="147">
        <v>1</v>
      </c>
      <c r="D180" s="5">
        <v>2999</v>
      </c>
      <c r="E180" s="6">
        <v>11</v>
      </c>
      <c r="F180" s="43" t="s">
        <v>237</v>
      </c>
      <c r="G180" s="6">
        <v>11</v>
      </c>
      <c r="H180" s="43" t="s">
        <v>237</v>
      </c>
      <c r="I180" s="43" t="s">
        <v>237</v>
      </c>
      <c r="J180" s="6">
        <v>11</v>
      </c>
      <c r="K180" s="43" t="s">
        <v>237</v>
      </c>
      <c r="L180" s="43" t="s">
        <v>237</v>
      </c>
      <c r="M180" s="44" t="s">
        <v>237</v>
      </c>
      <c r="N180" s="7"/>
      <c r="O180" s="8"/>
    </row>
    <row r="181" spans="1:15" x14ac:dyDescent="0.25">
      <c r="A181" s="3">
        <v>511</v>
      </c>
      <c r="B181" s="4" t="s">
        <v>391</v>
      </c>
      <c r="C181" s="147">
        <v>1</v>
      </c>
      <c r="D181" s="5">
        <v>9299</v>
      </c>
      <c r="E181" s="43" t="s">
        <v>237</v>
      </c>
      <c r="F181" s="43" t="s">
        <v>237</v>
      </c>
      <c r="G181" s="43" t="s">
        <v>237</v>
      </c>
      <c r="H181" s="43" t="s">
        <v>237</v>
      </c>
      <c r="I181" s="43" t="s">
        <v>237</v>
      </c>
      <c r="J181" s="43" t="s">
        <v>237</v>
      </c>
      <c r="K181" s="43" t="s">
        <v>237</v>
      </c>
      <c r="L181" s="43" t="s">
        <v>237</v>
      </c>
      <c r="M181" s="44" t="s">
        <v>237</v>
      </c>
      <c r="N181" s="7"/>
      <c r="O181" s="8"/>
    </row>
    <row r="182" spans="1:15" x14ac:dyDescent="0.25">
      <c r="A182" s="3">
        <v>512</v>
      </c>
      <c r="B182" s="4" t="s">
        <v>392</v>
      </c>
      <c r="C182" s="147">
        <v>2</v>
      </c>
      <c r="D182" s="5">
        <v>9299</v>
      </c>
      <c r="E182" s="43" t="s">
        <v>237</v>
      </c>
      <c r="F182" s="43" t="s">
        <v>237</v>
      </c>
      <c r="G182" s="43" t="s">
        <v>237</v>
      </c>
      <c r="H182" s="43" t="s">
        <v>237</v>
      </c>
      <c r="I182" s="43" t="s">
        <v>237</v>
      </c>
      <c r="J182" s="43" t="s">
        <v>237</v>
      </c>
      <c r="K182" s="43" t="s">
        <v>237</v>
      </c>
      <c r="L182" s="43" t="s">
        <v>237</v>
      </c>
      <c r="M182" s="44" t="s">
        <v>237</v>
      </c>
      <c r="N182" s="7"/>
      <c r="O182" s="8"/>
    </row>
    <row r="183" spans="1:15" x14ac:dyDescent="0.25">
      <c r="A183" s="3">
        <v>513</v>
      </c>
      <c r="B183" s="4" t="s">
        <v>393</v>
      </c>
      <c r="C183" s="147">
        <v>2</v>
      </c>
      <c r="D183" s="5">
        <v>9299</v>
      </c>
      <c r="E183" s="43" t="s">
        <v>237</v>
      </c>
      <c r="F183" s="43" t="s">
        <v>237</v>
      </c>
      <c r="G183" s="43" t="s">
        <v>237</v>
      </c>
      <c r="H183" s="43" t="s">
        <v>237</v>
      </c>
      <c r="I183" s="43" t="s">
        <v>237</v>
      </c>
      <c r="J183" s="43" t="s">
        <v>237</v>
      </c>
      <c r="K183" s="43" t="s">
        <v>237</v>
      </c>
      <c r="L183" s="43" t="s">
        <v>237</v>
      </c>
      <c r="M183" s="44" t="s">
        <v>237</v>
      </c>
      <c r="N183" s="7"/>
      <c r="O183" s="8"/>
    </row>
    <row r="184" spans="1:15" x14ac:dyDescent="0.25">
      <c r="A184" s="3">
        <v>514</v>
      </c>
      <c r="B184" s="4" t="s">
        <v>394</v>
      </c>
      <c r="C184" s="147">
        <v>1</v>
      </c>
      <c r="D184" s="5">
        <v>1020</v>
      </c>
      <c r="E184" s="6">
        <v>11</v>
      </c>
      <c r="F184" s="43" t="s">
        <v>237</v>
      </c>
      <c r="G184" s="43" t="s">
        <v>237</v>
      </c>
      <c r="H184" s="6">
        <v>11</v>
      </c>
      <c r="I184" s="43" t="s">
        <v>237</v>
      </c>
      <c r="J184" s="6">
        <v>11</v>
      </c>
      <c r="K184" s="43" t="s">
        <v>237</v>
      </c>
      <c r="L184" s="43" t="s">
        <v>237</v>
      </c>
      <c r="M184" s="44" t="s">
        <v>237</v>
      </c>
      <c r="N184" s="7"/>
      <c r="O184" s="8"/>
    </row>
    <row r="185" spans="1:15" x14ac:dyDescent="0.25">
      <c r="A185" s="3">
        <v>515</v>
      </c>
      <c r="B185" s="4" t="s">
        <v>313</v>
      </c>
      <c r="C185" s="147">
        <v>2</v>
      </c>
      <c r="D185" s="5">
        <v>9200</v>
      </c>
      <c r="E185" s="43" t="s">
        <v>237</v>
      </c>
      <c r="F185" s="43" t="s">
        <v>237</v>
      </c>
      <c r="G185" s="43" t="s">
        <v>237</v>
      </c>
      <c r="H185" s="43" t="s">
        <v>237</v>
      </c>
      <c r="I185" s="43" t="s">
        <v>237</v>
      </c>
      <c r="J185" s="43" t="s">
        <v>237</v>
      </c>
      <c r="K185" s="43" t="s">
        <v>237</v>
      </c>
      <c r="L185" s="43" t="s">
        <v>237</v>
      </c>
      <c r="M185" s="44" t="s">
        <v>237</v>
      </c>
      <c r="N185" s="7"/>
      <c r="O185" s="8"/>
    </row>
    <row r="186" spans="1:15" x14ac:dyDescent="0.25">
      <c r="A186" s="3">
        <v>516</v>
      </c>
      <c r="B186" s="4" t="s">
        <v>395</v>
      </c>
      <c r="C186" s="147">
        <v>2</v>
      </c>
      <c r="D186" s="5">
        <v>9200</v>
      </c>
      <c r="E186" s="43" t="s">
        <v>237</v>
      </c>
      <c r="F186" s="43" t="s">
        <v>237</v>
      </c>
      <c r="G186" s="6">
        <v>11</v>
      </c>
      <c r="H186" s="43" t="s">
        <v>237</v>
      </c>
      <c r="I186" s="43" t="s">
        <v>237</v>
      </c>
      <c r="J186" s="43" t="s">
        <v>237</v>
      </c>
      <c r="K186" s="43" t="s">
        <v>237</v>
      </c>
      <c r="L186" s="43" t="s">
        <v>237</v>
      </c>
      <c r="M186" s="44" t="s">
        <v>237</v>
      </c>
      <c r="N186" s="7"/>
      <c r="O186" s="8"/>
    </row>
    <row r="187" spans="1:15" x14ac:dyDescent="0.25">
      <c r="A187" s="3">
        <v>520</v>
      </c>
      <c r="B187" s="4" t="s">
        <v>32</v>
      </c>
      <c r="C187" s="147">
        <v>2</v>
      </c>
      <c r="D187" s="5">
        <v>9201</v>
      </c>
      <c r="E187" s="9">
        <v>31</v>
      </c>
      <c r="F187" s="43" t="s">
        <v>237</v>
      </c>
      <c r="G187" s="9">
        <v>41</v>
      </c>
      <c r="H187" s="43" t="s">
        <v>237</v>
      </c>
      <c r="I187" s="43" t="s">
        <v>237</v>
      </c>
      <c r="J187" s="43" t="s">
        <v>237</v>
      </c>
      <c r="K187" s="43" t="s">
        <v>237</v>
      </c>
      <c r="L187" s="43" t="s">
        <v>237</v>
      </c>
      <c r="M187" s="44" t="s">
        <v>237</v>
      </c>
      <c r="N187" s="7"/>
      <c r="O187" s="8"/>
    </row>
    <row r="188" spans="1:15" x14ac:dyDescent="0.25">
      <c r="A188" s="3">
        <v>521</v>
      </c>
      <c r="B188" s="4" t="s">
        <v>396</v>
      </c>
      <c r="C188" s="147">
        <v>2</v>
      </c>
      <c r="D188" s="5">
        <v>9201</v>
      </c>
      <c r="E188" s="43" t="s">
        <v>237</v>
      </c>
      <c r="F188" s="43" t="s">
        <v>237</v>
      </c>
      <c r="G188" s="9">
        <v>41</v>
      </c>
      <c r="H188" s="43" t="s">
        <v>237</v>
      </c>
      <c r="I188" s="43" t="s">
        <v>237</v>
      </c>
      <c r="J188" s="43" t="s">
        <v>237</v>
      </c>
      <c r="K188" s="43" t="s">
        <v>237</v>
      </c>
      <c r="L188" s="43" t="s">
        <v>237</v>
      </c>
      <c r="M188" s="44" t="s">
        <v>237</v>
      </c>
      <c r="N188" s="7"/>
      <c r="O188" s="8"/>
    </row>
    <row r="189" spans="1:15" x14ac:dyDescent="0.25">
      <c r="A189" s="3">
        <v>522</v>
      </c>
      <c r="B189" s="4" t="s">
        <v>397</v>
      </c>
      <c r="C189" s="147">
        <v>2</v>
      </c>
      <c r="D189" s="5">
        <v>9201</v>
      </c>
      <c r="E189" s="43" t="s">
        <v>237</v>
      </c>
      <c r="F189" s="43" t="s">
        <v>237</v>
      </c>
      <c r="G189" s="43" t="s">
        <v>237</v>
      </c>
      <c r="H189" s="43" t="s">
        <v>237</v>
      </c>
      <c r="I189" s="43" t="s">
        <v>237</v>
      </c>
      <c r="J189" s="43" t="s">
        <v>237</v>
      </c>
      <c r="K189" s="43" t="s">
        <v>237</v>
      </c>
      <c r="L189" s="43" t="s">
        <v>237</v>
      </c>
      <c r="M189" s="44" t="s">
        <v>237</v>
      </c>
      <c r="N189" s="7"/>
      <c r="O189" s="8"/>
    </row>
    <row r="190" spans="1:15" x14ac:dyDescent="0.25">
      <c r="A190" s="3">
        <v>523</v>
      </c>
      <c r="B190" s="4" t="s">
        <v>936</v>
      </c>
      <c r="C190" s="147">
        <v>2</v>
      </c>
      <c r="D190" s="5">
        <v>9205</v>
      </c>
      <c r="E190" s="43" t="s">
        <v>237</v>
      </c>
      <c r="F190" s="43" t="s">
        <v>237</v>
      </c>
      <c r="G190" s="9">
        <v>43</v>
      </c>
      <c r="H190" s="43" t="s">
        <v>237</v>
      </c>
      <c r="I190" s="43" t="s">
        <v>237</v>
      </c>
      <c r="J190" s="43" t="s">
        <v>237</v>
      </c>
      <c r="K190" s="43" t="s">
        <v>237</v>
      </c>
      <c r="L190" s="43" t="s">
        <v>237</v>
      </c>
      <c r="M190" s="44" t="s">
        <v>237</v>
      </c>
      <c r="N190" s="7"/>
      <c r="O190" s="8"/>
    </row>
    <row r="191" spans="1:15" x14ac:dyDescent="0.25">
      <c r="A191" s="3">
        <v>525</v>
      </c>
      <c r="B191" s="4" t="s">
        <v>33</v>
      </c>
      <c r="C191" s="147">
        <v>2</v>
      </c>
      <c r="D191" s="5">
        <v>9201</v>
      </c>
      <c r="E191" s="9">
        <v>32</v>
      </c>
      <c r="F191" s="43" t="s">
        <v>237</v>
      </c>
      <c r="G191" s="9">
        <v>42</v>
      </c>
      <c r="H191" s="43" t="s">
        <v>237</v>
      </c>
      <c r="I191" s="43" t="s">
        <v>237</v>
      </c>
      <c r="J191" s="43" t="s">
        <v>237</v>
      </c>
      <c r="K191" s="43" t="s">
        <v>237</v>
      </c>
      <c r="L191" s="43" t="s">
        <v>237</v>
      </c>
      <c r="M191" s="44" t="s">
        <v>237</v>
      </c>
      <c r="N191" s="7"/>
      <c r="O191" s="8"/>
    </row>
    <row r="192" spans="1:15" x14ac:dyDescent="0.25">
      <c r="A192" s="3">
        <v>526</v>
      </c>
      <c r="B192" s="4" t="s">
        <v>398</v>
      </c>
      <c r="C192" s="147">
        <v>2</v>
      </c>
      <c r="D192" s="5">
        <v>9201</v>
      </c>
      <c r="E192" s="9">
        <v>31</v>
      </c>
      <c r="F192" s="43" t="s">
        <v>237</v>
      </c>
      <c r="G192" s="9">
        <v>41</v>
      </c>
      <c r="H192" s="43" t="s">
        <v>237</v>
      </c>
      <c r="I192" s="43" t="s">
        <v>237</v>
      </c>
      <c r="J192" s="43" t="s">
        <v>237</v>
      </c>
      <c r="K192" s="43" t="s">
        <v>237</v>
      </c>
      <c r="L192" s="43" t="s">
        <v>237</v>
      </c>
      <c r="M192" s="44" t="s">
        <v>237</v>
      </c>
      <c r="N192" s="7"/>
      <c r="O192" s="8"/>
    </row>
    <row r="193" spans="1:15" x14ac:dyDescent="0.25">
      <c r="A193" s="3">
        <v>530</v>
      </c>
      <c r="B193" s="4" t="s">
        <v>34</v>
      </c>
      <c r="C193" s="147">
        <v>2</v>
      </c>
      <c r="D193" s="5">
        <v>9203</v>
      </c>
      <c r="E193" s="43" t="s">
        <v>237</v>
      </c>
      <c r="F193" s="43" t="s">
        <v>237</v>
      </c>
      <c r="G193" s="9">
        <v>31</v>
      </c>
      <c r="H193" s="43" t="s">
        <v>237</v>
      </c>
      <c r="I193" s="43" t="s">
        <v>237</v>
      </c>
      <c r="J193" s="43" t="s">
        <v>237</v>
      </c>
      <c r="K193" s="43" t="s">
        <v>237</v>
      </c>
      <c r="L193" s="43" t="s">
        <v>237</v>
      </c>
      <c r="M193" s="44" t="s">
        <v>237</v>
      </c>
      <c r="N193" s="7"/>
      <c r="O193" s="8"/>
    </row>
    <row r="194" spans="1:15" x14ac:dyDescent="0.25">
      <c r="A194" s="3">
        <v>531</v>
      </c>
      <c r="B194" s="4" t="s">
        <v>399</v>
      </c>
      <c r="C194" s="147">
        <v>2</v>
      </c>
      <c r="D194" s="5">
        <v>9203</v>
      </c>
      <c r="E194" s="43" t="s">
        <v>237</v>
      </c>
      <c r="F194" s="43" t="s">
        <v>237</v>
      </c>
      <c r="G194" s="43" t="s">
        <v>237</v>
      </c>
      <c r="H194" s="9">
        <v>33</v>
      </c>
      <c r="I194" s="43" t="s">
        <v>237</v>
      </c>
      <c r="J194" s="43" t="s">
        <v>237</v>
      </c>
      <c r="K194" s="43" t="s">
        <v>237</v>
      </c>
      <c r="L194" s="43" t="s">
        <v>237</v>
      </c>
      <c r="M194" s="44" t="s">
        <v>237</v>
      </c>
      <c r="N194" s="7"/>
      <c r="O194" s="8"/>
    </row>
    <row r="195" spans="1:15" x14ac:dyDescent="0.25">
      <c r="A195" s="3">
        <v>532</v>
      </c>
      <c r="B195" s="4" t="s">
        <v>400</v>
      </c>
      <c r="C195" s="147">
        <v>2</v>
      </c>
      <c r="D195" s="5">
        <v>9203</v>
      </c>
      <c r="E195" s="43" t="s">
        <v>237</v>
      </c>
      <c r="F195" s="43" t="s">
        <v>237</v>
      </c>
      <c r="G195" s="43" t="s">
        <v>237</v>
      </c>
      <c r="H195" s="43" t="s">
        <v>237</v>
      </c>
      <c r="I195" s="9">
        <v>32</v>
      </c>
      <c r="J195" s="43" t="s">
        <v>237</v>
      </c>
      <c r="K195" s="43" t="s">
        <v>237</v>
      </c>
      <c r="L195" s="43" t="s">
        <v>237</v>
      </c>
      <c r="M195" s="44" t="s">
        <v>237</v>
      </c>
      <c r="N195" s="7"/>
      <c r="O195" s="8"/>
    </row>
    <row r="196" spans="1:15" x14ac:dyDescent="0.25">
      <c r="A196" s="3">
        <v>533</v>
      </c>
      <c r="B196" s="4" t="s">
        <v>401</v>
      </c>
      <c r="C196" s="147">
        <v>2</v>
      </c>
      <c r="D196" s="5">
        <v>9203</v>
      </c>
      <c r="E196" s="43" t="s">
        <v>237</v>
      </c>
      <c r="F196" s="43" t="s">
        <v>237</v>
      </c>
      <c r="G196" s="9">
        <v>34</v>
      </c>
      <c r="H196" s="43" t="s">
        <v>237</v>
      </c>
      <c r="I196" s="43" t="s">
        <v>237</v>
      </c>
      <c r="J196" s="43" t="s">
        <v>237</v>
      </c>
      <c r="K196" s="43" t="s">
        <v>237</v>
      </c>
      <c r="L196" s="43" t="s">
        <v>237</v>
      </c>
      <c r="M196" s="44" t="s">
        <v>237</v>
      </c>
      <c r="N196" s="7"/>
      <c r="O196" s="8"/>
    </row>
    <row r="197" spans="1:15" x14ac:dyDescent="0.25">
      <c r="A197" s="3">
        <v>540</v>
      </c>
      <c r="B197" s="4" t="s">
        <v>402</v>
      </c>
      <c r="C197" s="147">
        <v>1</v>
      </c>
      <c r="D197" s="5">
        <v>6000</v>
      </c>
      <c r="E197" s="43" t="s">
        <v>237</v>
      </c>
      <c r="F197" s="43" t="s">
        <v>237</v>
      </c>
      <c r="G197" s="43" t="s">
        <v>237</v>
      </c>
      <c r="H197" s="43" t="s">
        <v>237</v>
      </c>
      <c r="I197" s="43" t="s">
        <v>237</v>
      </c>
      <c r="J197" s="43" t="s">
        <v>237</v>
      </c>
      <c r="K197" s="43" t="s">
        <v>237</v>
      </c>
      <c r="L197" s="43" t="s">
        <v>237</v>
      </c>
      <c r="M197" s="44" t="s">
        <v>237</v>
      </c>
      <c r="N197" s="7"/>
      <c r="O197" s="8"/>
    </row>
    <row r="198" spans="1:15" x14ac:dyDescent="0.25">
      <c r="A198" s="3">
        <v>545</v>
      </c>
      <c r="B198" s="4" t="s">
        <v>403</v>
      </c>
      <c r="C198" s="147">
        <v>1</v>
      </c>
      <c r="D198" s="5">
        <v>6101</v>
      </c>
      <c r="E198" s="43" t="s">
        <v>237</v>
      </c>
      <c r="F198" s="43" t="s">
        <v>237</v>
      </c>
      <c r="G198" s="43" t="s">
        <v>237</v>
      </c>
      <c r="H198" s="43" t="s">
        <v>237</v>
      </c>
      <c r="I198" s="43" t="s">
        <v>237</v>
      </c>
      <c r="J198" s="43" t="s">
        <v>237</v>
      </c>
      <c r="K198" s="43" t="s">
        <v>237</v>
      </c>
      <c r="L198" s="43" t="s">
        <v>237</v>
      </c>
      <c r="M198" s="44" t="s">
        <v>237</v>
      </c>
      <c r="N198" s="7"/>
      <c r="O198" s="8"/>
    </row>
    <row r="199" spans="1:15" x14ac:dyDescent="0.25">
      <c r="A199" s="3">
        <v>550</v>
      </c>
      <c r="B199" s="4" t="s">
        <v>404</v>
      </c>
      <c r="C199" s="147">
        <v>1</v>
      </c>
      <c r="D199" s="5">
        <v>2930</v>
      </c>
      <c r="E199" s="43" t="s">
        <v>237</v>
      </c>
      <c r="F199" s="43" t="s">
        <v>237</v>
      </c>
      <c r="G199" s="43" t="s">
        <v>237</v>
      </c>
      <c r="H199" s="43" t="s">
        <v>237</v>
      </c>
      <c r="I199" s="43" t="s">
        <v>237</v>
      </c>
      <c r="J199" s="43" t="s">
        <v>237</v>
      </c>
      <c r="K199" s="43" t="s">
        <v>237</v>
      </c>
      <c r="L199" s="43" t="s">
        <v>237</v>
      </c>
      <c r="M199" s="44" t="s">
        <v>237</v>
      </c>
      <c r="N199" s="7"/>
      <c r="O199" s="8"/>
    </row>
    <row r="200" spans="1:15" x14ac:dyDescent="0.25">
      <c r="A200" s="3">
        <v>551</v>
      </c>
      <c r="B200" s="4" t="s">
        <v>405</v>
      </c>
      <c r="C200" s="147">
        <v>2</v>
      </c>
      <c r="D200" s="5">
        <v>2930</v>
      </c>
      <c r="E200" s="43" t="s">
        <v>237</v>
      </c>
      <c r="F200" s="43" t="s">
        <v>237</v>
      </c>
      <c r="G200" s="43" t="s">
        <v>237</v>
      </c>
      <c r="H200" s="43" t="s">
        <v>237</v>
      </c>
      <c r="I200" s="43" t="s">
        <v>237</v>
      </c>
      <c r="J200" s="43" t="s">
        <v>237</v>
      </c>
      <c r="K200" s="43" t="s">
        <v>237</v>
      </c>
      <c r="L200" s="43" t="s">
        <v>237</v>
      </c>
      <c r="M200" s="44" t="s">
        <v>237</v>
      </c>
      <c r="N200" s="7"/>
      <c r="O200" s="8"/>
    </row>
    <row r="201" spans="1:15" x14ac:dyDescent="0.25">
      <c r="A201" s="3">
        <v>610</v>
      </c>
      <c r="B201" s="4" t="s">
        <v>406</v>
      </c>
      <c r="C201" s="147">
        <v>2</v>
      </c>
      <c r="D201" s="5">
        <v>9201</v>
      </c>
      <c r="E201" s="43" t="s">
        <v>237</v>
      </c>
      <c r="F201" s="43" t="s">
        <v>237</v>
      </c>
      <c r="G201" s="43" t="s">
        <v>237</v>
      </c>
      <c r="H201" s="43" t="s">
        <v>237</v>
      </c>
      <c r="I201" s="43" t="s">
        <v>237</v>
      </c>
      <c r="J201" s="43" t="s">
        <v>237</v>
      </c>
      <c r="K201" s="43" t="s">
        <v>237</v>
      </c>
      <c r="L201" s="43" t="s">
        <v>237</v>
      </c>
      <c r="M201" s="44" t="s">
        <v>237</v>
      </c>
      <c r="N201" s="7"/>
      <c r="O201" s="8"/>
    </row>
    <row r="202" spans="1:15" x14ac:dyDescent="0.25">
      <c r="A202" s="3">
        <v>612</v>
      </c>
      <c r="B202" s="4" t="s">
        <v>407</v>
      </c>
      <c r="C202" s="147">
        <v>2</v>
      </c>
      <c r="D202" s="5">
        <v>9299</v>
      </c>
      <c r="E202" s="43" t="s">
        <v>237</v>
      </c>
      <c r="F202" s="43" t="s">
        <v>237</v>
      </c>
      <c r="G202" s="43" t="s">
        <v>237</v>
      </c>
      <c r="H202" s="43" t="s">
        <v>237</v>
      </c>
      <c r="I202" s="43" t="s">
        <v>237</v>
      </c>
      <c r="J202" s="43" t="s">
        <v>237</v>
      </c>
      <c r="K202" s="43" t="s">
        <v>237</v>
      </c>
      <c r="L202" s="43" t="s">
        <v>237</v>
      </c>
      <c r="M202" s="44" t="s">
        <v>237</v>
      </c>
      <c r="N202" s="7"/>
      <c r="O202" s="8"/>
    </row>
    <row r="203" spans="1:15" x14ac:dyDescent="0.25">
      <c r="A203" s="3">
        <v>614</v>
      </c>
      <c r="B203" s="4" t="s">
        <v>408</v>
      </c>
      <c r="C203" s="147">
        <v>2</v>
      </c>
      <c r="D203" s="5">
        <v>9299</v>
      </c>
      <c r="E203" s="43" t="s">
        <v>237</v>
      </c>
      <c r="F203" s="43" t="s">
        <v>237</v>
      </c>
      <c r="G203" s="43" t="s">
        <v>237</v>
      </c>
      <c r="H203" s="43" t="s">
        <v>237</v>
      </c>
      <c r="I203" s="43" t="s">
        <v>237</v>
      </c>
      <c r="J203" s="43" t="s">
        <v>237</v>
      </c>
      <c r="K203" s="43" t="s">
        <v>237</v>
      </c>
      <c r="L203" s="43" t="s">
        <v>237</v>
      </c>
      <c r="M203" s="44" t="s">
        <v>237</v>
      </c>
      <c r="N203" s="7"/>
      <c r="O203" s="8"/>
    </row>
    <row r="204" spans="1:15" x14ac:dyDescent="0.25">
      <c r="A204" s="3">
        <v>615</v>
      </c>
      <c r="B204" s="4" t="s">
        <v>409</v>
      </c>
      <c r="C204" s="147">
        <v>2</v>
      </c>
      <c r="D204" s="5">
        <v>9219</v>
      </c>
      <c r="E204" s="43" t="s">
        <v>237</v>
      </c>
      <c r="F204" s="43" t="s">
        <v>237</v>
      </c>
      <c r="G204" s="45" t="s">
        <v>458</v>
      </c>
      <c r="H204" s="43" t="s">
        <v>237</v>
      </c>
      <c r="I204" s="43" t="s">
        <v>237</v>
      </c>
      <c r="J204" s="43" t="s">
        <v>237</v>
      </c>
      <c r="K204" s="43" t="s">
        <v>237</v>
      </c>
      <c r="L204" s="43" t="s">
        <v>237</v>
      </c>
      <c r="M204" s="44" t="s">
        <v>237</v>
      </c>
      <c r="N204" s="7"/>
      <c r="O204" s="8"/>
    </row>
    <row r="205" spans="1:15" x14ac:dyDescent="0.25">
      <c r="A205" s="3">
        <v>620</v>
      </c>
      <c r="B205" s="4" t="s">
        <v>410</v>
      </c>
      <c r="C205" s="147">
        <v>1</v>
      </c>
      <c r="D205" s="5">
        <v>1352</v>
      </c>
      <c r="E205" s="43" t="s">
        <v>237</v>
      </c>
      <c r="F205" s="43" t="s">
        <v>237</v>
      </c>
      <c r="G205" s="43" t="s">
        <v>237</v>
      </c>
      <c r="H205" s="43" t="s">
        <v>237</v>
      </c>
      <c r="I205" s="43" t="s">
        <v>237</v>
      </c>
      <c r="J205" s="43" t="s">
        <v>237</v>
      </c>
      <c r="K205" s="43" t="s">
        <v>237</v>
      </c>
      <c r="L205" s="43" t="s">
        <v>237</v>
      </c>
      <c r="M205" s="44" t="s">
        <v>237</v>
      </c>
      <c r="N205" s="7"/>
      <c r="O205" s="8"/>
    </row>
    <row r="206" spans="1:15" x14ac:dyDescent="0.25">
      <c r="A206" s="3">
        <v>621</v>
      </c>
      <c r="B206" s="4" t="s">
        <v>411</v>
      </c>
      <c r="C206" s="147">
        <v>2</v>
      </c>
      <c r="D206" s="5">
        <v>9217</v>
      </c>
      <c r="E206" s="43" t="s">
        <v>237</v>
      </c>
      <c r="F206" s="43" t="s">
        <v>237</v>
      </c>
      <c r="G206" s="43" t="s">
        <v>237</v>
      </c>
      <c r="H206" s="43" t="s">
        <v>237</v>
      </c>
      <c r="I206" s="43" t="s">
        <v>237</v>
      </c>
      <c r="J206" s="43" t="s">
        <v>237</v>
      </c>
      <c r="K206" s="43" t="s">
        <v>237</v>
      </c>
      <c r="L206" s="43" t="s">
        <v>237</v>
      </c>
      <c r="M206" s="44" t="s">
        <v>237</v>
      </c>
      <c r="N206" s="7"/>
      <c r="O206" s="8"/>
    </row>
    <row r="207" spans="1:15" x14ac:dyDescent="0.25">
      <c r="A207" s="3">
        <v>622</v>
      </c>
      <c r="B207" s="4" t="s">
        <v>412</v>
      </c>
      <c r="C207" s="147">
        <v>1</v>
      </c>
      <c r="D207" s="5">
        <v>1350</v>
      </c>
      <c r="E207" s="43" t="s">
        <v>237</v>
      </c>
      <c r="F207" s="43" t="s">
        <v>237</v>
      </c>
      <c r="G207" s="6">
        <v>11</v>
      </c>
      <c r="H207" s="43" t="s">
        <v>237</v>
      </c>
      <c r="I207" s="43" t="s">
        <v>237</v>
      </c>
      <c r="J207" s="43" t="s">
        <v>237</v>
      </c>
      <c r="K207" s="43" t="s">
        <v>237</v>
      </c>
      <c r="L207" s="43" t="s">
        <v>237</v>
      </c>
      <c r="M207" s="44" t="s">
        <v>237</v>
      </c>
      <c r="N207" s="7"/>
      <c r="O207" s="8"/>
    </row>
    <row r="208" spans="1:15" x14ac:dyDescent="0.25">
      <c r="A208" s="3">
        <v>623</v>
      </c>
      <c r="B208" s="4" t="s">
        <v>413</v>
      </c>
      <c r="C208" s="147">
        <v>1</v>
      </c>
      <c r="D208" s="5">
        <v>1350</v>
      </c>
      <c r="E208" s="43" t="s">
        <v>237</v>
      </c>
      <c r="F208" s="43" t="s">
        <v>237</v>
      </c>
      <c r="G208" s="43" t="s">
        <v>237</v>
      </c>
      <c r="H208" s="43" t="s">
        <v>237</v>
      </c>
      <c r="I208" s="43" t="s">
        <v>237</v>
      </c>
      <c r="J208" s="43" t="s">
        <v>237</v>
      </c>
      <c r="K208" s="43" t="s">
        <v>237</v>
      </c>
      <c r="L208" s="43" t="s">
        <v>237</v>
      </c>
      <c r="M208" s="44" t="s">
        <v>237</v>
      </c>
      <c r="N208" s="7"/>
      <c r="O208" s="8"/>
    </row>
    <row r="209" spans="1:15" x14ac:dyDescent="0.25">
      <c r="A209" s="3">
        <v>624</v>
      </c>
      <c r="B209" s="4" t="s">
        <v>414</v>
      </c>
      <c r="C209" s="147">
        <v>1</v>
      </c>
      <c r="D209" s="5">
        <v>1350</v>
      </c>
      <c r="E209" s="43" t="s">
        <v>237</v>
      </c>
      <c r="F209" s="43" t="s">
        <v>237</v>
      </c>
      <c r="G209" s="43" t="s">
        <v>237</v>
      </c>
      <c r="H209" s="43" t="s">
        <v>237</v>
      </c>
      <c r="I209" s="43" t="s">
        <v>237</v>
      </c>
      <c r="J209" s="43" t="s">
        <v>237</v>
      </c>
      <c r="K209" s="43" t="s">
        <v>237</v>
      </c>
      <c r="L209" s="43" t="s">
        <v>237</v>
      </c>
      <c r="M209" s="44" t="s">
        <v>237</v>
      </c>
      <c r="N209" s="7"/>
      <c r="O209" s="8"/>
    </row>
    <row r="210" spans="1:15" x14ac:dyDescent="0.25">
      <c r="A210" s="3">
        <v>625</v>
      </c>
      <c r="B210" s="4" t="s">
        <v>415</v>
      </c>
      <c r="C210" s="147">
        <v>1</v>
      </c>
      <c r="D210" s="5">
        <v>1099</v>
      </c>
      <c r="E210" s="6">
        <v>11</v>
      </c>
      <c r="F210" s="43" t="s">
        <v>237</v>
      </c>
      <c r="G210" s="6">
        <v>11</v>
      </c>
      <c r="H210" s="43" t="s">
        <v>237</v>
      </c>
      <c r="I210" s="43" t="s">
        <v>237</v>
      </c>
      <c r="J210" s="6">
        <v>11</v>
      </c>
      <c r="K210" s="43" t="s">
        <v>237</v>
      </c>
      <c r="L210" s="43" t="s">
        <v>237</v>
      </c>
      <c r="M210" s="44" t="s">
        <v>237</v>
      </c>
      <c r="N210" s="7"/>
      <c r="O210" s="8"/>
    </row>
    <row r="211" spans="1:15" x14ac:dyDescent="0.25">
      <c r="A211" s="3">
        <v>626</v>
      </c>
      <c r="B211" s="4" t="s">
        <v>416</v>
      </c>
      <c r="C211" s="147">
        <v>1</v>
      </c>
      <c r="D211" s="5">
        <v>1299</v>
      </c>
      <c r="E211" s="6">
        <v>11</v>
      </c>
      <c r="F211" s="43" t="s">
        <v>237</v>
      </c>
      <c r="G211" s="6">
        <v>11</v>
      </c>
      <c r="H211" s="43" t="s">
        <v>237</v>
      </c>
      <c r="I211" s="43" t="s">
        <v>237</v>
      </c>
      <c r="J211" s="6">
        <v>11</v>
      </c>
      <c r="K211" s="43" t="s">
        <v>237</v>
      </c>
      <c r="L211" s="43" t="s">
        <v>237</v>
      </c>
      <c r="M211" s="44" t="s">
        <v>237</v>
      </c>
      <c r="N211" s="7"/>
      <c r="O211" s="8"/>
    </row>
    <row r="212" spans="1:15" x14ac:dyDescent="0.25">
      <c r="A212" s="3">
        <v>627</v>
      </c>
      <c r="B212" s="4" t="s">
        <v>417</v>
      </c>
      <c r="C212" s="147">
        <v>1</v>
      </c>
      <c r="D212" s="5">
        <v>1002</v>
      </c>
      <c r="E212" s="43" t="s">
        <v>237</v>
      </c>
      <c r="F212" s="43" t="s">
        <v>237</v>
      </c>
      <c r="G212" s="43" t="s">
        <v>237</v>
      </c>
      <c r="H212" s="43" t="s">
        <v>237</v>
      </c>
      <c r="I212" s="43" t="s">
        <v>237</v>
      </c>
      <c r="J212" s="43" t="s">
        <v>237</v>
      </c>
      <c r="K212" s="43" t="s">
        <v>237</v>
      </c>
      <c r="L212" s="43" t="s">
        <v>237</v>
      </c>
      <c r="M212" s="44" t="s">
        <v>237</v>
      </c>
      <c r="N212" s="7"/>
      <c r="O212" s="8"/>
    </row>
    <row r="213" spans="1:15" x14ac:dyDescent="0.25">
      <c r="A213" s="3">
        <v>628</v>
      </c>
      <c r="B213" s="4" t="s">
        <v>418</v>
      </c>
      <c r="C213" s="147">
        <v>1</v>
      </c>
      <c r="D213" s="5">
        <v>1350</v>
      </c>
      <c r="E213" s="43" t="s">
        <v>237</v>
      </c>
      <c r="F213" s="43" t="s">
        <v>237</v>
      </c>
      <c r="G213" s="6">
        <v>11</v>
      </c>
      <c r="H213" s="43" t="s">
        <v>237</v>
      </c>
      <c r="I213" s="43" t="s">
        <v>237</v>
      </c>
      <c r="J213" s="43" t="s">
        <v>237</v>
      </c>
      <c r="K213" s="43" t="s">
        <v>237</v>
      </c>
      <c r="L213" s="43" t="s">
        <v>237</v>
      </c>
      <c r="M213" s="44" t="s">
        <v>237</v>
      </c>
      <c r="N213" s="7"/>
      <c r="O213" s="8"/>
    </row>
    <row r="214" spans="1:15" x14ac:dyDescent="0.25">
      <c r="A214" s="3">
        <v>630</v>
      </c>
      <c r="B214" s="4" t="s">
        <v>419</v>
      </c>
      <c r="C214" s="147">
        <v>1</v>
      </c>
      <c r="D214" s="5">
        <v>1002</v>
      </c>
      <c r="E214" s="43" t="s">
        <v>237</v>
      </c>
      <c r="F214" s="43" t="s">
        <v>237</v>
      </c>
      <c r="G214" s="43" t="s">
        <v>237</v>
      </c>
      <c r="H214" s="43" t="s">
        <v>237</v>
      </c>
      <c r="I214" s="43" t="s">
        <v>237</v>
      </c>
      <c r="J214" s="43" t="s">
        <v>237</v>
      </c>
      <c r="K214" s="43" t="s">
        <v>237</v>
      </c>
      <c r="L214" s="43" t="s">
        <v>237</v>
      </c>
      <c r="M214" s="44" t="s">
        <v>237</v>
      </c>
      <c r="N214" s="7"/>
      <c r="O214" s="8"/>
    </row>
    <row r="215" spans="1:15" x14ac:dyDescent="0.25">
      <c r="A215" s="3">
        <v>631</v>
      </c>
      <c r="B215" s="4" t="s">
        <v>420</v>
      </c>
      <c r="C215" s="147">
        <v>2</v>
      </c>
      <c r="D215" s="5">
        <v>9299</v>
      </c>
      <c r="E215" s="6">
        <v>11</v>
      </c>
      <c r="F215" s="43" t="s">
        <v>237</v>
      </c>
      <c r="G215" s="6">
        <v>11</v>
      </c>
      <c r="H215" s="43" t="s">
        <v>237</v>
      </c>
      <c r="I215" s="43" t="s">
        <v>237</v>
      </c>
      <c r="J215" s="6">
        <v>11</v>
      </c>
      <c r="K215" s="43" t="s">
        <v>237</v>
      </c>
      <c r="L215" s="43" t="s">
        <v>237</v>
      </c>
      <c r="M215" s="44" t="s">
        <v>237</v>
      </c>
      <c r="N215" s="7"/>
      <c r="O215" s="8"/>
    </row>
    <row r="216" spans="1:15" x14ac:dyDescent="0.25">
      <c r="A216" s="3">
        <v>632</v>
      </c>
      <c r="B216" s="4" t="s">
        <v>421</v>
      </c>
      <c r="C216" s="147">
        <v>1</v>
      </c>
      <c r="D216" s="5">
        <v>1000</v>
      </c>
      <c r="E216" s="6">
        <v>23</v>
      </c>
      <c r="F216" s="43" t="s">
        <v>237</v>
      </c>
      <c r="G216" s="6">
        <v>11</v>
      </c>
      <c r="H216" s="43" t="s">
        <v>237</v>
      </c>
      <c r="I216" s="43" t="s">
        <v>237</v>
      </c>
      <c r="J216" s="6">
        <v>11</v>
      </c>
      <c r="K216" s="43" t="s">
        <v>237</v>
      </c>
      <c r="L216" s="43" t="s">
        <v>237</v>
      </c>
      <c r="M216" s="44" t="s">
        <v>237</v>
      </c>
      <c r="N216" s="7"/>
      <c r="O216" s="8"/>
    </row>
    <row r="217" spans="1:15" x14ac:dyDescent="0.25">
      <c r="A217" s="3">
        <v>633</v>
      </c>
      <c r="B217" s="4" t="s">
        <v>422</v>
      </c>
      <c r="C217" s="147">
        <v>1</v>
      </c>
      <c r="D217" s="5">
        <v>1000</v>
      </c>
      <c r="E217" s="6">
        <v>23</v>
      </c>
      <c r="F217" s="43" t="s">
        <v>237</v>
      </c>
      <c r="G217" s="6">
        <v>11</v>
      </c>
      <c r="H217" s="43" t="s">
        <v>237</v>
      </c>
      <c r="I217" s="43" t="s">
        <v>237</v>
      </c>
      <c r="J217" s="6">
        <v>11</v>
      </c>
      <c r="K217" s="43" t="s">
        <v>237</v>
      </c>
      <c r="L217" s="43" t="s">
        <v>237</v>
      </c>
      <c r="M217" s="44" t="s">
        <v>237</v>
      </c>
      <c r="N217" s="7"/>
      <c r="O217" s="8"/>
    </row>
    <row r="218" spans="1:15" x14ac:dyDescent="0.25">
      <c r="A218" s="3">
        <v>634</v>
      </c>
      <c r="B218" s="4" t="s">
        <v>422</v>
      </c>
      <c r="C218" s="147">
        <v>1</v>
      </c>
      <c r="D218" s="5">
        <v>1000</v>
      </c>
      <c r="E218" s="6">
        <v>23</v>
      </c>
      <c r="F218" s="43" t="s">
        <v>237</v>
      </c>
      <c r="G218" s="6">
        <v>11</v>
      </c>
      <c r="H218" s="43" t="s">
        <v>237</v>
      </c>
      <c r="I218" s="43" t="s">
        <v>237</v>
      </c>
      <c r="J218" s="6">
        <v>11</v>
      </c>
      <c r="K218" s="43" t="s">
        <v>237</v>
      </c>
      <c r="L218" s="43" t="s">
        <v>237</v>
      </c>
      <c r="M218" s="44" t="s">
        <v>237</v>
      </c>
      <c r="N218" s="7"/>
      <c r="O218" s="8"/>
    </row>
    <row r="219" spans="1:15" x14ac:dyDescent="0.25">
      <c r="A219" s="3">
        <v>635</v>
      </c>
      <c r="B219" s="4" t="s">
        <v>422</v>
      </c>
      <c r="C219" s="147">
        <v>1</v>
      </c>
      <c r="D219" s="5">
        <v>1000</v>
      </c>
      <c r="E219" s="6">
        <v>23</v>
      </c>
      <c r="F219" s="43" t="s">
        <v>237</v>
      </c>
      <c r="G219" s="6">
        <v>11</v>
      </c>
      <c r="H219" s="43" t="s">
        <v>237</v>
      </c>
      <c r="I219" s="43" t="s">
        <v>237</v>
      </c>
      <c r="J219" s="6">
        <v>11</v>
      </c>
      <c r="K219" s="43" t="s">
        <v>237</v>
      </c>
      <c r="L219" s="43" t="s">
        <v>237</v>
      </c>
      <c r="M219" s="44" t="s">
        <v>237</v>
      </c>
      <c r="N219" s="7"/>
      <c r="O219" s="8"/>
    </row>
    <row r="220" spans="1:15" x14ac:dyDescent="0.25">
      <c r="A220" s="3">
        <v>636</v>
      </c>
      <c r="B220" s="4" t="s">
        <v>423</v>
      </c>
      <c r="C220" s="147">
        <v>1</v>
      </c>
      <c r="D220" s="5">
        <v>2920</v>
      </c>
      <c r="E220" s="43" t="s">
        <v>237</v>
      </c>
      <c r="F220" s="43" t="s">
        <v>237</v>
      </c>
      <c r="G220" s="43" t="s">
        <v>237</v>
      </c>
      <c r="H220" s="43" t="s">
        <v>237</v>
      </c>
      <c r="I220" s="43" t="s">
        <v>237</v>
      </c>
      <c r="J220" s="43" t="s">
        <v>237</v>
      </c>
      <c r="K220" s="43" t="s">
        <v>237</v>
      </c>
      <c r="L220" s="43" t="s">
        <v>237</v>
      </c>
      <c r="M220" s="44" t="s">
        <v>237</v>
      </c>
      <c r="N220" s="7"/>
      <c r="O220" s="8"/>
    </row>
    <row r="221" spans="1:15" x14ac:dyDescent="0.25">
      <c r="A221" s="3">
        <v>637</v>
      </c>
      <c r="B221" s="4" t="s">
        <v>424</v>
      </c>
      <c r="C221" s="147">
        <v>1</v>
      </c>
      <c r="D221" s="5">
        <v>2920</v>
      </c>
      <c r="E221" s="43" t="s">
        <v>237</v>
      </c>
      <c r="F221" s="43" t="s">
        <v>237</v>
      </c>
      <c r="G221" s="43" t="s">
        <v>237</v>
      </c>
      <c r="H221" s="43" t="s">
        <v>237</v>
      </c>
      <c r="I221" s="43" t="s">
        <v>237</v>
      </c>
      <c r="J221" s="43" t="s">
        <v>237</v>
      </c>
      <c r="K221" s="43" t="s">
        <v>237</v>
      </c>
      <c r="L221" s="43" t="s">
        <v>237</v>
      </c>
      <c r="M221" s="44" t="s">
        <v>237</v>
      </c>
      <c r="N221" s="7"/>
      <c r="O221" s="8"/>
    </row>
    <row r="222" spans="1:15" x14ac:dyDescent="0.25">
      <c r="A222" s="3">
        <v>638</v>
      </c>
      <c r="B222" s="4" t="s">
        <v>425</v>
      </c>
      <c r="C222" s="147">
        <v>1</v>
      </c>
      <c r="D222" s="5">
        <v>1020</v>
      </c>
      <c r="E222" s="6">
        <v>11</v>
      </c>
      <c r="F222" s="43" t="s">
        <v>237</v>
      </c>
      <c r="G222" s="43" t="s">
        <v>237</v>
      </c>
      <c r="H222" s="6">
        <v>11</v>
      </c>
      <c r="I222" s="43" t="s">
        <v>237</v>
      </c>
      <c r="J222" s="6">
        <v>11</v>
      </c>
      <c r="K222" s="43" t="s">
        <v>237</v>
      </c>
      <c r="L222" s="43" t="s">
        <v>237</v>
      </c>
      <c r="M222" s="44" t="s">
        <v>237</v>
      </c>
      <c r="N222" s="7"/>
      <c r="O222" s="8"/>
    </row>
    <row r="223" spans="1:15" x14ac:dyDescent="0.25">
      <c r="A223" s="3">
        <v>639</v>
      </c>
      <c r="B223" s="4" t="s">
        <v>426</v>
      </c>
      <c r="C223" s="147">
        <v>1</v>
      </c>
      <c r="D223" s="5">
        <v>1020</v>
      </c>
      <c r="E223" s="6">
        <v>11</v>
      </c>
      <c r="F223" s="43" t="s">
        <v>237</v>
      </c>
      <c r="G223" s="43" t="s">
        <v>237</v>
      </c>
      <c r="H223" s="6">
        <v>11</v>
      </c>
      <c r="I223" s="43" t="s">
        <v>237</v>
      </c>
      <c r="J223" s="6">
        <v>11</v>
      </c>
      <c r="K223" s="43" t="s">
        <v>237</v>
      </c>
      <c r="L223" s="43" t="s">
        <v>237</v>
      </c>
      <c r="M223" s="44" t="s">
        <v>237</v>
      </c>
      <c r="N223" s="7"/>
      <c r="O223" s="8"/>
    </row>
    <row r="224" spans="1:15" x14ac:dyDescent="0.25">
      <c r="A224" s="3">
        <v>640</v>
      </c>
      <c r="B224" s="4" t="s">
        <v>427</v>
      </c>
      <c r="C224" s="147">
        <v>1</v>
      </c>
      <c r="D224" s="5">
        <v>1023</v>
      </c>
      <c r="E224" s="43" t="s">
        <v>237</v>
      </c>
      <c r="F224" s="43" t="s">
        <v>237</v>
      </c>
      <c r="G224" s="43" t="s">
        <v>237</v>
      </c>
      <c r="H224" s="6">
        <v>75</v>
      </c>
      <c r="I224" s="43" t="s">
        <v>237</v>
      </c>
      <c r="J224" s="43" t="s">
        <v>237</v>
      </c>
      <c r="K224" s="43" t="s">
        <v>237</v>
      </c>
      <c r="L224" s="43" t="s">
        <v>237</v>
      </c>
      <c r="M224" s="44" t="s">
        <v>237</v>
      </c>
      <c r="N224" s="7"/>
      <c r="O224" s="8"/>
    </row>
    <row r="225" spans="1:15" x14ac:dyDescent="0.25">
      <c r="A225" s="3">
        <v>641</v>
      </c>
      <c r="B225" s="4" t="s">
        <v>428</v>
      </c>
      <c r="C225" s="147">
        <v>1</v>
      </c>
      <c r="D225" s="5">
        <v>1023</v>
      </c>
      <c r="E225" s="43" t="s">
        <v>237</v>
      </c>
      <c r="F225" s="43" t="s">
        <v>237</v>
      </c>
      <c r="G225" s="43" t="s">
        <v>237</v>
      </c>
      <c r="H225" s="43" t="s">
        <v>237</v>
      </c>
      <c r="I225" s="43" t="s">
        <v>237</v>
      </c>
      <c r="J225" s="43" t="s">
        <v>237</v>
      </c>
      <c r="K225" s="43" t="s">
        <v>237</v>
      </c>
      <c r="L225" s="43" t="s">
        <v>237</v>
      </c>
      <c r="M225" s="44" t="s">
        <v>237</v>
      </c>
      <c r="N225" s="7"/>
      <c r="O225" s="8"/>
    </row>
    <row r="226" spans="1:15" x14ac:dyDescent="0.25">
      <c r="A226" s="3">
        <v>642</v>
      </c>
      <c r="B226" s="4" t="s">
        <v>429</v>
      </c>
      <c r="C226" s="147">
        <v>1</v>
      </c>
      <c r="D226" s="5">
        <v>1020</v>
      </c>
      <c r="E226" s="6">
        <v>11</v>
      </c>
      <c r="F226" s="43" t="s">
        <v>237</v>
      </c>
      <c r="G226" s="6">
        <v>11</v>
      </c>
      <c r="H226" s="43" t="s">
        <v>237</v>
      </c>
      <c r="I226" s="43" t="s">
        <v>237</v>
      </c>
      <c r="J226" s="6">
        <v>11</v>
      </c>
      <c r="K226" s="43" t="s">
        <v>237</v>
      </c>
      <c r="L226" s="43" t="s">
        <v>237</v>
      </c>
      <c r="M226" s="44" t="s">
        <v>237</v>
      </c>
      <c r="N226" s="7"/>
      <c r="O226" s="8"/>
    </row>
    <row r="227" spans="1:15" x14ac:dyDescent="0.25">
      <c r="A227" s="3">
        <v>643</v>
      </c>
      <c r="B227" s="4" t="s">
        <v>430</v>
      </c>
      <c r="C227" s="147">
        <v>1</v>
      </c>
      <c r="D227" s="5">
        <v>1023</v>
      </c>
      <c r="E227" s="43" t="s">
        <v>237</v>
      </c>
      <c r="F227" s="43" t="s">
        <v>237</v>
      </c>
      <c r="G227" s="43" t="s">
        <v>237</v>
      </c>
      <c r="H227" s="43" t="s">
        <v>237</v>
      </c>
      <c r="I227" s="43" t="s">
        <v>237</v>
      </c>
      <c r="J227" s="43" t="s">
        <v>237</v>
      </c>
      <c r="K227" s="43" t="s">
        <v>237</v>
      </c>
      <c r="L227" s="43" t="s">
        <v>237</v>
      </c>
      <c r="M227" s="44" t="s">
        <v>237</v>
      </c>
      <c r="N227" s="7"/>
      <c r="O227" s="8"/>
    </row>
    <row r="228" spans="1:15" x14ac:dyDescent="0.25">
      <c r="A228" s="3">
        <v>644</v>
      </c>
      <c r="B228" s="4" t="s">
        <v>431</v>
      </c>
      <c r="C228" s="147">
        <v>1</v>
      </c>
      <c r="D228" s="5">
        <v>1020</v>
      </c>
      <c r="E228" s="6">
        <v>11</v>
      </c>
      <c r="F228" s="43" t="s">
        <v>237</v>
      </c>
      <c r="G228" s="6">
        <v>11</v>
      </c>
      <c r="H228" s="43" t="s">
        <v>237</v>
      </c>
      <c r="I228" s="43" t="s">
        <v>237</v>
      </c>
      <c r="J228" s="6">
        <v>11</v>
      </c>
      <c r="K228" s="43" t="s">
        <v>237</v>
      </c>
      <c r="L228" s="43" t="s">
        <v>237</v>
      </c>
      <c r="M228" s="44" t="s">
        <v>237</v>
      </c>
      <c r="N228" s="7"/>
      <c r="O228" s="8"/>
    </row>
    <row r="229" spans="1:15" x14ac:dyDescent="0.25">
      <c r="A229" s="3">
        <v>645</v>
      </c>
      <c r="B229" s="4" t="s">
        <v>432</v>
      </c>
      <c r="C229" s="147">
        <v>1</v>
      </c>
      <c r="D229" s="5">
        <v>1023</v>
      </c>
      <c r="E229" s="43" t="s">
        <v>237</v>
      </c>
      <c r="F229" s="43" t="s">
        <v>237</v>
      </c>
      <c r="G229" s="43" t="s">
        <v>237</v>
      </c>
      <c r="H229" s="43" t="s">
        <v>237</v>
      </c>
      <c r="I229" s="43" t="s">
        <v>237</v>
      </c>
      <c r="J229" s="43" t="s">
        <v>237</v>
      </c>
      <c r="K229" s="43" t="s">
        <v>237</v>
      </c>
      <c r="L229" s="43" t="s">
        <v>237</v>
      </c>
      <c r="M229" s="44" t="s">
        <v>237</v>
      </c>
      <c r="N229" s="7"/>
      <c r="O229" s="8"/>
    </row>
    <row r="230" spans="1:15" x14ac:dyDescent="0.25">
      <c r="A230" s="3">
        <v>646</v>
      </c>
      <c r="B230" s="4" t="s">
        <v>433</v>
      </c>
      <c r="C230" s="147">
        <v>1</v>
      </c>
      <c r="D230" s="5">
        <v>1099</v>
      </c>
      <c r="E230" s="6">
        <v>11</v>
      </c>
      <c r="F230" s="43" t="s">
        <v>237</v>
      </c>
      <c r="G230" s="6">
        <v>11</v>
      </c>
      <c r="H230" s="43" t="s">
        <v>237</v>
      </c>
      <c r="I230" s="43" t="s">
        <v>237</v>
      </c>
      <c r="J230" s="6">
        <v>11</v>
      </c>
      <c r="K230" s="43" t="s">
        <v>237</v>
      </c>
      <c r="L230" s="43" t="s">
        <v>237</v>
      </c>
      <c r="M230" s="44" t="s">
        <v>237</v>
      </c>
      <c r="N230" s="7"/>
      <c r="O230" s="8"/>
    </row>
    <row r="231" spans="1:15" x14ac:dyDescent="0.25">
      <c r="A231" s="3">
        <v>647</v>
      </c>
      <c r="B231" s="4" t="s">
        <v>434</v>
      </c>
      <c r="C231" s="147">
        <v>1</v>
      </c>
      <c r="D231" s="5">
        <v>1099</v>
      </c>
      <c r="E231" s="6">
        <v>11</v>
      </c>
      <c r="F231" s="43" t="s">
        <v>237</v>
      </c>
      <c r="G231" s="6">
        <v>11</v>
      </c>
      <c r="H231" s="43" t="s">
        <v>237</v>
      </c>
      <c r="I231" s="43" t="s">
        <v>237</v>
      </c>
      <c r="J231" s="6">
        <v>11</v>
      </c>
      <c r="K231" s="43" t="s">
        <v>237</v>
      </c>
      <c r="L231" s="43" t="s">
        <v>237</v>
      </c>
      <c r="M231" s="44" t="s">
        <v>237</v>
      </c>
      <c r="N231" s="7"/>
      <c r="O231" s="8"/>
    </row>
    <row r="232" spans="1:15" x14ac:dyDescent="0.25">
      <c r="A232" s="3">
        <v>648</v>
      </c>
      <c r="B232" s="4" t="s">
        <v>435</v>
      </c>
      <c r="C232" s="147">
        <v>1</v>
      </c>
      <c r="D232" s="5">
        <v>1225</v>
      </c>
      <c r="E232" s="6">
        <v>11</v>
      </c>
      <c r="F232" s="43" t="s">
        <v>237</v>
      </c>
      <c r="G232" s="6">
        <v>11</v>
      </c>
      <c r="H232" s="43" t="s">
        <v>237</v>
      </c>
      <c r="I232" s="43" t="s">
        <v>237</v>
      </c>
      <c r="J232" s="6">
        <v>11</v>
      </c>
      <c r="K232" s="43" t="s">
        <v>237</v>
      </c>
      <c r="L232" s="43" t="s">
        <v>237</v>
      </c>
      <c r="M232" s="44" t="s">
        <v>237</v>
      </c>
      <c r="N232" s="7"/>
      <c r="O232" s="8"/>
    </row>
    <row r="233" spans="1:15" x14ac:dyDescent="0.25">
      <c r="A233" s="3">
        <v>649</v>
      </c>
      <c r="B233" s="4" t="s">
        <v>436</v>
      </c>
      <c r="C233" s="147">
        <v>1</v>
      </c>
      <c r="D233" s="5">
        <v>2920</v>
      </c>
      <c r="E233" s="43" t="s">
        <v>237</v>
      </c>
      <c r="F233" s="43" t="s">
        <v>237</v>
      </c>
      <c r="G233" s="45" t="s">
        <v>458</v>
      </c>
      <c r="H233" s="43" t="s">
        <v>237</v>
      </c>
      <c r="I233" s="43" t="s">
        <v>237</v>
      </c>
      <c r="J233" s="43" t="s">
        <v>237</v>
      </c>
      <c r="K233" s="43" t="s">
        <v>237</v>
      </c>
      <c r="L233" s="43" t="s">
        <v>237</v>
      </c>
      <c r="M233" s="44" t="s">
        <v>237</v>
      </c>
      <c r="N233" s="7"/>
      <c r="O233" s="8"/>
    </row>
    <row r="234" spans="1:15" x14ac:dyDescent="0.25">
      <c r="A234" s="3">
        <v>700</v>
      </c>
      <c r="B234" s="4" t="s">
        <v>208</v>
      </c>
      <c r="C234" s="147">
        <v>1</v>
      </c>
      <c r="D234" s="5">
        <v>6002</v>
      </c>
      <c r="E234" s="43" t="s">
        <v>237</v>
      </c>
      <c r="F234" s="6">
        <v>12</v>
      </c>
      <c r="G234" s="43" t="s">
        <v>237</v>
      </c>
      <c r="H234" s="43" t="s">
        <v>237</v>
      </c>
      <c r="I234" s="6">
        <v>12</v>
      </c>
      <c r="J234" s="43" t="s">
        <v>237</v>
      </c>
      <c r="K234" s="6">
        <v>12</v>
      </c>
      <c r="L234" s="43" t="s">
        <v>237</v>
      </c>
      <c r="M234" s="44" t="s">
        <v>237</v>
      </c>
      <c r="N234" s="7"/>
      <c r="O234" s="8"/>
    </row>
    <row r="235" spans="1:15" x14ac:dyDescent="0.25">
      <c r="A235" s="3">
        <v>701</v>
      </c>
      <c r="B235" s="4" t="s">
        <v>257</v>
      </c>
      <c r="C235" s="147">
        <v>1</v>
      </c>
      <c r="D235" s="5">
        <v>4051</v>
      </c>
      <c r="E235" s="43" t="s">
        <v>237</v>
      </c>
      <c r="F235" s="6">
        <v>12</v>
      </c>
      <c r="G235" s="43" t="s">
        <v>237</v>
      </c>
      <c r="H235" s="43" t="s">
        <v>237</v>
      </c>
      <c r="I235" s="6">
        <v>12</v>
      </c>
      <c r="J235" s="43" t="s">
        <v>237</v>
      </c>
      <c r="K235" s="6">
        <v>12</v>
      </c>
      <c r="L235" s="43" t="s">
        <v>237</v>
      </c>
      <c r="M235" s="44" t="s">
        <v>237</v>
      </c>
      <c r="N235" s="7"/>
      <c r="O235" s="8"/>
    </row>
    <row r="236" spans="1:15" x14ac:dyDescent="0.25">
      <c r="A236" s="3">
        <v>702</v>
      </c>
      <c r="B236" s="4" t="s">
        <v>437</v>
      </c>
      <c r="C236" s="147">
        <v>1</v>
      </c>
      <c r="D236" s="5">
        <v>3506</v>
      </c>
      <c r="E236" s="6">
        <v>11</v>
      </c>
      <c r="F236" s="43" t="s">
        <v>237</v>
      </c>
      <c r="G236" s="6">
        <v>11</v>
      </c>
      <c r="H236" s="43" t="s">
        <v>237</v>
      </c>
      <c r="I236" s="43" t="s">
        <v>237</v>
      </c>
      <c r="J236" s="43" t="s">
        <v>237</v>
      </c>
      <c r="K236" s="43" t="s">
        <v>237</v>
      </c>
      <c r="L236" s="43" t="s">
        <v>237</v>
      </c>
      <c r="M236" s="60" t="s">
        <v>13</v>
      </c>
      <c r="N236" s="7"/>
      <c r="O236" s="8"/>
    </row>
    <row r="237" spans="1:15" x14ac:dyDescent="0.25">
      <c r="A237" s="3">
        <v>703</v>
      </c>
      <c r="B237" s="4" t="s">
        <v>438</v>
      </c>
      <c r="C237" s="147">
        <v>1</v>
      </c>
      <c r="D237" s="5">
        <v>3506</v>
      </c>
      <c r="E237" s="6">
        <v>11</v>
      </c>
      <c r="F237" s="43" t="s">
        <v>237</v>
      </c>
      <c r="G237" s="6">
        <v>11</v>
      </c>
      <c r="H237" s="43" t="s">
        <v>237</v>
      </c>
      <c r="I237" s="43" t="s">
        <v>237</v>
      </c>
      <c r="J237" s="6">
        <v>11</v>
      </c>
      <c r="K237" s="43" t="s">
        <v>237</v>
      </c>
      <c r="L237" s="43" t="s">
        <v>237</v>
      </c>
      <c r="M237" s="60" t="s">
        <v>13</v>
      </c>
      <c r="N237" s="7"/>
      <c r="O237" s="8"/>
    </row>
    <row r="238" spans="1:15" x14ac:dyDescent="0.25">
      <c r="A238" s="3">
        <v>704</v>
      </c>
      <c r="B238" s="4" t="s">
        <v>439</v>
      </c>
      <c r="C238" s="147">
        <v>1</v>
      </c>
      <c r="D238" s="5">
        <v>3520</v>
      </c>
      <c r="E238" s="6">
        <v>11</v>
      </c>
      <c r="F238" s="43" t="s">
        <v>237</v>
      </c>
      <c r="G238" s="6">
        <v>11</v>
      </c>
      <c r="H238" s="43" t="s">
        <v>237</v>
      </c>
      <c r="I238" s="43" t="s">
        <v>237</v>
      </c>
      <c r="J238" s="43" t="s">
        <v>237</v>
      </c>
      <c r="K238" s="43" t="s">
        <v>237</v>
      </c>
      <c r="L238" s="43" t="s">
        <v>237</v>
      </c>
      <c r="M238" s="60" t="s">
        <v>13</v>
      </c>
      <c r="N238" s="7"/>
      <c r="O238" s="8"/>
    </row>
    <row r="239" spans="1:15" x14ac:dyDescent="0.25">
      <c r="A239" s="3">
        <v>705</v>
      </c>
      <c r="B239" s="4" t="s">
        <v>459</v>
      </c>
      <c r="C239" s="147">
        <v>3</v>
      </c>
      <c r="D239" s="5">
        <v>6101</v>
      </c>
      <c r="E239" s="43" t="s">
        <v>237</v>
      </c>
      <c r="F239" s="43" t="s">
        <v>237</v>
      </c>
      <c r="G239" s="43" t="s">
        <v>237</v>
      </c>
      <c r="H239" s="43" t="s">
        <v>237</v>
      </c>
      <c r="I239" s="43" t="s">
        <v>237</v>
      </c>
      <c r="J239" s="43" t="s">
        <v>237</v>
      </c>
      <c r="K239" s="43" t="s">
        <v>237</v>
      </c>
      <c r="L239" s="43" t="s">
        <v>237</v>
      </c>
      <c r="M239" s="44" t="s">
        <v>237</v>
      </c>
      <c r="N239" s="7"/>
      <c r="O239" s="8"/>
    </row>
    <row r="240" spans="1:15" x14ac:dyDescent="0.25">
      <c r="A240" s="3">
        <v>706</v>
      </c>
      <c r="B240" s="4" t="s">
        <v>440</v>
      </c>
      <c r="C240" s="147">
        <v>3</v>
      </c>
      <c r="D240" s="5">
        <v>9901</v>
      </c>
      <c r="E240" s="43" t="s">
        <v>237</v>
      </c>
      <c r="F240" s="43" t="s">
        <v>237</v>
      </c>
      <c r="G240" s="43" t="s">
        <v>237</v>
      </c>
      <c r="H240" s="43" t="s">
        <v>237</v>
      </c>
      <c r="I240" s="43" t="s">
        <v>237</v>
      </c>
      <c r="J240" s="43" t="s">
        <v>237</v>
      </c>
      <c r="K240" s="43" t="s">
        <v>237</v>
      </c>
      <c r="L240" s="43" t="s">
        <v>237</v>
      </c>
      <c r="M240" s="44" t="s">
        <v>237</v>
      </c>
      <c r="N240" s="7"/>
      <c r="O240" s="8"/>
    </row>
    <row r="241" spans="1:15" x14ac:dyDescent="0.25">
      <c r="A241" s="3">
        <v>707</v>
      </c>
      <c r="B241" s="4" t="s">
        <v>441</v>
      </c>
      <c r="C241" s="147">
        <v>3</v>
      </c>
      <c r="D241" s="5">
        <v>9902</v>
      </c>
      <c r="E241" s="43" t="s">
        <v>237</v>
      </c>
      <c r="F241" s="43" t="s">
        <v>237</v>
      </c>
      <c r="G241" s="43" t="s">
        <v>237</v>
      </c>
      <c r="H241" s="43" t="s">
        <v>237</v>
      </c>
      <c r="I241" s="43" t="s">
        <v>237</v>
      </c>
      <c r="J241" s="43" t="s">
        <v>237</v>
      </c>
      <c r="K241" s="43" t="s">
        <v>237</v>
      </c>
      <c r="L241" s="43" t="s">
        <v>237</v>
      </c>
      <c r="M241" s="44" t="s">
        <v>237</v>
      </c>
      <c r="N241" s="7"/>
      <c r="O241" s="8"/>
    </row>
    <row r="242" spans="1:15" x14ac:dyDescent="0.25">
      <c r="A242" s="3">
        <v>708</v>
      </c>
      <c r="B242" s="4" t="s">
        <v>442</v>
      </c>
      <c r="C242" s="147">
        <v>3</v>
      </c>
      <c r="D242" s="5">
        <v>9903</v>
      </c>
      <c r="E242" s="43" t="s">
        <v>237</v>
      </c>
      <c r="F242" s="43" t="s">
        <v>237</v>
      </c>
      <c r="G242" s="43" t="s">
        <v>237</v>
      </c>
      <c r="H242" s="43" t="s">
        <v>237</v>
      </c>
      <c r="I242" s="43" t="s">
        <v>237</v>
      </c>
      <c r="J242" s="43" t="s">
        <v>237</v>
      </c>
      <c r="K242" s="43" t="s">
        <v>237</v>
      </c>
      <c r="L242" s="43" t="s">
        <v>237</v>
      </c>
      <c r="M242" s="44" t="s">
        <v>237</v>
      </c>
      <c r="N242" s="7"/>
      <c r="O242" s="8"/>
    </row>
    <row r="243" spans="1:15" x14ac:dyDescent="0.25">
      <c r="A243" s="3">
        <v>709</v>
      </c>
      <c r="B243" s="4" t="s">
        <v>443</v>
      </c>
      <c r="C243" s="147">
        <v>3</v>
      </c>
      <c r="D243" s="5">
        <v>9904</v>
      </c>
      <c r="E243" s="43" t="s">
        <v>237</v>
      </c>
      <c r="F243" s="43" t="s">
        <v>237</v>
      </c>
      <c r="G243" s="43" t="s">
        <v>237</v>
      </c>
      <c r="H243" s="43" t="s">
        <v>237</v>
      </c>
      <c r="I243" s="43" t="s">
        <v>237</v>
      </c>
      <c r="J243" s="43" t="s">
        <v>237</v>
      </c>
      <c r="K243" s="43" t="s">
        <v>237</v>
      </c>
      <c r="L243" s="43" t="s">
        <v>237</v>
      </c>
      <c r="M243" s="44" t="s">
        <v>237</v>
      </c>
      <c r="N243" s="7"/>
      <c r="O243" s="8"/>
    </row>
    <row r="244" spans="1:15" x14ac:dyDescent="0.25">
      <c r="A244" s="3">
        <v>710</v>
      </c>
      <c r="B244" s="4" t="s">
        <v>444</v>
      </c>
      <c r="C244" s="147">
        <v>3</v>
      </c>
      <c r="D244" s="5">
        <v>9908</v>
      </c>
      <c r="E244" s="43" t="s">
        <v>237</v>
      </c>
      <c r="F244" s="43" t="s">
        <v>237</v>
      </c>
      <c r="G244" s="43" t="s">
        <v>237</v>
      </c>
      <c r="H244" s="43" t="s">
        <v>237</v>
      </c>
      <c r="I244" s="43" t="s">
        <v>237</v>
      </c>
      <c r="J244" s="43" t="s">
        <v>237</v>
      </c>
      <c r="K244" s="43" t="s">
        <v>237</v>
      </c>
      <c r="L244" s="43" t="s">
        <v>237</v>
      </c>
      <c r="M244" s="44" t="s">
        <v>237</v>
      </c>
      <c r="N244" s="7"/>
      <c r="O244" s="8"/>
    </row>
    <row r="245" spans="1:15" x14ac:dyDescent="0.25">
      <c r="A245" s="3">
        <v>711</v>
      </c>
      <c r="B245" s="4" t="s">
        <v>445</v>
      </c>
      <c r="C245" s="147">
        <v>3</v>
      </c>
      <c r="D245" s="5">
        <v>9950</v>
      </c>
      <c r="E245" s="43" t="s">
        <v>237</v>
      </c>
      <c r="F245" s="43" t="s">
        <v>237</v>
      </c>
      <c r="G245" s="43" t="s">
        <v>237</v>
      </c>
      <c r="H245" s="43" t="s">
        <v>237</v>
      </c>
      <c r="I245" s="43" t="s">
        <v>237</v>
      </c>
      <c r="J245" s="43" t="s">
        <v>237</v>
      </c>
      <c r="K245" s="43" t="s">
        <v>237</v>
      </c>
      <c r="L245" s="43" t="s">
        <v>237</v>
      </c>
      <c r="M245" s="44" t="s">
        <v>237</v>
      </c>
      <c r="N245" s="7"/>
      <c r="O245" s="8"/>
    </row>
    <row r="246" spans="1:15" x14ac:dyDescent="0.25">
      <c r="A246" s="3">
        <v>712</v>
      </c>
      <c r="B246" s="4" t="s">
        <v>446</v>
      </c>
      <c r="C246" s="147">
        <v>3</v>
      </c>
      <c r="D246" s="5">
        <v>9951</v>
      </c>
      <c r="E246" s="43" t="s">
        <v>237</v>
      </c>
      <c r="F246" s="43" t="s">
        <v>237</v>
      </c>
      <c r="G246" s="43" t="s">
        <v>237</v>
      </c>
      <c r="H246" s="43" t="s">
        <v>237</v>
      </c>
      <c r="I246" s="43" t="s">
        <v>237</v>
      </c>
      <c r="J246" s="43" t="s">
        <v>237</v>
      </c>
      <c r="K246" s="43" t="s">
        <v>237</v>
      </c>
      <c r="L246" s="43" t="s">
        <v>237</v>
      </c>
      <c r="M246" s="44" t="s">
        <v>237</v>
      </c>
      <c r="N246" s="7"/>
      <c r="O246" s="8"/>
    </row>
    <row r="247" spans="1:15" x14ac:dyDescent="0.25">
      <c r="A247" s="3">
        <v>713</v>
      </c>
      <c r="B247" s="4" t="s">
        <v>447</v>
      </c>
      <c r="C247" s="147">
        <v>1</v>
      </c>
      <c r="D247" s="5">
        <v>4051</v>
      </c>
      <c r="E247" s="43" t="s">
        <v>237</v>
      </c>
      <c r="F247" s="6">
        <v>12</v>
      </c>
      <c r="G247" s="43" t="s">
        <v>237</v>
      </c>
      <c r="H247" s="43" t="s">
        <v>237</v>
      </c>
      <c r="I247" s="6">
        <v>12</v>
      </c>
      <c r="J247" s="43" t="s">
        <v>237</v>
      </c>
      <c r="K247" s="6">
        <v>12</v>
      </c>
      <c r="L247" s="43" t="s">
        <v>237</v>
      </c>
      <c r="M247" s="44" t="s">
        <v>237</v>
      </c>
      <c r="N247" s="7"/>
      <c r="O247" s="8"/>
    </row>
    <row r="248" spans="1:15" x14ac:dyDescent="0.25">
      <c r="A248" s="3">
        <v>714</v>
      </c>
      <c r="B248" s="4" t="s">
        <v>448</v>
      </c>
      <c r="C248" s="147">
        <v>2</v>
      </c>
      <c r="D248" s="5">
        <v>9217</v>
      </c>
      <c r="E248" s="9">
        <v>34</v>
      </c>
      <c r="F248" s="43" t="s">
        <v>237</v>
      </c>
      <c r="G248" s="43" t="s">
        <v>237</v>
      </c>
      <c r="H248" s="43" t="s">
        <v>237</v>
      </c>
      <c r="I248" s="43" t="s">
        <v>237</v>
      </c>
      <c r="J248" s="43" t="s">
        <v>237</v>
      </c>
      <c r="K248" s="43" t="s">
        <v>237</v>
      </c>
      <c r="L248" s="43" t="s">
        <v>237</v>
      </c>
      <c r="M248" s="44" t="s">
        <v>237</v>
      </c>
      <c r="N248" s="7"/>
      <c r="O248" s="8"/>
    </row>
    <row r="249" spans="1:15" x14ac:dyDescent="0.25">
      <c r="A249" s="3">
        <v>715</v>
      </c>
      <c r="B249" s="4" t="s">
        <v>449</v>
      </c>
      <c r="C249" s="147">
        <v>2</v>
      </c>
      <c r="D249" s="5">
        <v>9217</v>
      </c>
      <c r="E249" s="9">
        <v>35</v>
      </c>
      <c r="F249" s="43" t="s">
        <v>237</v>
      </c>
      <c r="G249" s="43" t="s">
        <v>237</v>
      </c>
      <c r="H249" s="43" t="s">
        <v>237</v>
      </c>
      <c r="I249" s="43" t="s">
        <v>237</v>
      </c>
      <c r="J249" s="43" t="s">
        <v>237</v>
      </c>
      <c r="K249" s="43" t="s">
        <v>237</v>
      </c>
      <c r="L249" s="43" t="s">
        <v>237</v>
      </c>
      <c r="M249" s="44" t="s">
        <v>237</v>
      </c>
      <c r="N249" s="7"/>
      <c r="O249" s="8"/>
    </row>
    <row r="250" spans="1:15" x14ac:dyDescent="0.25">
      <c r="A250" s="3">
        <v>716</v>
      </c>
      <c r="B250" s="4" t="s">
        <v>450</v>
      </c>
      <c r="C250" s="147">
        <v>4</v>
      </c>
      <c r="D250" s="5">
        <v>9989</v>
      </c>
      <c r="E250" s="6">
        <v>11</v>
      </c>
      <c r="F250" s="43" t="s">
        <v>237</v>
      </c>
      <c r="G250" s="43" t="s">
        <v>237</v>
      </c>
      <c r="H250" s="43" t="s">
        <v>237</v>
      </c>
      <c r="I250" s="43" t="s">
        <v>237</v>
      </c>
      <c r="J250" s="43" t="s">
        <v>237</v>
      </c>
      <c r="K250" s="43" t="s">
        <v>237</v>
      </c>
      <c r="L250" s="43" t="s">
        <v>237</v>
      </c>
      <c r="M250" s="44" t="s">
        <v>237</v>
      </c>
      <c r="N250" s="7"/>
      <c r="O250" s="8"/>
    </row>
    <row r="251" spans="1:15" x14ac:dyDescent="0.25">
      <c r="A251" s="3">
        <v>717</v>
      </c>
      <c r="B251" s="4" t="s">
        <v>451</v>
      </c>
      <c r="C251" s="147">
        <v>2</v>
      </c>
      <c r="D251" s="5">
        <v>9201</v>
      </c>
      <c r="E251" s="9">
        <v>31</v>
      </c>
      <c r="F251" s="43" t="s">
        <v>237</v>
      </c>
      <c r="G251" s="9">
        <v>43</v>
      </c>
      <c r="H251" s="43" t="s">
        <v>237</v>
      </c>
      <c r="I251" s="43" t="s">
        <v>237</v>
      </c>
      <c r="J251" s="43" t="s">
        <v>237</v>
      </c>
      <c r="K251" s="43" t="s">
        <v>237</v>
      </c>
      <c r="L251" s="43" t="s">
        <v>237</v>
      </c>
      <c r="M251" s="44" t="s">
        <v>237</v>
      </c>
      <c r="N251" s="7"/>
      <c r="O251" s="8"/>
    </row>
    <row r="252" spans="1:15" x14ac:dyDescent="0.25">
      <c r="A252" s="3">
        <v>1001</v>
      </c>
      <c r="B252" s="4" t="s">
        <v>452</v>
      </c>
      <c r="C252" s="147">
        <v>1</v>
      </c>
      <c r="D252" s="5">
        <v>9989</v>
      </c>
      <c r="E252" s="43" t="s">
        <v>237</v>
      </c>
      <c r="F252" s="43" t="s">
        <v>237</v>
      </c>
      <c r="G252" s="43" t="s">
        <v>237</v>
      </c>
      <c r="H252" s="43" t="s">
        <v>237</v>
      </c>
      <c r="I252" s="43" t="s">
        <v>237</v>
      </c>
      <c r="J252" s="43" t="s">
        <v>237</v>
      </c>
      <c r="K252" s="43" t="s">
        <v>237</v>
      </c>
      <c r="L252" s="43" t="s">
        <v>237</v>
      </c>
      <c r="M252" s="44" t="s">
        <v>237</v>
      </c>
      <c r="N252" s="7"/>
      <c r="O252" s="8"/>
    </row>
    <row r="253" spans="1:15" x14ac:dyDescent="0.25">
      <c r="A253" s="3">
        <v>1002</v>
      </c>
      <c r="B253" s="4" t="s">
        <v>453</v>
      </c>
      <c r="C253" s="147">
        <v>1</v>
      </c>
      <c r="D253" s="5">
        <v>1299</v>
      </c>
      <c r="E253" s="6">
        <v>11</v>
      </c>
      <c r="F253" s="43" t="s">
        <v>237</v>
      </c>
      <c r="G253" s="6">
        <v>11</v>
      </c>
      <c r="H253" s="43" t="s">
        <v>237</v>
      </c>
      <c r="I253" s="43" t="s">
        <v>237</v>
      </c>
      <c r="J253" s="6">
        <v>11</v>
      </c>
      <c r="K253" s="43" t="s">
        <v>237</v>
      </c>
      <c r="L253" s="43" t="s">
        <v>237</v>
      </c>
      <c r="M253" s="44" t="s">
        <v>237</v>
      </c>
      <c r="N253" s="7"/>
      <c r="O253" s="8"/>
    </row>
    <row r="254" spans="1:15" x14ac:dyDescent="0.25">
      <c r="A254" s="3">
        <v>1003</v>
      </c>
      <c r="B254" s="4" t="s">
        <v>454</v>
      </c>
      <c r="C254" s="147">
        <v>1</v>
      </c>
      <c r="D254" s="5">
        <v>6006</v>
      </c>
      <c r="E254" s="43" t="s">
        <v>237</v>
      </c>
      <c r="F254" s="43" t="s">
        <v>237</v>
      </c>
      <c r="G254" s="43" t="s">
        <v>237</v>
      </c>
      <c r="H254" s="43" t="s">
        <v>237</v>
      </c>
      <c r="I254" s="43" t="s">
        <v>237</v>
      </c>
      <c r="J254" s="43" t="s">
        <v>237</v>
      </c>
      <c r="K254" s="43" t="s">
        <v>237</v>
      </c>
      <c r="L254" s="43" t="s">
        <v>237</v>
      </c>
      <c r="M254" s="44" t="s">
        <v>237</v>
      </c>
      <c r="N254" s="7"/>
      <c r="O254" s="8"/>
    </row>
    <row r="255" spans="1:15" x14ac:dyDescent="0.25">
      <c r="A255" s="3">
        <v>1004</v>
      </c>
      <c r="B255" s="4" t="s">
        <v>455</v>
      </c>
      <c r="C255" s="147">
        <v>3</v>
      </c>
      <c r="D255" s="5">
        <v>6006</v>
      </c>
      <c r="E255" s="43" t="s">
        <v>237</v>
      </c>
      <c r="F255" s="43" t="s">
        <v>237</v>
      </c>
      <c r="G255" s="43" t="s">
        <v>237</v>
      </c>
      <c r="H255" s="43" t="s">
        <v>237</v>
      </c>
      <c r="I255" s="43" t="s">
        <v>237</v>
      </c>
      <c r="J255" s="43" t="s">
        <v>237</v>
      </c>
      <c r="K255" s="43" t="s">
        <v>237</v>
      </c>
      <c r="L255" s="43" t="s">
        <v>237</v>
      </c>
      <c r="M255" s="44" t="s">
        <v>237</v>
      </c>
      <c r="N255" s="7"/>
      <c r="O255" s="8"/>
    </row>
    <row r="256" spans="1:15" ht="15.75" thickBot="1" x14ac:dyDescent="0.3">
      <c r="A256" s="31">
        <v>1005</v>
      </c>
      <c r="B256" s="32" t="s">
        <v>456</v>
      </c>
      <c r="C256" s="148">
        <v>1</v>
      </c>
      <c r="D256" s="33">
        <v>6106</v>
      </c>
      <c r="E256" s="46" t="s">
        <v>237</v>
      </c>
      <c r="F256" s="46" t="s">
        <v>237</v>
      </c>
      <c r="G256" s="55">
        <v>74</v>
      </c>
      <c r="H256" s="46" t="s">
        <v>237</v>
      </c>
      <c r="I256" s="46" t="s">
        <v>237</v>
      </c>
      <c r="J256" s="46" t="s">
        <v>237</v>
      </c>
      <c r="K256" s="46" t="s">
        <v>237</v>
      </c>
      <c r="L256" s="46" t="s">
        <v>237</v>
      </c>
      <c r="M256" s="47" t="s">
        <v>237</v>
      </c>
      <c r="N256" s="7"/>
      <c r="O256" s="8"/>
    </row>
    <row r="257" spans="4:15" ht="15.75" thickTop="1" x14ac:dyDescent="0.25">
      <c r="D257" s="5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8"/>
    </row>
  </sheetData>
  <autoFilter ref="A4:O256" xr:uid="{C0F6404F-89FB-4A96-B2FF-08765F88DB45}"/>
  <mergeCells count="1">
    <mergeCell ref="A3:M3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8BEF-F032-4C82-A0F9-1DFA90E666EE}">
  <sheetPr>
    <tabColor rgb="FF7030A0"/>
  </sheetPr>
  <dimension ref="A1:C40"/>
  <sheetViews>
    <sheetView zoomScale="95" zoomScaleNormal="95" workbookViewId="0">
      <selection activeCell="E6" sqref="E6"/>
    </sheetView>
  </sheetViews>
  <sheetFormatPr defaultRowHeight="15" x14ac:dyDescent="0.25"/>
  <cols>
    <col min="1" max="1" width="12.140625" style="68" customWidth="1"/>
    <col min="2" max="2" width="13" style="68" customWidth="1"/>
    <col min="3" max="3" width="59" style="68" customWidth="1"/>
    <col min="4" max="16384" width="9.140625" style="68"/>
  </cols>
  <sheetData>
    <row r="1" spans="1:3" s="66" customFormat="1" ht="32.25" customHeight="1" thickTop="1" thickBot="1" x14ac:dyDescent="0.3">
      <c r="A1" s="63" t="s">
        <v>461</v>
      </c>
      <c r="B1" s="64" t="s">
        <v>462</v>
      </c>
      <c r="C1" s="65" t="s">
        <v>463</v>
      </c>
    </row>
    <row r="2" spans="1:3" ht="30.75" customHeight="1" thickBot="1" x14ac:dyDescent="0.3">
      <c r="A2" s="67">
        <v>1</v>
      </c>
      <c r="B2" s="200" t="s">
        <v>464</v>
      </c>
      <c r="C2" s="201"/>
    </row>
    <row r="3" spans="1:3" ht="45.75" customHeight="1" thickBot="1" x14ac:dyDescent="0.3">
      <c r="A3" s="202"/>
      <c r="B3" s="203">
        <v>0</v>
      </c>
      <c r="C3" s="204" t="s">
        <v>465</v>
      </c>
    </row>
    <row r="4" spans="1:3" ht="12.75" customHeight="1" thickBot="1" x14ac:dyDescent="0.3">
      <c r="A4" s="202"/>
      <c r="B4" s="203"/>
      <c r="C4" s="204"/>
    </row>
    <row r="5" spans="1:3" ht="47.25" customHeight="1" thickBot="1" x14ac:dyDescent="0.3">
      <c r="A5" s="202"/>
      <c r="B5" s="203">
        <v>2</v>
      </c>
      <c r="C5" s="204" t="s">
        <v>466</v>
      </c>
    </row>
    <row r="6" spans="1:3" ht="12" customHeight="1" thickBot="1" x14ac:dyDescent="0.3">
      <c r="A6" s="202"/>
      <c r="B6" s="203"/>
      <c r="C6" s="204"/>
    </row>
    <row r="7" spans="1:3" ht="13.5" customHeight="1" thickBot="1" x14ac:dyDescent="0.3">
      <c r="A7" s="202"/>
      <c r="B7" s="203"/>
      <c r="C7" s="204"/>
    </row>
    <row r="8" spans="1:3" ht="20.25" customHeight="1" thickBot="1" x14ac:dyDescent="0.3">
      <c r="A8" s="202"/>
      <c r="B8" s="69">
        <v>3</v>
      </c>
      <c r="C8" s="70" t="s">
        <v>467</v>
      </c>
    </row>
    <row r="9" spans="1:3" ht="30.75" thickBot="1" x14ac:dyDescent="0.3">
      <c r="A9" s="202"/>
      <c r="B9" s="69">
        <v>4</v>
      </c>
      <c r="C9" s="70" t="s">
        <v>468</v>
      </c>
    </row>
    <row r="10" spans="1:3" ht="15.75" thickBot="1" x14ac:dyDescent="0.3">
      <c r="A10" s="202"/>
      <c r="B10" s="203">
        <v>6</v>
      </c>
      <c r="C10" s="205" t="s">
        <v>469</v>
      </c>
    </row>
    <row r="11" spans="1:3" ht="21" customHeight="1" thickBot="1" x14ac:dyDescent="0.3">
      <c r="A11" s="202"/>
      <c r="B11" s="203"/>
      <c r="C11" s="205"/>
    </row>
    <row r="12" spans="1:3" ht="15.75" thickBot="1" x14ac:dyDescent="0.3">
      <c r="A12" s="202"/>
      <c r="B12" s="69">
        <v>8</v>
      </c>
      <c r="C12" s="70" t="s">
        <v>470</v>
      </c>
    </row>
    <row r="13" spans="1:3" ht="44.25" customHeight="1" thickBot="1" x14ac:dyDescent="0.3">
      <c r="A13" s="67">
        <v>2</v>
      </c>
      <c r="B13" s="200" t="s">
        <v>471</v>
      </c>
      <c r="C13" s="201"/>
    </row>
    <row r="14" spans="1:3" ht="36" customHeight="1" thickBot="1" x14ac:dyDescent="0.3">
      <c r="A14" s="67">
        <v>3</v>
      </c>
      <c r="B14" s="200" t="s">
        <v>472</v>
      </c>
      <c r="C14" s="201"/>
    </row>
    <row r="15" spans="1:3" ht="30.75" thickBot="1" x14ac:dyDescent="0.3">
      <c r="A15" s="71"/>
      <c r="B15" s="69">
        <v>5</v>
      </c>
      <c r="C15" s="72" t="s">
        <v>473</v>
      </c>
    </row>
    <row r="16" spans="1:3" ht="33" customHeight="1" thickBot="1" x14ac:dyDescent="0.3">
      <c r="A16" s="67">
        <v>4</v>
      </c>
      <c r="B16" s="200" t="s">
        <v>474</v>
      </c>
      <c r="C16" s="201"/>
    </row>
    <row r="17" spans="1:3" ht="31.5" customHeight="1" thickBot="1" x14ac:dyDescent="0.3">
      <c r="A17" s="67">
        <v>5</v>
      </c>
      <c r="B17" s="200" t="s">
        <v>475</v>
      </c>
      <c r="C17" s="201"/>
    </row>
    <row r="18" spans="1:3" ht="30.75" thickBot="1" x14ac:dyDescent="0.3">
      <c r="A18" s="206"/>
      <c r="B18" s="69">
        <v>0</v>
      </c>
      <c r="C18" s="72" t="s">
        <v>476</v>
      </c>
    </row>
    <row r="19" spans="1:3" ht="15.75" thickBot="1" x14ac:dyDescent="0.3">
      <c r="A19" s="206"/>
      <c r="B19" s="69">
        <v>5</v>
      </c>
      <c r="C19" s="72" t="s">
        <v>477</v>
      </c>
    </row>
    <row r="20" spans="1:3" ht="48" customHeight="1" thickBot="1" x14ac:dyDescent="0.3">
      <c r="A20" s="67">
        <v>6</v>
      </c>
      <c r="B20" s="200" t="s">
        <v>478</v>
      </c>
      <c r="C20" s="201"/>
    </row>
    <row r="21" spans="1:3" ht="40.5" customHeight="1" thickBot="1" x14ac:dyDescent="0.3">
      <c r="A21" s="202"/>
      <c r="B21" s="69">
        <v>0</v>
      </c>
      <c r="C21" s="72" t="s">
        <v>479</v>
      </c>
    </row>
    <row r="22" spans="1:3" ht="15.75" thickBot="1" x14ac:dyDescent="0.3">
      <c r="A22" s="202"/>
      <c r="B22" s="69">
        <v>1</v>
      </c>
      <c r="C22" s="72" t="s">
        <v>480</v>
      </c>
    </row>
    <row r="23" spans="1:3" ht="15.75" thickBot="1" x14ac:dyDescent="0.3">
      <c r="A23" s="202"/>
      <c r="B23" s="69">
        <v>9</v>
      </c>
      <c r="C23" s="72" t="s">
        <v>481</v>
      </c>
    </row>
    <row r="24" spans="1:3" ht="39.75" customHeight="1" thickBot="1" x14ac:dyDescent="0.3">
      <c r="A24" s="67">
        <v>7</v>
      </c>
      <c r="B24" s="200" t="s">
        <v>482</v>
      </c>
      <c r="C24" s="201"/>
    </row>
    <row r="25" spans="1:3" ht="16.5" customHeight="1" thickBot="1" x14ac:dyDescent="0.3">
      <c r="A25" s="67">
        <v>9</v>
      </c>
      <c r="B25" s="200" t="s">
        <v>483</v>
      </c>
      <c r="C25" s="201"/>
    </row>
    <row r="26" spans="1:3" ht="40.5" customHeight="1" thickBot="1" x14ac:dyDescent="0.3">
      <c r="A26" s="206"/>
      <c r="B26" s="203">
        <v>2</v>
      </c>
      <c r="C26" s="205" t="s">
        <v>484</v>
      </c>
    </row>
    <row r="27" spans="1:3" ht="42.75" customHeight="1" thickBot="1" x14ac:dyDescent="0.3">
      <c r="A27" s="206"/>
      <c r="B27" s="203"/>
      <c r="C27" s="205"/>
    </row>
    <row r="28" spans="1:3" ht="44.25" customHeight="1" thickBot="1" x14ac:dyDescent="0.3">
      <c r="A28" s="210"/>
      <c r="B28" s="73">
        <v>9</v>
      </c>
      <c r="C28" s="74" t="s">
        <v>485</v>
      </c>
    </row>
    <row r="29" spans="1:3" ht="15.75" thickTop="1" x14ac:dyDescent="0.25">
      <c r="A29" s="207"/>
      <c r="B29" s="207"/>
      <c r="C29" s="207"/>
    </row>
    <row r="30" spans="1:3" x14ac:dyDescent="0.25">
      <c r="A30" s="40" t="s">
        <v>486</v>
      </c>
      <c r="B30" s="1"/>
      <c r="C30" s="1"/>
    </row>
    <row r="31" spans="1:3" ht="15.75" thickBot="1" x14ac:dyDescent="0.3">
      <c r="A31" s="40"/>
      <c r="B31" s="1"/>
      <c r="C31" s="1"/>
    </row>
    <row r="32" spans="1:3" ht="15.75" thickTop="1" x14ac:dyDescent="0.25">
      <c r="A32" s="75"/>
      <c r="B32" s="208" t="s">
        <v>487</v>
      </c>
      <c r="C32" s="209"/>
    </row>
    <row r="33" spans="1:3" x14ac:dyDescent="0.25">
      <c r="A33" s="75"/>
      <c r="B33" s="76" t="s">
        <v>0</v>
      </c>
      <c r="C33" s="77" t="s">
        <v>1</v>
      </c>
    </row>
    <row r="34" spans="1:3" x14ac:dyDescent="0.25">
      <c r="A34" s="75"/>
      <c r="B34" s="78">
        <v>1</v>
      </c>
      <c r="C34" s="79" t="s">
        <v>488</v>
      </c>
    </row>
    <row r="35" spans="1:3" x14ac:dyDescent="0.25">
      <c r="A35" s="75"/>
      <c r="B35" s="80">
        <v>2</v>
      </c>
      <c r="C35" s="81" t="s">
        <v>489</v>
      </c>
    </row>
    <row r="36" spans="1:3" x14ac:dyDescent="0.25">
      <c r="A36" s="75"/>
      <c r="B36" s="82">
        <v>3</v>
      </c>
      <c r="C36" s="83" t="s">
        <v>490</v>
      </c>
    </row>
    <row r="37" spans="1:3" ht="15.75" thickBot="1" x14ac:dyDescent="0.3">
      <c r="A37" s="75"/>
      <c r="B37" s="84">
        <v>4</v>
      </c>
      <c r="C37" s="85" t="s">
        <v>491</v>
      </c>
    </row>
    <row r="38" spans="1:3" ht="15.75" thickTop="1" x14ac:dyDescent="0.25">
      <c r="A38" s="1"/>
      <c r="B38" s="1"/>
      <c r="C38" s="1"/>
    </row>
    <row r="39" spans="1:3" s="86" customFormat="1" ht="12.75" x14ac:dyDescent="0.2">
      <c r="A39" s="40" t="s">
        <v>492</v>
      </c>
      <c r="B39" s="40" t="s">
        <v>493</v>
      </c>
      <c r="C39" s="40"/>
    </row>
    <row r="40" spans="1:3" x14ac:dyDescent="0.25">
      <c r="B40" s="40" t="s">
        <v>494</v>
      </c>
    </row>
  </sheetData>
  <mergeCells count="22">
    <mergeCell ref="A29:C29"/>
    <mergeCell ref="B32:C32"/>
    <mergeCell ref="A21:A23"/>
    <mergeCell ref="B24:C24"/>
    <mergeCell ref="B25:C25"/>
    <mergeCell ref="A26:A28"/>
    <mergeCell ref="B26:B27"/>
    <mergeCell ref="C26:C27"/>
    <mergeCell ref="B20:C20"/>
    <mergeCell ref="B2:C2"/>
    <mergeCell ref="A3:A12"/>
    <mergeCell ref="B3:B4"/>
    <mergeCell ref="C3:C4"/>
    <mergeCell ref="B5:B7"/>
    <mergeCell ref="C5:C7"/>
    <mergeCell ref="B10:B11"/>
    <mergeCell ref="C10:C11"/>
    <mergeCell ref="B13:C13"/>
    <mergeCell ref="B14:C14"/>
    <mergeCell ref="B16:C16"/>
    <mergeCell ref="B17:C17"/>
    <mergeCell ref="A18:A19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0DC9-424E-43FF-9406-FEB50181F912}">
  <sheetPr>
    <tabColor rgb="FFFFFF00"/>
  </sheetPr>
  <dimension ref="A1:C393"/>
  <sheetViews>
    <sheetView zoomScale="91" zoomScaleNormal="91" workbookViewId="0">
      <selection activeCell="D10" sqref="D10"/>
    </sheetView>
  </sheetViews>
  <sheetFormatPr defaultRowHeight="15" x14ac:dyDescent="0.25"/>
  <cols>
    <col min="1" max="1" width="9.140625" style="8"/>
    <col min="2" max="2" width="38.28515625" style="12" customWidth="1"/>
    <col min="3" max="3" width="69.85546875" style="12" customWidth="1"/>
    <col min="4" max="16384" width="9.140625" style="1"/>
  </cols>
  <sheetData>
    <row r="1" spans="1:3" ht="20.25" thickTop="1" thickBot="1" x14ac:dyDescent="0.3">
      <c r="A1" s="213" t="s">
        <v>495</v>
      </c>
      <c r="B1" s="213"/>
      <c r="C1" s="213"/>
    </row>
    <row r="2" spans="1:3" ht="16.5" thickTop="1" thickBot="1" x14ac:dyDescent="0.3">
      <c r="A2" s="87" t="s">
        <v>496</v>
      </c>
      <c r="B2" s="87" t="s">
        <v>497</v>
      </c>
      <c r="C2" s="87" t="s">
        <v>498</v>
      </c>
    </row>
    <row r="3" spans="1:3" ht="16.5" thickTop="1" thickBot="1" x14ac:dyDescent="0.3">
      <c r="A3" s="211">
        <v>1000</v>
      </c>
      <c r="B3" s="212" t="s">
        <v>499</v>
      </c>
      <c r="C3" s="212" t="s">
        <v>500</v>
      </c>
    </row>
    <row r="4" spans="1:3" ht="16.5" thickTop="1" thickBot="1" x14ac:dyDescent="0.3">
      <c r="A4" s="211"/>
      <c r="B4" s="212"/>
      <c r="C4" s="212"/>
    </row>
    <row r="5" spans="1:3" ht="16.5" thickTop="1" thickBot="1" x14ac:dyDescent="0.3">
      <c r="A5" s="211"/>
      <c r="B5" s="212"/>
      <c r="C5" s="212"/>
    </row>
    <row r="6" spans="1:3" ht="16.5" thickTop="1" thickBot="1" x14ac:dyDescent="0.3">
      <c r="A6" s="211">
        <v>1002</v>
      </c>
      <c r="B6" s="212" t="s">
        <v>501</v>
      </c>
      <c r="C6" s="212" t="s">
        <v>502</v>
      </c>
    </row>
    <row r="7" spans="1:3" ht="16.5" thickTop="1" thickBot="1" x14ac:dyDescent="0.3">
      <c r="A7" s="211"/>
      <c r="B7" s="212"/>
      <c r="C7" s="212"/>
    </row>
    <row r="8" spans="1:3" ht="16.5" thickTop="1" thickBot="1" x14ac:dyDescent="0.3">
      <c r="A8" s="211"/>
      <c r="B8" s="212"/>
      <c r="C8" s="212"/>
    </row>
    <row r="9" spans="1:3" ht="16.5" thickTop="1" thickBot="1" x14ac:dyDescent="0.3">
      <c r="A9" s="211">
        <v>1003</v>
      </c>
      <c r="B9" s="212" t="s">
        <v>503</v>
      </c>
      <c r="C9" s="212" t="s">
        <v>504</v>
      </c>
    </row>
    <row r="10" spans="1:3" ht="16.5" thickTop="1" thickBot="1" x14ac:dyDescent="0.3">
      <c r="A10" s="211"/>
      <c r="B10" s="212"/>
      <c r="C10" s="212"/>
    </row>
    <row r="11" spans="1:3" ht="16.5" thickTop="1" thickBot="1" x14ac:dyDescent="0.3">
      <c r="A11" s="211">
        <v>1004</v>
      </c>
      <c r="B11" s="212" t="s">
        <v>505</v>
      </c>
      <c r="C11" s="212" t="s">
        <v>506</v>
      </c>
    </row>
    <row r="12" spans="1:3" ht="16.5" thickTop="1" thickBot="1" x14ac:dyDescent="0.3">
      <c r="A12" s="211"/>
      <c r="B12" s="212"/>
      <c r="C12" s="212"/>
    </row>
    <row r="13" spans="1:3" ht="16.5" thickTop="1" thickBot="1" x14ac:dyDescent="0.3">
      <c r="A13" s="211"/>
      <c r="B13" s="212"/>
      <c r="C13" s="212"/>
    </row>
    <row r="14" spans="1:3" ht="16.5" thickTop="1" thickBot="1" x14ac:dyDescent="0.3">
      <c r="A14" s="211">
        <v>1005</v>
      </c>
      <c r="B14" s="212" t="s">
        <v>507</v>
      </c>
      <c r="C14" s="212" t="s">
        <v>508</v>
      </c>
    </row>
    <row r="15" spans="1:3" ht="16.5" thickTop="1" thickBot="1" x14ac:dyDescent="0.3">
      <c r="A15" s="211"/>
      <c r="B15" s="212"/>
      <c r="C15" s="212"/>
    </row>
    <row r="16" spans="1:3" ht="16.5" thickTop="1" thickBot="1" x14ac:dyDescent="0.3">
      <c r="A16" s="211">
        <v>1006</v>
      </c>
      <c r="B16" s="212" t="s">
        <v>509</v>
      </c>
      <c r="C16" s="212" t="s">
        <v>510</v>
      </c>
    </row>
    <row r="17" spans="1:3" ht="16.5" thickTop="1" thickBot="1" x14ac:dyDescent="0.3">
      <c r="A17" s="211"/>
      <c r="B17" s="212"/>
      <c r="C17" s="212"/>
    </row>
    <row r="18" spans="1:3" ht="16.5" thickTop="1" thickBot="1" x14ac:dyDescent="0.3">
      <c r="A18" s="88">
        <v>1007</v>
      </c>
      <c r="B18" s="89" t="s">
        <v>511</v>
      </c>
      <c r="C18" s="89" t="s">
        <v>512</v>
      </c>
    </row>
    <row r="19" spans="1:3" ht="16.5" thickTop="1" thickBot="1" x14ac:dyDescent="0.3">
      <c r="A19" s="211">
        <v>1009</v>
      </c>
      <c r="B19" s="212" t="s">
        <v>513</v>
      </c>
      <c r="C19" s="212" t="s">
        <v>514</v>
      </c>
    </row>
    <row r="20" spans="1:3" ht="16.5" thickTop="1" thickBot="1" x14ac:dyDescent="0.3">
      <c r="A20" s="211"/>
      <c r="B20" s="212"/>
      <c r="C20" s="212"/>
    </row>
    <row r="21" spans="1:3" ht="16.5" thickTop="1" thickBot="1" x14ac:dyDescent="0.3">
      <c r="A21" s="211">
        <v>1010</v>
      </c>
      <c r="B21" s="212" t="s">
        <v>37</v>
      </c>
      <c r="C21" s="212" t="s">
        <v>515</v>
      </c>
    </row>
    <row r="22" spans="1:3" ht="16.5" thickTop="1" thickBot="1" x14ac:dyDescent="0.3">
      <c r="A22" s="211"/>
      <c r="B22" s="212"/>
      <c r="C22" s="212"/>
    </row>
    <row r="23" spans="1:3" ht="16.5" thickTop="1" thickBot="1" x14ac:dyDescent="0.3">
      <c r="A23" s="88">
        <v>1011</v>
      </c>
      <c r="B23" s="89" t="s">
        <v>516</v>
      </c>
      <c r="C23" s="89" t="s">
        <v>517</v>
      </c>
    </row>
    <row r="24" spans="1:3" ht="16.5" thickTop="1" thickBot="1" x14ac:dyDescent="0.3">
      <c r="A24" s="211">
        <v>1020</v>
      </c>
      <c r="B24" s="212" t="s">
        <v>518</v>
      </c>
      <c r="C24" s="212" t="s">
        <v>519</v>
      </c>
    </row>
    <row r="25" spans="1:3" ht="16.5" thickTop="1" thickBot="1" x14ac:dyDescent="0.3">
      <c r="A25" s="211"/>
      <c r="B25" s="212"/>
      <c r="C25" s="212"/>
    </row>
    <row r="26" spans="1:3" ht="16.5" thickTop="1" thickBot="1" x14ac:dyDescent="0.3">
      <c r="A26" s="211"/>
      <c r="B26" s="212"/>
      <c r="C26" s="212"/>
    </row>
    <row r="27" spans="1:3" ht="12" customHeight="1" thickTop="1" thickBot="1" x14ac:dyDescent="0.3">
      <c r="A27" s="211"/>
      <c r="B27" s="212"/>
      <c r="C27" s="212"/>
    </row>
    <row r="28" spans="1:3" ht="16.5" thickTop="1" thickBot="1" x14ac:dyDescent="0.3">
      <c r="A28" s="211">
        <v>1021</v>
      </c>
      <c r="B28" s="212" t="s">
        <v>520</v>
      </c>
      <c r="C28" s="212" t="s">
        <v>521</v>
      </c>
    </row>
    <row r="29" spans="1:3" ht="16.5" thickTop="1" thickBot="1" x14ac:dyDescent="0.3">
      <c r="A29" s="211"/>
      <c r="B29" s="212"/>
      <c r="C29" s="212"/>
    </row>
    <row r="30" spans="1:3" ht="16.5" thickTop="1" thickBot="1" x14ac:dyDescent="0.3">
      <c r="A30" s="211"/>
      <c r="B30" s="212"/>
      <c r="C30" s="212"/>
    </row>
    <row r="31" spans="1:3" ht="16.5" thickTop="1" thickBot="1" x14ac:dyDescent="0.3">
      <c r="A31" s="211"/>
      <c r="B31" s="212"/>
      <c r="C31" s="212"/>
    </row>
    <row r="32" spans="1:3" ht="16.5" thickTop="1" thickBot="1" x14ac:dyDescent="0.3">
      <c r="A32" s="211">
        <v>1022</v>
      </c>
      <c r="B32" s="212" t="s">
        <v>522</v>
      </c>
      <c r="C32" s="212" t="s">
        <v>523</v>
      </c>
    </row>
    <row r="33" spans="1:3" ht="16.5" thickTop="1" thickBot="1" x14ac:dyDescent="0.3">
      <c r="A33" s="211"/>
      <c r="B33" s="212"/>
      <c r="C33" s="212"/>
    </row>
    <row r="34" spans="1:3" ht="16.5" thickTop="1" thickBot="1" x14ac:dyDescent="0.3">
      <c r="A34" s="211"/>
      <c r="B34" s="212"/>
      <c r="C34" s="212"/>
    </row>
    <row r="35" spans="1:3" ht="16.5" thickTop="1" thickBot="1" x14ac:dyDescent="0.3">
      <c r="A35" s="211"/>
      <c r="B35" s="212"/>
      <c r="C35" s="212"/>
    </row>
    <row r="36" spans="1:3" ht="16.5" thickTop="1" thickBot="1" x14ac:dyDescent="0.3">
      <c r="A36" s="211">
        <v>1023</v>
      </c>
      <c r="B36" s="212" t="s">
        <v>524</v>
      </c>
      <c r="C36" s="212" t="s">
        <v>525</v>
      </c>
    </row>
    <row r="37" spans="1:3" ht="16.5" thickTop="1" thickBot="1" x14ac:dyDescent="0.3">
      <c r="A37" s="211"/>
      <c r="B37" s="212"/>
      <c r="C37" s="212"/>
    </row>
    <row r="38" spans="1:3" ht="16.5" thickTop="1" thickBot="1" x14ac:dyDescent="0.3">
      <c r="A38" s="211"/>
      <c r="B38" s="212"/>
      <c r="C38" s="212"/>
    </row>
    <row r="39" spans="1:3" ht="16.5" thickTop="1" thickBot="1" x14ac:dyDescent="0.3">
      <c r="A39" s="211">
        <v>1024</v>
      </c>
      <c r="B39" s="212" t="s">
        <v>526</v>
      </c>
      <c r="C39" s="212" t="s">
        <v>527</v>
      </c>
    </row>
    <row r="40" spans="1:3" ht="16.5" thickTop="1" thickBot="1" x14ac:dyDescent="0.3">
      <c r="A40" s="211"/>
      <c r="B40" s="212"/>
      <c r="C40" s="212"/>
    </row>
    <row r="41" spans="1:3" ht="16.5" thickTop="1" thickBot="1" x14ac:dyDescent="0.3">
      <c r="A41" s="211"/>
      <c r="B41" s="212"/>
      <c r="C41" s="212"/>
    </row>
    <row r="42" spans="1:3" ht="16.5" thickTop="1" thickBot="1" x14ac:dyDescent="0.3">
      <c r="A42" s="211">
        <v>1040</v>
      </c>
      <c r="B42" s="212" t="s">
        <v>528</v>
      </c>
      <c r="C42" s="212" t="s">
        <v>529</v>
      </c>
    </row>
    <row r="43" spans="1:3" ht="16.5" thickTop="1" thickBot="1" x14ac:dyDescent="0.3">
      <c r="A43" s="211"/>
      <c r="B43" s="212"/>
      <c r="C43" s="212"/>
    </row>
    <row r="44" spans="1:3" ht="16.5" thickTop="1" thickBot="1" x14ac:dyDescent="0.3">
      <c r="A44" s="88">
        <v>1041</v>
      </c>
      <c r="B44" s="89" t="s">
        <v>530</v>
      </c>
      <c r="C44" s="89" t="s">
        <v>531</v>
      </c>
    </row>
    <row r="45" spans="1:3" ht="16.5" thickTop="1" thickBot="1" x14ac:dyDescent="0.3">
      <c r="A45" s="211">
        <v>1050</v>
      </c>
      <c r="B45" s="212" t="s">
        <v>532</v>
      </c>
      <c r="C45" s="212" t="s">
        <v>533</v>
      </c>
    </row>
    <row r="46" spans="1:3" ht="16.5" thickTop="1" thickBot="1" x14ac:dyDescent="0.3">
      <c r="A46" s="211"/>
      <c r="B46" s="212"/>
      <c r="C46" s="212"/>
    </row>
    <row r="47" spans="1:3" ht="16.5" thickTop="1" thickBot="1" x14ac:dyDescent="0.3">
      <c r="A47" s="88">
        <v>1080</v>
      </c>
      <c r="B47" s="90" t="s">
        <v>534</v>
      </c>
      <c r="C47" s="89" t="s">
        <v>535</v>
      </c>
    </row>
    <row r="48" spans="1:3" ht="16.5" thickTop="1" thickBot="1" x14ac:dyDescent="0.3">
      <c r="A48" s="88">
        <v>1099</v>
      </c>
      <c r="B48" s="89" t="s">
        <v>536</v>
      </c>
      <c r="C48" s="89" t="s">
        <v>537</v>
      </c>
    </row>
    <row r="49" spans="1:3" ht="16.5" thickTop="1" thickBot="1" x14ac:dyDescent="0.3">
      <c r="A49" s="211">
        <v>1201</v>
      </c>
      <c r="B49" s="212" t="s">
        <v>538</v>
      </c>
      <c r="C49" s="212" t="s">
        <v>539</v>
      </c>
    </row>
    <row r="50" spans="1:3" ht="16.5" thickTop="1" thickBot="1" x14ac:dyDescent="0.3">
      <c r="A50" s="211"/>
      <c r="B50" s="212"/>
      <c r="C50" s="212"/>
    </row>
    <row r="51" spans="1:3" ht="16.5" thickTop="1" thickBot="1" x14ac:dyDescent="0.3">
      <c r="A51" s="88">
        <v>1202</v>
      </c>
      <c r="B51" s="89" t="s">
        <v>52</v>
      </c>
      <c r="C51" s="89" t="s">
        <v>540</v>
      </c>
    </row>
    <row r="52" spans="1:3" ht="16.5" thickTop="1" thickBot="1" x14ac:dyDescent="0.3">
      <c r="A52" s="211">
        <v>1203</v>
      </c>
      <c r="B52" s="212" t="s">
        <v>53</v>
      </c>
      <c r="C52" s="212" t="s">
        <v>541</v>
      </c>
    </row>
    <row r="53" spans="1:3" ht="16.5" thickTop="1" thickBot="1" x14ac:dyDescent="0.3">
      <c r="A53" s="211"/>
      <c r="B53" s="212"/>
      <c r="C53" s="212"/>
    </row>
    <row r="54" spans="1:3" ht="16.5" thickTop="1" thickBot="1" x14ac:dyDescent="0.3">
      <c r="A54" s="211">
        <v>1204</v>
      </c>
      <c r="B54" s="212" t="s">
        <v>55</v>
      </c>
      <c r="C54" s="212" t="s">
        <v>542</v>
      </c>
    </row>
    <row r="55" spans="1:3" ht="16.5" thickTop="1" thickBot="1" x14ac:dyDescent="0.3">
      <c r="A55" s="211"/>
      <c r="B55" s="212"/>
      <c r="C55" s="212"/>
    </row>
    <row r="56" spans="1:3" ht="16.5" thickTop="1" thickBot="1" x14ac:dyDescent="0.3">
      <c r="A56" s="88">
        <v>1205</v>
      </c>
      <c r="B56" s="89" t="s">
        <v>48</v>
      </c>
      <c r="C56" s="89" t="s">
        <v>543</v>
      </c>
    </row>
    <row r="57" spans="1:3" ht="16.5" thickTop="1" thickBot="1" x14ac:dyDescent="0.3">
      <c r="A57" s="211">
        <v>1206</v>
      </c>
      <c r="B57" s="212" t="s">
        <v>54</v>
      </c>
      <c r="C57" s="212" t="s">
        <v>544</v>
      </c>
    </row>
    <row r="58" spans="1:3" ht="16.5" thickTop="1" thickBot="1" x14ac:dyDescent="0.3">
      <c r="A58" s="211"/>
      <c r="B58" s="212"/>
      <c r="C58" s="212"/>
    </row>
    <row r="59" spans="1:3" ht="16.5" thickTop="1" thickBot="1" x14ac:dyDescent="0.3">
      <c r="A59" s="211">
        <v>1207</v>
      </c>
      <c r="B59" s="212" t="s">
        <v>545</v>
      </c>
      <c r="C59" s="212" t="s">
        <v>546</v>
      </c>
    </row>
    <row r="60" spans="1:3" ht="16.5" thickTop="1" thickBot="1" x14ac:dyDescent="0.3">
      <c r="A60" s="211"/>
      <c r="B60" s="212"/>
      <c r="C60" s="212"/>
    </row>
    <row r="61" spans="1:3" ht="16.5" thickTop="1" thickBot="1" x14ac:dyDescent="0.3">
      <c r="A61" s="211">
        <v>1208</v>
      </c>
      <c r="B61" s="212" t="s">
        <v>547</v>
      </c>
      <c r="C61" s="212" t="s">
        <v>548</v>
      </c>
    </row>
    <row r="62" spans="1:3" ht="16.5" thickTop="1" thickBot="1" x14ac:dyDescent="0.3">
      <c r="A62" s="211"/>
      <c r="B62" s="212"/>
      <c r="C62" s="212"/>
    </row>
    <row r="63" spans="1:3" ht="16.5" thickTop="1" thickBot="1" x14ac:dyDescent="0.3">
      <c r="A63" s="211"/>
      <c r="B63" s="212"/>
      <c r="C63" s="212"/>
    </row>
    <row r="64" spans="1:3" ht="16.5" thickTop="1" thickBot="1" x14ac:dyDescent="0.3">
      <c r="A64" s="211">
        <v>1209</v>
      </c>
      <c r="B64" s="212" t="s">
        <v>549</v>
      </c>
      <c r="C64" s="212" t="s">
        <v>550</v>
      </c>
    </row>
    <row r="65" spans="1:3" ht="16.5" thickTop="1" thickBot="1" x14ac:dyDescent="0.3">
      <c r="A65" s="211"/>
      <c r="B65" s="212"/>
      <c r="C65" s="212"/>
    </row>
    <row r="66" spans="1:3" ht="16.5" thickTop="1" thickBot="1" x14ac:dyDescent="0.3">
      <c r="A66" s="211"/>
      <c r="B66" s="212"/>
      <c r="C66" s="212"/>
    </row>
    <row r="67" spans="1:3" ht="16.5" thickTop="1" thickBot="1" x14ac:dyDescent="0.3">
      <c r="A67" s="211">
        <v>1210</v>
      </c>
      <c r="B67" s="212" t="s">
        <v>551</v>
      </c>
      <c r="C67" s="212" t="s">
        <v>552</v>
      </c>
    </row>
    <row r="68" spans="1:3" ht="16.5" thickTop="1" thickBot="1" x14ac:dyDescent="0.3">
      <c r="A68" s="211"/>
      <c r="B68" s="212"/>
      <c r="C68" s="212"/>
    </row>
    <row r="69" spans="1:3" ht="16.5" thickTop="1" thickBot="1" x14ac:dyDescent="0.3">
      <c r="A69" s="211">
        <v>1211</v>
      </c>
      <c r="B69" s="212" t="s">
        <v>59</v>
      </c>
      <c r="C69" s="212" t="s">
        <v>553</v>
      </c>
    </row>
    <row r="70" spans="1:3" ht="16.5" thickTop="1" thickBot="1" x14ac:dyDescent="0.3">
      <c r="A70" s="211"/>
      <c r="B70" s="212"/>
      <c r="C70" s="212"/>
    </row>
    <row r="71" spans="1:3" ht="16.5" thickTop="1" thickBot="1" x14ac:dyDescent="0.3">
      <c r="A71" s="211"/>
      <c r="B71" s="212"/>
      <c r="C71" s="212"/>
    </row>
    <row r="72" spans="1:3" ht="16.5" thickTop="1" thickBot="1" x14ac:dyDescent="0.3">
      <c r="A72" s="211"/>
      <c r="B72" s="212"/>
      <c r="C72" s="212"/>
    </row>
    <row r="73" spans="1:3" ht="16.5" thickTop="1" thickBot="1" x14ac:dyDescent="0.3">
      <c r="A73" s="211">
        <v>1212</v>
      </c>
      <c r="B73" s="212" t="s">
        <v>554</v>
      </c>
      <c r="C73" s="212" t="s">
        <v>555</v>
      </c>
    </row>
    <row r="74" spans="1:3" ht="16.5" thickTop="1" thickBot="1" x14ac:dyDescent="0.3">
      <c r="A74" s="211"/>
      <c r="B74" s="212"/>
      <c r="C74" s="212"/>
    </row>
    <row r="75" spans="1:3" ht="16.5" thickTop="1" thickBot="1" x14ac:dyDescent="0.3">
      <c r="A75" s="211"/>
      <c r="B75" s="212"/>
      <c r="C75" s="212"/>
    </row>
    <row r="76" spans="1:3" ht="16.5" thickTop="1" thickBot="1" x14ac:dyDescent="0.3">
      <c r="A76" s="211">
        <v>1213</v>
      </c>
      <c r="B76" s="212" t="s">
        <v>556</v>
      </c>
      <c r="C76" s="212" t="s">
        <v>557</v>
      </c>
    </row>
    <row r="77" spans="1:3" ht="16.5" thickTop="1" thickBot="1" x14ac:dyDescent="0.3">
      <c r="A77" s="211"/>
      <c r="B77" s="212"/>
      <c r="C77" s="212"/>
    </row>
    <row r="78" spans="1:3" ht="16.5" thickTop="1" thickBot="1" x14ac:dyDescent="0.3">
      <c r="A78" s="211"/>
      <c r="B78" s="212"/>
      <c r="C78" s="212"/>
    </row>
    <row r="79" spans="1:3" ht="16.5" thickTop="1" thickBot="1" x14ac:dyDescent="0.3">
      <c r="A79" s="211">
        <v>1214</v>
      </c>
      <c r="B79" s="212" t="s">
        <v>558</v>
      </c>
      <c r="C79" s="212" t="s">
        <v>559</v>
      </c>
    </row>
    <row r="80" spans="1:3" ht="16.5" thickTop="1" thickBot="1" x14ac:dyDescent="0.3">
      <c r="A80" s="211"/>
      <c r="B80" s="212"/>
      <c r="C80" s="212"/>
    </row>
    <row r="81" spans="1:3" ht="16.5" thickTop="1" thickBot="1" x14ac:dyDescent="0.3">
      <c r="A81" s="211">
        <v>1215</v>
      </c>
      <c r="B81" s="212" t="s">
        <v>560</v>
      </c>
      <c r="C81" s="212" t="s">
        <v>561</v>
      </c>
    </row>
    <row r="82" spans="1:3" ht="16.5" thickTop="1" thickBot="1" x14ac:dyDescent="0.3">
      <c r="A82" s="211"/>
      <c r="B82" s="212"/>
      <c r="C82" s="212"/>
    </row>
    <row r="83" spans="1:3" ht="16.5" thickTop="1" thickBot="1" x14ac:dyDescent="0.3">
      <c r="A83" s="211">
        <v>1225</v>
      </c>
      <c r="B83" s="212" t="s">
        <v>58</v>
      </c>
      <c r="C83" s="214" t="s">
        <v>562</v>
      </c>
    </row>
    <row r="84" spans="1:3" ht="16.5" thickTop="1" thickBot="1" x14ac:dyDescent="0.3">
      <c r="A84" s="211"/>
      <c r="B84" s="212"/>
      <c r="C84" s="214"/>
    </row>
    <row r="85" spans="1:3" ht="16.5" thickTop="1" thickBot="1" x14ac:dyDescent="0.3">
      <c r="A85" s="211"/>
      <c r="B85" s="212"/>
      <c r="C85" s="214"/>
    </row>
    <row r="86" spans="1:3" ht="16.5" thickTop="1" thickBot="1" x14ac:dyDescent="0.3">
      <c r="A86" s="211">
        <v>1230</v>
      </c>
      <c r="B86" s="214" t="s">
        <v>563</v>
      </c>
      <c r="C86" s="214" t="s">
        <v>564</v>
      </c>
    </row>
    <row r="87" spans="1:3" ht="16.5" thickTop="1" thickBot="1" x14ac:dyDescent="0.3">
      <c r="A87" s="211"/>
      <c r="B87" s="214"/>
      <c r="C87" s="214"/>
    </row>
    <row r="88" spans="1:3" ht="16.5" thickTop="1" thickBot="1" x14ac:dyDescent="0.3">
      <c r="A88" s="211">
        <v>1299</v>
      </c>
      <c r="B88" s="212" t="s">
        <v>57</v>
      </c>
      <c r="C88" s="212" t="s">
        <v>565</v>
      </c>
    </row>
    <row r="89" spans="1:3" ht="16.5" thickTop="1" thickBot="1" x14ac:dyDescent="0.3">
      <c r="A89" s="211"/>
      <c r="B89" s="212"/>
      <c r="C89" s="212"/>
    </row>
    <row r="90" spans="1:3" ht="16.5" thickTop="1" thickBot="1" x14ac:dyDescent="0.3">
      <c r="A90" s="211">
        <v>1300</v>
      </c>
      <c r="B90" s="214" t="s">
        <v>566</v>
      </c>
      <c r="C90" s="214" t="s">
        <v>567</v>
      </c>
    </row>
    <row r="91" spans="1:3" ht="16.5" thickTop="1" thickBot="1" x14ac:dyDescent="0.3">
      <c r="A91" s="211"/>
      <c r="B91" s="214"/>
      <c r="C91" s="214"/>
    </row>
    <row r="92" spans="1:3" ht="16.5" thickTop="1" thickBot="1" x14ac:dyDescent="0.3">
      <c r="A92" s="211">
        <v>1350</v>
      </c>
      <c r="B92" s="212" t="s">
        <v>568</v>
      </c>
      <c r="C92" s="214" t="s">
        <v>569</v>
      </c>
    </row>
    <row r="93" spans="1:3" ht="16.5" thickTop="1" thickBot="1" x14ac:dyDescent="0.3">
      <c r="A93" s="211"/>
      <c r="B93" s="212"/>
      <c r="C93" s="214"/>
    </row>
    <row r="94" spans="1:3" ht="16.5" thickTop="1" thickBot="1" x14ac:dyDescent="0.3">
      <c r="A94" s="211"/>
      <c r="B94" s="212"/>
      <c r="C94" s="214"/>
    </row>
    <row r="95" spans="1:3" ht="16.5" thickTop="1" thickBot="1" x14ac:dyDescent="0.3">
      <c r="A95" s="211">
        <v>1351</v>
      </c>
      <c r="B95" s="214" t="s">
        <v>570</v>
      </c>
      <c r="C95" s="212" t="s">
        <v>571</v>
      </c>
    </row>
    <row r="96" spans="1:3" ht="16.5" thickTop="1" thickBot="1" x14ac:dyDescent="0.3">
      <c r="A96" s="211"/>
      <c r="B96" s="214"/>
      <c r="C96" s="212"/>
    </row>
    <row r="97" spans="1:3" ht="16.5" thickTop="1" thickBot="1" x14ac:dyDescent="0.3">
      <c r="A97" s="211">
        <v>1352</v>
      </c>
      <c r="B97" s="212" t="s">
        <v>572</v>
      </c>
      <c r="C97" s="214" t="s">
        <v>573</v>
      </c>
    </row>
    <row r="98" spans="1:3" ht="16.5" thickTop="1" thickBot="1" x14ac:dyDescent="0.3">
      <c r="A98" s="211"/>
      <c r="B98" s="212"/>
      <c r="C98" s="214"/>
    </row>
    <row r="99" spans="1:3" ht="16.5" thickTop="1" thickBot="1" x14ac:dyDescent="0.3">
      <c r="A99" s="211"/>
      <c r="B99" s="212"/>
      <c r="C99" s="214"/>
    </row>
    <row r="100" spans="1:3" ht="16.5" thickTop="1" thickBot="1" x14ac:dyDescent="0.3">
      <c r="A100" s="211">
        <v>1401</v>
      </c>
      <c r="B100" s="212" t="s">
        <v>574</v>
      </c>
      <c r="C100" s="214" t="s">
        <v>575</v>
      </c>
    </row>
    <row r="101" spans="1:3" ht="16.5" thickTop="1" thickBot="1" x14ac:dyDescent="0.3">
      <c r="A101" s="211"/>
      <c r="B101" s="212"/>
      <c r="C101" s="214"/>
    </row>
    <row r="102" spans="1:3" ht="16.5" thickTop="1" thickBot="1" x14ac:dyDescent="0.3">
      <c r="A102" s="211">
        <v>1402</v>
      </c>
      <c r="B102" s="212" t="s">
        <v>576</v>
      </c>
      <c r="C102" s="214" t="s">
        <v>577</v>
      </c>
    </row>
    <row r="103" spans="1:3" ht="16.5" thickTop="1" thickBot="1" x14ac:dyDescent="0.3">
      <c r="A103" s="211"/>
      <c r="B103" s="212"/>
      <c r="C103" s="214"/>
    </row>
    <row r="104" spans="1:3" ht="16.5" thickTop="1" thickBot="1" x14ac:dyDescent="0.3">
      <c r="A104" s="211">
        <v>1403</v>
      </c>
      <c r="B104" s="212" t="s">
        <v>68</v>
      </c>
      <c r="C104" s="214" t="s">
        <v>578</v>
      </c>
    </row>
    <row r="105" spans="1:3" ht="16.5" thickTop="1" thickBot="1" x14ac:dyDescent="0.3">
      <c r="A105" s="211"/>
      <c r="B105" s="212"/>
      <c r="C105" s="214"/>
    </row>
    <row r="106" spans="1:3" ht="16.5" thickTop="1" thickBot="1" x14ac:dyDescent="0.3">
      <c r="A106" s="211">
        <v>1404</v>
      </c>
      <c r="B106" s="212" t="s">
        <v>579</v>
      </c>
      <c r="C106" s="212" t="s">
        <v>580</v>
      </c>
    </row>
    <row r="107" spans="1:3" ht="16.5" thickTop="1" thickBot="1" x14ac:dyDescent="0.3">
      <c r="A107" s="211"/>
      <c r="B107" s="212"/>
      <c r="C107" s="212"/>
    </row>
    <row r="108" spans="1:3" ht="16.5" thickTop="1" thickBot="1" x14ac:dyDescent="0.3">
      <c r="A108" s="211"/>
      <c r="B108" s="212"/>
      <c r="C108" s="212"/>
    </row>
    <row r="109" spans="1:3" ht="16.5" thickTop="1" thickBot="1" x14ac:dyDescent="0.3">
      <c r="A109" s="211"/>
      <c r="B109" s="212"/>
      <c r="C109" s="212"/>
    </row>
    <row r="110" spans="1:3" ht="16.5" thickTop="1" thickBot="1" x14ac:dyDescent="0.3">
      <c r="A110" s="211"/>
      <c r="B110" s="212"/>
      <c r="C110" s="212"/>
    </row>
    <row r="111" spans="1:3" ht="16.5" thickTop="1" thickBot="1" x14ac:dyDescent="0.3">
      <c r="A111" s="211"/>
      <c r="B111" s="212"/>
      <c r="C111" s="212"/>
    </row>
    <row r="112" spans="1:3" ht="16.5" thickTop="1" thickBot="1" x14ac:dyDescent="0.3">
      <c r="A112" s="211"/>
      <c r="B112" s="212"/>
      <c r="C112" s="212"/>
    </row>
    <row r="113" spans="1:3" ht="16.5" thickTop="1" thickBot="1" x14ac:dyDescent="0.3">
      <c r="A113" s="211">
        <v>1405</v>
      </c>
      <c r="B113" s="212" t="s">
        <v>581</v>
      </c>
      <c r="C113" s="214" t="s">
        <v>582</v>
      </c>
    </row>
    <row r="114" spans="1:3" ht="16.5" thickTop="1" thickBot="1" x14ac:dyDescent="0.3">
      <c r="A114" s="211"/>
      <c r="B114" s="212"/>
      <c r="C114" s="214"/>
    </row>
    <row r="115" spans="1:3" ht="16.5" thickTop="1" thickBot="1" x14ac:dyDescent="0.3">
      <c r="A115" s="211"/>
      <c r="B115" s="212"/>
      <c r="C115" s="214"/>
    </row>
    <row r="116" spans="1:3" ht="16.5" thickTop="1" thickBot="1" x14ac:dyDescent="0.3">
      <c r="A116" s="211"/>
      <c r="B116" s="212"/>
      <c r="C116" s="214"/>
    </row>
    <row r="117" spans="1:3" ht="16.5" thickTop="1" thickBot="1" x14ac:dyDescent="0.3">
      <c r="A117" s="211">
        <v>1406</v>
      </c>
      <c r="B117" s="212" t="s">
        <v>583</v>
      </c>
      <c r="C117" s="214" t="s">
        <v>584</v>
      </c>
    </row>
    <row r="118" spans="1:3" ht="16.5" thickTop="1" thickBot="1" x14ac:dyDescent="0.3">
      <c r="A118" s="211"/>
      <c r="B118" s="212"/>
      <c r="C118" s="214"/>
    </row>
    <row r="119" spans="1:3" ht="16.5" thickTop="1" thickBot="1" x14ac:dyDescent="0.3">
      <c r="A119" s="211"/>
      <c r="B119" s="212"/>
      <c r="C119" s="214"/>
    </row>
    <row r="120" spans="1:3" ht="16.5" thickTop="1" thickBot="1" x14ac:dyDescent="0.3">
      <c r="A120" s="211"/>
      <c r="B120" s="212"/>
      <c r="C120" s="214"/>
    </row>
    <row r="121" spans="1:3" ht="16.5" thickTop="1" thickBot="1" x14ac:dyDescent="0.3">
      <c r="A121" s="211"/>
      <c r="B121" s="212"/>
      <c r="C121" s="214"/>
    </row>
    <row r="122" spans="1:3" ht="16.5" thickTop="1" thickBot="1" x14ac:dyDescent="0.3">
      <c r="A122" s="211">
        <v>1407</v>
      </c>
      <c r="B122" s="212" t="s">
        <v>585</v>
      </c>
      <c r="C122" s="215" t="s">
        <v>586</v>
      </c>
    </row>
    <row r="123" spans="1:3" ht="16.5" thickTop="1" thickBot="1" x14ac:dyDescent="0.3">
      <c r="A123" s="211"/>
      <c r="B123" s="212"/>
      <c r="C123" s="215"/>
    </row>
    <row r="124" spans="1:3" ht="16.5" thickTop="1" thickBot="1" x14ac:dyDescent="0.3">
      <c r="A124" s="211"/>
      <c r="B124" s="212"/>
      <c r="C124" s="215"/>
    </row>
    <row r="125" spans="1:3" ht="16.5" thickTop="1" thickBot="1" x14ac:dyDescent="0.3">
      <c r="A125" s="211"/>
      <c r="B125" s="212"/>
      <c r="C125" s="215"/>
    </row>
    <row r="126" spans="1:3" ht="16.5" thickTop="1" thickBot="1" x14ac:dyDescent="0.3">
      <c r="A126" s="211"/>
      <c r="B126" s="212"/>
      <c r="C126" s="215"/>
    </row>
    <row r="127" spans="1:3" ht="16.5" thickTop="1" thickBot="1" x14ac:dyDescent="0.3">
      <c r="A127" s="211"/>
      <c r="B127" s="212"/>
      <c r="C127" s="215"/>
    </row>
    <row r="128" spans="1:3" ht="16.5" thickTop="1" thickBot="1" x14ac:dyDescent="0.3">
      <c r="A128" s="211"/>
      <c r="B128" s="212"/>
      <c r="C128" s="215"/>
    </row>
    <row r="129" spans="1:3" ht="16.5" thickTop="1" thickBot="1" x14ac:dyDescent="0.3">
      <c r="A129" s="211"/>
      <c r="B129" s="212"/>
      <c r="C129" s="215"/>
    </row>
    <row r="130" spans="1:3" ht="16.5" thickTop="1" thickBot="1" x14ac:dyDescent="0.3">
      <c r="A130" s="211"/>
      <c r="B130" s="212"/>
      <c r="C130" s="215"/>
    </row>
    <row r="131" spans="1:3" ht="16.5" thickTop="1" thickBot="1" x14ac:dyDescent="0.3">
      <c r="A131" s="211"/>
      <c r="B131" s="212"/>
      <c r="C131" s="91"/>
    </row>
    <row r="132" spans="1:3" ht="16.5" thickTop="1" thickBot="1" x14ac:dyDescent="0.3">
      <c r="A132" s="211">
        <v>1409</v>
      </c>
      <c r="B132" s="212" t="s">
        <v>73</v>
      </c>
      <c r="C132" s="214" t="s">
        <v>587</v>
      </c>
    </row>
    <row r="133" spans="1:3" ht="16.5" thickTop="1" thickBot="1" x14ac:dyDescent="0.3">
      <c r="A133" s="211"/>
      <c r="B133" s="212"/>
      <c r="C133" s="214"/>
    </row>
    <row r="134" spans="1:3" ht="16.5" thickTop="1" thickBot="1" x14ac:dyDescent="0.3">
      <c r="A134" s="211">
        <v>1410</v>
      </c>
      <c r="B134" s="212" t="s">
        <v>588</v>
      </c>
      <c r="C134" s="214" t="s">
        <v>589</v>
      </c>
    </row>
    <row r="135" spans="1:3" ht="16.5" thickTop="1" thickBot="1" x14ac:dyDescent="0.3">
      <c r="A135" s="211"/>
      <c r="B135" s="212"/>
      <c r="C135" s="214"/>
    </row>
    <row r="136" spans="1:3" ht="16.5" thickTop="1" thickBot="1" x14ac:dyDescent="0.3">
      <c r="A136" s="211"/>
      <c r="B136" s="212"/>
      <c r="C136" s="214"/>
    </row>
    <row r="137" spans="1:3" ht="16.5" thickTop="1" thickBot="1" x14ac:dyDescent="0.3">
      <c r="A137" s="211"/>
      <c r="B137" s="212"/>
      <c r="C137" s="214"/>
    </row>
    <row r="138" spans="1:3" ht="16.5" thickTop="1" thickBot="1" x14ac:dyDescent="0.3">
      <c r="A138" s="211">
        <v>1601</v>
      </c>
      <c r="B138" s="212" t="s">
        <v>590</v>
      </c>
      <c r="C138" s="214" t="s">
        <v>591</v>
      </c>
    </row>
    <row r="139" spans="1:3" ht="16.5" thickTop="1" thickBot="1" x14ac:dyDescent="0.3">
      <c r="A139" s="211"/>
      <c r="B139" s="212"/>
      <c r="C139" s="214"/>
    </row>
    <row r="140" spans="1:3" ht="16.5" thickTop="1" thickBot="1" x14ac:dyDescent="0.3">
      <c r="A140" s="211">
        <v>1602</v>
      </c>
      <c r="B140" s="214" t="s">
        <v>592</v>
      </c>
      <c r="C140" s="214" t="s">
        <v>593</v>
      </c>
    </row>
    <row r="141" spans="1:3" ht="16.5" thickTop="1" thickBot="1" x14ac:dyDescent="0.3">
      <c r="A141" s="211"/>
      <c r="B141" s="214"/>
      <c r="C141" s="214"/>
    </row>
    <row r="142" spans="1:3" ht="16.5" thickTop="1" thickBot="1" x14ac:dyDescent="0.3">
      <c r="A142" s="211">
        <v>1603</v>
      </c>
      <c r="B142" s="214" t="s">
        <v>594</v>
      </c>
      <c r="C142" s="214" t="s">
        <v>595</v>
      </c>
    </row>
    <row r="143" spans="1:3" ht="16.5" thickTop="1" thickBot="1" x14ac:dyDescent="0.3">
      <c r="A143" s="211"/>
      <c r="B143" s="214"/>
      <c r="C143" s="214"/>
    </row>
    <row r="144" spans="1:3" ht="16.5" thickTop="1" thickBot="1" x14ac:dyDescent="0.3">
      <c r="A144" s="211">
        <v>1604</v>
      </c>
      <c r="B144" s="214" t="s">
        <v>596</v>
      </c>
      <c r="C144" s="212" t="s">
        <v>597</v>
      </c>
    </row>
    <row r="145" spans="1:3" ht="16.5" thickTop="1" thickBot="1" x14ac:dyDescent="0.3">
      <c r="A145" s="211"/>
      <c r="B145" s="214"/>
      <c r="C145" s="212"/>
    </row>
    <row r="146" spans="1:3" ht="16.5" thickTop="1" thickBot="1" x14ac:dyDescent="0.3">
      <c r="A146" s="211"/>
      <c r="B146" s="214"/>
      <c r="C146" s="212"/>
    </row>
    <row r="147" spans="1:3" ht="16.5" thickTop="1" thickBot="1" x14ac:dyDescent="0.3">
      <c r="A147" s="211">
        <v>1620</v>
      </c>
      <c r="B147" s="214" t="s">
        <v>598</v>
      </c>
      <c r="C147" s="214" t="s">
        <v>599</v>
      </c>
    </row>
    <row r="148" spans="1:3" ht="16.5" thickTop="1" thickBot="1" x14ac:dyDescent="0.3">
      <c r="A148" s="211"/>
      <c r="B148" s="214"/>
      <c r="C148" s="214"/>
    </row>
    <row r="149" spans="1:3" ht="16.5" thickTop="1" thickBot="1" x14ac:dyDescent="0.3">
      <c r="A149" s="211">
        <v>1621</v>
      </c>
      <c r="B149" s="212" t="s">
        <v>600</v>
      </c>
      <c r="C149" s="212" t="s">
        <v>601</v>
      </c>
    </row>
    <row r="150" spans="1:3" ht="16.5" thickTop="1" thickBot="1" x14ac:dyDescent="0.3">
      <c r="A150" s="211"/>
      <c r="B150" s="212"/>
      <c r="C150" s="212"/>
    </row>
    <row r="151" spans="1:3" ht="16.5" thickTop="1" thickBot="1" x14ac:dyDescent="0.3">
      <c r="A151" s="211"/>
      <c r="B151" s="212"/>
      <c r="C151" s="212"/>
    </row>
    <row r="152" spans="1:3" ht="16.5" thickTop="1" thickBot="1" x14ac:dyDescent="0.3">
      <c r="A152" s="211">
        <v>1623</v>
      </c>
      <c r="B152" s="212" t="s">
        <v>602</v>
      </c>
      <c r="C152" s="212" t="s">
        <v>603</v>
      </c>
    </row>
    <row r="153" spans="1:3" ht="16.5" thickTop="1" thickBot="1" x14ac:dyDescent="0.3">
      <c r="A153" s="211"/>
      <c r="B153" s="212"/>
      <c r="C153" s="212"/>
    </row>
    <row r="154" spans="1:3" ht="16.5" thickTop="1" thickBot="1" x14ac:dyDescent="0.3">
      <c r="A154" s="211">
        <v>1629</v>
      </c>
      <c r="B154" s="212" t="s">
        <v>604</v>
      </c>
      <c r="C154" s="212" t="s">
        <v>605</v>
      </c>
    </row>
    <row r="155" spans="1:3" ht="16.5" thickTop="1" thickBot="1" x14ac:dyDescent="0.3">
      <c r="A155" s="211"/>
      <c r="B155" s="212"/>
      <c r="C155" s="212"/>
    </row>
    <row r="156" spans="1:3" ht="16.5" thickTop="1" thickBot="1" x14ac:dyDescent="0.3">
      <c r="A156" s="211">
        <v>1650</v>
      </c>
      <c r="B156" s="212" t="s">
        <v>606</v>
      </c>
      <c r="C156" s="212" t="s">
        <v>607</v>
      </c>
    </row>
    <row r="157" spans="1:3" ht="16.5" thickTop="1" thickBot="1" x14ac:dyDescent="0.3">
      <c r="A157" s="211"/>
      <c r="B157" s="212"/>
      <c r="C157" s="212"/>
    </row>
    <row r="158" spans="1:3" ht="16.5" thickTop="1" thickBot="1" x14ac:dyDescent="0.3">
      <c r="A158" s="211">
        <v>1801</v>
      </c>
      <c r="B158" s="212" t="s">
        <v>608</v>
      </c>
      <c r="C158" s="212" t="s">
        <v>609</v>
      </c>
    </row>
    <row r="159" spans="1:3" ht="16.5" thickTop="1" thickBot="1" x14ac:dyDescent="0.3">
      <c r="A159" s="211"/>
      <c r="B159" s="212"/>
      <c r="C159" s="212"/>
    </row>
    <row r="160" spans="1:3" ht="16.5" thickTop="1" thickBot="1" x14ac:dyDescent="0.3">
      <c r="A160" s="211">
        <v>1802</v>
      </c>
      <c r="B160" s="212" t="s">
        <v>610</v>
      </c>
      <c r="C160" s="212" t="s">
        <v>611</v>
      </c>
    </row>
    <row r="161" spans="1:3" ht="16.5" thickTop="1" thickBot="1" x14ac:dyDescent="0.3">
      <c r="A161" s="211"/>
      <c r="B161" s="212"/>
      <c r="C161" s="212"/>
    </row>
    <row r="162" spans="1:3" ht="16.5" thickTop="1" thickBot="1" x14ac:dyDescent="0.3">
      <c r="A162" s="211">
        <v>1805</v>
      </c>
      <c r="B162" s="212" t="s">
        <v>612</v>
      </c>
      <c r="C162" s="212" t="s">
        <v>613</v>
      </c>
    </row>
    <row r="163" spans="1:3" ht="16.5" thickTop="1" thickBot="1" x14ac:dyDescent="0.3">
      <c r="A163" s="211"/>
      <c r="B163" s="212"/>
      <c r="C163" s="212"/>
    </row>
    <row r="164" spans="1:3" ht="16.5" thickTop="1" thickBot="1" x14ac:dyDescent="0.3">
      <c r="A164" s="88">
        <v>1810</v>
      </c>
      <c r="B164" s="91" t="s">
        <v>614</v>
      </c>
      <c r="C164" s="91" t="s">
        <v>615</v>
      </c>
    </row>
    <row r="165" spans="1:3" ht="16.5" thickTop="1" thickBot="1" x14ac:dyDescent="0.3">
      <c r="A165" s="211">
        <v>2501</v>
      </c>
      <c r="B165" s="212" t="s">
        <v>61</v>
      </c>
      <c r="C165" s="214" t="s">
        <v>616</v>
      </c>
    </row>
    <row r="166" spans="1:3" ht="16.5" thickTop="1" thickBot="1" x14ac:dyDescent="0.3">
      <c r="A166" s="211"/>
      <c r="B166" s="212"/>
      <c r="C166" s="214"/>
    </row>
    <row r="167" spans="1:3" ht="16.5" thickTop="1" thickBot="1" x14ac:dyDescent="0.3">
      <c r="A167" s="211"/>
      <c r="B167" s="212"/>
      <c r="C167" s="214"/>
    </row>
    <row r="168" spans="1:3" ht="16.5" thickTop="1" thickBot="1" x14ac:dyDescent="0.3">
      <c r="A168" s="211"/>
      <c r="B168" s="212"/>
      <c r="C168" s="214"/>
    </row>
    <row r="169" spans="1:3" ht="16.5" thickTop="1" thickBot="1" x14ac:dyDescent="0.3">
      <c r="A169" s="211">
        <v>2502</v>
      </c>
      <c r="B169" s="212" t="s">
        <v>617</v>
      </c>
      <c r="C169" s="214" t="s">
        <v>618</v>
      </c>
    </row>
    <row r="170" spans="1:3" ht="16.5" thickTop="1" thickBot="1" x14ac:dyDescent="0.3">
      <c r="A170" s="211"/>
      <c r="B170" s="212"/>
      <c r="C170" s="214"/>
    </row>
    <row r="171" spans="1:3" ht="16.5" thickTop="1" thickBot="1" x14ac:dyDescent="0.3">
      <c r="A171" s="211"/>
      <c r="B171" s="212"/>
      <c r="C171" s="214"/>
    </row>
    <row r="172" spans="1:3" ht="16.5" thickTop="1" thickBot="1" x14ac:dyDescent="0.3">
      <c r="A172" s="211"/>
      <c r="B172" s="212"/>
      <c r="C172" s="214"/>
    </row>
    <row r="173" spans="1:3" ht="16.5" thickTop="1" thickBot="1" x14ac:dyDescent="0.3">
      <c r="A173" s="211"/>
      <c r="B173" s="212"/>
      <c r="C173" s="214"/>
    </row>
    <row r="174" spans="1:3" ht="16.5" thickTop="1" thickBot="1" x14ac:dyDescent="0.3">
      <c r="A174" s="211">
        <v>2510</v>
      </c>
      <c r="B174" s="214" t="s">
        <v>619</v>
      </c>
      <c r="C174" s="214" t="s">
        <v>620</v>
      </c>
    </row>
    <row r="175" spans="1:3" ht="16.5" thickTop="1" thickBot="1" x14ac:dyDescent="0.3">
      <c r="A175" s="211"/>
      <c r="B175" s="214"/>
      <c r="C175" s="214"/>
    </row>
    <row r="176" spans="1:3" ht="16.5" thickTop="1" thickBot="1" x14ac:dyDescent="0.3">
      <c r="A176" s="211">
        <v>2801</v>
      </c>
      <c r="B176" s="212" t="s">
        <v>621</v>
      </c>
      <c r="C176" s="214" t="s">
        <v>622</v>
      </c>
    </row>
    <row r="177" spans="1:3" ht="16.5" thickTop="1" thickBot="1" x14ac:dyDescent="0.3">
      <c r="A177" s="211"/>
      <c r="B177" s="212"/>
      <c r="C177" s="214"/>
    </row>
    <row r="178" spans="1:3" ht="16.5" thickTop="1" thickBot="1" x14ac:dyDescent="0.3">
      <c r="A178" s="88">
        <v>2901</v>
      </c>
      <c r="B178" s="91" t="s">
        <v>623</v>
      </c>
      <c r="C178" s="91" t="s">
        <v>624</v>
      </c>
    </row>
    <row r="179" spans="1:3" ht="16.5" thickTop="1" thickBot="1" x14ac:dyDescent="0.3">
      <c r="A179" s="211">
        <v>2902</v>
      </c>
      <c r="B179" s="212" t="s">
        <v>625</v>
      </c>
      <c r="C179" s="214" t="s">
        <v>626</v>
      </c>
    </row>
    <row r="180" spans="1:3" ht="16.5" thickTop="1" thickBot="1" x14ac:dyDescent="0.3">
      <c r="A180" s="211"/>
      <c r="B180" s="212"/>
      <c r="C180" s="214"/>
    </row>
    <row r="181" spans="1:3" ht="16.5" thickTop="1" thickBot="1" x14ac:dyDescent="0.3">
      <c r="A181" s="211"/>
      <c r="B181" s="212"/>
      <c r="C181" s="214"/>
    </row>
    <row r="182" spans="1:3" ht="16.5" thickTop="1" thickBot="1" x14ac:dyDescent="0.3">
      <c r="A182" s="211">
        <v>2920</v>
      </c>
      <c r="B182" s="212" t="s">
        <v>627</v>
      </c>
      <c r="C182" s="214" t="s">
        <v>628</v>
      </c>
    </row>
    <row r="183" spans="1:3" ht="16.5" thickTop="1" thickBot="1" x14ac:dyDescent="0.3">
      <c r="A183" s="211"/>
      <c r="B183" s="212"/>
      <c r="C183" s="214"/>
    </row>
    <row r="184" spans="1:3" ht="16.5" thickTop="1" thickBot="1" x14ac:dyDescent="0.3">
      <c r="A184" s="211">
        <v>2930</v>
      </c>
      <c r="B184" s="212" t="s">
        <v>86</v>
      </c>
      <c r="C184" s="214" t="s">
        <v>629</v>
      </c>
    </row>
    <row r="185" spans="1:3" ht="16.5" thickTop="1" thickBot="1" x14ac:dyDescent="0.3">
      <c r="A185" s="211"/>
      <c r="B185" s="212"/>
      <c r="C185" s="214"/>
    </row>
    <row r="186" spans="1:3" ht="16.5" thickTop="1" thickBot="1" x14ac:dyDescent="0.3">
      <c r="A186" s="211"/>
      <c r="B186" s="212"/>
      <c r="C186" s="214"/>
    </row>
    <row r="187" spans="1:3" ht="16.5" thickTop="1" thickBot="1" x14ac:dyDescent="0.3">
      <c r="A187" s="211"/>
      <c r="B187" s="212"/>
      <c r="C187" s="214"/>
    </row>
    <row r="188" spans="1:3" ht="16.5" thickTop="1" thickBot="1" x14ac:dyDescent="0.3">
      <c r="A188" s="216">
        <v>2999</v>
      </c>
      <c r="B188" s="218" t="s">
        <v>630</v>
      </c>
      <c r="C188" s="214" t="s">
        <v>631</v>
      </c>
    </row>
    <row r="189" spans="1:3" ht="16.5" thickTop="1" thickBot="1" x14ac:dyDescent="0.3">
      <c r="A189" s="217"/>
      <c r="B189" s="219"/>
      <c r="C189" s="214"/>
    </row>
    <row r="190" spans="1:3" ht="16.5" thickTop="1" thickBot="1" x14ac:dyDescent="0.3">
      <c r="A190" s="211">
        <v>3501</v>
      </c>
      <c r="B190" s="212" t="s">
        <v>632</v>
      </c>
      <c r="C190" s="214" t="s">
        <v>633</v>
      </c>
    </row>
    <row r="191" spans="1:3" ht="16.5" thickTop="1" thickBot="1" x14ac:dyDescent="0.3">
      <c r="A191" s="211"/>
      <c r="B191" s="212"/>
      <c r="C191" s="214"/>
    </row>
    <row r="192" spans="1:3" ht="16.5" thickTop="1" thickBot="1" x14ac:dyDescent="0.3">
      <c r="A192" s="211"/>
      <c r="B192" s="212"/>
      <c r="C192" s="214"/>
    </row>
    <row r="193" spans="1:3" ht="16.5" thickTop="1" thickBot="1" x14ac:dyDescent="0.3">
      <c r="A193" s="211">
        <v>3505</v>
      </c>
      <c r="B193" s="214" t="s">
        <v>634</v>
      </c>
      <c r="C193" s="212" t="s">
        <v>635</v>
      </c>
    </row>
    <row r="194" spans="1:3" ht="16.5" thickTop="1" thickBot="1" x14ac:dyDescent="0.3">
      <c r="A194" s="211"/>
      <c r="B194" s="214"/>
      <c r="C194" s="212"/>
    </row>
    <row r="195" spans="1:3" ht="16.5" thickTop="1" thickBot="1" x14ac:dyDescent="0.3">
      <c r="A195" s="211">
        <v>3506</v>
      </c>
      <c r="B195" s="214" t="s">
        <v>636</v>
      </c>
      <c r="C195" s="212" t="s">
        <v>637</v>
      </c>
    </row>
    <row r="196" spans="1:3" ht="16.5" thickTop="1" thickBot="1" x14ac:dyDescent="0.3">
      <c r="A196" s="211"/>
      <c r="B196" s="214"/>
      <c r="C196" s="212"/>
    </row>
    <row r="197" spans="1:3" ht="16.5" thickTop="1" thickBot="1" x14ac:dyDescent="0.3">
      <c r="A197" s="211">
        <v>3508</v>
      </c>
      <c r="B197" s="214" t="s">
        <v>104</v>
      </c>
      <c r="C197" s="214" t="s">
        <v>638</v>
      </c>
    </row>
    <row r="198" spans="1:3" ht="16.5" thickTop="1" thickBot="1" x14ac:dyDescent="0.3">
      <c r="A198" s="211"/>
      <c r="B198" s="214"/>
      <c r="C198" s="214"/>
    </row>
    <row r="199" spans="1:3" ht="16.5" thickTop="1" thickBot="1" x14ac:dyDescent="0.3">
      <c r="A199" s="211">
        <v>3509</v>
      </c>
      <c r="B199" s="212" t="s">
        <v>639</v>
      </c>
      <c r="C199" s="212" t="s">
        <v>640</v>
      </c>
    </row>
    <row r="200" spans="1:3" ht="16.5" thickTop="1" thickBot="1" x14ac:dyDescent="0.3">
      <c r="A200" s="211"/>
      <c r="B200" s="212"/>
      <c r="C200" s="212"/>
    </row>
    <row r="201" spans="1:3" ht="16.5" thickTop="1" thickBot="1" x14ac:dyDescent="0.3">
      <c r="A201" s="211">
        <v>3520</v>
      </c>
      <c r="B201" s="214" t="s">
        <v>641</v>
      </c>
      <c r="C201" s="212" t="s">
        <v>642</v>
      </c>
    </row>
    <row r="202" spans="1:3" ht="16.5" thickTop="1" thickBot="1" x14ac:dyDescent="0.3">
      <c r="A202" s="211"/>
      <c r="B202" s="214"/>
      <c r="C202" s="212"/>
    </row>
    <row r="203" spans="1:3" ht="16.5" thickTop="1" thickBot="1" x14ac:dyDescent="0.3">
      <c r="A203" s="211">
        <v>3525</v>
      </c>
      <c r="B203" s="212" t="s">
        <v>643</v>
      </c>
      <c r="C203" s="212" t="s">
        <v>644</v>
      </c>
    </row>
    <row r="204" spans="1:3" ht="16.5" thickTop="1" thickBot="1" x14ac:dyDescent="0.3">
      <c r="A204" s="211"/>
      <c r="B204" s="212"/>
      <c r="C204" s="212"/>
    </row>
    <row r="205" spans="1:3" ht="16.5" thickTop="1" thickBot="1" x14ac:dyDescent="0.3">
      <c r="A205" s="211"/>
      <c r="B205" s="212"/>
      <c r="C205" s="212"/>
    </row>
    <row r="206" spans="1:3" ht="16.5" thickTop="1" thickBot="1" x14ac:dyDescent="0.3">
      <c r="A206" s="211">
        <v>4010</v>
      </c>
      <c r="B206" s="214" t="s">
        <v>645</v>
      </c>
      <c r="C206" s="214" t="s">
        <v>646</v>
      </c>
    </row>
    <row r="207" spans="1:3" ht="16.5" thickTop="1" thickBot="1" x14ac:dyDescent="0.3">
      <c r="A207" s="211"/>
      <c r="B207" s="214"/>
      <c r="C207" s="214"/>
    </row>
    <row r="208" spans="1:3" ht="16.5" thickTop="1" thickBot="1" x14ac:dyDescent="0.3">
      <c r="A208" s="211">
        <v>4050</v>
      </c>
      <c r="B208" s="212" t="s">
        <v>69</v>
      </c>
      <c r="C208" s="214" t="s">
        <v>647</v>
      </c>
    </row>
    <row r="209" spans="1:3" ht="16.5" thickTop="1" thickBot="1" x14ac:dyDescent="0.3">
      <c r="A209" s="211"/>
      <c r="B209" s="212"/>
      <c r="C209" s="214"/>
    </row>
    <row r="210" spans="1:3" ht="16.5" thickTop="1" thickBot="1" x14ac:dyDescent="0.3">
      <c r="A210" s="211">
        <v>4051</v>
      </c>
      <c r="B210" s="214" t="s">
        <v>648</v>
      </c>
      <c r="C210" s="214" t="s">
        <v>649</v>
      </c>
    </row>
    <row r="211" spans="1:3" ht="16.5" thickTop="1" thickBot="1" x14ac:dyDescent="0.3">
      <c r="A211" s="211"/>
      <c r="B211" s="214"/>
      <c r="C211" s="214"/>
    </row>
    <row r="212" spans="1:3" ht="16.5" thickTop="1" thickBot="1" x14ac:dyDescent="0.3">
      <c r="A212" s="211">
        <v>5001</v>
      </c>
      <c r="B212" s="212" t="s">
        <v>82</v>
      </c>
      <c r="C212" s="214" t="s">
        <v>650</v>
      </c>
    </row>
    <row r="213" spans="1:3" ht="16.5" thickTop="1" thickBot="1" x14ac:dyDescent="0.3">
      <c r="A213" s="211"/>
      <c r="B213" s="212"/>
      <c r="C213" s="214"/>
    </row>
    <row r="214" spans="1:3" ht="16.5" thickTop="1" thickBot="1" x14ac:dyDescent="0.3">
      <c r="A214" s="211"/>
      <c r="B214" s="212"/>
      <c r="C214" s="214"/>
    </row>
    <row r="215" spans="1:3" ht="16.5" thickTop="1" thickBot="1" x14ac:dyDescent="0.3">
      <c r="A215" s="211"/>
      <c r="B215" s="212"/>
      <c r="C215" s="214"/>
    </row>
    <row r="216" spans="1:3" ht="16.5" thickTop="1" thickBot="1" x14ac:dyDescent="0.3">
      <c r="A216" s="211"/>
      <c r="B216" s="212"/>
      <c r="C216" s="214"/>
    </row>
    <row r="217" spans="1:3" ht="16.5" thickTop="1" thickBot="1" x14ac:dyDescent="0.3">
      <c r="A217" s="211">
        <v>5005</v>
      </c>
      <c r="B217" s="212" t="s">
        <v>651</v>
      </c>
      <c r="C217" s="214" t="s">
        <v>652</v>
      </c>
    </row>
    <row r="218" spans="1:3" ht="16.5" thickTop="1" thickBot="1" x14ac:dyDescent="0.3">
      <c r="A218" s="211"/>
      <c r="B218" s="212"/>
      <c r="C218" s="214"/>
    </row>
    <row r="219" spans="1:3" ht="16.5" thickTop="1" thickBot="1" x14ac:dyDescent="0.3">
      <c r="A219" s="211">
        <v>5501</v>
      </c>
      <c r="B219" s="212" t="s">
        <v>40</v>
      </c>
      <c r="C219" s="214" t="s">
        <v>653</v>
      </c>
    </row>
    <row r="220" spans="1:3" ht="16.5" thickTop="1" thickBot="1" x14ac:dyDescent="0.3">
      <c r="A220" s="211"/>
      <c r="B220" s="212"/>
      <c r="C220" s="214"/>
    </row>
    <row r="221" spans="1:3" ht="16.5" thickTop="1" thickBot="1" x14ac:dyDescent="0.3">
      <c r="A221" s="211">
        <v>5504</v>
      </c>
      <c r="B221" s="212" t="s">
        <v>81</v>
      </c>
      <c r="C221" s="212" t="s">
        <v>654</v>
      </c>
    </row>
    <row r="222" spans="1:3" ht="16.5" thickTop="1" thickBot="1" x14ac:dyDescent="0.3">
      <c r="A222" s="211"/>
      <c r="B222" s="212"/>
      <c r="C222" s="212"/>
    </row>
    <row r="223" spans="1:3" ht="16.5" thickTop="1" thickBot="1" x14ac:dyDescent="0.3">
      <c r="A223" s="211">
        <v>5510</v>
      </c>
      <c r="B223" s="214" t="s">
        <v>655</v>
      </c>
      <c r="C223" s="214" t="s">
        <v>656</v>
      </c>
    </row>
    <row r="224" spans="1:3" ht="16.5" thickTop="1" thickBot="1" x14ac:dyDescent="0.3">
      <c r="A224" s="211"/>
      <c r="B224" s="214"/>
      <c r="C224" s="214"/>
    </row>
    <row r="225" spans="1:3" ht="16.5" thickTop="1" thickBot="1" x14ac:dyDescent="0.3">
      <c r="A225" s="211">
        <v>6000</v>
      </c>
      <c r="B225" s="214" t="s">
        <v>657</v>
      </c>
      <c r="C225" s="214" t="s">
        <v>658</v>
      </c>
    </row>
    <row r="226" spans="1:3" ht="16.5" thickTop="1" thickBot="1" x14ac:dyDescent="0.3">
      <c r="A226" s="211"/>
      <c r="B226" s="214"/>
      <c r="C226" s="214"/>
    </row>
    <row r="227" spans="1:3" ht="16.5" thickTop="1" thickBot="1" x14ac:dyDescent="0.3">
      <c r="A227" s="211">
        <v>6001</v>
      </c>
      <c r="B227" s="214" t="s">
        <v>659</v>
      </c>
      <c r="C227" s="214" t="s">
        <v>660</v>
      </c>
    </row>
    <row r="228" spans="1:3" ht="16.5" thickTop="1" thickBot="1" x14ac:dyDescent="0.3">
      <c r="A228" s="211"/>
      <c r="B228" s="214"/>
      <c r="C228" s="214"/>
    </row>
    <row r="229" spans="1:3" ht="16.5" thickTop="1" thickBot="1" x14ac:dyDescent="0.3">
      <c r="A229" s="211">
        <v>6002</v>
      </c>
      <c r="B229" s="214" t="s">
        <v>661</v>
      </c>
      <c r="C229" s="214" t="s">
        <v>662</v>
      </c>
    </row>
    <row r="230" spans="1:3" ht="16.5" thickTop="1" thickBot="1" x14ac:dyDescent="0.3">
      <c r="A230" s="211"/>
      <c r="B230" s="214"/>
      <c r="C230" s="214"/>
    </row>
    <row r="231" spans="1:3" ht="16.5" thickTop="1" thickBot="1" x14ac:dyDescent="0.3">
      <c r="A231" s="211">
        <v>6003</v>
      </c>
      <c r="B231" s="212" t="s">
        <v>663</v>
      </c>
      <c r="C231" s="214" t="s">
        <v>664</v>
      </c>
    </row>
    <row r="232" spans="1:3" ht="16.5" thickTop="1" thickBot="1" x14ac:dyDescent="0.3">
      <c r="A232" s="211"/>
      <c r="B232" s="212"/>
      <c r="C232" s="214"/>
    </row>
    <row r="233" spans="1:3" ht="16.5" thickTop="1" thickBot="1" x14ac:dyDescent="0.3">
      <c r="A233" s="211"/>
      <c r="B233" s="212"/>
      <c r="C233" s="214"/>
    </row>
    <row r="234" spans="1:3" ht="16.5" thickTop="1" thickBot="1" x14ac:dyDescent="0.3">
      <c r="A234" s="211">
        <v>6004</v>
      </c>
      <c r="B234" s="212" t="s">
        <v>665</v>
      </c>
      <c r="C234" s="214" t="s">
        <v>666</v>
      </c>
    </row>
    <row r="235" spans="1:3" ht="16.5" thickTop="1" thickBot="1" x14ac:dyDescent="0.3">
      <c r="A235" s="211"/>
      <c r="B235" s="212"/>
      <c r="C235" s="214"/>
    </row>
    <row r="236" spans="1:3" ht="16.5" thickTop="1" thickBot="1" x14ac:dyDescent="0.3">
      <c r="A236" s="211"/>
      <c r="B236" s="212"/>
      <c r="C236" s="214"/>
    </row>
    <row r="237" spans="1:3" ht="16.5" thickTop="1" thickBot="1" x14ac:dyDescent="0.3">
      <c r="A237" s="211">
        <v>6006</v>
      </c>
      <c r="B237" s="212" t="s">
        <v>111</v>
      </c>
      <c r="C237" s="214" t="s">
        <v>667</v>
      </c>
    </row>
    <row r="238" spans="1:3" ht="16.5" thickTop="1" thickBot="1" x14ac:dyDescent="0.3">
      <c r="A238" s="211"/>
      <c r="B238" s="212"/>
      <c r="C238" s="214"/>
    </row>
    <row r="239" spans="1:3" ht="16.5" thickTop="1" thickBot="1" x14ac:dyDescent="0.3">
      <c r="A239" s="211"/>
      <c r="B239" s="212"/>
      <c r="C239" s="214"/>
    </row>
    <row r="240" spans="1:3" ht="16.5" thickTop="1" thickBot="1" x14ac:dyDescent="0.3">
      <c r="A240" s="211"/>
      <c r="B240" s="212"/>
      <c r="C240" s="214"/>
    </row>
    <row r="241" spans="1:3" ht="16.5" thickTop="1" thickBot="1" x14ac:dyDescent="0.3">
      <c r="A241" s="211">
        <v>6007</v>
      </c>
      <c r="B241" s="212" t="s">
        <v>668</v>
      </c>
      <c r="C241" s="214" t="s">
        <v>669</v>
      </c>
    </row>
    <row r="242" spans="1:3" ht="16.5" thickTop="1" thickBot="1" x14ac:dyDescent="0.3">
      <c r="A242" s="211"/>
      <c r="B242" s="212"/>
      <c r="C242" s="214"/>
    </row>
    <row r="243" spans="1:3" ht="16.5" thickTop="1" thickBot="1" x14ac:dyDescent="0.3">
      <c r="A243" s="211"/>
      <c r="B243" s="212"/>
      <c r="C243" s="214"/>
    </row>
    <row r="244" spans="1:3" ht="16.5" thickTop="1" thickBot="1" x14ac:dyDescent="0.3">
      <c r="A244" s="211">
        <v>6101</v>
      </c>
      <c r="B244" s="212" t="s">
        <v>670</v>
      </c>
      <c r="C244" s="214" t="s">
        <v>671</v>
      </c>
    </row>
    <row r="245" spans="1:3" ht="16.5" thickTop="1" thickBot="1" x14ac:dyDescent="0.3">
      <c r="A245" s="211"/>
      <c r="B245" s="212"/>
      <c r="C245" s="214"/>
    </row>
    <row r="246" spans="1:3" ht="16.5" thickTop="1" thickBot="1" x14ac:dyDescent="0.3">
      <c r="A246" s="211">
        <v>6102</v>
      </c>
      <c r="B246" s="212" t="s">
        <v>115</v>
      </c>
      <c r="C246" s="212" t="s">
        <v>672</v>
      </c>
    </row>
    <row r="247" spans="1:3" ht="16.5" thickTop="1" thickBot="1" x14ac:dyDescent="0.3">
      <c r="A247" s="211"/>
      <c r="B247" s="212"/>
      <c r="C247" s="212"/>
    </row>
    <row r="248" spans="1:3" ht="16.5" thickTop="1" thickBot="1" x14ac:dyDescent="0.3">
      <c r="A248" s="211"/>
      <c r="B248" s="212"/>
      <c r="C248" s="212"/>
    </row>
    <row r="249" spans="1:3" ht="16.5" thickTop="1" thickBot="1" x14ac:dyDescent="0.3">
      <c r="A249" s="211">
        <v>6103</v>
      </c>
      <c r="B249" s="214" t="s">
        <v>116</v>
      </c>
      <c r="C249" s="214" t="s">
        <v>673</v>
      </c>
    </row>
    <row r="250" spans="1:3" ht="16.5" thickTop="1" thickBot="1" x14ac:dyDescent="0.3">
      <c r="A250" s="211"/>
      <c r="B250" s="214"/>
      <c r="C250" s="214"/>
    </row>
    <row r="251" spans="1:3" ht="16.5" thickTop="1" thickBot="1" x14ac:dyDescent="0.3">
      <c r="A251" s="211"/>
      <c r="B251" s="214"/>
      <c r="C251" s="214"/>
    </row>
    <row r="252" spans="1:3" ht="16.5" thickTop="1" thickBot="1" x14ac:dyDescent="0.3">
      <c r="A252" s="211">
        <v>6104</v>
      </c>
      <c r="B252" s="214" t="s">
        <v>674</v>
      </c>
      <c r="C252" s="214" t="s">
        <v>675</v>
      </c>
    </row>
    <row r="253" spans="1:3" ht="16.5" thickTop="1" thickBot="1" x14ac:dyDescent="0.3">
      <c r="A253" s="211"/>
      <c r="B253" s="214"/>
      <c r="C253" s="214"/>
    </row>
    <row r="254" spans="1:3" ht="16.5" thickTop="1" thickBot="1" x14ac:dyDescent="0.3">
      <c r="A254" s="211">
        <v>6105</v>
      </c>
      <c r="B254" s="214" t="s">
        <v>676</v>
      </c>
      <c r="C254" s="212" t="s">
        <v>677</v>
      </c>
    </row>
    <row r="255" spans="1:3" ht="16.5" thickTop="1" thickBot="1" x14ac:dyDescent="0.3">
      <c r="A255" s="211"/>
      <c r="B255" s="214"/>
      <c r="C255" s="212"/>
    </row>
    <row r="256" spans="1:3" ht="16.5" thickTop="1" thickBot="1" x14ac:dyDescent="0.3">
      <c r="A256" s="211"/>
      <c r="B256" s="214"/>
      <c r="C256" s="212"/>
    </row>
    <row r="257" spans="1:3" ht="16.5" thickTop="1" thickBot="1" x14ac:dyDescent="0.3">
      <c r="A257" s="211">
        <v>6106</v>
      </c>
      <c r="B257" s="212" t="s">
        <v>678</v>
      </c>
      <c r="C257" s="214" t="s">
        <v>679</v>
      </c>
    </row>
    <row r="258" spans="1:3" ht="16.5" thickTop="1" thickBot="1" x14ac:dyDescent="0.3">
      <c r="A258" s="211"/>
      <c r="B258" s="212"/>
      <c r="C258" s="214"/>
    </row>
    <row r="259" spans="1:3" ht="16.5" thickTop="1" thickBot="1" x14ac:dyDescent="0.3">
      <c r="A259" s="211">
        <v>6107</v>
      </c>
      <c r="B259" s="212" t="s">
        <v>119</v>
      </c>
      <c r="C259" s="214" t="s">
        <v>680</v>
      </c>
    </row>
    <row r="260" spans="1:3" ht="16.5" thickTop="1" thickBot="1" x14ac:dyDescent="0.3">
      <c r="A260" s="211"/>
      <c r="B260" s="212"/>
      <c r="C260" s="214"/>
    </row>
    <row r="261" spans="1:3" ht="16.5" thickTop="1" thickBot="1" x14ac:dyDescent="0.3">
      <c r="A261" s="211"/>
      <c r="B261" s="212"/>
      <c r="C261" s="214"/>
    </row>
    <row r="262" spans="1:3" ht="16.5" thickTop="1" thickBot="1" x14ac:dyDescent="0.3">
      <c r="A262" s="211">
        <v>6129</v>
      </c>
      <c r="B262" s="212" t="s">
        <v>681</v>
      </c>
      <c r="C262" s="214" t="s">
        <v>682</v>
      </c>
    </row>
    <row r="263" spans="1:3" ht="16.5" thickTop="1" thickBot="1" x14ac:dyDescent="0.3">
      <c r="A263" s="211"/>
      <c r="B263" s="212"/>
      <c r="C263" s="214"/>
    </row>
    <row r="264" spans="1:3" ht="16.5" thickTop="1" thickBot="1" x14ac:dyDescent="0.3">
      <c r="A264" s="211"/>
      <c r="B264" s="212"/>
      <c r="C264" s="214"/>
    </row>
    <row r="265" spans="1:3" ht="16.5" thickTop="1" thickBot="1" x14ac:dyDescent="0.3">
      <c r="A265" s="211">
        <v>6901</v>
      </c>
      <c r="B265" s="212" t="s">
        <v>683</v>
      </c>
      <c r="C265" s="214" t="s">
        <v>684</v>
      </c>
    </row>
    <row r="266" spans="1:3" ht="16.5" thickTop="1" thickBot="1" x14ac:dyDescent="0.3">
      <c r="A266" s="211"/>
      <c r="B266" s="212"/>
      <c r="C266" s="214"/>
    </row>
    <row r="267" spans="1:3" ht="16.5" thickTop="1" thickBot="1" x14ac:dyDescent="0.3">
      <c r="A267" s="211">
        <v>6904</v>
      </c>
      <c r="B267" s="214" t="s">
        <v>685</v>
      </c>
      <c r="C267" s="214" t="s">
        <v>686</v>
      </c>
    </row>
    <row r="268" spans="1:3" ht="16.5" thickTop="1" thickBot="1" x14ac:dyDescent="0.3">
      <c r="A268" s="211"/>
      <c r="B268" s="214"/>
      <c r="C268" s="214"/>
    </row>
    <row r="269" spans="1:3" ht="16.5" thickTop="1" thickBot="1" x14ac:dyDescent="0.3">
      <c r="A269" s="211">
        <v>7001</v>
      </c>
      <c r="B269" s="212" t="s">
        <v>687</v>
      </c>
      <c r="C269" s="214" t="s">
        <v>688</v>
      </c>
    </row>
    <row r="270" spans="1:3" ht="16.5" thickTop="1" thickBot="1" x14ac:dyDescent="0.3">
      <c r="A270" s="211"/>
      <c r="B270" s="212"/>
      <c r="C270" s="214"/>
    </row>
    <row r="271" spans="1:3" ht="16.5" thickTop="1" thickBot="1" x14ac:dyDescent="0.3">
      <c r="A271" s="211">
        <v>7002</v>
      </c>
      <c r="B271" s="214" t="s">
        <v>689</v>
      </c>
      <c r="C271" s="214" t="s">
        <v>690</v>
      </c>
    </row>
    <row r="272" spans="1:3" ht="16.5" thickTop="1" thickBot="1" x14ac:dyDescent="0.3">
      <c r="A272" s="211"/>
      <c r="B272" s="214"/>
      <c r="C272" s="214"/>
    </row>
    <row r="273" spans="1:3" ht="16.5" thickTop="1" thickBot="1" x14ac:dyDescent="0.3">
      <c r="A273" s="211">
        <v>7003</v>
      </c>
      <c r="B273" s="212" t="s">
        <v>691</v>
      </c>
      <c r="C273" s="212" t="s">
        <v>692</v>
      </c>
    </row>
    <row r="274" spans="1:3" ht="16.5" thickTop="1" thickBot="1" x14ac:dyDescent="0.3">
      <c r="A274" s="211"/>
      <c r="B274" s="212"/>
      <c r="C274" s="212"/>
    </row>
    <row r="275" spans="1:3" ht="16.5" thickTop="1" thickBot="1" x14ac:dyDescent="0.3">
      <c r="A275" s="211">
        <v>7004</v>
      </c>
      <c r="B275" s="212" t="s">
        <v>693</v>
      </c>
      <c r="C275" s="212" t="s">
        <v>694</v>
      </c>
    </row>
    <row r="276" spans="1:3" ht="16.5" thickTop="1" thickBot="1" x14ac:dyDescent="0.3">
      <c r="A276" s="211"/>
      <c r="B276" s="212"/>
      <c r="C276" s="212"/>
    </row>
    <row r="277" spans="1:3" ht="16.5" thickTop="1" thickBot="1" x14ac:dyDescent="0.3">
      <c r="A277" s="211">
        <v>7005</v>
      </c>
      <c r="B277" s="212" t="s">
        <v>695</v>
      </c>
      <c r="C277" s="212" t="s">
        <v>696</v>
      </c>
    </row>
    <row r="278" spans="1:3" ht="16.5" thickTop="1" thickBot="1" x14ac:dyDescent="0.3">
      <c r="A278" s="211"/>
      <c r="B278" s="212"/>
      <c r="C278" s="212"/>
    </row>
    <row r="279" spans="1:3" ht="16.5" thickTop="1" thickBot="1" x14ac:dyDescent="0.3">
      <c r="A279" s="211">
        <v>9200</v>
      </c>
      <c r="B279" s="214" t="s">
        <v>697</v>
      </c>
      <c r="C279" s="214" t="s">
        <v>698</v>
      </c>
    </row>
    <row r="280" spans="1:3" ht="16.5" thickTop="1" thickBot="1" x14ac:dyDescent="0.3">
      <c r="A280" s="211"/>
      <c r="B280" s="214"/>
      <c r="C280" s="214"/>
    </row>
    <row r="281" spans="1:3" ht="16.5" thickTop="1" thickBot="1" x14ac:dyDescent="0.3">
      <c r="A281" s="211">
        <v>9201</v>
      </c>
      <c r="B281" s="214" t="s">
        <v>699</v>
      </c>
      <c r="C281" s="212" t="s">
        <v>700</v>
      </c>
    </row>
    <row r="282" spans="1:3" ht="16.5" thickTop="1" thickBot="1" x14ac:dyDescent="0.3">
      <c r="A282" s="211"/>
      <c r="B282" s="214"/>
      <c r="C282" s="212"/>
    </row>
    <row r="283" spans="1:3" ht="16.5" thickTop="1" thickBot="1" x14ac:dyDescent="0.3">
      <c r="A283" s="211">
        <v>9203</v>
      </c>
      <c r="B283" s="214" t="s">
        <v>701</v>
      </c>
      <c r="C283" s="212" t="s">
        <v>702</v>
      </c>
    </row>
    <row r="284" spans="1:3" ht="16.5" thickTop="1" thickBot="1" x14ac:dyDescent="0.3">
      <c r="A284" s="211"/>
      <c r="B284" s="214"/>
      <c r="C284" s="212"/>
    </row>
    <row r="285" spans="1:3" ht="16.5" thickTop="1" thickBot="1" x14ac:dyDescent="0.3">
      <c r="A285" s="211">
        <v>9205</v>
      </c>
      <c r="B285" s="214" t="s">
        <v>703</v>
      </c>
      <c r="C285" s="214" t="s">
        <v>704</v>
      </c>
    </row>
    <row r="286" spans="1:3" ht="16.5" thickTop="1" thickBot="1" x14ac:dyDescent="0.3">
      <c r="A286" s="211"/>
      <c r="B286" s="214"/>
      <c r="C286" s="214"/>
    </row>
    <row r="287" spans="1:3" ht="16.5" thickTop="1" thickBot="1" x14ac:dyDescent="0.3">
      <c r="A287" s="211">
        <v>9209</v>
      </c>
      <c r="B287" s="212" t="s">
        <v>705</v>
      </c>
      <c r="C287" s="214" t="s">
        <v>706</v>
      </c>
    </row>
    <row r="288" spans="1:3" ht="16.5" thickTop="1" thickBot="1" x14ac:dyDescent="0.3">
      <c r="A288" s="211"/>
      <c r="B288" s="212"/>
      <c r="C288" s="214"/>
    </row>
    <row r="289" spans="1:3" ht="16.5" thickTop="1" thickBot="1" x14ac:dyDescent="0.3">
      <c r="A289" s="211">
        <v>9210</v>
      </c>
      <c r="B289" s="212" t="s">
        <v>707</v>
      </c>
      <c r="C289" s="214" t="s">
        <v>708</v>
      </c>
    </row>
    <row r="290" spans="1:3" ht="16.5" thickTop="1" thickBot="1" x14ac:dyDescent="0.3">
      <c r="A290" s="211"/>
      <c r="B290" s="212"/>
      <c r="C290" s="214"/>
    </row>
    <row r="291" spans="1:3" ht="16.5" thickTop="1" thickBot="1" x14ac:dyDescent="0.3">
      <c r="A291" s="211">
        <v>9213</v>
      </c>
      <c r="B291" s="212" t="s">
        <v>709</v>
      </c>
      <c r="C291" s="214" t="s">
        <v>710</v>
      </c>
    </row>
    <row r="292" spans="1:3" ht="16.5" thickTop="1" thickBot="1" x14ac:dyDescent="0.3">
      <c r="A292" s="211"/>
      <c r="B292" s="212"/>
      <c r="C292" s="214"/>
    </row>
    <row r="293" spans="1:3" ht="16.5" thickTop="1" thickBot="1" x14ac:dyDescent="0.3">
      <c r="A293" s="211">
        <v>9214</v>
      </c>
      <c r="B293" s="214" t="s">
        <v>711</v>
      </c>
      <c r="C293" s="212" t="s">
        <v>712</v>
      </c>
    </row>
    <row r="294" spans="1:3" ht="16.5" thickTop="1" thickBot="1" x14ac:dyDescent="0.3">
      <c r="A294" s="211"/>
      <c r="B294" s="214"/>
      <c r="C294" s="212"/>
    </row>
    <row r="295" spans="1:3" ht="16.5" thickTop="1" thickBot="1" x14ac:dyDescent="0.3">
      <c r="A295" s="211">
        <v>9216</v>
      </c>
      <c r="B295" s="214" t="s">
        <v>713</v>
      </c>
      <c r="C295" s="214" t="s">
        <v>714</v>
      </c>
    </row>
    <row r="296" spans="1:3" ht="16.5" thickTop="1" thickBot="1" x14ac:dyDescent="0.3">
      <c r="A296" s="211"/>
      <c r="B296" s="214"/>
      <c r="C296" s="214"/>
    </row>
    <row r="297" spans="1:3" ht="16.5" thickTop="1" thickBot="1" x14ac:dyDescent="0.3">
      <c r="A297" s="211">
        <v>9217</v>
      </c>
      <c r="B297" s="212" t="s">
        <v>715</v>
      </c>
      <c r="C297" s="214" t="s">
        <v>716</v>
      </c>
    </row>
    <row r="298" spans="1:3" ht="16.5" thickTop="1" thickBot="1" x14ac:dyDescent="0.3">
      <c r="A298" s="211"/>
      <c r="B298" s="212"/>
      <c r="C298" s="214"/>
    </row>
    <row r="299" spans="1:3" ht="16.5" thickTop="1" thickBot="1" x14ac:dyDescent="0.3">
      <c r="A299" s="211"/>
      <c r="B299" s="212"/>
      <c r="C299" s="214"/>
    </row>
    <row r="300" spans="1:3" ht="16.5" thickTop="1" thickBot="1" x14ac:dyDescent="0.3">
      <c r="A300" s="211">
        <v>9218</v>
      </c>
      <c r="B300" s="212" t="s">
        <v>717</v>
      </c>
      <c r="C300" s="214" t="s">
        <v>718</v>
      </c>
    </row>
    <row r="301" spans="1:3" ht="16.5" thickTop="1" thickBot="1" x14ac:dyDescent="0.3">
      <c r="A301" s="211"/>
      <c r="B301" s="212"/>
      <c r="C301" s="214"/>
    </row>
    <row r="302" spans="1:3" ht="16.5" thickTop="1" thickBot="1" x14ac:dyDescent="0.3">
      <c r="A302" s="211">
        <v>9219</v>
      </c>
      <c r="B302" s="212" t="s">
        <v>719</v>
      </c>
      <c r="C302" s="214" t="s">
        <v>720</v>
      </c>
    </row>
    <row r="303" spans="1:3" ht="16.5" thickTop="1" thickBot="1" x14ac:dyDescent="0.3">
      <c r="A303" s="211"/>
      <c r="B303" s="212"/>
      <c r="C303" s="214"/>
    </row>
    <row r="304" spans="1:3" ht="16.5" thickTop="1" thickBot="1" x14ac:dyDescent="0.3">
      <c r="A304" s="211"/>
      <c r="B304" s="212"/>
      <c r="C304" s="214"/>
    </row>
    <row r="305" spans="1:3" ht="16.5" thickTop="1" thickBot="1" x14ac:dyDescent="0.3">
      <c r="A305" s="211">
        <v>9220</v>
      </c>
      <c r="B305" s="212" t="s">
        <v>721</v>
      </c>
      <c r="C305" s="214" t="s">
        <v>722</v>
      </c>
    </row>
    <row r="306" spans="1:3" ht="16.5" thickTop="1" thickBot="1" x14ac:dyDescent="0.3">
      <c r="A306" s="211"/>
      <c r="B306" s="212"/>
      <c r="C306" s="214"/>
    </row>
    <row r="307" spans="1:3" ht="16.5" thickTop="1" thickBot="1" x14ac:dyDescent="0.3">
      <c r="A307" s="216">
        <v>9221</v>
      </c>
      <c r="B307" s="212" t="s">
        <v>723</v>
      </c>
      <c r="C307" s="214" t="s">
        <v>724</v>
      </c>
    </row>
    <row r="308" spans="1:3" ht="16.5" thickTop="1" thickBot="1" x14ac:dyDescent="0.3">
      <c r="A308" s="217"/>
      <c r="B308" s="212"/>
      <c r="C308" s="214"/>
    </row>
    <row r="309" spans="1:3" ht="16.5" thickTop="1" thickBot="1" x14ac:dyDescent="0.3">
      <c r="A309" s="211">
        <v>9222</v>
      </c>
      <c r="B309" s="212" t="s">
        <v>725</v>
      </c>
      <c r="C309" s="214" t="s">
        <v>726</v>
      </c>
    </row>
    <row r="310" spans="1:3" ht="16.5" thickTop="1" thickBot="1" x14ac:dyDescent="0.3">
      <c r="A310" s="211"/>
      <c r="B310" s="212"/>
      <c r="C310" s="214"/>
    </row>
    <row r="311" spans="1:3" ht="16.5" thickTop="1" thickBot="1" x14ac:dyDescent="0.3">
      <c r="A311" s="211"/>
      <c r="B311" s="212"/>
      <c r="C311" s="214"/>
    </row>
    <row r="312" spans="1:3" ht="16.5" thickTop="1" thickBot="1" x14ac:dyDescent="0.3">
      <c r="A312" s="211">
        <v>9223</v>
      </c>
      <c r="B312" s="91" t="s">
        <v>727</v>
      </c>
      <c r="C312" s="214" t="s">
        <v>722</v>
      </c>
    </row>
    <row r="313" spans="1:3" ht="16.5" thickTop="1" thickBot="1" x14ac:dyDescent="0.3">
      <c r="A313" s="211"/>
      <c r="B313" s="91" t="s">
        <v>728</v>
      </c>
      <c r="C313" s="214"/>
    </row>
    <row r="314" spans="1:3" ht="16.5" thickTop="1" thickBot="1" x14ac:dyDescent="0.3">
      <c r="A314" s="211">
        <v>9224</v>
      </c>
      <c r="B314" s="212" t="s">
        <v>729</v>
      </c>
      <c r="C314" s="214" t="s">
        <v>730</v>
      </c>
    </row>
    <row r="315" spans="1:3" ht="16.5" thickTop="1" thickBot="1" x14ac:dyDescent="0.3">
      <c r="A315" s="211"/>
      <c r="B315" s="212"/>
      <c r="C315" s="214"/>
    </row>
    <row r="316" spans="1:3" ht="16.5" thickTop="1" thickBot="1" x14ac:dyDescent="0.3">
      <c r="A316" s="211"/>
      <c r="B316" s="212"/>
      <c r="C316" s="214"/>
    </row>
    <row r="317" spans="1:3" ht="16.5" thickTop="1" thickBot="1" x14ac:dyDescent="0.3">
      <c r="A317" s="211">
        <v>9225</v>
      </c>
      <c r="B317" s="212" t="s">
        <v>731</v>
      </c>
      <c r="C317" s="214" t="s">
        <v>732</v>
      </c>
    </row>
    <row r="318" spans="1:3" ht="16.5" thickTop="1" thickBot="1" x14ac:dyDescent="0.3">
      <c r="A318" s="211"/>
      <c r="B318" s="212"/>
      <c r="C318" s="214"/>
    </row>
    <row r="319" spans="1:3" ht="16.5" thickTop="1" thickBot="1" x14ac:dyDescent="0.3">
      <c r="A319" s="211">
        <v>9226</v>
      </c>
      <c r="B319" s="212" t="s">
        <v>733</v>
      </c>
      <c r="C319" s="214" t="s">
        <v>734</v>
      </c>
    </row>
    <row r="320" spans="1:3" ht="16.5" thickTop="1" thickBot="1" x14ac:dyDescent="0.3">
      <c r="A320" s="211"/>
      <c r="B320" s="212"/>
      <c r="C320" s="214"/>
    </row>
    <row r="321" spans="1:3" ht="16.5" thickTop="1" thickBot="1" x14ac:dyDescent="0.3">
      <c r="A321" s="211">
        <v>9230</v>
      </c>
      <c r="B321" s="212" t="s">
        <v>161</v>
      </c>
      <c r="C321" s="214" t="s">
        <v>735</v>
      </c>
    </row>
    <row r="322" spans="1:3" ht="16.5" thickTop="1" thickBot="1" x14ac:dyDescent="0.3">
      <c r="A322" s="211"/>
      <c r="B322" s="212"/>
      <c r="C322" s="214"/>
    </row>
    <row r="323" spans="1:3" ht="16.5" thickTop="1" thickBot="1" x14ac:dyDescent="0.3">
      <c r="A323" s="211"/>
      <c r="B323" s="212"/>
      <c r="C323" s="214"/>
    </row>
    <row r="324" spans="1:3" ht="16.5" thickTop="1" thickBot="1" x14ac:dyDescent="0.3">
      <c r="A324" s="211">
        <v>9231</v>
      </c>
      <c r="B324" s="214" t="s">
        <v>162</v>
      </c>
      <c r="C324" s="214" t="s">
        <v>736</v>
      </c>
    </row>
    <row r="325" spans="1:3" ht="16.5" thickTop="1" thickBot="1" x14ac:dyDescent="0.3">
      <c r="A325" s="211"/>
      <c r="B325" s="214"/>
      <c r="C325" s="214"/>
    </row>
    <row r="326" spans="1:3" ht="16.5" thickTop="1" thickBot="1" x14ac:dyDescent="0.3">
      <c r="A326" s="211">
        <v>9232</v>
      </c>
      <c r="B326" s="214" t="s">
        <v>163</v>
      </c>
      <c r="C326" s="214" t="s">
        <v>737</v>
      </c>
    </row>
    <row r="327" spans="1:3" ht="16.5" thickTop="1" thickBot="1" x14ac:dyDescent="0.3">
      <c r="A327" s="211"/>
      <c r="B327" s="214"/>
      <c r="C327" s="214"/>
    </row>
    <row r="328" spans="1:3" ht="16.5" thickTop="1" thickBot="1" x14ac:dyDescent="0.3">
      <c r="A328" s="211">
        <v>9233</v>
      </c>
      <c r="B328" s="214" t="s">
        <v>738</v>
      </c>
      <c r="C328" s="214" t="s">
        <v>739</v>
      </c>
    </row>
    <row r="329" spans="1:3" ht="16.5" thickTop="1" thickBot="1" x14ac:dyDescent="0.3">
      <c r="A329" s="211"/>
      <c r="B329" s="214"/>
      <c r="C329" s="214"/>
    </row>
    <row r="330" spans="1:3" ht="16.5" thickTop="1" thickBot="1" x14ac:dyDescent="0.3">
      <c r="A330" s="211">
        <v>9250</v>
      </c>
      <c r="B330" s="212" t="s">
        <v>740</v>
      </c>
      <c r="C330" s="214" t="s">
        <v>722</v>
      </c>
    </row>
    <row r="331" spans="1:3" ht="16.5" thickTop="1" thickBot="1" x14ac:dyDescent="0.3">
      <c r="A331" s="211"/>
      <c r="B331" s="212"/>
      <c r="C331" s="214"/>
    </row>
    <row r="332" spans="1:3" ht="16.5" thickTop="1" thickBot="1" x14ac:dyDescent="0.3">
      <c r="A332" s="211">
        <v>9254</v>
      </c>
      <c r="B332" s="212" t="s">
        <v>741</v>
      </c>
      <c r="C332" s="214" t="s">
        <v>742</v>
      </c>
    </row>
    <row r="333" spans="1:3" ht="16.5" thickTop="1" thickBot="1" x14ac:dyDescent="0.3">
      <c r="A333" s="211"/>
      <c r="B333" s="212"/>
      <c r="C333" s="214"/>
    </row>
    <row r="334" spans="1:3" ht="16.5" thickTop="1" thickBot="1" x14ac:dyDescent="0.3">
      <c r="A334" s="211">
        <v>9255</v>
      </c>
      <c r="B334" s="214" t="s">
        <v>743</v>
      </c>
      <c r="C334" s="214" t="s">
        <v>744</v>
      </c>
    </row>
    <row r="335" spans="1:3" ht="16.5" thickTop="1" thickBot="1" x14ac:dyDescent="0.3">
      <c r="A335" s="211"/>
      <c r="B335" s="214"/>
      <c r="C335" s="214"/>
    </row>
    <row r="336" spans="1:3" ht="16.5" thickTop="1" thickBot="1" x14ac:dyDescent="0.3">
      <c r="A336" s="211">
        <v>9258</v>
      </c>
      <c r="B336" s="212" t="s">
        <v>745</v>
      </c>
      <c r="C336" s="214" t="s">
        <v>746</v>
      </c>
    </row>
    <row r="337" spans="1:3" ht="16.5" thickTop="1" thickBot="1" x14ac:dyDescent="0.3">
      <c r="A337" s="211"/>
      <c r="B337" s="212"/>
      <c r="C337" s="214"/>
    </row>
    <row r="338" spans="1:3" ht="16.5" thickTop="1" thickBot="1" x14ac:dyDescent="0.3">
      <c r="A338" s="211"/>
      <c r="B338" s="212"/>
      <c r="C338" s="214"/>
    </row>
    <row r="339" spans="1:3" ht="16.5" thickTop="1" thickBot="1" x14ac:dyDescent="0.3">
      <c r="A339" s="211"/>
      <c r="B339" s="212"/>
      <c r="C339" s="214"/>
    </row>
    <row r="340" spans="1:3" ht="16.5" thickTop="1" thickBot="1" x14ac:dyDescent="0.3">
      <c r="A340" s="211">
        <v>9270</v>
      </c>
      <c r="B340" s="214" t="s">
        <v>747</v>
      </c>
      <c r="C340" s="214" t="s">
        <v>748</v>
      </c>
    </row>
    <row r="341" spans="1:3" ht="16.5" thickTop="1" thickBot="1" x14ac:dyDescent="0.3">
      <c r="A341" s="211"/>
      <c r="B341" s="214"/>
      <c r="C341" s="214"/>
    </row>
    <row r="342" spans="1:3" ht="16.5" thickTop="1" thickBot="1" x14ac:dyDescent="0.3">
      <c r="A342" s="211">
        <v>9290</v>
      </c>
      <c r="B342" s="212" t="s">
        <v>749</v>
      </c>
      <c r="C342" s="214" t="s">
        <v>750</v>
      </c>
    </row>
    <row r="343" spans="1:3" ht="16.5" thickTop="1" thickBot="1" x14ac:dyDescent="0.3">
      <c r="A343" s="211"/>
      <c r="B343" s="212"/>
      <c r="C343" s="214"/>
    </row>
    <row r="344" spans="1:3" ht="16.5" thickTop="1" thickBot="1" x14ac:dyDescent="0.3">
      <c r="A344" s="211"/>
      <c r="B344" s="212"/>
      <c r="C344" s="214"/>
    </row>
    <row r="345" spans="1:3" ht="16.5" thickTop="1" thickBot="1" x14ac:dyDescent="0.3">
      <c r="A345" s="211"/>
      <c r="B345" s="212"/>
      <c r="C345" s="214"/>
    </row>
    <row r="346" spans="1:3" ht="16.5" thickTop="1" thickBot="1" x14ac:dyDescent="0.3">
      <c r="A346" s="211">
        <v>9299</v>
      </c>
      <c r="B346" s="212" t="s">
        <v>751</v>
      </c>
      <c r="C346" s="212" t="s">
        <v>752</v>
      </c>
    </row>
    <row r="347" spans="1:3" ht="16.5" thickTop="1" thickBot="1" x14ac:dyDescent="0.3">
      <c r="A347" s="211"/>
      <c r="B347" s="212"/>
      <c r="C347" s="212"/>
    </row>
    <row r="348" spans="1:3" ht="16.5" thickTop="1" thickBot="1" x14ac:dyDescent="0.3">
      <c r="A348" s="211">
        <v>9901</v>
      </c>
      <c r="B348" s="214" t="s">
        <v>753</v>
      </c>
      <c r="C348" s="212" t="s">
        <v>754</v>
      </c>
    </row>
    <row r="349" spans="1:3" ht="16.5" thickTop="1" thickBot="1" x14ac:dyDescent="0.3">
      <c r="A349" s="211"/>
      <c r="B349" s="214"/>
      <c r="C349" s="212"/>
    </row>
    <row r="350" spans="1:3" ht="16.5" thickTop="1" thickBot="1" x14ac:dyDescent="0.3">
      <c r="A350" s="211"/>
      <c r="B350" s="214"/>
      <c r="C350" s="212"/>
    </row>
    <row r="351" spans="1:3" ht="16.5" thickTop="1" thickBot="1" x14ac:dyDescent="0.3">
      <c r="A351" s="211">
        <v>9902</v>
      </c>
      <c r="B351" s="214" t="s">
        <v>755</v>
      </c>
      <c r="C351" s="212" t="s">
        <v>756</v>
      </c>
    </row>
    <row r="352" spans="1:3" ht="16.5" thickTop="1" thickBot="1" x14ac:dyDescent="0.3">
      <c r="A352" s="211"/>
      <c r="B352" s="214"/>
      <c r="C352" s="212"/>
    </row>
    <row r="353" spans="1:3" ht="16.5" thickTop="1" thickBot="1" x14ac:dyDescent="0.3">
      <c r="A353" s="211">
        <v>9903</v>
      </c>
      <c r="B353" s="214" t="s">
        <v>757</v>
      </c>
      <c r="C353" s="212" t="s">
        <v>758</v>
      </c>
    </row>
    <row r="354" spans="1:3" ht="16.5" thickTop="1" thickBot="1" x14ac:dyDescent="0.3">
      <c r="A354" s="211"/>
      <c r="B354" s="214"/>
      <c r="C354" s="212"/>
    </row>
    <row r="355" spans="1:3" ht="16.5" thickTop="1" thickBot="1" x14ac:dyDescent="0.3">
      <c r="A355" s="211">
        <v>9904</v>
      </c>
      <c r="B355" s="214" t="s">
        <v>759</v>
      </c>
      <c r="C355" s="212" t="s">
        <v>760</v>
      </c>
    </row>
    <row r="356" spans="1:3" ht="16.5" thickTop="1" thickBot="1" x14ac:dyDescent="0.3">
      <c r="A356" s="211"/>
      <c r="B356" s="214"/>
      <c r="C356" s="212"/>
    </row>
    <row r="357" spans="1:3" ht="16.5" thickTop="1" thickBot="1" x14ac:dyDescent="0.3">
      <c r="A357" s="211">
        <v>9905</v>
      </c>
      <c r="B357" s="212" t="s">
        <v>761</v>
      </c>
      <c r="C357" s="214" t="s">
        <v>762</v>
      </c>
    </row>
    <row r="358" spans="1:3" ht="16.5" thickTop="1" thickBot="1" x14ac:dyDescent="0.3">
      <c r="A358" s="211"/>
      <c r="B358" s="212"/>
      <c r="C358" s="214"/>
    </row>
    <row r="359" spans="1:3" ht="16.5" thickTop="1" thickBot="1" x14ac:dyDescent="0.3">
      <c r="A359" s="211"/>
      <c r="B359" s="212"/>
      <c r="C359" s="214"/>
    </row>
    <row r="360" spans="1:3" ht="16.5" thickTop="1" thickBot="1" x14ac:dyDescent="0.3">
      <c r="A360" s="211">
        <v>9906</v>
      </c>
      <c r="B360" s="212" t="s">
        <v>763</v>
      </c>
      <c r="C360" s="214" t="s">
        <v>764</v>
      </c>
    </row>
    <row r="361" spans="1:3" ht="16.5" thickTop="1" thickBot="1" x14ac:dyDescent="0.3">
      <c r="A361" s="211"/>
      <c r="B361" s="212"/>
      <c r="C361" s="214"/>
    </row>
    <row r="362" spans="1:3" ht="16.5" thickTop="1" thickBot="1" x14ac:dyDescent="0.3">
      <c r="A362" s="88">
        <v>9908</v>
      </c>
      <c r="B362" s="91" t="s">
        <v>765</v>
      </c>
      <c r="C362" s="91" t="s">
        <v>766</v>
      </c>
    </row>
    <row r="363" spans="1:3" ht="16.5" thickTop="1" thickBot="1" x14ac:dyDescent="0.3">
      <c r="A363" s="211">
        <v>9910</v>
      </c>
      <c r="B363" s="212" t="s">
        <v>767</v>
      </c>
      <c r="C363" s="214" t="s">
        <v>768</v>
      </c>
    </row>
    <row r="364" spans="1:3" ht="16.5" thickTop="1" thickBot="1" x14ac:dyDescent="0.3">
      <c r="A364" s="211"/>
      <c r="B364" s="212"/>
      <c r="C364" s="214"/>
    </row>
    <row r="365" spans="1:3" ht="16.5" thickTop="1" thickBot="1" x14ac:dyDescent="0.3">
      <c r="A365" s="211">
        <v>9911</v>
      </c>
      <c r="B365" s="212" t="s">
        <v>365</v>
      </c>
      <c r="C365" s="214" t="s">
        <v>769</v>
      </c>
    </row>
    <row r="366" spans="1:3" ht="16.5" thickTop="1" thickBot="1" x14ac:dyDescent="0.3">
      <c r="A366" s="211"/>
      <c r="B366" s="212"/>
      <c r="C366" s="214"/>
    </row>
    <row r="367" spans="1:3" ht="16.5" thickTop="1" thickBot="1" x14ac:dyDescent="0.3">
      <c r="A367" s="211"/>
      <c r="B367" s="212"/>
      <c r="C367" s="214"/>
    </row>
    <row r="368" spans="1:3" ht="16.5" thickTop="1" thickBot="1" x14ac:dyDescent="0.3">
      <c r="A368" s="211">
        <v>9930</v>
      </c>
      <c r="B368" s="214" t="s">
        <v>770</v>
      </c>
      <c r="C368" s="214" t="s">
        <v>771</v>
      </c>
    </row>
    <row r="369" spans="1:3" ht="16.5" thickTop="1" thickBot="1" x14ac:dyDescent="0.3">
      <c r="A369" s="211"/>
      <c r="B369" s="214"/>
      <c r="C369" s="214"/>
    </row>
    <row r="370" spans="1:3" ht="16.5" thickTop="1" thickBot="1" x14ac:dyDescent="0.3">
      <c r="A370" s="211">
        <v>9931</v>
      </c>
      <c r="B370" s="214" t="s">
        <v>772</v>
      </c>
      <c r="C370" s="212" t="s">
        <v>773</v>
      </c>
    </row>
    <row r="371" spans="1:3" ht="16.5" thickTop="1" thickBot="1" x14ac:dyDescent="0.3">
      <c r="A371" s="211"/>
      <c r="B371" s="214"/>
      <c r="C371" s="212"/>
    </row>
    <row r="372" spans="1:3" ht="16.5" thickTop="1" thickBot="1" x14ac:dyDescent="0.3">
      <c r="A372" s="211"/>
      <c r="B372" s="214"/>
      <c r="C372" s="212"/>
    </row>
    <row r="373" spans="1:3" ht="16.5" thickTop="1" thickBot="1" x14ac:dyDescent="0.3">
      <c r="A373" s="211">
        <v>9932</v>
      </c>
      <c r="B373" s="212" t="s">
        <v>774</v>
      </c>
      <c r="C373" s="214" t="s">
        <v>775</v>
      </c>
    </row>
    <row r="374" spans="1:3" ht="16.5" thickTop="1" thickBot="1" x14ac:dyDescent="0.3">
      <c r="A374" s="211"/>
      <c r="B374" s="212"/>
      <c r="C374" s="214"/>
    </row>
    <row r="375" spans="1:3" ht="16.5" thickTop="1" thickBot="1" x14ac:dyDescent="0.3">
      <c r="A375" s="211"/>
      <c r="B375" s="212"/>
      <c r="C375" s="214"/>
    </row>
    <row r="376" spans="1:3" ht="16.5" thickTop="1" thickBot="1" x14ac:dyDescent="0.3">
      <c r="A376" s="211">
        <v>9933</v>
      </c>
      <c r="B376" s="212" t="s">
        <v>776</v>
      </c>
      <c r="C376" s="214" t="s">
        <v>777</v>
      </c>
    </row>
    <row r="377" spans="1:3" ht="16.5" thickTop="1" thickBot="1" x14ac:dyDescent="0.3">
      <c r="A377" s="211"/>
      <c r="B377" s="212"/>
      <c r="C377" s="214"/>
    </row>
    <row r="378" spans="1:3" ht="16.5" thickTop="1" thickBot="1" x14ac:dyDescent="0.3">
      <c r="A378" s="211">
        <v>9938</v>
      </c>
      <c r="B378" s="212" t="s">
        <v>778</v>
      </c>
      <c r="C378" s="214" t="s">
        <v>779</v>
      </c>
    </row>
    <row r="379" spans="1:3" ht="16.5" thickTop="1" thickBot="1" x14ac:dyDescent="0.3">
      <c r="A379" s="211"/>
      <c r="B379" s="212"/>
      <c r="C379" s="214"/>
    </row>
    <row r="380" spans="1:3" ht="16.5" thickTop="1" thickBot="1" x14ac:dyDescent="0.3">
      <c r="A380" s="211"/>
      <c r="B380" s="212"/>
      <c r="C380" s="214"/>
    </row>
    <row r="381" spans="1:3" ht="16.5" thickTop="1" thickBot="1" x14ac:dyDescent="0.3">
      <c r="A381" s="211"/>
      <c r="B381" s="212"/>
      <c r="C381" s="214"/>
    </row>
    <row r="382" spans="1:3" ht="16.5" thickTop="1" thickBot="1" x14ac:dyDescent="0.3">
      <c r="A382" s="211"/>
      <c r="B382" s="212"/>
      <c r="C382" s="214"/>
    </row>
    <row r="383" spans="1:3" ht="16.5" thickTop="1" thickBot="1" x14ac:dyDescent="0.3">
      <c r="A383" s="211">
        <v>9939</v>
      </c>
      <c r="B383" s="212" t="s">
        <v>780</v>
      </c>
      <c r="C383" s="214" t="s">
        <v>781</v>
      </c>
    </row>
    <row r="384" spans="1:3" ht="16.5" thickTop="1" thickBot="1" x14ac:dyDescent="0.3">
      <c r="A384" s="211"/>
      <c r="B384" s="212"/>
      <c r="C384" s="214"/>
    </row>
    <row r="385" spans="1:3" ht="16.5" thickTop="1" thickBot="1" x14ac:dyDescent="0.3">
      <c r="A385" s="211"/>
      <c r="B385" s="212"/>
      <c r="C385" s="214"/>
    </row>
    <row r="386" spans="1:3" ht="16.5" thickTop="1" thickBot="1" x14ac:dyDescent="0.3">
      <c r="A386" s="211">
        <v>9950</v>
      </c>
      <c r="B386" s="214" t="s">
        <v>782</v>
      </c>
      <c r="C386" s="214" t="s">
        <v>783</v>
      </c>
    </row>
    <row r="387" spans="1:3" ht="16.5" thickTop="1" thickBot="1" x14ac:dyDescent="0.3">
      <c r="A387" s="211"/>
      <c r="B387" s="214"/>
      <c r="C387" s="214"/>
    </row>
    <row r="388" spans="1:3" ht="16.5" thickTop="1" thickBot="1" x14ac:dyDescent="0.3">
      <c r="A388" s="211">
        <v>9951</v>
      </c>
      <c r="B388" s="214" t="s">
        <v>784</v>
      </c>
      <c r="C388" s="214" t="s">
        <v>785</v>
      </c>
    </row>
    <row r="389" spans="1:3" ht="16.5" thickTop="1" thickBot="1" x14ac:dyDescent="0.3">
      <c r="A389" s="211"/>
      <c r="B389" s="214"/>
      <c r="C389" s="214"/>
    </row>
    <row r="390" spans="1:3" ht="16.5" thickTop="1" thickBot="1" x14ac:dyDescent="0.3">
      <c r="A390" s="211">
        <v>9989</v>
      </c>
      <c r="B390" s="214" t="s">
        <v>786</v>
      </c>
      <c r="C390" s="214" t="s">
        <v>787</v>
      </c>
    </row>
    <row r="391" spans="1:3" ht="16.5" thickTop="1" thickBot="1" x14ac:dyDescent="0.3">
      <c r="A391" s="211"/>
      <c r="B391" s="214"/>
      <c r="C391" s="214"/>
    </row>
    <row r="393" spans="1:3" x14ac:dyDescent="0.25">
      <c r="A393" s="56" t="s">
        <v>492</v>
      </c>
      <c r="B393" s="92" t="s">
        <v>788</v>
      </c>
    </row>
  </sheetData>
  <mergeCells count="444">
    <mergeCell ref="A390:A391"/>
    <mergeCell ref="B390:B391"/>
    <mergeCell ref="C390:C391"/>
    <mergeCell ref="A386:A387"/>
    <mergeCell ref="B386:B387"/>
    <mergeCell ref="C386:C387"/>
    <mergeCell ref="A388:A389"/>
    <mergeCell ref="B388:B389"/>
    <mergeCell ref="C388:C389"/>
    <mergeCell ref="A378:A382"/>
    <mergeCell ref="B378:B382"/>
    <mergeCell ref="C378:C382"/>
    <mergeCell ref="A383:A385"/>
    <mergeCell ref="B383:B385"/>
    <mergeCell ref="C383:C385"/>
    <mergeCell ref="A373:A375"/>
    <mergeCell ref="B373:B375"/>
    <mergeCell ref="C373:C375"/>
    <mergeCell ref="A376:A377"/>
    <mergeCell ref="B376:B377"/>
    <mergeCell ref="C376:C377"/>
    <mergeCell ref="A368:A369"/>
    <mergeCell ref="B368:B369"/>
    <mergeCell ref="C368:C369"/>
    <mergeCell ref="A370:A372"/>
    <mergeCell ref="B370:B372"/>
    <mergeCell ref="C370:C372"/>
    <mergeCell ref="A363:A364"/>
    <mergeCell ref="B363:B364"/>
    <mergeCell ref="C363:C364"/>
    <mergeCell ref="A365:A367"/>
    <mergeCell ref="B365:B367"/>
    <mergeCell ref="C365:C367"/>
    <mergeCell ref="A357:A359"/>
    <mergeCell ref="B357:B359"/>
    <mergeCell ref="C357:C359"/>
    <mergeCell ref="A360:A361"/>
    <mergeCell ref="B360:B361"/>
    <mergeCell ref="C360:C361"/>
    <mergeCell ref="A353:A354"/>
    <mergeCell ref="B353:B354"/>
    <mergeCell ref="C353:C354"/>
    <mergeCell ref="A355:A356"/>
    <mergeCell ref="B355:B356"/>
    <mergeCell ref="C355:C356"/>
    <mergeCell ref="A348:A350"/>
    <mergeCell ref="B348:B350"/>
    <mergeCell ref="C348:C350"/>
    <mergeCell ref="A351:A352"/>
    <mergeCell ref="B351:B352"/>
    <mergeCell ref="C351:C352"/>
    <mergeCell ref="A342:A345"/>
    <mergeCell ref="B342:B345"/>
    <mergeCell ref="C342:C345"/>
    <mergeCell ref="A346:A347"/>
    <mergeCell ref="B346:B347"/>
    <mergeCell ref="C346:C347"/>
    <mergeCell ref="A336:A339"/>
    <mergeCell ref="B336:B339"/>
    <mergeCell ref="C336:C339"/>
    <mergeCell ref="A340:A341"/>
    <mergeCell ref="B340:B341"/>
    <mergeCell ref="C340:C341"/>
    <mergeCell ref="A332:A333"/>
    <mergeCell ref="B332:B333"/>
    <mergeCell ref="C332:C333"/>
    <mergeCell ref="A334:A335"/>
    <mergeCell ref="B334:B335"/>
    <mergeCell ref="C334:C335"/>
    <mergeCell ref="A328:A329"/>
    <mergeCell ref="B328:B329"/>
    <mergeCell ref="C328:C329"/>
    <mergeCell ref="A330:A331"/>
    <mergeCell ref="B330:B331"/>
    <mergeCell ref="C330:C331"/>
    <mergeCell ref="A324:A325"/>
    <mergeCell ref="B324:B325"/>
    <mergeCell ref="C324:C325"/>
    <mergeCell ref="A326:A327"/>
    <mergeCell ref="B326:B327"/>
    <mergeCell ref="C326:C327"/>
    <mergeCell ref="A319:A320"/>
    <mergeCell ref="B319:B320"/>
    <mergeCell ref="C319:C320"/>
    <mergeCell ref="A321:A323"/>
    <mergeCell ref="B321:B323"/>
    <mergeCell ref="C321:C323"/>
    <mergeCell ref="A312:A313"/>
    <mergeCell ref="C312:C313"/>
    <mergeCell ref="A314:A316"/>
    <mergeCell ref="B314:B316"/>
    <mergeCell ref="C314:C316"/>
    <mergeCell ref="A317:A318"/>
    <mergeCell ref="B317:B318"/>
    <mergeCell ref="C317:C318"/>
    <mergeCell ref="A307:A308"/>
    <mergeCell ref="B307:B308"/>
    <mergeCell ref="C307:C308"/>
    <mergeCell ref="A309:A311"/>
    <mergeCell ref="B309:B311"/>
    <mergeCell ref="C309:C311"/>
    <mergeCell ref="A302:A304"/>
    <mergeCell ref="B302:B304"/>
    <mergeCell ref="C302:C304"/>
    <mergeCell ref="A305:A306"/>
    <mergeCell ref="B305:B306"/>
    <mergeCell ref="C305:C306"/>
    <mergeCell ref="A297:A299"/>
    <mergeCell ref="B297:B299"/>
    <mergeCell ref="C297:C299"/>
    <mergeCell ref="A300:A301"/>
    <mergeCell ref="B300:B301"/>
    <mergeCell ref="C300:C301"/>
    <mergeCell ref="A293:A294"/>
    <mergeCell ref="B293:B294"/>
    <mergeCell ref="C293:C294"/>
    <mergeCell ref="A295:A296"/>
    <mergeCell ref="B295:B296"/>
    <mergeCell ref="C295:C296"/>
    <mergeCell ref="A289:A290"/>
    <mergeCell ref="B289:B290"/>
    <mergeCell ref="C289:C290"/>
    <mergeCell ref="A291:A292"/>
    <mergeCell ref="B291:B292"/>
    <mergeCell ref="C291:C292"/>
    <mergeCell ref="A285:A286"/>
    <mergeCell ref="B285:B286"/>
    <mergeCell ref="C285:C286"/>
    <mergeCell ref="A287:A288"/>
    <mergeCell ref="B287:B288"/>
    <mergeCell ref="C287:C288"/>
    <mergeCell ref="A281:A282"/>
    <mergeCell ref="B281:B282"/>
    <mergeCell ref="C281:C282"/>
    <mergeCell ref="A283:A284"/>
    <mergeCell ref="B283:B284"/>
    <mergeCell ref="C283:C284"/>
    <mergeCell ref="A277:A278"/>
    <mergeCell ref="B277:B278"/>
    <mergeCell ref="C277:C278"/>
    <mergeCell ref="A279:A280"/>
    <mergeCell ref="B279:B280"/>
    <mergeCell ref="C279:C280"/>
    <mergeCell ref="A273:A274"/>
    <mergeCell ref="B273:B274"/>
    <mergeCell ref="C273:C274"/>
    <mergeCell ref="A275:A276"/>
    <mergeCell ref="B275:B276"/>
    <mergeCell ref="C275:C276"/>
    <mergeCell ref="A269:A270"/>
    <mergeCell ref="B269:B270"/>
    <mergeCell ref="C269:C270"/>
    <mergeCell ref="A271:A272"/>
    <mergeCell ref="B271:B272"/>
    <mergeCell ref="C271:C272"/>
    <mergeCell ref="A265:A266"/>
    <mergeCell ref="B265:B266"/>
    <mergeCell ref="C265:C266"/>
    <mergeCell ref="A267:A268"/>
    <mergeCell ref="B267:B268"/>
    <mergeCell ref="C267:C268"/>
    <mergeCell ref="A259:A261"/>
    <mergeCell ref="B259:B261"/>
    <mergeCell ref="C259:C261"/>
    <mergeCell ref="A262:A264"/>
    <mergeCell ref="B262:B264"/>
    <mergeCell ref="C262:C264"/>
    <mergeCell ref="A254:A256"/>
    <mergeCell ref="B254:B256"/>
    <mergeCell ref="C254:C256"/>
    <mergeCell ref="A257:A258"/>
    <mergeCell ref="B257:B258"/>
    <mergeCell ref="C257:C258"/>
    <mergeCell ref="A249:A251"/>
    <mergeCell ref="B249:B251"/>
    <mergeCell ref="C249:C251"/>
    <mergeCell ref="A252:A253"/>
    <mergeCell ref="B252:B253"/>
    <mergeCell ref="C252:C253"/>
    <mergeCell ref="A244:A245"/>
    <mergeCell ref="B244:B245"/>
    <mergeCell ref="C244:C245"/>
    <mergeCell ref="A246:A248"/>
    <mergeCell ref="B246:B248"/>
    <mergeCell ref="C246:C248"/>
    <mergeCell ref="A237:A240"/>
    <mergeCell ref="B237:B240"/>
    <mergeCell ref="C237:C240"/>
    <mergeCell ref="A241:A243"/>
    <mergeCell ref="B241:B243"/>
    <mergeCell ref="C241:C243"/>
    <mergeCell ref="A231:A233"/>
    <mergeCell ref="B231:B233"/>
    <mergeCell ref="C231:C233"/>
    <mergeCell ref="A234:A236"/>
    <mergeCell ref="B234:B236"/>
    <mergeCell ref="C234:C236"/>
    <mergeCell ref="A227:A228"/>
    <mergeCell ref="B227:B228"/>
    <mergeCell ref="C227:C228"/>
    <mergeCell ref="A229:A230"/>
    <mergeCell ref="B229:B230"/>
    <mergeCell ref="C229:C230"/>
    <mergeCell ref="A223:A224"/>
    <mergeCell ref="B223:B224"/>
    <mergeCell ref="C223:C224"/>
    <mergeCell ref="A225:A226"/>
    <mergeCell ref="B225:B226"/>
    <mergeCell ref="C225:C226"/>
    <mergeCell ref="A219:A220"/>
    <mergeCell ref="B219:B220"/>
    <mergeCell ref="C219:C220"/>
    <mergeCell ref="A221:A222"/>
    <mergeCell ref="B221:B222"/>
    <mergeCell ref="C221:C222"/>
    <mergeCell ref="A212:A216"/>
    <mergeCell ref="B212:B216"/>
    <mergeCell ref="C212:C216"/>
    <mergeCell ref="A217:A218"/>
    <mergeCell ref="B217:B218"/>
    <mergeCell ref="C217:C218"/>
    <mergeCell ref="A208:A209"/>
    <mergeCell ref="B208:B209"/>
    <mergeCell ref="C208:C209"/>
    <mergeCell ref="A210:A211"/>
    <mergeCell ref="B210:B211"/>
    <mergeCell ref="C210:C211"/>
    <mergeCell ref="A203:A205"/>
    <mergeCell ref="B203:B205"/>
    <mergeCell ref="C203:C205"/>
    <mergeCell ref="A206:A207"/>
    <mergeCell ref="B206:B207"/>
    <mergeCell ref="C206:C207"/>
    <mergeCell ref="A199:A200"/>
    <mergeCell ref="B199:B200"/>
    <mergeCell ref="C199:C200"/>
    <mergeCell ref="A201:A202"/>
    <mergeCell ref="B201:B202"/>
    <mergeCell ref="C201:C202"/>
    <mergeCell ref="A195:A196"/>
    <mergeCell ref="B195:B196"/>
    <mergeCell ref="C195:C196"/>
    <mergeCell ref="A197:A198"/>
    <mergeCell ref="B197:B198"/>
    <mergeCell ref="C197:C198"/>
    <mergeCell ref="A190:A192"/>
    <mergeCell ref="B190:B192"/>
    <mergeCell ref="C190:C192"/>
    <mergeCell ref="A193:A194"/>
    <mergeCell ref="B193:B194"/>
    <mergeCell ref="C193:C194"/>
    <mergeCell ref="A184:A187"/>
    <mergeCell ref="B184:B187"/>
    <mergeCell ref="C184:C187"/>
    <mergeCell ref="A188:A189"/>
    <mergeCell ref="B188:B189"/>
    <mergeCell ref="C188:C189"/>
    <mergeCell ref="A179:A181"/>
    <mergeCell ref="B179:B181"/>
    <mergeCell ref="C179:C181"/>
    <mergeCell ref="A182:A183"/>
    <mergeCell ref="B182:B183"/>
    <mergeCell ref="C182:C183"/>
    <mergeCell ref="A174:A175"/>
    <mergeCell ref="B174:B175"/>
    <mergeCell ref="C174:C175"/>
    <mergeCell ref="A176:A177"/>
    <mergeCell ref="B176:B177"/>
    <mergeCell ref="C176:C177"/>
    <mergeCell ref="A165:A168"/>
    <mergeCell ref="B165:B168"/>
    <mergeCell ref="C165:C168"/>
    <mergeCell ref="A169:A173"/>
    <mergeCell ref="B169:B173"/>
    <mergeCell ref="C169:C173"/>
    <mergeCell ref="A160:A161"/>
    <mergeCell ref="B160:B161"/>
    <mergeCell ref="C160:C161"/>
    <mergeCell ref="A162:A163"/>
    <mergeCell ref="B162:B163"/>
    <mergeCell ref="C162:C163"/>
    <mergeCell ref="A156:A157"/>
    <mergeCell ref="B156:B157"/>
    <mergeCell ref="C156:C157"/>
    <mergeCell ref="A158:A159"/>
    <mergeCell ref="B158:B159"/>
    <mergeCell ref="C158:C159"/>
    <mergeCell ref="A152:A153"/>
    <mergeCell ref="B152:B153"/>
    <mergeCell ref="C152:C153"/>
    <mergeCell ref="A154:A155"/>
    <mergeCell ref="B154:B155"/>
    <mergeCell ref="C154:C155"/>
    <mergeCell ref="A147:A148"/>
    <mergeCell ref="B147:B148"/>
    <mergeCell ref="C147:C148"/>
    <mergeCell ref="A149:A151"/>
    <mergeCell ref="B149:B151"/>
    <mergeCell ref="C149:C151"/>
    <mergeCell ref="A142:A143"/>
    <mergeCell ref="B142:B143"/>
    <mergeCell ref="C142:C143"/>
    <mergeCell ref="A144:A146"/>
    <mergeCell ref="B144:B146"/>
    <mergeCell ref="C144:C146"/>
    <mergeCell ref="A138:A139"/>
    <mergeCell ref="B138:B139"/>
    <mergeCell ref="C138:C139"/>
    <mergeCell ref="A140:A141"/>
    <mergeCell ref="B140:B141"/>
    <mergeCell ref="C140:C141"/>
    <mergeCell ref="A132:A133"/>
    <mergeCell ref="B132:B133"/>
    <mergeCell ref="C132:C133"/>
    <mergeCell ref="A134:A137"/>
    <mergeCell ref="B134:B137"/>
    <mergeCell ref="C134:C137"/>
    <mergeCell ref="A117:A121"/>
    <mergeCell ref="B117:B121"/>
    <mergeCell ref="C117:C121"/>
    <mergeCell ref="A122:A131"/>
    <mergeCell ref="B122:B131"/>
    <mergeCell ref="C122:C130"/>
    <mergeCell ref="A106:A112"/>
    <mergeCell ref="B106:B112"/>
    <mergeCell ref="C106:C112"/>
    <mergeCell ref="A113:A116"/>
    <mergeCell ref="B113:B116"/>
    <mergeCell ref="C113:C116"/>
    <mergeCell ref="A102:A103"/>
    <mergeCell ref="B102:B103"/>
    <mergeCell ref="C102:C103"/>
    <mergeCell ref="A104:A105"/>
    <mergeCell ref="B104:B105"/>
    <mergeCell ref="C104:C105"/>
    <mergeCell ref="A97:A99"/>
    <mergeCell ref="B97:B99"/>
    <mergeCell ref="C97:C99"/>
    <mergeCell ref="A100:A101"/>
    <mergeCell ref="B100:B101"/>
    <mergeCell ref="C100:C101"/>
    <mergeCell ref="A92:A94"/>
    <mergeCell ref="B92:B94"/>
    <mergeCell ref="C92:C94"/>
    <mergeCell ref="A95:A96"/>
    <mergeCell ref="B95:B96"/>
    <mergeCell ref="C95:C96"/>
    <mergeCell ref="A88:A89"/>
    <mergeCell ref="B88:B89"/>
    <mergeCell ref="C88:C89"/>
    <mergeCell ref="A90:A91"/>
    <mergeCell ref="B90:B91"/>
    <mergeCell ref="C90:C91"/>
    <mergeCell ref="A83:A85"/>
    <mergeCell ref="B83:B85"/>
    <mergeCell ref="C83:C85"/>
    <mergeCell ref="A86:A87"/>
    <mergeCell ref="B86:B87"/>
    <mergeCell ref="C86:C87"/>
    <mergeCell ref="A79:A80"/>
    <mergeCell ref="B79:B80"/>
    <mergeCell ref="C79:C80"/>
    <mergeCell ref="A81:A82"/>
    <mergeCell ref="B81:B82"/>
    <mergeCell ref="C81:C82"/>
    <mergeCell ref="A73:A75"/>
    <mergeCell ref="B73:B75"/>
    <mergeCell ref="C73:C75"/>
    <mergeCell ref="A76:A78"/>
    <mergeCell ref="B76:B78"/>
    <mergeCell ref="C76:C78"/>
    <mergeCell ref="A67:A68"/>
    <mergeCell ref="B67:B68"/>
    <mergeCell ref="C67:C68"/>
    <mergeCell ref="A69:A72"/>
    <mergeCell ref="B69:B72"/>
    <mergeCell ref="C69:C72"/>
    <mergeCell ref="A61:A63"/>
    <mergeCell ref="B61:B63"/>
    <mergeCell ref="C61:C63"/>
    <mergeCell ref="A64:A66"/>
    <mergeCell ref="B64:B66"/>
    <mergeCell ref="C64:C66"/>
    <mergeCell ref="A57:A58"/>
    <mergeCell ref="B57:B58"/>
    <mergeCell ref="C57:C58"/>
    <mergeCell ref="A59:A60"/>
    <mergeCell ref="B59:B60"/>
    <mergeCell ref="C59:C60"/>
    <mergeCell ref="A52:A53"/>
    <mergeCell ref="B52:B53"/>
    <mergeCell ref="C52:C53"/>
    <mergeCell ref="A54:A55"/>
    <mergeCell ref="B54:B55"/>
    <mergeCell ref="C54:C55"/>
    <mergeCell ref="A45:A46"/>
    <mergeCell ref="B45:B46"/>
    <mergeCell ref="C45:C46"/>
    <mergeCell ref="A49:A50"/>
    <mergeCell ref="B49:B50"/>
    <mergeCell ref="C49:C50"/>
    <mergeCell ref="A39:A41"/>
    <mergeCell ref="B39:B41"/>
    <mergeCell ref="C39:C41"/>
    <mergeCell ref="A42:A43"/>
    <mergeCell ref="B42:B43"/>
    <mergeCell ref="C42:C43"/>
    <mergeCell ref="A32:A35"/>
    <mergeCell ref="B32:B35"/>
    <mergeCell ref="C32:C35"/>
    <mergeCell ref="A36:A38"/>
    <mergeCell ref="B36:B38"/>
    <mergeCell ref="C36:C38"/>
    <mergeCell ref="A24:A27"/>
    <mergeCell ref="B24:B27"/>
    <mergeCell ref="C24:C27"/>
    <mergeCell ref="A28:A31"/>
    <mergeCell ref="B28:B31"/>
    <mergeCell ref="C28:C31"/>
    <mergeCell ref="A19:A20"/>
    <mergeCell ref="B19:B20"/>
    <mergeCell ref="C19:C20"/>
    <mergeCell ref="A21:A22"/>
    <mergeCell ref="B21:B22"/>
    <mergeCell ref="C21:C22"/>
    <mergeCell ref="A14:A15"/>
    <mergeCell ref="B14:B15"/>
    <mergeCell ref="C14:C15"/>
    <mergeCell ref="A16:A17"/>
    <mergeCell ref="B16:B17"/>
    <mergeCell ref="C16:C17"/>
    <mergeCell ref="A9:A10"/>
    <mergeCell ref="B9:B10"/>
    <mergeCell ref="C9:C10"/>
    <mergeCell ref="A11:A13"/>
    <mergeCell ref="B11:B13"/>
    <mergeCell ref="C11:C13"/>
    <mergeCell ref="A1:C1"/>
    <mergeCell ref="A3:A5"/>
    <mergeCell ref="B3:B5"/>
    <mergeCell ref="C3:C5"/>
    <mergeCell ref="A6:A8"/>
    <mergeCell ref="B6:B8"/>
    <mergeCell ref="C6:C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7795-1006-4B5C-9684-B09BD155BE7B}">
  <sheetPr>
    <tabColor rgb="FFFF0000"/>
  </sheetPr>
  <dimension ref="A1:C27"/>
  <sheetViews>
    <sheetView zoomScale="93" zoomScaleNormal="93" workbookViewId="0">
      <selection activeCell="B9" sqref="B9"/>
    </sheetView>
  </sheetViews>
  <sheetFormatPr defaultRowHeight="15" x14ac:dyDescent="0.25"/>
  <cols>
    <col min="1" max="1" width="58.85546875" style="1" customWidth="1"/>
    <col min="2" max="2" width="8" style="11" customWidth="1"/>
    <col min="3" max="3" width="45.42578125" style="107" customWidth="1"/>
    <col min="4" max="16384" width="9.140625" style="1"/>
  </cols>
  <sheetData>
    <row r="1" spans="1:3" ht="15.75" thickTop="1" x14ac:dyDescent="0.25">
      <c r="A1" s="220" t="s">
        <v>789</v>
      </c>
      <c r="B1" s="221"/>
      <c r="C1" s="222"/>
    </row>
    <row r="2" spans="1:3" ht="15" customHeight="1" x14ac:dyDescent="0.25">
      <c r="A2" s="223" t="s">
        <v>790</v>
      </c>
      <c r="B2" s="224"/>
      <c r="C2" s="225"/>
    </row>
    <row r="3" spans="1:3" x14ac:dyDescent="0.25">
      <c r="A3" s="93" t="s">
        <v>1</v>
      </c>
      <c r="B3" s="94" t="s">
        <v>496</v>
      </c>
      <c r="C3" s="95" t="s">
        <v>791</v>
      </c>
    </row>
    <row r="4" spans="1:3" ht="30" x14ac:dyDescent="0.25">
      <c r="A4" s="96" t="s">
        <v>792</v>
      </c>
      <c r="B4" s="97" t="s">
        <v>793</v>
      </c>
      <c r="C4" s="98" t="s">
        <v>794</v>
      </c>
    </row>
    <row r="5" spans="1:3" x14ac:dyDescent="0.25">
      <c r="A5" s="99" t="s">
        <v>795</v>
      </c>
      <c r="B5" s="100">
        <v>11</v>
      </c>
      <c r="C5" s="98" t="s">
        <v>796</v>
      </c>
    </row>
    <row r="6" spans="1:3" ht="30" x14ac:dyDescent="0.25">
      <c r="A6" s="96" t="s">
        <v>797</v>
      </c>
      <c r="B6" s="100">
        <v>12</v>
      </c>
      <c r="C6" s="98" t="s">
        <v>798</v>
      </c>
    </row>
    <row r="7" spans="1:3" x14ac:dyDescent="0.25">
      <c r="A7" s="99" t="s">
        <v>799</v>
      </c>
      <c r="B7" s="100">
        <v>21</v>
      </c>
      <c r="C7" s="98" t="s">
        <v>800</v>
      </c>
    </row>
    <row r="8" spans="1:3" ht="30" x14ac:dyDescent="0.25">
      <c r="A8" s="96" t="s">
        <v>801</v>
      </c>
      <c r="B8" s="100">
        <v>22</v>
      </c>
      <c r="C8" s="98" t="s">
        <v>802</v>
      </c>
    </row>
    <row r="9" spans="1:3" ht="30" x14ac:dyDescent="0.25">
      <c r="A9" s="96" t="s">
        <v>776</v>
      </c>
      <c r="B9" s="100">
        <v>23</v>
      </c>
      <c r="C9" s="98" t="s">
        <v>803</v>
      </c>
    </row>
    <row r="10" spans="1:3" ht="30" x14ac:dyDescent="0.25">
      <c r="A10" s="96" t="s">
        <v>804</v>
      </c>
      <c r="B10" s="100">
        <v>24</v>
      </c>
      <c r="C10" s="98" t="s">
        <v>805</v>
      </c>
    </row>
    <row r="11" spans="1:3" x14ac:dyDescent="0.25">
      <c r="A11" s="226" t="s">
        <v>806</v>
      </c>
      <c r="B11" s="227"/>
      <c r="C11" s="228"/>
    </row>
    <row r="12" spans="1:3" x14ac:dyDescent="0.25">
      <c r="A12" s="99" t="s">
        <v>807</v>
      </c>
      <c r="B12" s="100">
        <v>25</v>
      </c>
      <c r="C12" s="98" t="s">
        <v>808</v>
      </c>
    </row>
    <row r="13" spans="1:3" x14ac:dyDescent="0.25">
      <c r="A13" s="99" t="s">
        <v>809</v>
      </c>
      <c r="B13" s="100">
        <v>26</v>
      </c>
      <c r="C13" s="98" t="s">
        <v>810</v>
      </c>
    </row>
    <row r="14" spans="1:3" x14ac:dyDescent="0.25">
      <c r="A14" s="96" t="s">
        <v>811</v>
      </c>
      <c r="B14" s="100">
        <v>31</v>
      </c>
      <c r="C14" s="98" t="s">
        <v>796</v>
      </c>
    </row>
    <row r="15" spans="1:3" x14ac:dyDescent="0.25">
      <c r="A15" s="99" t="s">
        <v>812</v>
      </c>
      <c r="B15" s="100">
        <v>32</v>
      </c>
      <c r="C15" s="98" t="s">
        <v>798</v>
      </c>
    </row>
    <row r="16" spans="1:3" x14ac:dyDescent="0.25">
      <c r="A16" s="99" t="s">
        <v>813</v>
      </c>
      <c r="B16" s="100">
        <v>34</v>
      </c>
      <c r="C16" s="98" t="s">
        <v>814</v>
      </c>
    </row>
    <row r="17" spans="1:3" x14ac:dyDescent="0.25">
      <c r="A17" s="99" t="s">
        <v>813</v>
      </c>
      <c r="B17" s="100">
        <v>35</v>
      </c>
      <c r="C17" s="98" t="s">
        <v>815</v>
      </c>
    </row>
    <row r="18" spans="1:3" x14ac:dyDescent="0.25">
      <c r="A18" s="229" t="s">
        <v>816</v>
      </c>
      <c r="B18" s="230"/>
      <c r="C18" s="231"/>
    </row>
    <row r="19" spans="1:3" x14ac:dyDescent="0.25">
      <c r="A19" s="99" t="s">
        <v>817</v>
      </c>
      <c r="B19" s="100">
        <v>51</v>
      </c>
      <c r="C19" s="98" t="s">
        <v>817</v>
      </c>
    </row>
    <row r="20" spans="1:3" ht="30" x14ac:dyDescent="0.25">
      <c r="A20" s="96" t="s">
        <v>818</v>
      </c>
      <c r="B20" s="100">
        <v>61</v>
      </c>
      <c r="C20" s="98" t="s">
        <v>819</v>
      </c>
    </row>
    <row r="21" spans="1:3" x14ac:dyDescent="0.25">
      <c r="A21" s="232" t="s">
        <v>820</v>
      </c>
      <c r="B21" s="233"/>
      <c r="C21" s="234"/>
    </row>
    <row r="22" spans="1:3" x14ac:dyDescent="0.25">
      <c r="A22" s="99" t="s">
        <v>821</v>
      </c>
      <c r="B22" s="100">
        <v>91</v>
      </c>
      <c r="C22" s="98" t="s">
        <v>796</v>
      </c>
    </row>
    <row r="23" spans="1:3" x14ac:dyDescent="0.25">
      <c r="A23" s="99" t="s">
        <v>822</v>
      </c>
      <c r="B23" s="100">
        <v>92</v>
      </c>
      <c r="C23" s="98" t="s">
        <v>798</v>
      </c>
    </row>
    <row r="24" spans="1:3" x14ac:dyDescent="0.25">
      <c r="A24" s="99" t="s">
        <v>823</v>
      </c>
      <c r="B24" s="100">
        <v>93</v>
      </c>
      <c r="C24" s="98" t="s">
        <v>247</v>
      </c>
    </row>
    <row r="25" spans="1:3" x14ac:dyDescent="0.25">
      <c r="A25" s="96" t="s">
        <v>824</v>
      </c>
      <c r="B25" s="100">
        <v>94</v>
      </c>
      <c r="C25" s="98" t="s">
        <v>825</v>
      </c>
    </row>
    <row r="26" spans="1:3" x14ac:dyDescent="0.25">
      <c r="A26" s="101" t="s">
        <v>826</v>
      </c>
      <c r="B26" s="102" t="s">
        <v>237</v>
      </c>
      <c r="C26" s="103" t="s">
        <v>827</v>
      </c>
    </row>
    <row r="27" spans="1:3" ht="15.75" thickBot="1" x14ac:dyDescent="0.3">
      <c r="A27" s="104"/>
      <c r="B27" s="105"/>
      <c r="C27" s="106"/>
    </row>
  </sheetData>
  <mergeCells count="5">
    <mergeCell ref="A1:C1"/>
    <mergeCell ref="A2:C2"/>
    <mergeCell ref="A11:C11"/>
    <mergeCell ref="A18:C18"/>
    <mergeCell ref="A21:C2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E913-D643-4A75-A500-474862291B40}">
  <sheetPr>
    <tabColor rgb="FF00B0F0"/>
  </sheetPr>
  <dimension ref="A1:D60"/>
  <sheetViews>
    <sheetView topLeftCell="A11" zoomScale="93" zoomScaleNormal="93" workbookViewId="0">
      <selection activeCell="C9" sqref="C9:C10"/>
    </sheetView>
  </sheetViews>
  <sheetFormatPr defaultRowHeight="15" x14ac:dyDescent="0.25"/>
  <cols>
    <col min="1" max="1" width="53.5703125" style="130" customWidth="1"/>
    <col min="2" max="2" width="6" style="131" customWidth="1"/>
    <col min="3" max="3" width="61.85546875" style="132" customWidth="1"/>
    <col min="4" max="4" width="29.140625" style="109" bestFit="1" customWidth="1"/>
    <col min="5" max="256" width="10.28515625" style="109" customWidth="1"/>
    <col min="257" max="257" width="61.140625" style="109" customWidth="1"/>
    <col min="258" max="258" width="9.85546875" style="109" customWidth="1"/>
    <col min="259" max="259" width="61.42578125" style="109" customWidth="1"/>
    <col min="260" max="512" width="10.28515625" style="109" customWidth="1"/>
    <col min="513" max="513" width="61.140625" style="109" customWidth="1"/>
    <col min="514" max="514" width="9.85546875" style="109" customWidth="1"/>
    <col min="515" max="515" width="61.42578125" style="109" customWidth="1"/>
    <col min="516" max="768" width="10.28515625" style="109" customWidth="1"/>
    <col min="769" max="769" width="61.140625" style="109" customWidth="1"/>
    <col min="770" max="770" width="9.85546875" style="109" customWidth="1"/>
    <col min="771" max="771" width="61.42578125" style="109" customWidth="1"/>
    <col min="772" max="1024" width="10.28515625" style="109" customWidth="1"/>
    <col min="1025" max="1025" width="61.140625" style="109" customWidth="1"/>
    <col min="1026" max="1026" width="9.85546875" style="109" customWidth="1"/>
    <col min="1027" max="1027" width="61.42578125" style="109" customWidth="1"/>
    <col min="1028" max="1280" width="10.28515625" style="109" customWidth="1"/>
    <col min="1281" max="1281" width="61.140625" style="109" customWidth="1"/>
    <col min="1282" max="1282" width="9.85546875" style="109" customWidth="1"/>
    <col min="1283" max="1283" width="61.42578125" style="109" customWidth="1"/>
    <col min="1284" max="1536" width="10.28515625" style="109" customWidth="1"/>
    <col min="1537" max="1537" width="61.140625" style="109" customWidth="1"/>
    <col min="1538" max="1538" width="9.85546875" style="109" customWidth="1"/>
    <col min="1539" max="1539" width="61.42578125" style="109" customWidth="1"/>
    <col min="1540" max="1792" width="10.28515625" style="109" customWidth="1"/>
    <col min="1793" max="1793" width="61.140625" style="109" customWidth="1"/>
    <col min="1794" max="1794" width="9.85546875" style="109" customWidth="1"/>
    <col min="1795" max="1795" width="61.42578125" style="109" customWidth="1"/>
    <col min="1796" max="2048" width="10.28515625" style="109" customWidth="1"/>
    <col min="2049" max="2049" width="61.140625" style="109" customWidth="1"/>
    <col min="2050" max="2050" width="9.85546875" style="109" customWidth="1"/>
    <col min="2051" max="2051" width="61.42578125" style="109" customWidth="1"/>
    <col min="2052" max="2304" width="10.28515625" style="109" customWidth="1"/>
    <col min="2305" max="2305" width="61.140625" style="109" customWidth="1"/>
    <col min="2306" max="2306" width="9.85546875" style="109" customWidth="1"/>
    <col min="2307" max="2307" width="61.42578125" style="109" customWidth="1"/>
    <col min="2308" max="2560" width="10.28515625" style="109" customWidth="1"/>
    <col min="2561" max="2561" width="61.140625" style="109" customWidth="1"/>
    <col min="2562" max="2562" width="9.85546875" style="109" customWidth="1"/>
    <col min="2563" max="2563" width="61.42578125" style="109" customWidth="1"/>
    <col min="2564" max="2816" width="10.28515625" style="109" customWidth="1"/>
    <col min="2817" max="2817" width="61.140625" style="109" customWidth="1"/>
    <col min="2818" max="2818" width="9.85546875" style="109" customWidth="1"/>
    <col min="2819" max="2819" width="61.42578125" style="109" customWidth="1"/>
    <col min="2820" max="3072" width="10.28515625" style="109" customWidth="1"/>
    <col min="3073" max="3073" width="61.140625" style="109" customWidth="1"/>
    <col min="3074" max="3074" width="9.85546875" style="109" customWidth="1"/>
    <col min="3075" max="3075" width="61.42578125" style="109" customWidth="1"/>
    <col min="3076" max="3328" width="10.28515625" style="109" customWidth="1"/>
    <col min="3329" max="3329" width="61.140625" style="109" customWidth="1"/>
    <col min="3330" max="3330" width="9.85546875" style="109" customWidth="1"/>
    <col min="3331" max="3331" width="61.42578125" style="109" customWidth="1"/>
    <col min="3332" max="3584" width="10.28515625" style="109" customWidth="1"/>
    <col min="3585" max="3585" width="61.140625" style="109" customWidth="1"/>
    <col min="3586" max="3586" width="9.85546875" style="109" customWidth="1"/>
    <col min="3587" max="3587" width="61.42578125" style="109" customWidth="1"/>
    <col min="3588" max="3840" width="10.28515625" style="109" customWidth="1"/>
    <col min="3841" max="3841" width="61.140625" style="109" customWidth="1"/>
    <col min="3842" max="3842" width="9.85546875" style="109" customWidth="1"/>
    <col min="3843" max="3843" width="61.42578125" style="109" customWidth="1"/>
    <col min="3844" max="4096" width="10.28515625" style="109" customWidth="1"/>
    <col min="4097" max="4097" width="61.140625" style="109" customWidth="1"/>
    <col min="4098" max="4098" width="9.85546875" style="109" customWidth="1"/>
    <col min="4099" max="4099" width="61.42578125" style="109" customWidth="1"/>
    <col min="4100" max="4352" width="10.28515625" style="109" customWidth="1"/>
    <col min="4353" max="4353" width="61.140625" style="109" customWidth="1"/>
    <col min="4354" max="4354" width="9.85546875" style="109" customWidth="1"/>
    <col min="4355" max="4355" width="61.42578125" style="109" customWidth="1"/>
    <col min="4356" max="4608" width="10.28515625" style="109" customWidth="1"/>
    <col min="4609" max="4609" width="61.140625" style="109" customWidth="1"/>
    <col min="4610" max="4610" width="9.85546875" style="109" customWidth="1"/>
    <col min="4611" max="4611" width="61.42578125" style="109" customWidth="1"/>
    <col min="4612" max="4864" width="10.28515625" style="109" customWidth="1"/>
    <col min="4865" max="4865" width="61.140625" style="109" customWidth="1"/>
    <col min="4866" max="4866" width="9.85546875" style="109" customWidth="1"/>
    <col min="4867" max="4867" width="61.42578125" style="109" customWidth="1"/>
    <col min="4868" max="5120" width="10.28515625" style="109" customWidth="1"/>
    <col min="5121" max="5121" width="61.140625" style="109" customWidth="1"/>
    <col min="5122" max="5122" width="9.85546875" style="109" customWidth="1"/>
    <col min="5123" max="5123" width="61.42578125" style="109" customWidth="1"/>
    <col min="5124" max="5376" width="10.28515625" style="109" customWidth="1"/>
    <col min="5377" max="5377" width="61.140625" style="109" customWidth="1"/>
    <col min="5378" max="5378" width="9.85546875" style="109" customWidth="1"/>
    <col min="5379" max="5379" width="61.42578125" style="109" customWidth="1"/>
    <col min="5380" max="5632" width="10.28515625" style="109" customWidth="1"/>
    <col min="5633" max="5633" width="61.140625" style="109" customWidth="1"/>
    <col min="5634" max="5634" width="9.85546875" style="109" customWidth="1"/>
    <col min="5635" max="5635" width="61.42578125" style="109" customWidth="1"/>
    <col min="5636" max="5888" width="10.28515625" style="109" customWidth="1"/>
    <col min="5889" max="5889" width="61.140625" style="109" customWidth="1"/>
    <col min="5890" max="5890" width="9.85546875" style="109" customWidth="1"/>
    <col min="5891" max="5891" width="61.42578125" style="109" customWidth="1"/>
    <col min="5892" max="6144" width="10.28515625" style="109" customWidth="1"/>
    <col min="6145" max="6145" width="61.140625" style="109" customWidth="1"/>
    <col min="6146" max="6146" width="9.85546875" style="109" customWidth="1"/>
    <col min="6147" max="6147" width="61.42578125" style="109" customWidth="1"/>
    <col min="6148" max="6400" width="10.28515625" style="109" customWidth="1"/>
    <col min="6401" max="6401" width="61.140625" style="109" customWidth="1"/>
    <col min="6402" max="6402" width="9.85546875" style="109" customWidth="1"/>
    <col min="6403" max="6403" width="61.42578125" style="109" customWidth="1"/>
    <col min="6404" max="6656" width="10.28515625" style="109" customWidth="1"/>
    <col min="6657" max="6657" width="61.140625" style="109" customWidth="1"/>
    <col min="6658" max="6658" width="9.85546875" style="109" customWidth="1"/>
    <col min="6659" max="6659" width="61.42578125" style="109" customWidth="1"/>
    <col min="6660" max="6912" width="10.28515625" style="109" customWidth="1"/>
    <col min="6913" max="6913" width="61.140625" style="109" customWidth="1"/>
    <col min="6914" max="6914" width="9.85546875" style="109" customWidth="1"/>
    <col min="6915" max="6915" width="61.42578125" style="109" customWidth="1"/>
    <col min="6916" max="7168" width="10.28515625" style="109" customWidth="1"/>
    <col min="7169" max="7169" width="61.140625" style="109" customWidth="1"/>
    <col min="7170" max="7170" width="9.85546875" style="109" customWidth="1"/>
    <col min="7171" max="7171" width="61.42578125" style="109" customWidth="1"/>
    <col min="7172" max="7424" width="10.28515625" style="109" customWidth="1"/>
    <col min="7425" max="7425" width="61.140625" style="109" customWidth="1"/>
    <col min="7426" max="7426" width="9.85546875" style="109" customWidth="1"/>
    <col min="7427" max="7427" width="61.42578125" style="109" customWidth="1"/>
    <col min="7428" max="7680" width="10.28515625" style="109" customWidth="1"/>
    <col min="7681" max="7681" width="61.140625" style="109" customWidth="1"/>
    <col min="7682" max="7682" width="9.85546875" style="109" customWidth="1"/>
    <col min="7683" max="7683" width="61.42578125" style="109" customWidth="1"/>
    <col min="7684" max="7936" width="10.28515625" style="109" customWidth="1"/>
    <col min="7937" max="7937" width="61.140625" style="109" customWidth="1"/>
    <col min="7938" max="7938" width="9.85546875" style="109" customWidth="1"/>
    <col min="7939" max="7939" width="61.42578125" style="109" customWidth="1"/>
    <col min="7940" max="8192" width="10.28515625" style="109" customWidth="1"/>
    <col min="8193" max="8193" width="61.140625" style="109" customWidth="1"/>
    <col min="8194" max="8194" width="9.85546875" style="109" customWidth="1"/>
    <col min="8195" max="8195" width="61.42578125" style="109" customWidth="1"/>
    <col min="8196" max="8448" width="10.28515625" style="109" customWidth="1"/>
    <col min="8449" max="8449" width="61.140625" style="109" customWidth="1"/>
    <col min="8450" max="8450" width="9.85546875" style="109" customWidth="1"/>
    <col min="8451" max="8451" width="61.42578125" style="109" customWidth="1"/>
    <col min="8452" max="8704" width="10.28515625" style="109" customWidth="1"/>
    <col min="8705" max="8705" width="61.140625" style="109" customWidth="1"/>
    <col min="8706" max="8706" width="9.85546875" style="109" customWidth="1"/>
    <col min="8707" max="8707" width="61.42578125" style="109" customWidth="1"/>
    <col min="8708" max="8960" width="10.28515625" style="109" customWidth="1"/>
    <col min="8961" max="8961" width="61.140625" style="109" customWidth="1"/>
    <col min="8962" max="8962" width="9.85546875" style="109" customWidth="1"/>
    <col min="8963" max="8963" width="61.42578125" style="109" customWidth="1"/>
    <col min="8964" max="9216" width="10.28515625" style="109" customWidth="1"/>
    <col min="9217" max="9217" width="61.140625" style="109" customWidth="1"/>
    <col min="9218" max="9218" width="9.85546875" style="109" customWidth="1"/>
    <col min="9219" max="9219" width="61.42578125" style="109" customWidth="1"/>
    <col min="9220" max="9472" width="10.28515625" style="109" customWidth="1"/>
    <col min="9473" max="9473" width="61.140625" style="109" customWidth="1"/>
    <col min="9474" max="9474" width="9.85546875" style="109" customWidth="1"/>
    <col min="9475" max="9475" width="61.42578125" style="109" customWidth="1"/>
    <col min="9476" max="9728" width="10.28515625" style="109" customWidth="1"/>
    <col min="9729" max="9729" width="61.140625" style="109" customWidth="1"/>
    <col min="9730" max="9730" width="9.85546875" style="109" customWidth="1"/>
    <col min="9731" max="9731" width="61.42578125" style="109" customWidth="1"/>
    <col min="9732" max="9984" width="10.28515625" style="109" customWidth="1"/>
    <col min="9985" max="9985" width="61.140625" style="109" customWidth="1"/>
    <col min="9986" max="9986" width="9.85546875" style="109" customWidth="1"/>
    <col min="9987" max="9987" width="61.42578125" style="109" customWidth="1"/>
    <col min="9988" max="10240" width="10.28515625" style="109" customWidth="1"/>
    <col min="10241" max="10241" width="61.140625" style="109" customWidth="1"/>
    <col min="10242" max="10242" width="9.85546875" style="109" customWidth="1"/>
    <col min="10243" max="10243" width="61.42578125" style="109" customWidth="1"/>
    <col min="10244" max="10496" width="10.28515625" style="109" customWidth="1"/>
    <col min="10497" max="10497" width="61.140625" style="109" customWidth="1"/>
    <col min="10498" max="10498" width="9.85546875" style="109" customWidth="1"/>
    <col min="10499" max="10499" width="61.42578125" style="109" customWidth="1"/>
    <col min="10500" max="10752" width="10.28515625" style="109" customWidth="1"/>
    <col min="10753" max="10753" width="61.140625" style="109" customWidth="1"/>
    <col min="10754" max="10754" width="9.85546875" style="109" customWidth="1"/>
    <col min="10755" max="10755" width="61.42578125" style="109" customWidth="1"/>
    <col min="10756" max="11008" width="10.28515625" style="109" customWidth="1"/>
    <col min="11009" max="11009" width="61.140625" style="109" customWidth="1"/>
    <col min="11010" max="11010" width="9.85546875" style="109" customWidth="1"/>
    <col min="11011" max="11011" width="61.42578125" style="109" customWidth="1"/>
    <col min="11012" max="11264" width="10.28515625" style="109" customWidth="1"/>
    <col min="11265" max="11265" width="61.140625" style="109" customWidth="1"/>
    <col min="11266" max="11266" width="9.85546875" style="109" customWidth="1"/>
    <col min="11267" max="11267" width="61.42578125" style="109" customWidth="1"/>
    <col min="11268" max="11520" width="10.28515625" style="109" customWidth="1"/>
    <col min="11521" max="11521" width="61.140625" style="109" customWidth="1"/>
    <col min="11522" max="11522" width="9.85546875" style="109" customWidth="1"/>
    <col min="11523" max="11523" width="61.42578125" style="109" customWidth="1"/>
    <col min="11524" max="11776" width="10.28515625" style="109" customWidth="1"/>
    <col min="11777" max="11777" width="61.140625" style="109" customWidth="1"/>
    <col min="11778" max="11778" width="9.85546875" style="109" customWidth="1"/>
    <col min="11779" max="11779" width="61.42578125" style="109" customWidth="1"/>
    <col min="11780" max="12032" width="10.28515625" style="109" customWidth="1"/>
    <col min="12033" max="12033" width="61.140625" style="109" customWidth="1"/>
    <col min="12034" max="12034" width="9.85546875" style="109" customWidth="1"/>
    <col min="12035" max="12035" width="61.42578125" style="109" customWidth="1"/>
    <col min="12036" max="12288" width="10.28515625" style="109" customWidth="1"/>
    <col min="12289" max="12289" width="61.140625" style="109" customWidth="1"/>
    <col min="12290" max="12290" width="9.85546875" style="109" customWidth="1"/>
    <col min="12291" max="12291" width="61.42578125" style="109" customWidth="1"/>
    <col min="12292" max="12544" width="10.28515625" style="109" customWidth="1"/>
    <col min="12545" max="12545" width="61.140625" style="109" customWidth="1"/>
    <col min="12546" max="12546" width="9.85546875" style="109" customWidth="1"/>
    <col min="12547" max="12547" width="61.42578125" style="109" customWidth="1"/>
    <col min="12548" max="12800" width="10.28515625" style="109" customWidth="1"/>
    <col min="12801" max="12801" width="61.140625" style="109" customWidth="1"/>
    <col min="12802" max="12802" width="9.85546875" style="109" customWidth="1"/>
    <col min="12803" max="12803" width="61.42578125" style="109" customWidth="1"/>
    <col min="12804" max="13056" width="10.28515625" style="109" customWidth="1"/>
    <col min="13057" max="13057" width="61.140625" style="109" customWidth="1"/>
    <col min="13058" max="13058" width="9.85546875" style="109" customWidth="1"/>
    <col min="13059" max="13059" width="61.42578125" style="109" customWidth="1"/>
    <col min="13060" max="13312" width="10.28515625" style="109" customWidth="1"/>
    <col min="13313" max="13313" width="61.140625" style="109" customWidth="1"/>
    <col min="13314" max="13314" width="9.85546875" style="109" customWidth="1"/>
    <col min="13315" max="13315" width="61.42578125" style="109" customWidth="1"/>
    <col min="13316" max="13568" width="10.28515625" style="109" customWidth="1"/>
    <col min="13569" max="13569" width="61.140625" style="109" customWidth="1"/>
    <col min="13570" max="13570" width="9.85546875" style="109" customWidth="1"/>
    <col min="13571" max="13571" width="61.42578125" style="109" customWidth="1"/>
    <col min="13572" max="13824" width="10.28515625" style="109" customWidth="1"/>
    <col min="13825" max="13825" width="61.140625" style="109" customWidth="1"/>
    <col min="13826" max="13826" width="9.85546875" style="109" customWidth="1"/>
    <col min="13827" max="13827" width="61.42578125" style="109" customWidth="1"/>
    <col min="13828" max="14080" width="10.28515625" style="109" customWidth="1"/>
    <col min="14081" max="14081" width="61.140625" style="109" customWidth="1"/>
    <col min="14082" max="14082" width="9.85546875" style="109" customWidth="1"/>
    <col min="14083" max="14083" width="61.42578125" style="109" customWidth="1"/>
    <col min="14084" max="14336" width="10.28515625" style="109" customWidth="1"/>
    <col min="14337" max="14337" width="61.140625" style="109" customWidth="1"/>
    <col min="14338" max="14338" width="9.85546875" style="109" customWidth="1"/>
    <col min="14339" max="14339" width="61.42578125" style="109" customWidth="1"/>
    <col min="14340" max="14592" width="10.28515625" style="109" customWidth="1"/>
    <col min="14593" max="14593" width="61.140625" style="109" customWidth="1"/>
    <col min="14594" max="14594" width="9.85546875" style="109" customWidth="1"/>
    <col min="14595" max="14595" width="61.42578125" style="109" customWidth="1"/>
    <col min="14596" max="14848" width="10.28515625" style="109" customWidth="1"/>
    <col min="14849" max="14849" width="61.140625" style="109" customWidth="1"/>
    <col min="14850" max="14850" width="9.85546875" style="109" customWidth="1"/>
    <col min="14851" max="14851" width="61.42578125" style="109" customWidth="1"/>
    <col min="14852" max="15104" width="10.28515625" style="109" customWidth="1"/>
    <col min="15105" max="15105" width="61.140625" style="109" customWidth="1"/>
    <col min="15106" max="15106" width="9.85546875" style="109" customWidth="1"/>
    <col min="15107" max="15107" width="61.42578125" style="109" customWidth="1"/>
    <col min="15108" max="15360" width="10.28515625" style="109" customWidth="1"/>
    <col min="15361" max="15361" width="61.140625" style="109" customWidth="1"/>
    <col min="15362" max="15362" width="9.85546875" style="109" customWidth="1"/>
    <col min="15363" max="15363" width="61.42578125" style="109" customWidth="1"/>
    <col min="15364" max="15616" width="10.28515625" style="109" customWidth="1"/>
    <col min="15617" max="15617" width="61.140625" style="109" customWidth="1"/>
    <col min="15618" max="15618" width="9.85546875" style="109" customWidth="1"/>
    <col min="15619" max="15619" width="61.42578125" style="109" customWidth="1"/>
    <col min="15620" max="15872" width="10.28515625" style="109" customWidth="1"/>
    <col min="15873" max="15873" width="61.140625" style="109" customWidth="1"/>
    <col min="15874" max="15874" width="9.85546875" style="109" customWidth="1"/>
    <col min="15875" max="15875" width="61.42578125" style="109" customWidth="1"/>
    <col min="15876" max="16128" width="10.28515625" style="109" customWidth="1"/>
    <col min="16129" max="16129" width="61.140625" style="109" customWidth="1"/>
    <col min="16130" max="16130" width="9.85546875" style="109" customWidth="1"/>
    <col min="16131" max="16131" width="61.42578125" style="109" customWidth="1"/>
    <col min="16132" max="16384" width="10.28515625" style="109" customWidth="1"/>
  </cols>
  <sheetData>
    <row r="1" spans="1:4" ht="15.75" thickTop="1" x14ac:dyDescent="0.25">
      <c r="A1" s="235" t="s">
        <v>828</v>
      </c>
      <c r="B1" s="236"/>
      <c r="C1" s="237"/>
      <c r="D1" s="108"/>
    </row>
    <row r="2" spans="1:4" s="114" customFormat="1" x14ac:dyDescent="0.25">
      <c r="A2" s="110" t="s">
        <v>1</v>
      </c>
      <c r="B2" s="111" t="s">
        <v>79</v>
      </c>
      <c r="C2" s="112" t="s">
        <v>791</v>
      </c>
      <c r="D2" s="113"/>
    </row>
    <row r="3" spans="1:4" s="114" customFormat="1" x14ac:dyDescent="0.25">
      <c r="A3" s="238" t="s">
        <v>829</v>
      </c>
      <c r="B3" s="239"/>
      <c r="C3" s="240"/>
      <c r="D3" s="113"/>
    </row>
    <row r="4" spans="1:4" s="114" customFormat="1" x14ac:dyDescent="0.25">
      <c r="A4" s="41" t="s">
        <v>236</v>
      </c>
      <c r="B4" s="34" t="s">
        <v>237</v>
      </c>
      <c r="C4" s="39" t="s">
        <v>236</v>
      </c>
      <c r="D4" s="115"/>
    </row>
    <row r="5" spans="1:4" ht="30" x14ac:dyDescent="0.25">
      <c r="A5" s="41" t="s">
        <v>830</v>
      </c>
      <c r="B5" s="34" t="s">
        <v>793</v>
      </c>
      <c r="C5" s="36" t="s">
        <v>831</v>
      </c>
      <c r="D5" s="108"/>
    </row>
    <row r="6" spans="1:4" ht="16.5" customHeight="1" x14ac:dyDescent="0.25">
      <c r="A6" s="41" t="s">
        <v>832</v>
      </c>
      <c r="B6" s="116" t="s">
        <v>458</v>
      </c>
      <c r="C6" s="36" t="s">
        <v>833</v>
      </c>
      <c r="D6" s="108"/>
    </row>
    <row r="7" spans="1:4" x14ac:dyDescent="0.25">
      <c r="A7" s="238" t="s">
        <v>834</v>
      </c>
      <c r="B7" s="239"/>
      <c r="C7" s="240"/>
      <c r="D7" s="108"/>
    </row>
    <row r="8" spans="1:4" x14ac:dyDescent="0.25">
      <c r="A8" s="37" t="s">
        <v>835</v>
      </c>
      <c r="B8" s="34" t="s">
        <v>240</v>
      </c>
      <c r="C8" s="36" t="s">
        <v>836</v>
      </c>
      <c r="D8" s="108"/>
    </row>
    <row r="9" spans="1:4" ht="11.25" customHeight="1" x14ac:dyDescent="0.25">
      <c r="A9" s="241" t="s">
        <v>837</v>
      </c>
      <c r="B9" s="242" t="s">
        <v>838</v>
      </c>
      <c r="C9" s="243" t="s">
        <v>798</v>
      </c>
      <c r="D9" s="108"/>
    </row>
    <row r="10" spans="1:4" ht="7.5" customHeight="1" x14ac:dyDescent="0.25">
      <c r="A10" s="241"/>
      <c r="B10" s="242"/>
      <c r="C10" s="243"/>
      <c r="D10" s="108"/>
    </row>
    <row r="11" spans="1:4" x14ac:dyDescent="0.25">
      <c r="A11" s="37" t="s">
        <v>839</v>
      </c>
      <c r="B11" s="116" t="s">
        <v>241</v>
      </c>
      <c r="C11" s="36" t="s">
        <v>840</v>
      </c>
      <c r="D11" s="108"/>
    </row>
    <row r="12" spans="1:4" x14ac:dyDescent="0.25">
      <c r="A12" s="41" t="s">
        <v>841</v>
      </c>
      <c r="B12" s="116" t="s">
        <v>842</v>
      </c>
      <c r="C12" s="36" t="s">
        <v>843</v>
      </c>
      <c r="D12" s="108"/>
    </row>
    <row r="13" spans="1:4" x14ac:dyDescent="0.25">
      <c r="A13" s="41" t="s">
        <v>844</v>
      </c>
      <c r="B13" s="34" t="s">
        <v>845</v>
      </c>
      <c r="C13" s="38" t="s">
        <v>846</v>
      </c>
      <c r="D13" s="108"/>
    </row>
    <row r="14" spans="1:4" x14ac:dyDescent="0.25">
      <c r="A14" s="238" t="s">
        <v>847</v>
      </c>
      <c r="B14" s="239"/>
      <c r="C14" s="240"/>
      <c r="D14" s="108"/>
    </row>
    <row r="15" spans="1:4" x14ac:dyDescent="0.25">
      <c r="A15" s="41" t="s">
        <v>848</v>
      </c>
      <c r="B15" s="34" t="s">
        <v>849</v>
      </c>
      <c r="C15" s="36" t="s">
        <v>850</v>
      </c>
      <c r="D15" s="108"/>
    </row>
    <row r="16" spans="1:4" x14ac:dyDescent="0.25">
      <c r="A16" s="37" t="s">
        <v>851</v>
      </c>
      <c r="B16" s="34" t="s">
        <v>852</v>
      </c>
      <c r="C16" s="36" t="s">
        <v>853</v>
      </c>
      <c r="D16" s="108"/>
    </row>
    <row r="17" spans="1:4" x14ac:dyDescent="0.25">
      <c r="A17" s="41" t="s">
        <v>854</v>
      </c>
      <c r="B17" s="34" t="s">
        <v>855</v>
      </c>
      <c r="C17" s="36" t="s">
        <v>856</v>
      </c>
      <c r="D17" s="108"/>
    </row>
    <row r="18" spans="1:4" x14ac:dyDescent="0.25">
      <c r="A18" s="41" t="s">
        <v>857</v>
      </c>
      <c r="B18" s="34" t="s">
        <v>858</v>
      </c>
      <c r="C18" s="36" t="s">
        <v>843</v>
      </c>
      <c r="D18" s="108"/>
    </row>
    <row r="19" spans="1:4" x14ac:dyDescent="0.25">
      <c r="A19" s="41" t="s">
        <v>859</v>
      </c>
      <c r="B19" s="34" t="s">
        <v>860</v>
      </c>
      <c r="C19" s="36" t="s">
        <v>861</v>
      </c>
      <c r="D19" s="108"/>
    </row>
    <row r="20" spans="1:4" x14ac:dyDescent="0.25">
      <c r="A20" s="238" t="s">
        <v>862</v>
      </c>
      <c r="B20" s="239"/>
      <c r="C20" s="240"/>
      <c r="D20" s="108"/>
    </row>
    <row r="21" spans="1:4" x14ac:dyDescent="0.25">
      <c r="A21" s="37" t="s">
        <v>863</v>
      </c>
      <c r="B21" s="34" t="s">
        <v>864</v>
      </c>
      <c r="C21" s="36" t="s">
        <v>865</v>
      </c>
      <c r="D21" s="108"/>
    </row>
    <row r="22" spans="1:4" x14ac:dyDescent="0.25">
      <c r="A22" s="41" t="s">
        <v>866</v>
      </c>
      <c r="B22" s="34" t="s">
        <v>867</v>
      </c>
      <c r="C22" s="36" t="s">
        <v>868</v>
      </c>
      <c r="D22" s="108"/>
    </row>
    <row r="23" spans="1:4" x14ac:dyDescent="0.25">
      <c r="A23" s="41" t="s">
        <v>869</v>
      </c>
      <c r="B23" s="34" t="s">
        <v>870</v>
      </c>
      <c r="C23" s="36" t="s">
        <v>871</v>
      </c>
      <c r="D23" s="108"/>
    </row>
    <row r="24" spans="1:4" x14ac:dyDescent="0.25">
      <c r="A24" s="37" t="s">
        <v>872</v>
      </c>
      <c r="B24" s="34" t="s">
        <v>873</v>
      </c>
      <c r="C24" s="36" t="s">
        <v>874</v>
      </c>
      <c r="D24" s="108"/>
    </row>
    <row r="25" spans="1:4" x14ac:dyDescent="0.25">
      <c r="A25" s="41" t="s">
        <v>875</v>
      </c>
      <c r="B25" s="34" t="s">
        <v>876</v>
      </c>
      <c r="C25" s="36" t="s">
        <v>877</v>
      </c>
      <c r="D25" s="108"/>
    </row>
    <row r="26" spans="1:4" x14ac:dyDescent="0.25">
      <c r="A26" s="41" t="s">
        <v>878</v>
      </c>
      <c r="B26" s="34" t="s">
        <v>879</v>
      </c>
      <c r="C26" s="36" t="s">
        <v>880</v>
      </c>
      <c r="D26" s="108"/>
    </row>
    <row r="27" spans="1:4" x14ac:dyDescent="0.25">
      <c r="A27" s="41" t="s">
        <v>881</v>
      </c>
      <c r="B27" s="34" t="s">
        <v>882</v>
      </c>
      <c r="C27" s="36" t="s">
        <v>883</v>
      </c>
      <c r="D27" s="108"/>
    </row>
    <row r="28" spans="1:4" x14ac:dyDescent="0.25">
      <c r="A28" s="41" t="s">
        <v>158</v>
      </c>
      <c r="B28" s="34" t="s">
        <v>884</v>
      </c>
      <c r="C28" s="36" t="s">
        <v>885</v>
      </c>
      <c r="D28" s="108"/>
    </row>
    <row r="29" spans="1:4" x14ac:dyDescent="0.25">
      <c r="A29" s="41" t="s">
        <v>159</v>
      </c>
      <c r="B29" s="34" t="s">
        <v>886</v>
      </c>
      <c r="C29" s="36" t="s">
        <v>887</v>
      </c>
      <c r="D29" s="108"/>
    </row>
    <row r="30" spans="1:4" x14ac:dyDescent="0.25">
      <c r="A30" s="41" t="s">
        <v>888</v>
      </c>
      <c r="B30" s="34" t="s">
        <v>889</v>
      </c>
      <c r="C30" s="36" t="s">
        <v>160</v>
      </c>
      <c r="D30" s="108"/>
    </row>
    <row r="31" spans="1:4" x14ac:dyDescent="0.25">
      <c r="A31" s="41" t="s">
        <v>890</v>
      </c>
      <c r="B31" s="34" t="s">
        <v>891</v>
      </c>
      <c r="C31" s="36" t="s">
        <v>890</v>
      </c>
      <c r="D31" s="108"/>
    </row>
    <row r="32" spans="1:4" ht="30" x14ac:dyDescent="0.25">
      <c r="A32" s="41" t="s">
        <v>892</v>
      </c>
      <c r="B32" s="34" t="s">
        <v>893</v>
      </c>
      <c r="C32" s="36" t="s">
        <v>894</v>
      </c>
      <c r="D32" s="108"/>
    </row>
    <row r="33" spans="1:4" x14ac:dyDescent="0.25">
      <c r="A33" s="41" t="s">
        <v>895</v>
      </c>
      <c r="B33" s="34" t="s">
        <v>896</v>
      </c>
      <c r="C33" s="36" t="s">
        <v>897</v>
      </c>
      <c r="D33" s="108"/>
    </row>
    <row r="34" spans="1:4" ht="30" x14ac:dyDescent="0.25">
      <c r="A34" s="41" t="s">
        <v>898</v>
      </c>
      <c r="B34" s="34" t="s">
        <v>899</v>
      </c>
      <c r="C34" s="36" t="s">
        <v>900</v>
      </c>
      <c r="D34" s="108"/>
    </row>
    <row r="35" spans="1:4" ht="30" x14ac:dyDescent="0.25">
      <c r="A35" s="41" t="s">
        <v>901</v>
      </c>
      <c r="B35" s="34" t="s">
        <v>902</v>
      </c>
      <c r="C35" s="36" t="s">
        <v>903</v>
      </c>
      <c r="D35" s="108"/>
    </row>
    <row r="36" spans="1:4" x14ac:dyDescent="0.25">
      <c r="A36" s="238" t="s">
        <v>211</v>
      </c>
      <c r="B36" s="239"/>
      <c r="C36" s="240"/>
      <c r="D36" s="108"/>
    </row>
    <row r="37" spans="1:4" x14ac:dyDescent="0.25">
      <c r="A37" s="247" t="s">
        <v>212</v>
      </c>
      <c r="B37" s="34" t="s">
        <v>213</v>
      </c>
      <c r="C37" s="35" t="s">
        <v>214</v>
      </c>
      <c r="D37" s="108"/>
    </row>
    <row r="38" spans="1:4" x14ac:dyDescent="0.25">
      <c r="A38" s="247"/>
      <c r="B38" s="34" t="s">
        <v>215</v>
      </c>
      <c r="C38" s="35" t="s">
        <v>216</v>
      </c>
      <c r="D38" s="108"/>
    </row>
    <row r="39" spans="1:4" x14ac:dyDescent="0.25">
      <c r="A39" s="41" t="s">
        <v>210</v>
      </c>
      <c r="B39" s="34" t="s">
        <v>217</v>
      </c>
      <c r="C39" s="35" t="s">
        <v>210</v>
      </c>
      <c r="D39" s="108"/>
    </row>
    <row r="40" spans="1:4" x14ac:dyDescent="0.25">
      <c r="A40" s="41" t="s">
        <v>209</v>
      </c>
      <c r="B40" s="34" t="s">
        <v>218</v>
      </c>
      <c r="C40" s="35" t="s">
        <v>209</v>
      </c>
      <c r="D40" s="108"/>
    </row>
    <row r="41" spans="1:4" ht="30" x14ac:dyDescent="0.25">
      <c r="A41" s="41" t="s">
        <v>219</v>
      </c>
      <c r="B41" s="34" t="s">
        <v>220</v>
      </c>
      <c r="C41" s="35" t="s">
        <v>221</v>
      </c>
      <c r="D41" s="108"/>
    </row>
    <row r="42" spans="1:4" x14ac:dyDescent="0.25">
      <c r="A42" s="41" t="s">
        <v>222</v>
      </c>
      <c r="B42" s="34" t="s">
        <v>223</v>
      </c>
      <c r="C42" s="36" t="s">
        <v>224</v>
      </c>
      <c r="D42" s="108"/>
    </row>
    <row r="43" spans="1:4" ht="30" x14ac:dyDescent="0.25">
      <c r="A43" s="37" t="s">
        <v>225</v>
      </c>
      <c r="B43" s="34" t="s">
        <v>226</v>
      </c>
      <c r="C43" s="36" t="s">
        <v>225</v>
      </c>
      <c r="D43" s="108"/>
    </row>
    <row r="44" spans="1:4" ht="30" x14ac:dyDescent="0.25">
      <c r="A44" s="37" t="s">
        <v>227</v>
      </c>
      <c r="B44" s="34" t="s">
        <v>228</v>
      </c>
      <c r="C44" s="36" t="s">
        <v>229</v>
      </c>
      <c r="D44" s="108"/>
    </row>
    <row r="45" spans="1:4" ht="30" x14ac:dyDescent="0.25">
      <c r="A45" s="41" t="s">
        <v>230</v>
      </c>
      <c r="B45" s="34" t="s">
        <v>231</v>
      </c>
      <c r="C45" s="36" t="s">
        <v>232</v>
      </c>
      <c r="D45" s="108"/>
    </row>
    <row r="46" spans="1:4" ht="30" x14ac:dyDescent="0.25">
      <c r="A46" s="37" t="s">
        <v>233</v>
      </c>
      <c r="B46" s="34" t="s">
        <v>234</v>
      </c>
      <c r="C46" s="38" t="s">
        <v>235</v>
      </c>
      <c r="D46" s="108"/>
    </row>
    <row r="47" spans="1:4" s="118" customFormat="1" x14ac:dyDescent="0.25">
      <c r="A47" s="238" t="s">
        <v>904</v>
      </c>
      <c r="B47" s="239"/>
      <c r="C47" s="240"/>
      <c r="D47" s="117"/>
    </row>
    <row r="48" spans="1:4" x14ac:dyDescent="0.25">
      <c r="A48" s="41" t="s">
        <v>905</v>
      </c>
      <c r="B48" s="116" t="s">
        <v>906</v>
      </c>
      <c r="C48" s="36" t="s">
        <v>905</v>
      </c>
      <c r="D48" s="108"/>
    </row>
    <row r="49" spans="1:4" x14ac:dyDescent="0.25">
      <c r="A49" s="41" t="s">
        <v>907</v>
      </c>
      <c r="B49" s="116" t="s">
        <v>908</v>
      </c>
      <c r="C49" s="36" t="s">
        <v>909</v>
      </c>
      <c r="D49" s="108"/>
    </row>
    <row r="50" spans="1:4" x14ac:dyDescent="0.25">
      <c r="A50" s="41" t="s">
        <v>910</v>
      </c>
      <c r="B50" s="116" t="s">
        <v>911</v>
      </c>
      <c r="C50" s="36" t="s">
        <v>910</v>
      </c>
      <c r="D50" s="108"/>
    </row>
    <row r="51" spans="1:4" x14ac:dyDescent="0.25">
      <c r="A51" s="238" t="s">
        <v>912</v>
      </c>
      <c r="B51" s="239"/>
      <c r="C51" s="240"/>
      <c r="D51" s="108"/>
    </row>
    <row r="52" spans="1:4" x14ac:dyDescent="0.25">
      <c r="A52" s="241" t="s">
        <v>913</v>
      </c>
      <c r="B52" s="34" t="s">
        <v>914</v>
      </c>
      <c r="C52" s="36" t="s">
        <v>915</v>
      </c>
      <c r="D52" s="108"/>
    </row>
    <row r="53" spans="1:4" x14ac:dyDescent="0.25">
      <c r="A53" s="241"/>
      <c r="B53" s="34" t="s">
        <v>916</v>
      </c>
      <c r="C53" s="36" t="s">
        <v>853</v>
      </c>
      <c r="D53" s="108"/>
    </row>
    <row r="54" spans="1:4" x14ac:dyDescent="0.25">
      <c r="A54" s="241"/>
      <c r="B54" s="34" t="s">
        <v>917</v>
      </c>
      <c r="C54" s="36" t="s">
        <v>856</v>
      </c>
      <c r="D54" s="108"/>
    </row>
    <row r="55" spans="1:4" x14ac:dyDescent="0.25">
      <c r="A55" s="241"/>
      <c r="B55" s="34" t="s">
        <v>918</v>
      </c>
      <c r="C55" s="119" t="s">
        <v>843</v>
      </c>
      <c r="D55" s="120"/>
    </row>
    <row r="56" spans="1:4" ht="15.75" thickBot="1" x14ac:dyDescent="0.3">
      <c r="A56" s="244"/>
      <c r="B56" s="121" t="s">
        <v>919</v>
      </c>
      <c r="C56" s="122" t="s">
        <v>861</v>
      </c>
      <c r="D56" s="120"/>
    </row>
    <row r="57" spans="1:4" s="118" customFormat="1" ht="15.75" thickTop="1" x14ac:dyDescent="0.25">
      <c r="A57" s="123"/>
      <c r="B57" s="124"/>
      <c r="C57" s="124"/>
      <c r="D57" s="124"/>
    </row>
    <row r="58" spans="1:4" x14ac:dyDescent="0.25">
      <c r="A58" s="125"/>
      <c r="B58" s="126"/>
      <c r="C58" s="245"/>
      <c r="D58" s="245"/>
    </row>
    <row r="59" spans="1:4" x14ac:dyDescent="0.25">
      <c r="A59" s="125"/>
      <c r="B59" s="127"/>
      <c r="C59" s="246"/>
      <c r="D59" s="246"/>
    </row>
    <row r="60" spans="1:4" x14ac:dyDescent="0.25">
      <c r="A60" s="125"/>
      <c r="B60" s="128"/>
      <c r="C60" s="129"/>
      <c r="D60" s="108"/>
    </row>
  </sheetData>
  <mergeCells count="15">
    <mergeCell ref="A52:A56"/>
    <mergeCell ref="C58:D58"/>
    <mergeCell ref="C59:D59"/>
    <mergeCell ref="A14:C14"/>
    <mergeCell ref="A20:C20"/>
    <mergeCell ref="A36:C36"/>
    <mergeCell ref="A37:A38"/>
    <mergeCell ref="A47:C47"/>
    <mergeCell ref="A51:C51"/>
    <mergeCell ref="A1:C1"/>
    <mergeCell ref="A3:C3"/>
    <mergeCell ref="A7:C7"/>
    <mergeCell ref="A9:A10"/>
    <mergeCell ref="B9:B10"/>
    <mergeCell ref="C9:C1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FB84-D98D-4215-BB72-DFE937EC147F}">
  <sheetPr>
    <tabColor rgb="FF92D050"/>
  </sheetPr>
  <dimension ref="A1:D8"/>
  <sheetViews>
    <sheetView zoomScale="95" zoomScaleNormal="95" workbookViewId="0">
      <selection activeCell="B6" sqref="B6"/>
    </sheetView>
  </sheetViews>
  <sheetFormatPr defaultRowHeight="15" x14ac:dyDescent="0.25"/>
  <cols>
    <col min="1" max="1" width="46" style="1" customWidth="1"/>
    <col min="2" max="2" width="8.140625" style="144" customWidth="1"/>
    <col min="3" max="3" width="49.28515625" style="1" customWidth="1"/>
    <col min="4" max="16384" width="9.140625" style="1"/>
  </cols>
  <sheetData>
    <row r="1" spans="1:4" ht="15.75" thickTop="1" x14ac:dyDescent="0.25">
      <c r="A1" s="248" t="s">
        <v>920</v>
      </c>
      <c r="B1" s="249"/>
      <c r="C1" s="250"/>
    </row>
    <row r="2" spans="1:4" s="10" customFormat="1" ht="14.25" x14ac:dyDescent="0.2">
      <c r="A2" s="133" t="s">
        <v>1</v>
      </c>
      <c r="B2" s="134" t="s">
        <v>496</v>
      </c>
      <c r="C2" s="135" t="s">
        <v>242</v>
      </c>
    </row>
    <row r="3" spans="1:4" x14ac:dyDescent="0.25">
      <c r="A3" s="99" t="s">
        <v>921</v>
      </c>
      <c r="B3" s="136">
        <v>11</v>
      </c>
      <c r="C3" s="137" t="s">
        <v>441</v>
      </c>
    </row>
    <row r="4" spans="1:4" x14ac:dyDescent="0.25">
      <c r="A4" s="99" t="s">
        <v>922</v>
      </c>
      <c r="B4" s="136">
        <v>12</v>
      </c>
      <c r="C4" s="137" t="s">
        <v>923</v>
      </c>
      <c r="D4" s="138" t="s">
        <v>924</v>
      </c>
    </row>
    <row r="5" spans="1:4" x14ac:dyDescent="0.25">
      <c r="A5" s="99" t="s">
        <v>925</v>
      </c>
      <c r="B5" s="136">
        <v>21</v>
      </c>
      <c r="C5" s="139" t="s">
        <v>926</v>
      </c>
      <c r="D5" s="138" t="s">
        <v>927</v>
      </c>
    </row>
    <row r="6" spans="1:4" x14ac:dyDescent="0.25">
      <c r="A6" s="99" t="s">
        <v>928</v>
      </c>
      <c r="B6" s="136">
        <v>91</v>
      </c>
      <c r="C6" s="137" t="s">
        <v>929</v>
      </c>
    </row>
    <row r="7" spans="1:4" x14ac:dyDescent="0.25">
      <c r="A7" s="140" t="s">
        <v>826</v>
      </c>
      <c r="B7" s="141" t="s">
        <v>237</v>
      </c>
      <c r="C7" s="137" t="s">
        <v>930</v>
      </c>
    </row>
    <row r="8" spans="1:4" ht="15.75" thickBot="1" x14ac:dyDescent="0.3">
      <c r="A8" s="104"/>
      <c r="B8" s="142"/>
      <c r="C8" s="143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4465-9CDC-48AC-B656-44E083298866}">
  <sheetPr>
    <tabColor theme="5" tint="0.39997558519241921"/>
  </sheetPr>
  <dimension ref="A1:B5"/>
  <sheetViews>
    <sheetView workbookViewId="0">
      <selection activeCell="C12" sqref="C12"/>
    </sheetView>
  </sheetViews>
  <sheetFormatPr defaultRowHeight="15" x14ac:dyDescent="0.25"/>
  <cols>
    <col min="1" max="1" width="40.42578125" style="1" customWidth="1"/>
    <col min="2" max="2" width="31.140625" style="1" customWidth="1"/>
    <col min="3" max="16384" width="9.140625" style="1"/>
  </cols>
  <sheetData>
    <row r="1" spans="1:2" ht="15.75" thickTop="1" x14ac:dyDescent="0.25">
      <c r="A1" s="251" t="s">
        <v>931</v>
      </c>
      <c r="B1" s="252"/>
    </row>
    <row r="2" spans="1:2" ht="33.75" customHeight="1" x14ac:dyDescent="0.25">
      <c r="A2" s="253" t="s">
        <v>932</v>
      </c>
      <c r="B2" s="254"/>
    </row>
    <row r="3" spans="1:2" x14ac:dyDescent="0.25">
      <c r="A3" s="255" t="s">
        <v>933</v>
      </c>
      <c r="B3" s="256"/>
    </row>
    <row r="4" spans="1:2" x14ac:dyDescent="0.25">
      <c r="A4" s="255" t="s">
        <v>934</v>
      </c>
      <c r="B4" s="256"/>
    </row>
    <row r="5" spans="1:2" ht="33.75" customHeight="1" thickBot="1" x14ac:dyDescent="0.3">
      <c r="A5" s="257" t="s">
        <v>935</v>
      </c>
      <c r="B5" s="258"/>
    </row>
  </sheetData>
  <mergeCells count="5">
    <mergeCell ref="A1:B1"/>
    <mergeCell ref="A2:B2"/>
    <mergeCell ref="A3:B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06C6-99DD-425B-80C6-5195B75DC6AF}">
  <sheetPr>
    <tabColor rgb="FFC00000"/>
    <pageSetUpPr fitToPage="1"/>
  </sheetPr>
  <dimension ref="A1:H174"/>
  <sheetViews>
    <sheetView zoomScale="95" zoomScaleNormal="95" workbookViewId="0">
      <selection activeCell="B103" sqref="B103"/>
    </sheetView>
  </sheetViews>
  <sheetFormatPr defaultRowHeight="15" x14ac:dyDescent="0.25"/>
  <cols>
    <col min="1" max="1" width="5.140625" style="8" customWidth="1"/>
    <col min="2" max="2" width="63.42578125" style="12" customWidth="1"/>
    <col min="3" max="3" width="9" style="8" customWidth="1"/>
    <col min="4" max="4" width="6.140625" style="8" customWidth="1"/>
    <col min="5" max="5" width="11.42578125" style="8" customWidth="1"/>
    <col min="6" max="6" width="11.140625" style="8" customWidth="1"/>
    <col min="7" max="7" width="11.28515625" style="8" customWidth="1"/>
    <col min="8" max="8" width="10.5703125" style="8" customWidth="1"/>
    <col min="9" max="16384" width="9.140625" style="8"/>
  </cols>
  <sheetData>
    <row r="1" spans="1:8" ht="16.5" thickBot="1" x14ac:dyDescent="0.3">
      <c r="A1" s="259" t="s">
        <v>199</v>
      </c>
      <c r="B1" s="259"/>
      <c r="C1" s="259"/>
      <c r="D1" s="259"/>
      <c r="E1" s="259"/>
      <c r="F1" s="259"/>
      <c r="G1" s="259"/>
      <c r="H1" s="259"/>
    </row>
    <row r="2" spans="1:8" s="13" customFormat="1" ht="32.25" thickTop="1" x14ac:dyDescent="0.25">
      <c r="A2" s="14" t="s">
        <v>79</v>
      </c>
      <c r="B2" s="15" t="s">
        <v>35</v>
      </c>
      <c r="C2" s="16" t="s">
        <v>194</v>
      </c>
      <c r="D2" s="16" t="s">
        <v>195</v>
      </c>
      <c r="E2" s="16" t="s">
        <v>196</v>
      </c>
      <c r="F2" s="16" t="s">
        <v>197</v>
      </c>
      <c r="G2" s="16" t="s">
        <v>198</v>
      </c>
      <c r="H2" s="17" t="s">
        <v>205</v>
      </c>
    </row>
    <row r="3" spans="1:8" x14ac:dyDescent="0.25">
      <c r="A3" s="3">
        <v>1</v>
      </c>
      <c r="B3" s="18" t="s">
        <v>36</v>
      </c>
      <c r="C3" s="28">
        <v>1000</v>
      </c>
      <c r="D3" s="19">
        <v>1</v>
      </c>
      <c r="E3" s="19">
        <v>11</v>
      </c>
      <c r="F3" s="19">
        <v>11</v>
      </c>
      <c r="G3" s="19">
        <v>11</v>
      </c>
      <c r="H3" s="20">
        <v>0</v>
      </c>
    </row>
    <row r="4" spans="1:8" x14ac:dyDescent="0.25">
      <c r="A4" s="3">
        <v>2</v>
      </c>
      <c r="B4" s="18" t="s">
        <v>37</v>
      </c>
      <c r="C4" s="28">
        <v>1010</v>
      </c>
      <c r="D4" s="19">
        <v>1</v>
      </c>
      <c r="E4" s="19">
        <v>11</v>
      </c>
      <c r="F4" s="19">
        <v>11</v>
      </c>
      <c r="G4" s="19">
        <v>11</v>
      </c>
      <c r="H4" s="20">
        <v>0</v>
      </c>
    </row>
    <row r="5" spans="1:8" x14ac:dyDescent="0.25">
      <c r="A5" s="3">
        <v>3</v>
      </c>
      <c r="B5" s="18" t="s">
        <v>38</v>
      </c>
      <c r="C5" s="28">
        <v>1207</v>
      </c>
      <c r="D5" s="19">
        <v>1</v>
      </c>
      <c r="E5" s="19">
        <v>11</v>
      </c>
      <c r="F5" s="19">
        <v>11</v>
      </c>
      <c r="G5" s="19">
        <v>11</v>
      </c>
      <c r="H5" s="20">
        <v>0</v>
      </c>
    </row>
    <row r="6" spans="1:8" x14ac:dyDescent="0.25">
      <c r="A6" s="3">
        <v>4</v>
      </c>
      <c r="B6" s="18" t="s">
        <v>39</v>
      </c>
      <c r="C6" s="28">
        <v>1011</v>
      </c>
      <c r="D6" s="19">
        <v>1</v>
      </c>
      <c r="E6" s="19">
        <v>11</v>
      </c>
      <c r="F6" s="19">
        <v>11</v>
      </c>
      <c r="G6" s="19">
        <v>11</v>
      </c>
      <c r="H6" s="20">
        <v>0</v>
      </c>
    </row>
    <row r="7" spans="1:8" x14ac:dyDescent="0.25">
      <c r="A7" s="3">
        <v>5</v>
      </c>
      <c r="B7" s="18" t="s">
        <v>40</v>
      </c>
      <c r="C7" s="28">
        <v>5501</v>
      </c>
      <c r="D7" s="19">
        <v>1</v>
      </c>
      <c r="E7" s="19">
        <v>0</v>
      </c>
      <c r="F7" s="19">
        <v>11</v>
      </c>
      <c r="G7" s="19">
        <v>0</v>
      </c>
      <c r="H7" s="20">
        <v>0</v>
      </c>
    </row>
    <row r="8" spans="1:8" x14ac:dyDescent="0.25">
      <c r="A8" s="3">
        <v>6</v>
      </c>
      <c r="B8" s="18" t="s">
        <v>41</v>
      </c>
      <c r="C8" s="28">
        <v>1000</v>
      </c>
      <c r="D8" s="19">
        <v>1</v>
      </c>
      <c r="E8" s="19">
        <v>11</v>
      </c>
      <c r="F8" s="19">
        <v>11</v>
      </c>
      <c r="G8" s="19">
        <v>11</v>
      </c>
      <c r="H8" s="20">
        <v>0</v>
      </c>
    </row>
    <row r="9" spans="1:8" x14ac:dyDescent="0.25">
      <c r="A9" s="3">
        <v>7</v>
      </c>
      <c r="B9" s="18" t="s">
        <v>42</v>
      </c>
      <c r="C9" s="28">
        <v>1003</v>
      </c>
      <c r="D9" s="19">
        <v>1</v>
      </c>
      <c r="E9" s="19">
        <v>11</v>
      </c>
      <c r="F9" s="19">
        <v>11</v>
      </c>
      <c r="G9" s="19">
        <v>11</v>
      </c>
      <c r="H9" s="20">
        <v>0</v>
      </c>
    </row>
    <row r="10" spans="1:8" x14ac:dyDescent="0.25">
      <c r="A10" s="3">
        <v>8</v>
      </c>
      <c r="B10" s="18" t="s">
        <v>43</v>
      </c>
      <c r="C10" s="28">
        <v>1003</v>
      </c>
      <c r="D10" s="19">
        <v>1</v>
      </c>
      <c r="E10" s="19">
        <v>11</v>
      </c>
      <c r="F10" s="19">
        <v>11</v>
      </c>
      <c r="G10" s="19">
        <v>11</v>
      </c>
      <c r="H10" s="20">
        <v>0</v>
      </c>
    </row>
    <row r="11" spans="1:8" x14ac:dyDescent="0.25">
      <c r="A11" s="3">
        <v>9</v>
      </c>
      <c r="B11" s="18" t="s">
        <v>44</v>
      </c>
      <c r="C11" s="28">
        <v>1003</v>
      </c>
      <c r="D11" s="19">
        <v>1</v>
      </c>
      <c r="E11" s="19">
        <v>11</v>
      </c>
      <c r="F11" s="19">
        <v>11</v>
      </c>
      <c r="G11" s="19">
        <v>11</v>
      </c>
      <c r="H11" s="20">
        <v>0</v>
      </c>
    </row>
    <row r="12" spans="1:8" x14ac:dyDescent="0.25">
      <c r="A12" s="3">
        <v>10</v>
      </c>
      <c r="B12" s="18" t="s">
        <v>45</v>
      </c>
      <c r="C12" s="28">
        <v>1003</v>
      </c>
      <c r="D12" s="19">
        <v>1</v>
      </c>
      <c r="E12" s="19">
        <v>11</v>
      </c>
      <c r="F12" s="19">
        <v>11</v>
      </c>
      <c r="G12" s="19">
        <v>11</v>
      </c>
      <c r="H12" s="20">
        <v>0</v>
      </c>
    </row>
    <row r="13" spans="1:8" x14ac:dyDescent="0.25">
      <c r="A13" s="3">
        <v>11</v>
      </c>
      <c r="B13" s="18" t="s">
        <v>46</v>
      </c>
      <c r="C13" s="28">
        <v>1003</v>
      </c>
      <c r="D13" s="19">
        <v>1</v>
      </c>
      <c r="E13" s="19">
        <v>11</v>
      </c>
      <c r="F13" s="19">
        <v>11</v>
      </c>
      <c r="G13" s="19">
        <v>11</v>
      </c>
      <c r="H13" s="20">
        <v>0</v>
      </c>
    </row>
    <row r="14" spans="1:8" x14ac:dyDescent="0.25">
      <c r="A14" s="3">
        <v>12</v>
      </c>
      <c r="B14" s="18" t="s">
        <v>47</v>
      </c>
      <c r="C14" s="28">
        <v>1004</v>
      </c>
      <c r="D14" s="19">
        <v>1</v>
      </c>
      <c r="E14" s="19">
        <v>11</v>
      </c>
      <c r="F14" s="19">
        <v>11</v>
      </c>
      <c r="G14" s="19">
        <v>11</v>
      </c>
      <c r="H14" s="20">
        <v>0</v>
      </c>
    </row>
    <row r="15" spans="1:8" x14ac:dyDescent="0.25">
      <c r="A15" s="3">
        <v>13</v>
      </c>
      <c r="B15" s="18" t="s">
        <v>48</v>
      </c>
      <c r="C15" s="28">
        <v>1205</v>
      </c>
      <c r="D15" s="19">
        <v>1</v>
      </c>
      <c r="E15" s="19">
        <v>11</v>
      </c>
      <c r="F15" s="19">
        <v>11</v>
      </c>
      <c r="G15" s="19">
        <v>11</v>
      </c>
      <c r="H15" s="20">
        <v>0</v>
      </c>
    </row>
    <row r="16" spans="1:8" x14ac:dyDescent="0.25">
      <c r="A16" s="3">
        <v>14</v>
      </c>
      <c r="B16" s="18" t="s">
        <v>49</v>
      </c>
      <c r="C16" s="28">
        <v>1205</v>
      </c>
      <c r="D16" s="19">
        <v>1</v>
      </c>
      <c r="E16" s="19">
        <v>11</v>
      </c>
      <c r="F16" s="19">
        <v>11</v>
      </c>
      <c r="G16" s="19">
        <v>11</v>
      </c>
      <c r="H16" s="20">
        <v>0</v>
      </c>
    </row>
    <row r="17" spans="1:8" s="11" customFormat="1" x14ac:dyDescent="0.2">
      <c r="A17" s="3">
        <v>15</v>
      </c>
      <c r="B17" s="27" t="s">
        <v>206</v>
      </c>
      <c r="C17" s="29">
        <v>1006</v>
      </c>
      <c r="D17" s="22">
        <v>1</v>
      </c>
      <c r="E17" s="22">
        <v>11</v>
      </c>
      <c r="F17" s="22">
        <v>11</v>
      </c>
      <c r="G17" s="22">
        <v>11</v>
      </c>
      <c r="H17" s="23">
        <v>0</v>
      </c>
    </row>
    <row r="18" spans="1:8" s="11" customFormat="1" x14ac:dyDescent="0.2">
      <c r="A18" s="3">
        <v>16</v>
      </c>
      <c r="B18" s="27" t="s">
        <v>207</v>
      </c>
      <c r="C18" s="29">
        <v>1006</v>
      </c>
      <c r="D18" s="22">
        <v>1</v>
      </c>
      <c r="E18" s="22">
        <v>11</v>
      </c>
      <c r="F18" s="22">
        <v>11</v>
      </c>
      <c r="G18" s="22">
        <v>11</v>
      </c>
      <c r="H18" s="23">
        <v>0</v>
      </c>
    </row>
    <row r="19" spans="1:8" x14ac:dyDescent="0.25">
      <c r="A19" s="3">
        <v>17</v>
      </c>
      <c r="B19" s="18" t="s">
        <v>50</v>
      </c>
      <c r="C19" s="28">
        <v>1002</v>
      </c>
      <c r="D19" s="19">
        <v>1</v>
      </c>
      <c r="E19" s="19">
        <v>11</v>
      </c>
      <c r="F19" s="19">
        <v>11</v>
      </c>
      <c r="G19" s="19">
        <v>11</v>
      </c>
      <c r="H19" s="20">
        <v>0</v>
      </c>
    </row>
    <row r="20" spans="1:8" x14ac:dyDescent="0.25">
      <c r="A20" s="3">
        <v>18</v>
      </c>
      <c r="B20" s="18" t="s">
        <v>200</v>
      </c>
      <c r="C20" s="28">
        <v>1002</v>
      </c>
      <c r="D20" s="19">
        <v>1</v>
      </c>
      <c r="E20" s="19">
        <v>11</v>
      </c>
      <c r="F20" s="19">
        <v>11</v>
      </c>
      <c r="G20" s="19">
        <v>11</v>
      </c>
      <c r="H20" s="20">
        <v>0</v>
      </c>
    </row>
    <row r="21" spans="1:8" x14ac:dyDescent="0.25">
      <c r="A21" s="3">
        <v>19</v>
      </c>
      <c r="B21" s="18" t="s">
        <v>201</v>
      </c>
      <c r="C21" s="28">
        <v>1002</v>
      </c>
      <c r="D21" s="19">
        <v>1</v>
      </c>
      <c r="E21" s="19">
        <v>11</v>
      </c>
      <c r="F21" s="19">
        <v>11</v>
      </c>
      <c r="G21" s="19">
        <v>11</v>
      </c>
      <c r="H21" s="20">
        <v>0</v>
      </c>
    </row>
    <row r="22" spans="1:8" s="11" customFormat="1" x14ac:dyDescent="0.2">
      <c r="A22" s="3">
        <v>20</v>
      </c>
      <c r="B22" s="27" t="s">
        <v>202</v>
      </c>
      <c r="C22" s="29">
        <v>1002</v>
      </c>
      <c r="D22" s="22">
        <v>1</v>
      </c>
      <c r="E22" s="22">
        <v>11</v>
      </c>
      <c r="F22" s="22">
        <v>11</v>
      </c>
      <c r="G22" s="22">
        <v>11</v>
      </c>
      <c r="H22" s="23">
        <v>0</v>
      </c>
    </row>
    <row r="23" spans="1:8" s="11" customFormat="1" x14ac:dyDescent="0.2">
      <c r="A23" s="3">
        <v>21</v>
      </c>
      <c r="B23" s="21" t="s">
        <v>203</v>
      </c>
      <c r="C23" s="29">
        <v>1002</v>
      </c>
      <c r="D23" s="22">
        <v>1</v>
      </c>
      <c r="E23" s="22">
        <v>11</v>
      </c>
      <c r="F23" s="22">
        <v>11</v>
      </c>
      <c r="G23" s="22">
        <v>11</v>
      </c>
      <c r="H23" s="23">
        <v>0</v>
      </c>
    </row>
    <row r="24" spans="1:8" x14ac:dyDescent="0.25">
      <c r="A24" s="3">
        <v>22</v>
      </c>
      <c r="B24" s="18" t="s">
        <v>204</v>
      </c>
      <c r="C24" s="28">
        <v>1002</v>
      </c>
      <c r="D24" s="19">
        <v>1</v>
      </c>
      <c r="E24" s="19">
        <v>11</v>
      </c>
      <c r="F24" s="19">
        <v>11</v>
      </c>
      <c r="G24" s="19">
        <v>11</v>
      </c>
      <c r="H24" s="20">
        <v>0</v>
      </c>
    </row>
    <row r="25" spans="1:8" x14ac:dyDescent="0.25">
      <c r="A25" s="3">
        <v>23</v>
      </c>
      <c r="B25" s="18" t="s">
        <v>51</v>
      </c>
      <c r="C25" s="28">
        <v>1002</v>
      </c>
      <c r="D25" s="19">
        <v>1</v>
      </c>
      <c r="E25" s="19">
        <v>11</v>
      </c>
      <c r="F25" s="19">
        <v>11</v>
      </c>
      <c r="G25" s="19">
        <v>11</v>
      </c>
      <c r="H25" s="20">
        <v>0</v>
      </c>
    </row>
    <row r="26" spans="1:8" x14ac:dyDescent="0.25">
      <c r="A26" s="3">
        <v>24</v>
      </c>
      <c r="B26" s="18" t="s">
        <v>52</v>
      </c>
      <c r="C26" s="28">
        <v>1202</v>
      </c>
      <c r="D26" s="19">
        <v>1</v>
      </c>
      <c r="E26" s="19">
        <v>11</v>
      </c>
      <c r="F26" s="19">
        <v>11</v>
      </c>
      <c r="G26" s="19">
        <v>11</v>
      </c>
      <c r="H26" s="20">
        <v>0</v>
      </c>
    </row>
    <row r="27" spans="1:8" x14ac:dyDescent="0.25">
      <c r="A27" s="3">
        <v>25</v>
      </c>
      <c r="B27" s="18" t="s">
        <v>53</v>
      </c>
      <c r="C27" s="28">
        <v>1203</v>
      </c>
      <c r="D27" s="19">
        <v>1</v>
      </c>
      <c r="E27" s="19">
        <v>11</v>
      </c>
      <c r="F27" s="19">
        <v>11</v>
      </c>
      <c r="G27" s="19">
        <v>11</v>
      </c>
      <c r="H27" s="20">
        <v>0</v>
      </c>
    </row>
    <row r="28" spans="1:8" x14ac:dyDescent="0.25">
      <c r="A28" s="3">
        <v>26</v>
      </c>
      <c r="B28" s="18" t="s">
        <v>54</v>
      </c>
      <c r="C28" s="28">
        <v>1206</v>
      </c>
      <c r="D28" s="19">
        <v>1</v>
      </c>
      <c r="E28" s="19">
        <v>11</v>
      </c>
      <c r="F28" s="19">
        <v>11</v>
      </c>
      <c r="G28" s="19">
        <v>11</v>
      </c>
      <c r="H28" s="20">
        <v>0</v>
      </c>
    </row>
    <row r="29" spans="1:8" x14ac:dyDescent="0.25">
      <c r="A29" s="3">
        <v>27</v>
      </c>
      <c r="B29" s="18" t="s">
        <v>55</v>
      </c>
      <c r="C29" s="28">
        <v>1204</v>
      </c>
      <c r="D29" s="19">
        <v>1</v>
      </c>
      <c r="E29" s="19">
        <v>11</v>
      </c>
      <c r="F29" s="19">
        <v>11</v>
      </c>
      <c r="G29" s="19">
        <v>11</v>
      </c>
      <c r="H29" s="20">
        <v>0</v>
      </c>
    </row>
    <row r="30" spans="1:8" x14ac:dyDescent="0.25">
      <c r="A30" s="3">
        <v>28</v>
      </c>
      <c r="B30" s="18" t="s">
        <v>56</v>
      </c>
      <c r="C30" s="28">
        <v>1204</v>
      </c>
      <c r="D30" s="19">
        <v>1</v>
      </c>
      <c r="E30" s="19">
        <v>11</v>
      </c>
      <c r="F30" s="19">
        <v>11</v>
      </c>
      <c r="G30" s="19">
        <v>11</v>
      </c>
      <c r="H30" s="20">
        <v>0</v>
      </c>
    </row>
    <row r="31" spans="1:8" x14ac:dyDescent="0.25">
      <c r="A31" s="3">
        <v>29</v>
      </c>
      <c r="B31" s="18" t="s">
        <v>57</v>
      </c>
      <c r="C31" s="28">
        <v>1299</v>
      </c>
      <c r="D31" s="19">
        <v>1</v>
      </c>
      <c r="E31" s="19">
        <v>11</v>
      </c>
      <c r="F31" s="19">
        <v>11</v>
      </c>
      <c r="G31" s="19">
        <v>11</v>
      </c>
      <c r="H31" s="20">
        <v>0</v>
      </c>
    </row>
    <row r="32" spans="1:8" x14ac:dyDescent="0.25">
      <c r="A32" s="3">
        <v>30</v>
      </c>
      <c r="B32" s="18" t="s">
        <v>58</v>
      </c>
      <c r="C32" s="28">
        <v>1213</v>
      </c>
      <c r="D32" s="19">
        <v>1</v>
      </c>
      <c r="E32" s="19">
        <v>11</v>
      </c>
      <c r="F32" s="19">
        <v>11</v>
      </c>
      <c r="G32" s="19">
        <v>11</v>
      </c>
      <c r="H32" s="20">
        <v>0</v>
      </c>
    </row>
    <row r="33" spans="1:8" x14ac:dyDescent="0.25">
      <c r="A33" s="3">
        <v>31</v>
      </c>
      <c r="B33" s="18" t="s">
        <v>59</v>
      </c>
      <c r="C33" s="28">
        <v>1211</v>
      </c>
      <c r="D33" s="19">
        <v>1</v>
      </c>
      <c r="E33" s="19">
        <v>11</v>
      </c>
      <c r="F33" s="19">
        <v>11</v>
      </c>
      <c r="G33" s="19">
        <v>11</v>
      </c>
      <c r="H33" s="20">
        <v>0</v>
      </c>
    </row>
    <row r="34" spans="1:8" x14ac:dyDescent="0.25">
      <c r="A34" s="3">
        <v>32</v>
      </c>
      <c r="B34" s="18" t="s">
        <v>60</v>
      </c>
      <c r="C34" s="28">
        <v>1201</v>
      </c>
      <c r="D34" s="19">
        <v>1</v>
      </c>
      <c r="E34" s="19">
        <v>11</v>
      </c>
      <c r="F34" s="19">
        <v>11</v>
      </c>
      <c r="G34" s="19">
        <v>11</v>
      </c>
      <c r="H34" s="20">
        <v>0</v>
      </c>
    </row>
    <row r="35" spans="1:8" x14ac:dyDescent="0.25">
      <c r="A35" s="3">
        <v>33</v>
      </c>
      <c r="B35" s="18" t="s">
        <v>61</v>
      </c>
      <c r="C35" s="28">
        <v>2501</v>
      </c>
      <c r="D35" s="19">
        <v>1</v>
      </c>
      <c r="E35" s="19">
        <v>11</v>
      </c>
      <c r="F35" s="19">
        <v>11</v>
      </c>
      <c r="G35" s="19">
        <v>11</v>
      </c>
      <c r="H35" s="20">
        <v>0</v>
      </c>
    </row>
    <row r="36" spans="1:8" x14ac:dyDescent="0.25">
      <c r="A36" s="3">
        <v>34</v>
      </c>
      <c r="B36" s="18" t="s">
        <v>62</v>
      </c>
      <c r="C36" s="28">
        <v>1209</v>
      </c>
      <c r="D36" s="19">
        <v>1</v>
      </c>
      <c r="E36" s="19">
        <v>11</v>
      </c>
      <c r="F36" s="19">
        <v>11</v>
      </c>
      <c r="G36" s="19">
        <v>11</v>
      </c>
      <c r="H36" s="20">
        <v>0</v>
      </c>
    </row>
    <row r="37" spans="1:8" x14ac:dyDescent="0.25">
      <c r="A37" s="3">
        <v>35</v>
      </c>
      <c r="B37" s="18" t="s">
        <v>63</v>
      </c>
      <c r="C37" s="28">
        <v>2510</v>
      </c>
      <c r="D37" s="19">
        <v>1</v>
      </c>
      <c r="E37" s="19">
        <v>0</v>
      </c>
      <c r="F37" s="19">
        <v>11</v>
      </c>
      <c r="G37" s="19">
        <v>0</v>
      </c>
      <c r="H37" s="20">
        <v>0</v>
      </c>
    </row>
    <row r="38" spans="1:8" x14ac:dyDescent="0.25">
      <c r="A38" s="3">
        <v>36</v>
      </c>
      <c r="B38" s="18" t="s">
        <v>64</v>
      </c>
      <c r="C38" s="28">
        <v>1208</v>
      </c>
      <c r="D38" s="19">
        <v>1</v>
      </c>
      <c r="E38" s="19">
        <v>11</v>
      </c>
      <c r="F38" s="19">
        <v>11</v>
      </c>
      <c r="G38" s="19">
        <v>11</v>
      </c>
      <c r="H38" s="20">
        <v>0</v>
      </c>
    </row>
    <row r="39" spans="1:8" x14ac:dyDescent="0.25">
      <c r="A39" s="3">
        <v>37</v>
      </c>
      <c r="B39" s="18" t="s">
        <v>65</v>
      </c>
      <c r="C39" s="28">
        <v>1810</v>
      </c>
      <c r="D39" s="19">
        <v>1</v>
      </c>
      <c r="E39" s="19">
        <v>0</v>
      </c>
      <c r="F39" s="19">
        <v>0</v>
      </c>
      <c r="G39" s="19">
        <v>0</v>
      </c>
      <c r="H39" s="20">
        <v>0</v>
      </c>
    </row>
    <row r="40" spans="1:8" x14ac:dyDescent="0.25">
      <c r="A40" s="3">
        <v>38</v>
      </c>
      <c r="B40" s="18" t="s">
        <v>66</v>
      </c>
      <c r="C40" s="28">
        <v>1401</v>
      </c>
      <c r="D40" s="19">
        <v>1</v>
      </c>
      <c r="E40" s="19">
        <v>11</v>
      </c>
      <c r="F40" s="19">
        <v>11</v>
      </c>
      <c r="G40" s="19">
        <v>11</v>
      </c>
      <c r="H40" s="20">
        <v>0</v>
      </c>
    </row>
    <row r="41" spans="1:8" x14ac:dyDescent="0.25">
      <c r="A41" s="3">
        <v>39</v>
      </c>
      <c r="B41" s="18" t="s">
        <v>67</v>
      </c>
      <c r="C41" s="28">
        <v>1402</v>
      </c>
      <c r="D41" s="19">
        <v>1</v>
      </c>
      <c r="E41" s="19">
        <v>0</v>
      </c>
      <c r="F41" s="19">
        <v>0</v>
      </c>
      <c r="G41" s="19">
        <v>0</v>
      </c>
      <c r="H41" s="20">
        <v>0</v>
      </c>
    </row>
    <row r="42" spans="1:8" x14ac:dyDescent="0.25">
      <c r="A42" s="3">
        <v>40</v>
      </c>
      <c r="B42" s="18" t="s">
        <v>68</v>
      </c>
      <c r="C42" s="28">
        <v>1403</v>
      </c>
      <c r="D42" s="19">
        <v>1</v>
      </c>
      <c r="E42" s="19">
        <v>0</v>
      </c>
      <c r="F42" s="19">
        <v>11</v>
      </c>
      <c r="G42" s="19">
        <v>0</v>
      </c>
      <c r="H42" s="20">
        <v>0</v>
      </c>
    </row>
    <row r="43" spans="1:8" x14ac:dyDescent="0.25">
      <c r="A43" s="3">
        <v>41</v>
      </c>
      <c r="B43" s="18" t="s">
        <v>69</v>
      </c>
      <c r="C43" s="28">
        <v>4050</v>
      </c>
      <c r="D43" s="19">
        <v>1</v>
      </c>
      <c r="E43" s="19">
        <v>21</v>
      </c>
      <c r="F43" s="19">
        <v>11</v>
      </c>
      <c r="G43" s="19">
        <v>11</v>
      </c>
      <c r="H43" s="20">
        <v>0</v>
      </c>
    </row>
    <row r="44" spans="1:8" x14ac:dyDescent="0.25">
      <c r="A44" s="3">
        <v>42</v>
      </c>
      <c r="B44" s="18" t="s">
        <v>70</v>
      </c>
      <c r="C44" s="28">
        <v>4050</v>
      </c>
      <c r="D44" s="19">
        <v>3</v>
      </c>
      <c r="E44" s="19">
        <v>25</v>
      </c>
      <c r="F44" s="19">
        <v>0</v>
      </c>
      <c r="G44" s="19">
        <v>11</v>
      </c>
      <c r="H44" s="20">
        <v>0</v>
      </c>
    </row>
    <row r="45" spans="1:8" x14ac:dyDescent="0.25">
      <c r="A45" s="3">
        <v>43</v>
      </c>
      <c r="B45" s="18" t="s">
        <v>71</v>
      </c>
      <c r="C45" s="28">
        <v>4051</v>
      </c>
      <c r="D45" s="19">
        <v>1</v>
      </c>
      <c r="E45" s="19">
        <v>22</v>
      </c>
      <c r="F45" s="19">
        <v>12</v>
      </c>
      <c r="G45" s="19">
        <v>12</v>
      </c>
      <c r="H45" s="20">
        <v>0</v>
      </c>
    </row>
    <row r="46" spans="1:8" x14ac:dyDescent="0.25">
      <c r="A46" s="3">
        <v>44</v>
      </c>
      <c r="B46" s="18" t="s">
        <v>72</v>
      </c>
      <c r="C46" s="28">
        <v>4051</v>
      </c>
      <c r="D46" s="19">
        <v>3</v>
      </c>
      <c r="E46" s="19">
        <v>26</v>
      </c>
      <c r="F46" s="19">
        <v>0</v>
      </c>
      <c r="G46" s="19">
        <v>12</v>
      </c>
      <c r="H46" s="20">
        <v>0</v>
      </c>
    </row>
    <row r="47" spans="1:8" x14ac:dyDescent="0.25">
      <c r="A47" s="3">
        <v>45</v>
      </c>
      <c r="B47" s="18" t="s">
        <v>73</v>
      </c>
      <c r="C47" s="28">
        <v>1409</v>
      </c>
      <c r="D47" s="19">
        <v>1</v>
      </c>
      <c r="E47" s="19">
        <v>51</v>
      </c>
      <c r="F47" s="19">
        <v>0</v>
      </c>
      <c r="G47" s="19">
        <v>0</v>
      </c>
      <c r="H47" s="20">
        <v>0</v>
      </c>
    </row>
    <row r="48" spans="1:8" x14ac:dyDescent="0.25">
      <c r="A48" s="3">
        <v>46</v>
      </c>
      <c r="B48" s="18" t="s">
        <v>74</v>
      </c>
      <c r="C48" s="28">
        <v>1409</v>
      </c>
      <c r="D48" s="19">
        <v>1</v>
      </c>
      <c r="E48" s="19">
        <v>51</v>
      </c>
      <c r="F48" s="19">
        <v>0</v>
      </c>
      <c r="G48" s="19">
        <v>0</v>
      </c>
      <c r="H48" s="20">
        <v>0</v>
      </c>
    </row>
    <row r="49" spans="1:8" x14ac:dyDescent="0.25">
      <c r="A49" s="3">
        <v>47</v>
      </c>
      <c r="B49" s="18" t="s">
        <v>75</v>
      </c>
      <c r="C49" s="28">
        <v>1009</v>
      </c>
      <c r="D49" s="19">
        <v>1</v>
      </c>
      <c r="E49" s="19">
        <v>11</v>
      </c>
      <c r="F49" s="19">
        <v>11</v>
      </c>
      <c r="G49" s="19">
        <v>11</v>
      </c>
      <c r="H49" s="20">
        <v>0</v>
      </c>
    </row>
    <row r="50" spans="1:8" x14ac:dyDescent="0.25">
      <c r="A50" s="3">
        <v>48</v>
      </c>
      <c r="B50" s="18" t="s">
        <v>76</v>
      </c>
      <c r="C50" s="28">
        <v>9932</v>
      </c>
      <c r="D50" s="19">
        <v>3</v>
      </c>
      <c r="E50" s="19">
        <v>0</v>
      </c>
      <c r="F50" s="19">
        <v>0</v>
      </c>
      <c r="G50" s="19">
        <v>11</v>
      </c>
      <c r="H50" s="20">
        <v>0</v>
      </c>
    </row>
    <row r="51" spans="1:8" x14ac:dyDescent="0.25">
      <c r="A51" s="3">
        <v>49</v>
      </c>
      <c r="B51" s="18" t="s">
        <v>77</v>
      </c>
      <c r="C51" s="28">
        <v>9932</v>
      </c>
      <c r="D51" s="19">
        <v>3</v>
      </c>
      <c r="E51" s="19">
        <v>0</v>
      </c>
      <c r="F51" s="19">
        <v>0</v>
      </c>
      <c r="G51" s="19">
        <v>12</v>
      </c>
      <c r="H51" s="20">
        <v>0</v>
      </c>
    </row>
    <row r="52" spans="1:8" x14ac:dyDescent="0.25">
      <c r="A52" s="3">
        <v>50</v>
      </c>
      <c r="B52" s="18" t="s">
        <v>78</v>
      </c>
      <c r="C52" s="28">
        <v>9905</v>
      </c>
      <c r="D52" s="19">
        <v>3</v>
      </c>
      <c r="E52" s="19">
        <v>0</v>
      </c>
      <c r="F52" s="19">
        <v>0</v>
      </c>
      <c r="G52" s="19">
        <v>11</v>
      </c>
      <c r="H52" s="20">
        <v>0</v>
      </c>
    </row>
    <row r="53" spans="1:8" x14ac:dyDescent="0.25">
      <c r="A53" s="3">
        <v>51</v>
      </c>
      <c r="B53" s="18" t="s">
        <v>80</v>
      </c>
      <c r="C53" s="28">
        <v>9905</v>
      </c>
      <c r="D53" s="19">
        <v>3</v>
      </c>
      <c r="E53" s="19">
        <v>0</v>
      </c>
      <c r="F53" s="19">
        <v>0</v>
      </c>
      <c r="G53" s="19">
        <v>12</v>
      </c>
      <c r="H53" s="20">
        <v>0</v>
      </c>
    </row>
    <row r="54" spans="1:8" x14ac:dyDescent="0.25">
      <c r="A54" s="3">
        <v>52</v>
      </c>
      <c r="B54" s="18" t="s">
        <v>81</v>
      </c>
      <c r="C54" s="28">
        <v>5504</v>
      </c>
      <c r="D54" s="19">
        <v>1</v>
      </c>
      <c r="E54" s="19">
        <v>0</v>
      </c>
      <c r="F54" s="19">
        <v>0</v>
      </c>
      <c r="G54" s="19">
        <v>12</v>
      </c>
      <c r="H54" s="20">
        <v>0</v>
      </c>
    </row>
    <row r="55" spans="1:8" x14ac:dyDescent="0.25">
      <c r="A55" s="3">
        <v>53</v>
      </c>
      <c r="B55" s="18" t="s">
        <v>82</v>
      </c>
      <c r="C55" s="28">
        <v>5001</v>
      </c>
      <c r="D55" s="19">
        <v>1</v>
      </c>
      <c r="E55" s="19">
        <v>12</v>
      </c>
      <c r="F55" s="19">
        <v>12</v>
      </c>
      <c r="G55" s="19">
        <v>12</v>
      </c>
      <c r="H55" s="20">
        <v>0</v>
      </c>
    </row>
    <row r="56" spans="1:8" x14ac:dyDescent="0.25">
      <c r="A56" s="3">
        <v>54</v>
      </c>
      <c r="B56" s="18" t="s">
        <v>83</v>
      </c>
      <c r="C56" s="28">
        <v>5005</v>
      </c>
      <c r="D56" s="19">
        <v>1</v>
      </c>
      <c r="E56" s="19">
        <v>12</v>
      </c>
      <c r="F56" s="19">
        <v>12</v>
      </c>
      <c r="G56" s="19">
        <v>12</v>
      </c>
      <c r="H56" s="20">
        <v>0</v>
      </c>
    </row>
    <row r="57" spans="1:8" x14ac:dyDescent="0.25">
      <c r="A57" s="3">
        <v>55</v>
      </c>
      <c r="B57" s="18" t="s">
        <v>84</v>
      </c>
      <c r="C57" s="28">
        <v>5005</v>
      </c>
      <c r="D57" s="19">
        <v>1</v>
      </c>
      <c r="E57" s="19">
        <v>12</v>
      </c>
      <c r="F57" s="19">
        <v>12</v>
      </c>
      <c r="G57" s="19">
        <v>12</v>
      </c>
      <c r="H57" s="20">
        <v>0</v>
      </c>
    </row>
    <row r="58" spans="1:8" x14ac:dyDescent="0.25">
      <c r="A58" s="3">
        <v>56</v>
      </c>
      <c r="B58" s="18" t="s">
        <v>85</v>
      </c>
      <c r="C58" s="28">
        <v>5504</v>
      </c>
      <c r="D58" s="19">
        <v>3</v>
      </c>
      <c r="E58" s="19">
        <v>0</v>
      </c>
      <c r="F58" s="19">
        <v>0</v>
      </c>
      <c r="G58" s="19">
        <v>0</v>
      </c>
      <c r="H58" s="20">
        <v>0</v>
      </c>
    </row>
    <row r="59" spans="1:8" x14ac:dyDescent="0.25">
      <c r="A59" s="3">
        <v>57</v>
      </c>
      <c r="B59" s="18" t="s">
        <v>86</v>
      </c>
      <c r="C59" s="28">
        <v>2930</v>
      </c>
      <c r="D59" s="19">
        <v>1</v>
      </c>
      <c r="E59" s="19">
        <v>0</v>
      </c>
      <c r="F59" s="19">
        <v>0</v>
      </c>
      <c r="G59" s="19">
        <v>0</v>
      </c>
      <c r="H59" s="20">
        <v>0</v>
      </c>
    </row>
    <row r="60" spans="1:8" x14ac:dyDescent="0.25">
      <c r="A60" s="3">
        <v>58</v>
      </c>
      <c r="B60" s="18" t="s">
        <v>87</v>
      </c>
      <c r="C60" s="28">
        <v>1020</v>
      </c>
      <c r="D60" s="19">
        <v>1</v>
      </c>
      <c r="E60" s="19">
        <v>0</v>
      </c>
      <c r="F60" s="19">
        <v>13</v>
      </c>
      <c r="G60" s="19">
        <v>0</v>
      </c>
      <c r="H60" s="20">
        <v>0</v>
      </c>
    </row>
    <row r="61" spans="1:8" x14ac:dyDescent="0.25">
      <c r="A61" s="3">
        <v>59</v>
      </c>
      <c r="B61" s="18" t="s">
        <v>88</v>
      </c>
      <c r="C61" s="28">
        <v>1020</v>
      </c>
      <c r="D61" s="19">
        <v>1</v>
      </c>
      <c r="E61" s="19">
        <v>0</v>
      </c>
      <c r="F61" s="19">
        <v>13</v>
      </c>
      <c r="G61" s="19">
        <v>0</v>
      </c>
      <c r="H61" s="20">
        <v>0</v>
      </c>
    </row>
    <row r="62" spans="1:8" x14ac:dyDescent="0.25">
      <c r="A62" s="3">
        <v>60</v>
      </c>
      <c r="B62" s="18" t="s">
        <v>89</v>
      </c>
      <c r="C62" s="28">
        <v>1020</v>
      </c>
      <c r="D62" s="19">
        <v>1</v>
      </c>
      <c r="E62" s="19">
        <v>11</v>
      </c>
      <c r="F62" s="19">
        <v>13</v>
      </c>
      <c r="G62" s="19">
        <v>11</v>
      </c>
      <c r="H62" s="20">
        <v>0</v>
      </c>
    </row>
    <row r="63" spans="1:8" x14ac:dyDescent="0.25">
      <c r="A63" s="3">
        <v>61</v>
      </c>
      <c r="B63" s="18" t="s">
        <v>90</v>
      </c>
      <c r="C63" s="28">
        <v>1020</v>
      </c>
      <c r="D63" s="19">
        <v>1</v>
      </c>
      <c r="E63" s="19">
        <v>11</v>
      </c>
      <c r="F63" s="19">
        <v>13</v>
      </c>
      <c r="G63" s="19">
        <v>11</v>
      </c>
      <c r="H63" s="20">
        <v>0</v>
      </c>
    </row>
    <row r="64" spans="1:8" x14ac:dyDescent="0.25">
      <c r="A64" s="3">
        <v>62</v>
      </c>
      <c r="B64" s="18" t="s">
        <v>91</v>
      </c>
      <c r="C64" s="28">
        <v>1023</v>
      </c>
      <c r="D64" s="19">
        <v>1</v>
      </c>
      <c r="E64" s="19">
        <v>0</v>
      </c>
      <c r="F64" s="19">
        <v>75</v>
      </c>
      <c r="G64" s="19">
        <v>0</v>
      </c>
      <c r="H64" s="20">
        <v>0</v>
      </c>
    </row>
    <row r="65" spans="1:8" x14ac:dyDescent="0.25">
      <c r="A65" s="3">
        <v>63</v>
      </c>
      <c r="B65" s="18" t="s">
        <v>92</v>
      </c>
      <c r="C65" s="28">
        <v>1023</v>
      </c>
      <c r="D65" s="19">
        <v>1</v>
      </c>
      <c r="E65" s="19">
        <v>0</v>
      </c>
      <c r="F65" s="19">
        <v>75</v>
      </c>
      <c r="G65" s="19">
        <v>0</v>
      </c>
      <c r="H65" s="20">
        <v>0</v>
      </c>
    </row>
    <row r="66" spans="1:8" x14ac:dyDescent="0.25">
      <c r="A66" s="3">
        <v>64</v>
      </c>
      <c r="B66" s="18" t="s">
        <v>93</v>
      </c>
      <c r="C66" s="28">
        <v>1024</v>
      </c>
      <c r="D66" s="19">
        <v>1</v>
      </c>
      <c r="E66" s="19">
        <v>0</v>
      </c>
      <c r="F66" s="19">
        <v>13</v>
      </c>
      <c r="G66" s="19">
        <v>0</v>
      </c>
      <c r="H66" s="20">
        <v>0</v>
      </c>
    </row>
    <row r="67" spans="1:8" x14ac:dyDescent="0.25">
      <c r="A67" s="3">
        <v>65</v>
      </c>
      <c r="B67" s="18" t="s">
        <v>94</v>
      </c>
      <c r="C67" s="28">
        <v>1024</v>
      </c>
      <c r="D67" s="19">
        <v>1</v>
      </c>
      <c r="E67" s="19">
        <v>0</v>
      </c>
      <c r="F67" s="19">
        <v>75</v>
      </c>
      <c r="G67" s="19">
        <v>0</v>
      </c>
      <c r="H67" s="20">
        <v>0</v>
      </c>
    </row>
    <row r="68" spans="1:8" x14ac:dyDescent="0.25">
      <c r="A68" s="3">
        <v>66</v>
      </c>
      <c r="B68" s="18" t="s">
        <v>95</v>
      </c>
      <c r="C68" s="28">
        <v>1651</v>
      </c>
      <c r="D68" s="19">
        <v>1</v>
      </c>
      <c r="E68" s="19">
        <v>0</v>
      </c>
      <c r="F68" s="19">
        <v>72</v>
      </c>
      <c r="G68" s="19">
        <v>0</v>
      </c>
      <c r="H68" s="20">
        <v>0</v>
      </c>
    </row>
    <row r="69" spans="1:8" x14ac:dyDescent="0.25">
      <c r="A69" s="3">
        <v>67</v>
      </c>
      <c r="B69" s="18" t="s">
        <v>96</v>
      </c>
      <c r="C69" s="28">
        <v>1652</v>
      </c>
      <c r="D69" s="19">
        <v>1</v>
      </c>
      <c r="E69" s="19">
        <v>11</v>
      </c>
      <c r="F69" s="19">
        <v>11</v>
      </c>
      <c r="G69" s="19">
        <v>11</v>
      </c>
      <c r="H69" s="20">
        <v>0</v>
      </c>
    </row>
    <row r="70" spans="1:8" x14ac:dyDescent="0.25">
      <c r="A70" s="3">
        <v>68</v>
      </c>
      <c r="B70" s="18" t="s">
        <v>97</v>
      </c>
      <c r="C70" s="28">
        <v>1602</v>
      </c>
      <c r="D70" s="19">
        <v>1</v>
      </c>
      <c r="E70" s="19">
        <v>0</v>
      </c>
      <c r="F70" s="19">
        <v>73</v>
      </c>
      <c r="G70" s="19">
        <v>0</v>
      </c>
      <c r="H70" s="20">
        <v>0</v>
      </c>
    </row>
    <row r="71" spans="1:8" x14ac:dyDescent="0.25">
      <c r="A71" s="3">
        <v>69</v>
      </c>
      <c r="B71" s="18" t="s">
        <v>98</v>
      </c>
      <c r="C71" s="28">
        <v>2920</v>
      </c>
      <c r="D71" s="19">
        <v>1</v>
      </c>
      <c r="E71" s="19">
        <v>11</v>
      </c>
      <c r="F71" s="19">
        <v>11</v>
      </c>
      <c r="G71" s="19">
        <v>11</v>
      </c>
      <c r="H71" s="20">
        <v>0</v>
      </c>
    </row>
    <row r="72" spans="1:8" x14ac:dyDescent="0.25">
      <c r="A72" s="3">
        <v>70</v>
      </c>
      <c r="B72" s="18" t="s">
        <v>99</v>
      </c>
      <c r="C72" s="28">
        <v>2920</v>
      </c>
      <c r="D72" s="19">
        <v>1</v>
      </c>
      <c r="E72" s="19">
        <v>0</v>
      </c>
      <c r="F72" s="19">
        <v>0</v>
      </c>
      <c r="G72" s="19">
        <v>0</v>
      </c>
      <c r="H72" s="20">
        <v>0</v>
      </c>
    </row>
    <row r="73" spans="1:8" x14ac:dyDescent="0.25">
      <c r="A73" s="3">
        <v>71</v>
      </c>
      <c r="B73" s="18" t="s">
        <v>100</v>
      </c>
      <c r="C73" s="28">
        <v>1300</v>
      </c>
      <c r="D73" s="19">
        <v>1</v>
      </c>
      <c r="E73" s="19">
        <v>0</v>
      </c>
      <c r="F73" s="19">
        <v>14</v>
      </c>
      <c r="G73" s="19">
        <v>0</v>
      </c>
      <c r="H73" s="20">
        <v>0</v>
      </c>
    </row>
    <row r="74" spans="1:8" x14ac:dyDescent="0.25">
      <c r="A74" s="3">
        <v>72</v>
      </c>
      <c r="B74" s="18" t="s">
        <v>101</v>
      </c>
      <c r="C74" s="28">
        <v>1350</v>
      </c>
      <c r="D74" s="19">
        <v>1</v>
      </c>
      <c r="E74" s="19">
        <v>0</v>
      </c>
      <c r="F74" s="19">
        <v>11</v>
      </c>
      <c r="G74" s="19">
        <v>0</v>
      </c>
      <c r="H74" s="20">
        <v>0</v>
      </c>
    </row>
    <row r="75" spans="1:8" x14ac:dyDescent="0.25">
      <c r="A75" s="3">
        <v>73</v>
      </c>
      <c r="B75" s="18" t="s">
        <v>102</v>
      </c>
      <c r="C75" s="28">
        <v>3501</v>
      </c>
      <c r="D75" s="19">
        <v>1</v>
      </c>
      <c r="E75" s="19">
        <v>11</v>
      </c>
      <c r="F75" s="19">
        <v>11</v>
      </c>
      <c r="G75" s="19">
        <v>0</v>
      </c>
      <c r="H75" s="20">
        <v>0</v>
      </c>
    </row>
    <row r="76" spans="1:8" x14ac:dyDescent="0.25">
      <c r="A76" s="3">
        <v>74</v>
      </c>
      <c r="B76" s="18" t="s">
        <v>103</v>
      </c>
      <c r="C76" s="28">
        <v>3501</v>
      </c>
      <c r="D76" s="19">
        <v>1</v>
      </c>
      <c r="E76" s="19">
        <v>11</v>
      </c>
      <c r="F76" s="19">
        <v>11</v>
      </c>
      <c r="G76" s="19">
        <v>0</v>
      </c>
      <c r="H76" s="20">
        <v>0</v>
      </c>
    </row>
    <row r="77" spans="1:8" x14ac:dyDescent="0.25">
      <c r="A77" s="3">
        <v>75</v>
      </c>
      <c r="B77" s="18" t="s">
        <v>104</v>
      </c>
      <c r="C77" s="28">
        <v>3508</v>
      </c>
      <c r="D77" s="19">
        <v>1</v>
      </c>
      <c r="E77" s="19">
        <v>11</v>
      </c>
      <c r="F77" s="19">
        <v>11</v>
      </c>
      <c r="G77" s="19">
        <v>0</v>
      </c>
      <c r="H77" s="20">
        <v>0</v>
      </c>
    </row>
    <row r="78" spans="1:8" x14ac:dyDescent="0.25">
      <c r="A78" s="3">
        <v>76</v>
      </c>
      <c r="B78" s="18" t="s">
        <v>105</v>
      </c>
      <c r="C78" s="28">
        <v>3506</v>
      </c>
      <c r="D78" s="19">
        <v>1</v>
      </c>
      <c r="E78" s="19">
        <v>11</v>
      </c>
      <c r="F78" s="19">
        <v>11</v>
      </c>
      <c r="G78" s="19">
        <v>11</v>
      </c>
      <c r="H78" s="20">
        <v>0</v>
      </c>
    </row>
    <row r="79" spans="1:8" x14ac:dyDescent="0.25">
      <c r="A79" s="3">
        <v>77</v>
      </c>
      <c r="B79" s="18" t="s">
        <v>106</v>
      </c>
      <c r="C79" s="28">
        <v>6000</v>
      </c>
      <c r="D79" s="19">
        <v>1</v>
      </c>
      <c r="E79" s="19">
        <v>11</v>
      </c>
      <c r="F79" s="19">
        <v>11</v>
      </c>
      <c r="G79" s="19">
        <v>11</v>
      </c>
      <c r="H79" s="20">
        <v>0</v>
      </c>
    </row>
    <row r="80" spans="1:8" x14ac:dyDescent="0.25">
      <c r="A80" s="3">
        <v>78</v>
      </c>
      <c r="B80" s="18" t="s">
        <v>107</v>
      </c>
      <c r="C80" s="28">
        <v>6001</v>
      </c>
      <c r="D80" s="19">
        <v>1</v>
      </c>
      <c r="E80" s="19">
        <v>12</v>
      </c>
      <c r="F80" s="19">
        <v>74</v>
      </c>
      <c r="G80" s="19">
        <v>21</v>
      </c>
      <c r="H80" s="20">
        <v>0</v>
      </c>
    </row>
    <row r="81" spans="1:8" x14ac:dyDescent="0.25">
      <c r="A81" s="3">
        <v>79</v>
      </c>
      <c r="B81" s="18" t="s">
        <v>108</v>
      </c>
      <c r="C81" s="28">
        <v>6002</v>
      </c>
      <c r="D81" s="19">
        <v>1</v>
      </c>
      <c r="E81" s="19">
        <v>12</v>
      </c>
      <c r="F81" s="19">
        <v>12</v>
      </c>
      <c r="G81" s="19">
        <v>12</v>
      </c>
      <c r="H81" s="20">
        <v>0</v>
      </c>
    </row>
    <row r="82" spans="1:8" x14ac:dyDescent="0.25">
      <c r="A82" s="3">
        <v>80</v>
      </c>
      <c r="B82" s="18" t="s">
        <v>109</v>
      </c>
      <c r="C82" s="28">
        <v>6003</v>
      </c>
      <c r="D82" s="19">
        <v>1</v>
      </c>
      <c r="E82" s="19">
        <v>0</v>
      </c>
      <c r="F82" s="19">
        <v>74</v>
      </c>
      <c r="G82" s="19">
        <v>21</v>
      </c>
      <c r="H82" s="20">
        <v>0</v>
      </c>
    </row>
    <row r="83" spans="1:8" x14ac:dyDescent="0.25">
      <c r="A83" s="3">
        <v>81</v>
      </c>
      <c r="B83" s="18" t="s">
        <v>110</v>
      </c>
      <c r="C83" s="28">
        <v>6004</v>
      </c>
      <c r="D83" s="19">
        <v>1</v>
      </c>
      <c r="E83" s="19">
        <v>0</v>
      </c>
      <c r="F83" s="19">
        <v>74</v>
      </c>
      <c r="G83" s="19">
        <v>0</v>
      </c>
      <c r="H83" s="20">
        <v>0</v>
      </c>
    </row>
    <row r="84" spans="1:8" x14ac:dyDescent="0.25">
      <c r="A84" s="3">
        <v>82</v>
      </c>
      <c r="B84" s="18" t="s">
        <v>111</v>
      </c>
      <c r="C84" s="28">
        <v>6006</v>
      </c>
      <c r="D84" s="19">
        <v>1</v>
      </c>
      <c r="E84" s="19">
        <v>0</v>
      </c>
      <c r="F84" s="19">
        <v>74</v>
      </c>
      <c r="G84" s="19">
        <v>0</v>
      </c>
      <c r="H84" s="20">
        <v>0</v>
      </c>
    </row>
    <row r="85" spans="1:8" x14ac:dyDescent="0.25">
      <c r="A85" s="3">
        <v>83</v>
      </c>
      <c r="B85" s="18" t="s">
        <v>112</v>
      </c>
      <c r="C85" s="28">
        <v>6007</v>
      </c>
      <c r="D85" s="19">
        <v>1</v>
      </c>
      <c r="E85" s="19">
        <v>0</v>
      </c>
      <c r="F85" s="19">
        <v>74</v>
      </c>
      <c r="G85" s="19">
        <v>0</v>
      </c>
      <c r="H85" s="20">
        <v>0</v>
      </c>
    </row>
    <row r="86" spans="1:8" x14ac:dyDescent="0.25">
      <c r="A86" s="3">
        <v>84</v>
      </c>
      <c r="B86" s="18" t="s">
        <v>113</v>
      </c>
      <c r="C86" s="28">
        <v>6006</v>
      </c>
      <c r="D86" s="19">
        <v>1</v>
      </c>
      <c r="E86" s="19">
        <v>0</v>
      </c>
      <c r="F86" s="19">
        <v>74</v>
      </c>
      <c r="G86" s="19">
        <v>0</v>
      </c>
      <c r="H86" s="20">
        <v>0</v>
      </c>
    </row>
    <row r="87" spans="1:8" x14ac:dyDescent="0.25">
      <c r="A87" s="3">
        <v>85</v>
      </c>
      <c r="B87" s="18" t="s">
        <v>114</v>
      </c>
      <c r="C87" s="28">
        <v>6007</v>
      </c>
      <c r="D87" s="19">
        <v>1</v>
      </c>
      <c r="E87" s="19">
        <v>0</v>
      </c>
      <c r="F87" s="19">
        <v>74</v>
      </c>
      <c r="G87" s="19">
        <v>0</v>
      </c>
      <c r="H87" s="20">
        <v>0</v>
      </c>
    </row>
    <row r="88" spans="1:8" x14ac:dyDescent="0.25">
      <c r="A88" s="3">
        <v>86</v>
      </c>
      <c r="B88" s="18" t="s">
        <v>115</v>
      </c>
      <c r="C88" s="28">
        <v>6102</v>
      </c>
      <c r="D88" s="19">
        <v>1</v>
      </c>
      <c r="E88" s="19">
        <v>0</v>
      </c>
      <c r="F88" s="19">
        <v>74</v>
      </c>
      <c r="G88" s="19">
        <v>0</v>
      </c>
      <c r="H88" s="20">
        <v>0</v>
      </c>
    </row>
    <row r="89" spans="1:8" x14ac:dyDescent="0.25">
      <c r="A89" s="3">
        <v>87</v>
      </c>
      <c r="B89" s="18" t="s">
        <v>116</v>
      </c>
      <c r="C89" s="28">
        <v>6103</v>
      </c>
      <c r="D89" s="19">
        <v>1</v>
      </c>
      <c r="E89" s="19">
        <v>0</v>
      </c>
      <c r="F89" s="19">
        <v>74</v>
      </c>
      <c r="G89" s="19">
        <v>0</v>
      </c>
      <c r="H89" s="20">
        <v>0</v>
      </c>
    </row>
    <row r="90" spans="1:8" x14ac:dyDescent="0.25">
      <c r="A90" s="3">
        <v>88</v>
      </c>
      <c r="B90" s="18" t="s">
        <v>117</v>
      </c>
      <c r="C90" s="28">
        <v>6104</v>
      </c>
      <c r="D90" s="19">
        <v>1</v>
      </c>
      <c r="E90" s="19">
        <v>0</v>
      </c>
      <c r="F90" s="19">
        <v>74</v>
      </c>
      <c r="G90" s="19">
        <v>0</v>
      </c>
      <c r="H90" s="20">
        <v>0</v>
      </c>
    </row>
    <row r="91" spans="1:8" x14ac:dyDescent="0.25">
      <c r="A91" s="3">
        <v>89</v>
      </c>
      <c r="B91" s="18" t="s">
        <v>118</v>
      </c>
      <c r="C91" s="28">
        <v>6106</v>
      </c>
      <c r="D91" s="19">
        <v>1</v>
      </c>
      <c r="E91" s="19">
        <v>0</v>
      </c>
      <c r="F91" s="19">
        <v>74</v>
      </c>
      <c r="G91" s="19">
        <v>0</v>
      </c>
      <c r="H91" s="20">
        <v>0</v>
      </c>
    </row>
    <row r="92" spans="1:8" x14ac:dyDescent="0.25">
      <c r="A92" s="3">
        <v>90</v>
      </c>
      <c r="B92" s="18" t="s">
        <v>119</v>
      </c>
      <c r="C92" s="28">
        <v>6107</v>
      </c>
      <c r="D92" s="19">
        <v>1</v>
      </c>
      <c r="E92" s="19">
        <v>0</v>
      </c>
      <c r="F92" s="19">
        <v>74</v>
      </c>
      <c r="G92" s="19">
        <v>0</v>
      </c>
      <c r="H92" s="20">
        <v>0</v>
      </c>
    </row>
    <row r="93" spans="1:8" x14ac:dyDescent="0.25">
      <c r="A93" s="3">
        <v>91</v>
      </c>
      <c r="B93" s="18" t="s">
        <v>120</v>
      </c>
      <c r="C93" s="28">
        <v>1000</v>
      </c>
      <c r="D93" s="19">
        <v>1</v>
      </c>
      <c r="E93" s="19">
        <v>11</v>
      </c>
      <c r="F93" s="19">
        <v>11</v>
      </c>
      <c r="G93" s="19">
        <v>11</v>
      </c>
      <c r="H93" s="20">
        <v>0</v>
      </c>
    </row>
    <row r="94" spans="1:8" x14ac:dyDescent="0.25">
      <c r="A94" s="3">
        <v>92</v>
      </c>
      <c r="B94" s="18" t="s">
        <v>121</v>
      </c>
      <c r="C94" s="28">
        <v>1000</v>
      </c>
      <c r="D94" s="19">
        <v>1</v>
      </c>
      <c r="E94" s="19">
        <v>11</v>
      </c>
      <c r="F94" s="19">
        <v>11</v>
      </c>
      <c r="G94" s="19">
        <v>11</v>
      </c>
      <c r="H94" s="20">
        <v>0</v>
      </c>
    </row>
    <row r="95" spans="1:8" x14ac:dyDescent="0.25">
      <c r="A95" s="3">
        <v>93</v>
      </c>
      <c r="B95" s="18" t="s">
        <v>122</v>
      </c>
      <c r="C95" s="28">
        <v>5001</v>
      </c>
      <c r="D95" s="19">
        <v>1</v>
      </c>
      <c r="E95" s="19">
        <v>12</v>
      </c>
      <c r="F95" s="19">
        <v>12</v>
      </c>
      <c r="G95" s="19">
        <v>12</v>
      </c>
      <c r="H95" s="20">
        <v>0</v>
      </c>
    </row>
    <row r="96" spans="1:8" x14ac:dyDescent="0.25">
      <c r="A96" s="3">
        <v>94</v>
      </c>
      <c r="B96" s="18" t="s">
        <v>123</v>
      </c>
      <c r="C96" s="28">
        <v>5001</v>
      </c>
      <c r="D96" s="19">
        <v>1</v>
      </c>
      <c r="E96" s="19">
        <v>12</v>
      </c>
      <c r="F96" s="19">
        <v>12</v>
      </c>
      <c r="G96" s="19">
        <v>12</v>
      </c>
      <c r="H96" s="20">
        <v>0</v>
      </c>
    </row>
    <row r="97" spans="1:8" x14ac:dyDescent="0.25">
      <c r="A97" s="3">
        <v>95</v>
      </c>
      <c r="B97" s="18" t="s">
        <v>124</v>
      </c>
      <c r="C97" s="28">
        <v>1020</v>
      </c>
      <c r="D97" s="19">
        <v>1</v>
      </c>
      <c r="E97" s="19">
        <v>11</v>
      </c>
      <c r="F97" s="19">
        <v>13</v>
      </c>
      <c r="G97" s="19">
        <v>11</v>
      </c>
      <c r="H97" s="20">
        <v>0</v>
      </c>
    </row>
    <row r="98" spans="1:8" x14ac:dyDescent="0.25">
      <c r="A98" s="3">
        <v>96</v>
      </c>
      <c r="B98" s="18" t="s">
        <v>125</v>
      </c>
      <c r="C98" s="28">
        <v>1020</v>
      </c>
      <c r="D98" s="19">
        <v>1</v>
      </c>
      <c r="E98" s="19">
        <v>11</v>
      </c>
      <c r="F98" s="19">
        <v>13</v>
      </c>
      <c r="G98" s="19">
        <v>11</v>
      </c>
      <c r="H98" s="20">
        <v>0</v>
      </c>
    </row>
    <row r="99" spans="1:8" x14ac:dyDescent="0.25">
      <c r="A99" s="3">
        <v>97</v>
      </c>
      <c r="B99" s="18" t="s">
        <v>126</v>
      </c>
      <c r="C99" s="28">
        <v>6129</v>
      </c>
      <c r="D99" s="19">
        <v>1</v>
      </c>
      <c r="E99" s="19">
        <v>0</v>
      </c>
      <c r="F99" s="19">
        <v>0</v>
      </c>
      <c r="G99" s="19">
        <v>0</v>
      </c>
      <c r="H99" s="20">
        <v>0</v>
      </c>
    </row>
    <row r="100" spans="1:8" x14ac:dyDescent="0.25">
      <c r="A100" s="3">
        <v>98</v>
      </c>
      <c r="B100" s="18" t="s">
        <v>127</v>
      </c>
      <c r="C100" s="28">
        <v>6129</v>
      </c>
      <c r="D100" s="19">
        <v>1</v>
      </c>
      <c r="E100" s="19">
        <v>0</v>
      </c>
      <c r="F100" s="19">
        <v>0</v>
      </c>
      <c r="G100" s="19">
        <v>0</v>
      </c>
      <c r="H100" s="20">
        <v>0</v>
      </c>
    </row>
    <row r="101" spans="1:8" x14ac:dyDescent="0.25">
      <c r="A101" s="3">
        <v>99</v>
      </c>
      <c r="B101" s="18" t="s">
        <v>128</v>
      </c>
      <c r="C101" s="28">
        <v>4050</v>
      </c>
      <c r="D101" s="19">
        <v>3</v>
      </c>
      <c r="E101" s="19">
        <v>25</v>
      </c>
      <c r="F101" s="19">
        <v>0</v>
      </c>
      <c r="G101" s="19">
        <v>11</v>
      </c>
      <c r="H101" s="20">
        <v>0</v>
      </c>
    </row>
    <row r="102" spans="1:8" x14ac:dyDescent="0.25">
      <c r="A102" s="3">
        <v>100</v>
      </c>
      <c r="B102" s="18" t="s">
        <v>129</v>
      </c>
      <c r="C102" s="28">
        <v>4050</v>
      </c>
      <c r="D102" s="19">
        <v>3</v>
      </c>
      <c r="E102" s="19">
        <v>25</v>
      </c>
      <c r="F102" s="19">
        <v>0</v>
      </c>
      <c r="G102" s="19">
        <v>11</v>
      </c>
      <c r="H102" s="20">
        <v>0</v>
      </c>
    </row>
    <row r="103" spans="1:8" x14ac:dyDescent="0.25">
      <c r="A103" s="3">
        <v>101</v>
      </c>
      <c r="B103" s="18" t="s">
        <v>130</v>
      </c>
      <c r="C103" s="28">
        <v>4051</v>
      </c>
      <c r="D103" s="19">
        <v>3</v>
      </c>
      <c r="E103" s="19">
        <v>26</v>
      </c>
      <c r="F103" s="19">
        <v>0</v>
      </c>
      <c r="G103" s="19">
        <v>12</v>
      </c>
      <c r="H103" s="20">
        <v>0</v>
      </c>
    </row>
    <row r="104" spans="1:8" x14ac:dyDescent="0.25">
      <c r="A104" s="3">
        <v>102</v>
      </c>
      <c r="B104" s="18" t="s">
        <v>131</v>
      </c>
      <c r="C104" s="28">
        <v>4051</v>
      </c>
      <c r="D104" s="19">
        <v>3</v>
      </c>
      <c r="E104" s="19">
        <v>26</v>
      </c>
      <c r="F104" s="19">
        <v>0</v>
      </c>
      <c r="G104" s="19">
        <v>12</v>
      </c>
      <c r="H104" s="20">
        <v>0</v>
      </c>
    </row>
    <row r="105" spans="1:8" x14ac:dyDescent="0.25">
      <c r="A105" s="3">
        <v>103</v>
      </c>
      <c r="B105" s="18" t="s">
        <v>132</v>
      </c>
      <c r="C105" s="28">
        <v>9932</v>
      </c>
      <c r="D105" s="19">
        <v>3</v>
      </c>
      <c r="E105" s="19">
        <v>0</v>
      </c>
      <c r="F105" s="19">
        <v>0</v>
      </c>
      <c r="G105" s="19">
        <v>11</v>
      </c>
      <c r="H105" s="20">
        <v>0</v>
      </c>
    </row>
    <row r="106" spans="1:8" x14ac:dyDescent="0.25">
      <c r="A106" s="3">
        <v>104</v>
      </c>
      <c r="B106" s="18" t="s">
        <v>133</v>
      </c>
      <c r="C106" s="28">
        <v>9932</v>
      </c>
      <c r="D106" s="19">
        <v>3</v>
      </c>
      <c r="E106" s="19">
        <v>0</v>
      </c>
      <c r="F106" s="19">
        <v>0</v>
      </c>
      <c r="G106" s="19">
        <v>11</v>
      </c>
      <c r="H106" s="20">
        <v>0</v>
      </c>
    </row>
    <row r="107" spans="1:8" x14ac:dyDescent="0.25">
      <c r="A107" s="3">
        <v>105</v>
      </c>
      <c r="B107" s="18" t="s">
        <v>134</v>
      </c>
      <c r="C107" s="28">
        <v>9905</v>
      </c>
      <c r="D107" s="19">
        <v>3</v>
      </c>
      <c r="E107" s="19">
        <v>0</v>
      </c>
      <c r="F107" s="19">
        <v>0</v>
      </c>
      <c r="G107" s="19">
        <v>11</v>
      </c>
      <c r="H107" s="20">
        <v>0</v>
      </c>
    </row>
    <row r="108" spans="1:8" x14ac:dyDescent="0.25">
      <c r="A108" s="3">
        <v>106</v>
      </c>
      <c r="B108" s="18" t="s">
        <v>135</v>
      </c>
      <c r="C108" s="28">
        <v>9905</v>
      </c>
      <c r="D108" s="19">
        <v>3</v>
      </c>
      <c r="E108" s="19">
        <v>0</v>
      </c>
      <c r="F108" s="19">
        <v>0</v>
      </c>
      <c r="G108" s="19">
        <v>11</v>
      </c>
      <c r="H108" s="20">
        <v>0</v>
      </c>
    </row>
    <row r="109" spans="1:8" x14ac:dyDescent="0.25">
      <c r="A109" s="3">
        <v>107</v>
      </c>
      <c r="B109" s="18" t="s">
        <v>124</v>
      </c>
      <c r="C109" s="28">
        <v>1020</v>
      </c>
      <c r="D109" s="19">
        <v>1</v>
      </c>
      <c r="E109" s="19">
        <v>11</v>
      </c>
      <c r="F109" s="19">
        <v>13</v>
      </c>
      <c r="G109" s="19">
        <v>11</v>
      </c>
      <c r="H109" s="20">
        <v>0</v>
      </c>
    </row>
    <row r="110" spans="1:8" x14ac:dyDescent="0.25">
      <c r="A110" s="3">
        <v>108</v>
      </c>
      <c r="B110" s="18" t="s">
        <v>136</v>
      </c>
      <c r="C110" s="28">
        <v>1020</v>
      </c>
      <c r="D110" s="19">
        <v>1</v>
      </c>
      <c r="E110" s="19">
        <v>11</v>
      </c>
      <c r="F110" s="19">
        <v>13</v>
      </c>
      <c r="G110" s="19">
        <v>11</v>
      </c>
      <c r="H110" s="20">
        <v>0</v>
      </c>
    </row>
    <row r="111" spans="1:8" x14ac:dyDescent="0.25">
      <c r="A111" s="3">
        <v>109</v>
      </c>
      <c r="B111" s="18" t="s">
        <v>137</v>
      </c>
      <c r="C111" s="28">
        <v>1023</v>
      </c>
      <c r="D111" s="19">
        <v>1</v>
      </c>
      <c r="E111" s="19">
        <v>0</v>
      </c>
      <c r="F111" s="19">
        <v>75</v>
      </c>
      <c r="G111" s="19">
        <v>0</v>
      </c>
      <c r="H111" s="20">
        <v>0</v>
      </c>
    </row>
    <row r="112" spans="1:8" x14ac:dyDescent="0.25">
      <c r="A112" s="3">
        <v>110</v>
      </c>
      <c r="B112" s="18" t="s">
        <v>138</v>
      </c>
      <c r="C112" s="28">
        <v>1023</v>
      </c>
      <c r="D112" s="19">
        <v>1</v>
      </c>
      <c r="E112" s="19">
        <v>0</v>
      </c>
      <c r="F112" s="19">
        <v>75</v>
      </c>
      <c r="G112" s="19">
        <v>0</v>
      </c>
      <c r="H112" s="20">
        <v>0</v>
      </c>
    </row>
    <row r="113" spans="1:8" x14ac:dyDescent="0.25">
      <c r="A113" s="3">
        <v>111</v>
      </c>
      <c r="B113" s="18" t="s">
        <v>139</v>
      </c>
      <c r="C113" s="28">
        <v>1024</v>
      </c>
      <c r="D113" s="19">
        <v>1</v>
      </c>
      <c r="E113" s="19">
        <v>0</v>
      </c>
      <c r="F113" s="19">
        <v>13</v>
      </c>
      <c r="G113" s="19">
        <v>0</v>
      </c>
      <c r="H113" s="20">
        <v>0</v>
      </c>
    </row>
    <row r="114" spans="1:8" x14ac:dyDescent="0.25">
      <c r="A114" s="3">
        <v>112</v>
      </c>
      <c r="B114" s="18" t="s">
        <v>140</v>
      </c>
      <c r="C114" s="28">
        <v>1024</v>
      </c>
      <c r="D114" s="19">
        <v>1</v>
      </c>
      <c r="E114" s="19">
        <v>0</v>
      </c>
      <c r="F114" s="19">
        <v>75</v>
      </c>
      <c r="G114" s="19">
        <v>0</v>
      </c>
      <c r="H114" s="20">
        <v>0</v>
      </c>
    </row>
    <row r="115" spans="1:8" x14ac:dyDescent="0.25">
      <c r="A115" s="3">
        <v>113</v>
      </c>
      <c r="B115" s="18" t="s">
        <v>141</v>
      </c>
      <c r="C115" s="28">
        <v>6901</v>
      </c>
      <c r="D115" s="19">
        <v>2</v>
      </c>
      <c r="E115" s="19">
        <v>0</v>
      </c>
      <c r="F115" s="19">
        <v>0</v>
      </c>
      <c r="G115" s="19">
        <v>0</v>
      </c>
      <c r="H115" s="20">
        <v>0</v>
      </c>
    </row>
    <row r="116" spans="1:8" x14ac:dyDescent="0.25">
      <c r="A116" s="3">
        <v>114</v>
      </c>
      <c r="B116" s="18" t="s">
        <v>142</v>
      </c>
      <c r="C116" s="28">
        <v>6904</v>
      </c>
      <c r="D116" s="19">
        <v>2</v>
      </c>
      <c r="E116" s="19">
        <v>0</v>
      </c>
      <c r="F116" s="19">
        <v>0</v>
      </c>
      <c r="G116" s="19">
        <v>0</v>
      </c>
      <c r="H116" s="20">
        <v>0</v>
      </c>
    </row>
    <row r="117" spans="1:8" x14ac:dyDescent="0.25">
      <c r="A117" s="3">
        <v>115</v>
      </c>
      <c r="B117" s="18" t="s">
        <v>143</v>
      </c>
      <c r="C117" s="28">
        <v>9200</v>
      </c>
      <c r="D117" s="19">
        <v>2</v>
      </c>
      <c r="E117" s="19">
        <v>0</v>
      </c>
      <c r="F117" s="19">
        <v>11</v>
      </c>
      <c r="G117" s="19">
        <v>0</v>
      </c>
      <c r="H117" s="20">
        <v>0</v>
      </c>
    </row>
    <row r="118" spans="1:8" x14ac:dyDescent="0.25">
      <c r="A118" s="3">
        <v>116</v>
      </c>
      <c r="B118" s="18" t="s">
        <v>144</v>
      </c>
      <c r="C118" s="28">
        <v>9221</v>
      </c>
      <c r="D118" s="19">
        <v>2</v>
      </c>
      <c r="E118" s="19">
        <v>0</v>
      </c>
      <c r="F118" s="19">
        <v>13</v>
      </c>
      <c r="G118" s="19">
        <v>0</v>
      </c>
      <c r="H118" s="20">
        <v>0</v>
      </c>
    </row>
    <row r="119" spans="1:8" x14ac:dyDescent="0.25">
      <c r="A119" s="3">
        <v>117</v>
      </c>
      <c r="B119" s="18" t="s">
        <v>144</v>
      </c>
      <c r="C119" s="28">
        <v>9221</v>
      </c>
      <c r="D119" s="19">
        <v>2</v>
      </c>
      <c r="E119" s="19">
        <v>0</v>
      </c>
      <c r="F119" s="19">
        <v>13</v>
      </c>
      <c r="G119" s="19">
        <v>0</v>
      </c>
      <c r="H119" s="20">
        <v>0</v>
      </c>
    </row>
    <row r="120" spans="1:8" x14ac:dyDescent="0.25">
      <c r="A120" s="3">
        <v>118</v>
      </c>
      <c r="B120" s="18" t="s">
        <v>144</v>
      </c>
      <c r="C120" s="28">
        <v>9221</v>
      </c>
      <c r="D120" s="19">
        <v>2</v>
      </c>
      <c r="E120" s="19">
        <v>0</v>
      </c>
      <c r="F120" s="19">
        <v>13</v>
      </c>
      <c r="G120" s="19">
        <v>0</v>
      </c>
      <c r="H120" s="20">
        <v>0</v>
      </c>
    </row>
    <row r="121" spans="1:8" x14ac:dyDescent="0.25">
      <c r="A121" s="3">
        <v>119</v>
      </c>
      <c r="B121" s="18" t="s">
        <v>145</v>
      </c>
      <c r="C121" s="28">
        <v>9221</v>
      </c>
      <c r="D121" s="19">
        <v>2</v>
      </c>
      <c r="E121" s="19">
        <v>0</v>
      </c>
      <c r="F121" s="19">
        <v>0</v>
      </c>
      <c r="G121" s="19">
        <v>0</v>
      </c>
      <c r="H121" s="20">
        <v>0</v>
      </c>
    </row>
    <row r="122" spans="1:8" x14ac:dyDescent="0.25">
      <c r="A122" s="3">
        <v>120</v>
      </c>
      <c r="B122" s="18" t="s">
        <v>146</v>
      </c>
      <c r="C122" s="28">
        <v>9214</v>
      </c>
      <c r="D122" s="19">
        <v>2</v>
      </c>
      <c r="E122" s="19">
        <v>0</v>
      </c>
      <c r="F122" s="19">
        <v>0</v>
      </c>
      <c r="G122" s="19">
        <v>12</v>
      </c>
      <c r="H122" s="20">
        <v>0</v>
      </c>
    </row>
    <row r="123" spans="1:8" x14ac:dyDescent="0.25">
      <c r="A123" s="3">
        <v>121</v>
      </c>
      <c r="B123" s="18" t="s">
        <v>146</v>
      </c>
      <c r="C123" s="28">
        <v>9214</v>
      </c>
      <c r="D123" s="19">
        <v>2</v>
      </c>
      <c r="E123" s="19">
        <v>0</v>
      </c>
      <c r="F123" s="19">
        <v>0</v>
      </c>
      <c r="G123" s="19">
        <v>12</v>
      </c>
      <c r="H123" s="20">
        <v>0</v>
      </c>
    </row>
    <row r="124" spans="1:8" x14ac:dyDescent="0.25">
      <c r="A124" s="3">
        <v>122</v>
      </c>
      <c r="B124" s="18" t="s">
        <v>147</v>
      </c>
      <c r="C124" s="28">
        <v>9214</v>
      </c>
      <c r="D124" s="19">
        <v>2</v>
      </c>
      <c r="E124" s="19">
        <v>12</v>
      </c>
      <c r="F124" s="19">
        <v>12</v>
      </c>
      <c r="G124" s="19">
        <v>12</v>
      </c>
      <c r="H124" s="20">
        <v>0</v>
      </c>
    </row>
    <row r="125" spans="1:8" x14ac:dyDescent="0.25">
      <c r="A125" s="3">
        <v>123</v>
      </c>
      <c r="B125" s="18" t="s">
        <v>148</v>
      </c>
      <c r="C125" s="28">
        <v>9214</v>
      </c>
      <c r="D125" s="19">
        <v>2</v>
      </c>
      <c r="E125" s="19">
        <v>12</v>
      </c>
      <c r="F125" s="19">
        <v>12</v>
      </c>
      <c r="G125" s="19">
        <v>12</v>
      </c>
      <c r="H125" s="20">
        <v>0</v>
      </c>
    </row>
    <row r="126" spans="1:8" x14ac:dyDescent="0.25">
      <c r="A126" s="3">
        <v>124</v>
      </c>
      <c r="B126" s="18" t="s">
        <v>149</v>
      </c>
      <c r="C126" s="28">
        <v>5005</v>
      </c>
      <c r="D126" s="19">
        <v>2</v>
      </c>
      <c r="E126" s="19">
        <v>12</v>
      </c>
      <c r="F126" s="19">
        <v>12</v>
      </c>
      <c r="G126" s="19">
        <v>12</v>
      </c>
      <c r="H126" s="20">
        <v>0</v>
      </c>
    </row>
    <row r="127" spans="1:8" x14ac:dyDescent="0.25">
      <c r="A127" s="3">
        <v>125</v>
      </c>
      <c r="B127" s="18" t="s">
        <v>150</v>
      </c>
      <c r="C127" s="28">
        <v>9208</v>
      </c>
      <c r="D127" s="19">
        <v>2</v>
      </c>
      <c r="E127" s="19">
        <v>11</v>
      </c>
      <c r="F127" s="19">
        <v>11</v>
      </c>
      <c r="G127" s="19">
        <v>11</v>
      </c>
      <c r="H127" s="20">
        <v>0</v>
      </c>
    </row>
    <row r="128" spans="1:8" x14ac:dyDescent="0.25">
      <c r="A128" s="3">
        <v>126</v>
      </c>
      <c r="B128" s="18" t="s">
        <v>151</v>
      </c>
      <c r="C128" s="28">
        <v>9209</v>
      </c>
      <c r="D128" s="19">
        <v>2</v>
      </c>
      <c r="E128" s="19">
        <v>11</v>
      </c>
      <c r="F128" s="19">
        <v>11</v>
      </c>
      <c r="G128" s="19">
        <v>11</v>
      </c>
      <c r="H128" s="20">
        <v>0</v>
      </c>
    </row>
    <row r="129" spans="1:8" x14ac:dyDescent="0.25">
      <c r="A129" s="3">
        <v>127</v>
      </c>
      <c r="B129" s="18" t="s">
        <v>152</v>
      </c>
      <c r="C129" s="28">
        <v>9210</v>
      </c>
      <c r="D129" s="19">
        <v>2</v>
      </c>
      <c r="E129" s="19">
        <v>11</v>
      </c>
      <c r="F129" s="19">
        <v>11</v>
      </c>
      <c r="G129" s="19">
        <v>11</v>
      </c>
      <c r="H129" s="20">
        <v>0</v>
      </c>
    </row>
    <row r="130" spans="1:8" x14ac:dyDescent="0.25">
      <c r="A130" s="3">
        <v>128</v>
      </c>
      <c r="B130" s="18" t="s">
        <v>153</v>
      </c>
      <c r="C130" s="28">
        <v>9211</v>
      </c>
      <c r="D130" s="19">
        <v>2</v>
      </c>
      <c r="E130" s="19">
        <v>0</v>
      </c>
      <c r="F130" s="19">
        <v>11</v>
      </c>
      <c r="G130" s="19">
        <v>0</v>
      </c>
      <c r="H130" s="20">
        <v>0</v>
      </c>
    </row>
    <row r="131" spans="1:8" x14ac:dyDescent="0.25">
      <c r="A131" s="3">
        <v>129</v>
      </c>
      <c r="B131" s="18" t="s">
        <v>154</v>
      </c>
      <c r="C131" s="28">
        <v>9216</v>
      </c>
      <c r="D131" s="19">
        <v>2</v>
      </c>
      <c r="E131" s="19">
        <v>0</v>
      </c>
      <c r="F131" s="19">
        <v>0</v>
      </c>
      <c r="G131" s="19">
        <v>0</v>
      </c>
      <c r="H131" s="20">
        <v>0</v>
      </c>
    </row>
    <row r="132" spans="1:8" x14ac:dyDescent="0.25">
      <c r="A132" s="3">
        <v>130</v>
      </c>
      <c r="B132" s="18" t="s">
        <v>155</v>
      </c>
      <c r="C132" s="28">
        <v>9216</v>
      </c>
      <c r="D132" s="19">
        <v>2</v>
      </c>
      <c r="E132" s="19">
        <v>0</v>
      </c>
      <c r="F132" s="19">
        <v>0</v>
      </c>
      <c r="G132" s="19">
        <v>0</v>
      </c>
      <c r="H132" s="20">
        <v>0</v>
      </c>
    </row>
    <row r="133" spans="1:8" x14ac:dyDescent="0.25">
      <c r="A133" s="3">
        <v>131</v>
      </c>
      <c r="B133" s="18" t="s">
        <v>143</v>
      </c>
      <c r="C133" s="28">
        <v>9200</v>
      </c>
      <c r="D133" s="19">
        <v>2</v>
      </c>
      <c r="E133" s="19">
        <v>0</v>
      </c>
      <c r="F133" s="19">
        <v>0</v>
      </c>
      <c r="G133" s="19">
        <v>0</v>
      </c>
      <c r="H133" s="20">
        <v>0</v>
      </c>
    </row>
    <row r="134" spans="1:8" x14ac:dyDescent="0.25">
      <c r="A134" s="3">
        <v>132</v>
      </c>
      <c r="B134" s="18" t="s">
        <v>144</v>
      </c>
      <c r="C134" s="28">
        <v>9221</v>
      </c>
      <c r="D134" s="19">
        <v>2</v>
      </c>
      <c r="E134" s="19">
        <v>0</v>
      </c>
      <c r="F134" s="19">
        <v>13</v>
      </c>
      <c r="G134" s="19">
        <v>0</v>
      </c>
      <c r="H134" s="20">
        <v>0</v>
      </c>
    </row>
    <row r="135" spans="1:8" x14ac:dyDescent="0.25">
      <c r="A135" s="3">
        <v>133</v>
      </c>
      <c r="B135" s="18" t="s">
        <v>156</v>
      </c>
      <c r="C135" s="28">
        <v>9220</v>
      </c>
      <c r="D135" s="19">
        <v>2</v>
      </c>
      <c r="E135" s="19">
        <v>0</v>
      </c>
      <c r="F135" s="19">
        <v>0</v>
      </c>
      <c r="G135" s="19">
        <v>0</v>
      </c>
      <c r="H135" s="20">
        <v>0</v>
      </c>
    </row>
    <row r="136" spans="1:8" x14ac:dyDescent="0.25">
      <c r="A136" s="3">
        <v>134</v>
      </c>
      <c r="B136" s="18" t="s">
        <v>157</v>
      </c>
      <c r="C136" s="28">
        <v>9213</v>
      </c>
      <c r="D136" s="19">
        <v>2</v>
      </c>
      <c r="E136" s="19">
        <v>0</v>
      </c>
      <c r="F136" s="19">
        <v>51</v>
      </c>
      <c r="G136" s="19">
        <v>0</v>
      </c>
      <c r="H136" s="20">
        <v>0</v>
      </c>
    </row>
    <row r="137" spans="1:8" x14ac:dyDescent="0.25">
      <c r="A137" s="3">
        <v>135</v>
      </c>
      <c r="B137" s="18" t="s">
        <v>158</v>
      </c>
      <c r="C137" s="28">
        <v>9213</v>
      </c>
      <c r="D137" s="19">
        <v>2</v>
      </c>
      <c r="E137" s="19">
        <v>0</v>
      </c>
      <c r="F137" s="19">
        <v>52</v>
      </c>
      <c r="G137" s="19">
        <v>0</v>
      </c>
      <c r="H137" s="20">
        <v>0</v>
      </c>
    </row>
    <row r="138" spans="1:8" x14ac:dyDescent="0.25">
      <c r="A138" s="3">
        <v>136</v>
      </c>
      <c r="B138" s="18" t="s">
        <v>159</v>
      </c>
      <c r="C138" s="28">
        <v>9213</v>
      </c>
      <c r="D138" s="19">
        <v>2</v>
      </c>
      <c r="E138" s="19">
        <v>0</v>
      </c>
      <c r="F138" s="19">
        <v>53</v>
      </c>
      <c r="G138" s="19">
        <v>0</v>
      </c>
      <c r="H138" s="20">
        <v>0</v>
      </c>
    </row>
    <row r="139" spans="1:8" x14ac:dyDescent="0.25">
      <c r="A139" s="3">
        <v>137</v>
      </c>
      <c r="B139" s="18" t="s">
        <v>160</v>
      </c>
      <c r="C139" s="28">
        <v>9213</v>
      </c>
      <c r="D139" s="19">
        <v>2</v>
      </c>
      <c r="E139" s="19">
        <v>0</v>
      </c>
      <c r="F139" s="19">
        <v>54</v>
      </c>
      <c r="G139" s="19">
        <v>0</v>
      </c>
      <c r="H139" s="20">
        <v>0</v>
      </c>
    </row>
    <row r="140" spans="1:8" x14ac:dyDescent="0.25">
      <c r="A140" s="3">
        <v>138</v>
      </c>
      <c r="B140" s="18" t="s">
        <v>161</v>
      </c>
      <c r="C140" s="28">
        <v>9230</v>
      </c>
      <c r="D140" s="19">
        <v>2</v>
      </c>
      <c r="E140" s="19">
        <v>0</v>
      </c>
      <c r="F140" s="19">
        <v>0</v>
      </c>
      <c r="G140" s="19">
        <v>0</v>
      </c>
      <c r="H140" s="20">
        <v>0</v>
      </c>
    </row>
    <row r="141" spans="1:8" x14ac:dyDescent="0.25">
      <c r="A141" s="3">
        <v>139</v>
      </c>
      <c r="B141" s="18" t="s">
        <v>162</v>
      </c>
      <c r="C141" s="28">
        <v>9231</v>
      </c>
      <c r="D141" s="19">
        <v>2</v>
      </c>
      <c r="E141" s="19">
        <v>0</v>
      </c>
      <c r="F141" s="19">
        <v>0</v>
      </c>
      <c r="G141" s="19">
        <v>0</v>
      </c>
      <c r="H141" s="20">
        <v>0</v>
      </c>
    </row>
    <row r="142" spans="1:8" x14ac:dyDescent="0.25">
      <c r="A142" s="3">
        <v>140</v>
      </c>
      <c r="B142" s="18" t="s">
        <v>163</v>
      </c>
      <c r="C142" s="28">
        <v>9232</v>
      </c>
      <c r="D142" s="19">
        <v>2</v>
      </c>
      <c r="E142" s="19">
        <v>0</v>
      </c>
      <c r="F142" s="19">
        <v>0</v>
      </c>
      <c r="G142" s="19">
        <v>0</v>
      </c>
      <c r="H142" s="20">
        <v>0</v>
      </c>
    </row>
    <row r="143" spans="1:8" x14ac:dyDescent="0.25">
      <c r="A143" s="3">
        <v>141</v>
      </c>
      <c r="B143" s="18" t="s">
        <v>164</v>
      </c>
      <c r="C143" s="28">
        <v>9233</v>
      </c>
      <c r="D143" s="19">
        <v>2</v>
      </c>
      <c r="E143" s="19">
        <v>0</v>
      </c>
      <c r="F143" s="19">
        <v>0</v>
      </c>
      <c r="G143" s="19">
        <v>0</v>
      </c>
      <c r="H143" s="20">
        <v>0</v>
      </c>
    </row>
    <row r="144" spans="1:8" x14ac:dyDescent="0.25">
      <c r="A144" s="3">
        <v>142</v>
      </c>
      <c r="B144" s="18" t="s">
        <v>165</v>
      </c>
      <c r="C144" s="28">
        <v>9270</v>
      </c>
      <c r="D144" s="19">
        <v>2</v>
      </c>
      <c r="E144" s="19">
        <v>0</v>
      </c>
      <c r="F144" s="19">
        <v>0</v>
      </c>
      <c r="G144" s="19">
        <v>0</v>
      </c>
      <c r="H144" s="20">
        <v>0</v>
      </c>
    </row>
    <row r="145" spans="1:8" x14ac:dyDescent="0.25">
      <c r="A145" s="3">
        <v>143</v>
      </c>
      <c r="B145" s="18" t="s">
        <v>166</v>
      </c>
      <c r="C145" s="28">
        <v>9223</v>
      </c>
      <c r="D145" s="19">
        <v>2</v>
      </c>
      <c r="E145" s="19">
        <v>0</v>
      </c>
      <c r="F145" s="19">
        <v>0</v>
      </c>
      <c r="G145" s="19">
        <v>0</v>
      </c>
      <c r="H145" s="20">
        <v>0</v>
      </c>
    </row>
    <row r="146" spans="1:8" x14ac:dyDescent="0.25">
      <c r="A146" s="3">
        <v>144</v>
      </c>
      <c r="B146" s="18" t="s">
        <v>167</v>
      </c>
      <c r="C146" s="28">
        <v>9250</v>
      </c>
      <c r="D146" s="19">
        <v>2</v>
      </c>
      <c r="E146" s="19">
        <v>0</v>
      </c>
      <c r="F146" s="19">
        <v>0</v>
      </c>
      <c r="G146" s="19">
        <v>0</v>
      </c>
      <c r="H146" s="20">
        <v>0</v>
      </c>
    </row>
    <row r="147" spans="1:8" x14ac:dyDescent="0.25">
      <c r="A147" s="3">
        <v>145</v>
      </c>
      <c r="B147" s="18" t="s">
        <v>168</v>
      </c>
      <c r="C147" s="28">
        <v>9219</v>
      </c>
      <c r="D147" s="19">
        <v>2</v>
      </c>
      <c r="E147" s="19">
        <v>0</v>
      </c>
      <c r="F147" s="19">
        <v>0</v>
      </c>
      <c r="G147" s="19">
        <v>0</v>
      </c>
      <c r="H147" s="20">
        <v>0</v>
      </c>
    </row>
    <row r="148" spans="1:8" x14ac:dyDescent="0.25">
      <c r="A148" s="3">
        <v>146</v>
      </c>
      <c r="B148" s="18" t="s">
        <v>169</v>
      </c>
      <c r="C148" s="28">
        <v>9299</v>
      </c>
      <c r="D148" s="19">
        <v>2</v>
      </c>
      <c r="E148" s="19">
        <v>0</v>
      </c>
      <c r="F148" s="19">
        <v>0</v>
      </c>
      <c r="G148" s="19">
        <v>0</v>
      </c>
      <c r="H148" s="20">
        <v>0</v>
      </c>
    </row>
    <row r="149" spans="1:8" x14ac:dyDescent="0.25">
      <c r="A149" s="3">
        <v>147</v>
      </c>
      <c r="B149" s="18" t="s">
        <v>170</v>
      </c>
      <c r="C149" s="28">
        <v>9299</v>
      </c>
      <c r="D149" s="19">
        <v>2</v>
      </c>
      <c r="E149" s="19">
        <v>0</v>
      </c>
      <c r="F149" s="19">
        <v>0</v>
      </c>
      <c r="G149" s="19">
        <v>0</v>
      </c>
      <c r="H149" s="20">
        <v>0</v>
      </c>
    </row>
    <row r="150" spans="1:8" x14ac:dyDescent="0.25">
      <c r="A150" s="3">
        <v>148</v>
      </c>
      <c r="B150" s="18" t="s">
        <v>171</v>
      </c>
      <c r="C150" s="28">
        <v>9201</v>
      </c>
      <c r="D150" s="19">
        <v>2</v>
      </c>
      <c r="E150" s="19">
        <v>31</v>
      </c>
      <c r="F150" s="19">
        <v>0</v>
      </c>
      <c r="G150" s="19">
        <v>0</v>
      </c>
      <c r="H150" s="20">
        <v>0</v>
      </c>
    </row>
    <row r="151" spans="1:8" x14ac:dyDescent="0.25">
      <c r="A151" s="3">
        <v>149</v>
      </c>
      <c r="B151" s="18" t="s">
        <v>172</v>
      </c>
      <c r="C151" s="28">
        <v>9201</v>
      </c>
      <c r="D151" s="19">
        <v>2</v>
      </c>
      <c r="E151" s="19">
        <v>32</v>
      </c>
      <c r="F151" s="19">
        <v>42</v>
      </c>
      <c r="G151" s="19">
        <v>0</v>
      </c>
      <c r="H151" s="20">
        <v>0</v>
      </c>
    </row>
    <row r="152" spans="1:8" x14ac:dyDescent="0.25">
      <c r="A152" s="3">
        <v>150</v>
      </c>
      <c r="B152" s="18" t="s">
        <v>173</v>
      </c>
      <c r="C152" s="28">
        <v>9201</v>
      </c>
      <c r="D152" s="19">
        <v>2</v>
      </c>
      <c r="E152" s="19">
        <v>0</v>
      </c>
      <c r="F152" s="19">
        <v>43</v>
      </c>
      <c r="G152" s="19">
        <v>0</v>
      </c>
      <c r="H152" s="20">
        <v>0</v>
      </c>
    </row>
    <row r="153" spans="1:8" x14ac:dyDescent="0.25">
      <c r="A153" s="3">
        <v>151</v>
      </c>
      <c r="B153" s="18" t="s">
        <v>174</v>
      </c>
      <c r="C153" s="28">
        <v>1099</v>
      </c>
      <c r="D153" s="19">
        <v>1</v>
      </c>
      <c r="E153" s="19">
        <v>0</v>
      </c>
      <c r="F153" s="19">
        <v>0</v>
      </c>
      <c r="G153" s="19">
        <v>0</v>
      </c>
      <c r="H153" s="20">
        <v>0</v>
      </c>
    </row>
    <row r="154" spans="1:8" x14ac:dyDescent="0.25">
      <c r="A154" s="3">
        <v>152</v>
      </c>
      <c r="B154" s="18" t="s">
        <v>174</v>
      </c>
      <c r="C154" s="28">
        <v>1099</v>
      </c>
      <c r="D154" s="19">
        <v>1</v>
      </c>
      <c r="E154" s="19">
        <v>0</v>
      </c>
      <c r="F154" s="19">
        <v>0</v>
      </c>
      <c r="G154" s="19">
        <v>0</v>
      </c>
      <c r="H154" s="20">
        <v>0</v>
      </c>
    </row>
    <row r="155" spans="1:8" x14ac:dyDescent="0.25">
      <c r="A155" s="3">
        <v>153</v>
      </c>
      <c r="B155" s="18" t="s">
        <v>175</v>
      </c>
      <c r="C155" s="28">
        <v>9201</v>
      </c>
      <c r="D155" s="19">
        <v>2</v>
      </c>
      <c r="E155" s="19">
        <v>34</v>
      </c>
      <c r="F155" s="19">
        <v>41</v>
      </c>
      <c r="G155" s="19">
        <v>0</v>
      </c>
      <c r="H155" s="20">
        <v>0</v>
      </c>
    </row>
    <row r="156" spans="1:8" x14ac:dyDescent="0.25">
      <c r="A156" s="3">
        <v>154</v>
      </c>
      <c r="B156" s="18" t="s">
        <v>176</v>
      </c>
      <c r="C156" s="28">
        <v>9201</v>
      </c>
      <c r="D156" s="19">
        <v>2</v>
      </c>
      <c r="E156" s="19">
        <v>35</v>
      </c>
      <c r="F156" s="19">
        <v>41</v>
      </c>
      <c r="G156" s="19">
        <v>0</v>
      </c>
      <c r="H156" s="20">
        <v>0</v>
      </c>
    </row>
    <row r="157" spans="1:8" x14ac:dyDescent="0.25">
      <c r="A157" s="3">
        <v>155</v>
      </c>
      <c r="B157" s="18" t="s">
        <v>177</v>
      </c>
      <c r="C157" s="28">
        <v>9203</v>
      </c>
      <c r="D157" s="19">
        <v>2</v>
      </c>
      <c r="E157" s="19">
        <v>0</v>
      </c>
      <c r="F157" s="19">
        <v>31</v>
      </c>
      <c r="G157" s="19">
        <v>0</v>
      </c>
      <c r="H157" s="20">
        <v>0</v>
      </c>
    </row>
    <row r="158" spans="1:8" x14ac:dyDescent="0.25">
      <c r="A158" s="3">
        <v>156</v>
      </c>
      <c r="B158" s="18" t="s">
        <v>178</v>
      </c>
      <c r="C158" s="28">
        <v>9203</v>
      </c>
      <c r="D158" s="19">
        <v>2</v>
      </c>
      <c r="E158" s="19">
        <v>0</v>
      </c>
      <c r="F158" s="19">
        <v>33</v>
      </c>
      <c r="G158" s="19">
        <v>0</v>
      </c>
      <c r="H158" s="20">
        <v>0</v>
      </c>
    </row>
    <row r="159" spans="1:8" x14ac:dyDescent="0.25">
      <c r="A159" s="3">
        <v>157</v>
      </c>
      <c r="B159" s="18" t="s">
        <v>179</v>
      </c>
      <c r="C159" s="28">
        <v>9203</v>
      </c>
      <c r="D159" s="19">
        <v>2</v>
      </c>
      <c r="E159" s="19">
        <v>0</v>
      </c>
      <c r="F159" s="19">
        <v>32</v>
      </c>
      <c r="G159" s="19">
        <v>0</v>
      </c>
      <c r="H159" s="20">
        <v>0</v>
      </c>
    </row>
    <row r="160" spans="1:8" x14ac:dyDescent="0.25">
      <c r="A160" s="3">
        <v>158</v>
      </c>
      <c r="B160" s="18" t="s">
        <v>180</v>
      </c>
      <c r="C160" s="28">
        <v>9203</v>
      </c>
      <c r="D160" s="19">
        <v>2</v>
      </c>
      <c r="E160" s="19">
        <v>0</v>
      </c>
      <c r="F160" s="19">
        <v>34</v>
      </c>
      <c r="G160" s="19">
        <v>0</v>
      </c>
      <c r="H160" s="20">
        <v>0</v>
      </c>
    </row>
    <row r="161" spans="1:8" x14ac:dyDescent="0.25">
      <c r="A161" s="3">
        <v>159</v>
      </c>
      <c r="B161" s="18" t="s">
        <v>181</v>
      </c>
      <c r="C161" s="28">
        <v>9299</v>
      </c>
      <c r="D161" s="19">
        <v>2</v>
      </c>
      <c r="E161" s="19">
        <v>0</v>
      </c>
      <c r="F161" s="19">
        <v>0</v>
      </c>
      <c r="G161" s="19">
        <v>0</v>
      </c>
      <c r="H161" s="20">
        <v>0</v>
      </c>
    </row>
    <row r="162" spans="1:8" x14ac:dyDescent="0.25">
      <c r="A162" s="3">
        <v>160</v>
      </c>
      <c r="B162" s="18" t="s">
        <v>182</v>
      </c>
      <c r="C162" s="28">
        <v>9299</v>
      </c>
      <c r="D162" s="19">
        <v>2</v>
      </c>
      <c r="E162" s="19">
        <v>0</v>
      </c>
      <c r="F162" s="19">
        <v>0</v>
      </c>
      <c r="G162" s="19">
        <v>0</v>
      </c>
      <c r="H162" s="20">
        <v>0</v>
      </c>
    </row>
    <row r="163" spans="1:8" x14ac:dyDescent="0.25">
      <c r="A163" s="3">
        <v>161</v>
      </c>
      <c r="B163" s="18" t="s">
        <v>183</v>
      </c>
      <c r="C163" s="28">
        <v>9299</v>
      </c>
      <c r="D163" s="19">
        <v>2</v>
      </c>
      <c r="E163" s="19">
        <v>0</v>
      </c>
      <c r="F163" s="19">
        <v>0</v>
      </c>
      <c r="G163" s="19">
        <v>0</v>
      </c>
      <c r="H163" s="20">
        <v>0</v>
      </c>
    </row>
    <row r="164" spans="1:8" x14ac:dyDescent="0.25">
      <c r="A164" s="3">
        <v>162</v>
      </c>
      <c r="B164" s="18" t="s">
        <v>184</v>
      </c>
      <c r="C164" s="28">
        <v>9290</v>
      </c>
      <c r="D164" s="19">
        <v>2</v>
      </c>
      <c r="E164" s="19">
        <v>11</v>
      </c>
      <c r="F164" s="19">
        <v>11</v>
      </c>
      <c r="G164" s="19">
        <v>11</v>
      </c>
      <c r="H164" s="20">
        <v>0</v>
      </c>
    </row>
    <row r="165" spans="1:8" x14ac:dyDescent="0.25">
      <c r="A165" s="3">
        <v>163</v>
      </c>
      <c r="B165" s="18" t="s">
        <v>185</v>
      </c>
      <c r="C165" s="28">
        <v>9290</v>
      </c>
      <c r="D165" s="19">
        <v>2</v>
      </c>
      <c r="E165" s="19">
        <v>12</v>
      </c>
      <c r="F165" s="19">
        <v>12</v>
      </c>
      <c r="G165" s="19">
        <v>12</v>
      </c>
      <c r="H165" s="20">
        <v>0</v>
      </c>
    </row>
    <row r="166" spans="1:8" x14ac:dyDescent="0.25">
      <c r="A166" s="3">
        <v>164</v>
      </c>
      <c r="B166" s="18" t="s">
        <v>186</v>
      </c>
      <c r="C166" s="28">
        <v>9290</v>
      </c>
      <c r="D166" s="19">
        <v>2</v>
      </c>
      <c r="E166" s="19">
        <v>11</v>
      </c>
      <c r="F166" s="19">
        <v>13</v>
      </c>
      <c r="G166" s="19">
        <v>11</v>
      </c>
      <c r="H166" s="20">
        <v>0</v>
      </c>
    </row>
    <row r="167" spans="1:8" x14ac:dyDescent="0.25">
      <c r="A167" s="3">
        <v>165</v>
      </c>
      <c r="B167" s="18" t="s">
        <v>187</v>
      </c>
      <c r="C167" s="28">
        <v>9299</v>
      </c>
      <c r="D167" s="19">
        <v>2</v>
      </c>
      <c r="E167" s="19">
        <v>0</v>
      </c>
      <c r="F167" s="19">
        <v>0</v>
      </c>
      <c r="G167" s="19">
        <v>0</v>
      </c>
      <c r="H167" s="20">
        <v>0</v>
      </c>
    </row>
    <row r="168" spans="1:8" x14ac:dyDescent="0.25">
      <c r="A168" s="3">
        <v>166</v>
      </c>
      <c r="B168" s="18" t="s">
        <v>188</v>
      </c>
      <c r="C168" s="28">
        <v>9290</v>
      </c>
      <c r="D168" s="19">
        <v>2</v>
      </c>
      <c r="E168" s="19">
        <v>12</v>
      </c>
      <c r="F168" s="19">
        <v>12</v>
      </c>
      <c r="G168" s="19">
        <v>12</v>
      </c>
      <c r="H168" s="20">
        <v>0</v>
      </c>
    </row>
    <row r="169" spans="1:8" x14ac:dyDescent="0.25">
      <c r="A169" s="3">
        <v>167</v>
      </c>
      <c r="B169" s="18" t="s">
        <v>189</v>
      </c>
      <c r="C169" s="28">
        <v>9989</v>
      </c>
      <c r="D169" s="19">
        <v>4</v>
      </c>
      <c r="E169" s="19">
        <v>0</v>
      </c>
      <c r="F169" s="19">
        <v>0</v>
      </c>
      <c r="G169" s="19">
        <v>0</v>
      </c>
      <c r="H169" s="20">
        <v>0</v>
      </c>
    </row>
    <row r="170" spans="1:8" x14ac:dyDescent="0.25">
      <c r="A170" s="3">
        <v>168</v>
      </c>
      <c r="B170" s="18" t="s">
        <v>190</v>
      </c>
      <c r="C170" s="28">
        <v>9989</v>
      </c>
      <c r="D170" s="19">
        <v>4</v>
      </c>
      <c r="E170" s="19">
        <v>0</v>
      </c>
      <c r="F170" s="19">
        <v>0</v>
      </c>
      <c r="G170" s="19">
        <v>0</v>
      </c>
      <c r="H170" s="20">
        <v>0</v>
      </c>
    </row>
    <row r="171" spans="1:8" x14ac:dyDescent="0.25">
      <c r="A171" s="3">
        <v>169</v>
      </c>
      <c r="B171" s="18" t="s">
        <v>191</v>
      </c>
      <c r="C171" s="28">
        <v>9989</v>
      </c>
      <c r="D171" s="19">
        <v>4</v>
      </c>
      <c r="E171" s="19">
        <v>0</v>
      </c>
      <c r="F171" s="19">
        <v>0</v>
      </c>
      <c r="G171" s="19">
        <v>0</v>
      </c>
      <c r="H171" s="20">
        <v>0</v>
      </c>
    </row>
    <row r="172" spans="1:8" x14ac:dyDescent="0.25">
      <c r="A172" s="3">
        <v>170</v>
      </c>
      <c r="B172" s="18" t="s">
        <v>192</v>
      </c>
      <c r="C172" s="28">
        <v>9989</v>
      </c>
      <c r="D172" s="19">
        <v>4</v>
      </c>
      <c r="E172" s="19">
        <v>0</v>
      </c>
      <c r="F172" s="19">
        <v>41</v>
      </c>
      <c r="G172" s="19">
        <v>0</v>
      </c>
      <c r="H172" s="20">
        <v>0</v>
      </c>
    </row>
    <row r="173" spans="1:8" ht="15.75" thickBot="1" x14ac:dyDescent="0.3">
      <c r="A173" s="3">
        <v>171</v>
      </c>
      <c r="B173" s="24" t="s">
        <v>193</v>
      </c>
      <c r="C173" s="30">
        <v>9989</v>
      </c>
      <c r="D173" s="25">
        <v>4</v>
      </c>
      <c r="E173" s="25">
        <v>0</v>
      </c>
      <c r="F173" s="25">
        <v>43</v>
      </c>
      <c r="G173" s="25">
        <v>0</v>
      </c>
      <c r="H173" s="26">
        <v>0</v>
      </c>
    </row>
    <row r="174" spans="1:8" ht="15.75" thickTop="1" x14ac:dyDescent="0.25">
      <c r="A174" s="10"/>
    </row>
  </sheetData>
  <autoFilter ref="A2:H173" xr:uid="{2BA21CCD-8E10-4C75-82A0-7AC2A2C19D7C}"/>
  <mergeCells count="1">
    <mergeCell ref="A1:H1"/>
  </mergeCells>
  <pageMargins left="0.511811024" right="0.511811024" top="0.78740157499999996" bottom="0.78740157499999996" header="0.31496062000000002" footer="0.31496062000000002"/>
  <pageSetup paperSize="9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B927-5528-47C1-A8FD-C349D5236B3D}">
  <sheetPr>
    <tabColor theme="0" tint="-0.499984740745262"/>
  </sheetPr>
  <dimension ref="A1:L45"/>
  <sheetViews>
    <sheetView zoomScale="95" zoomScaleNormal="95" workbookViewId="0">
      <selection activeCell="H30" sqref="H30"/>
    </sheetView>
  </sheetViews>
  <sheetFormatPr defaultRowHeight="15" x14ac:dyDescent="0.25"/>
  <cols>
    <col min="1" max="1" width="9.42578125" customWidth="1"/>
    <col min="2" max="2" width="9" customWidth="1"/>
    <col min="3" max="3" width="7.5703125" customWidth="1"/>
    <col min="4" max="4" width="38.140625" bestFit="1" customWidth="1"/>
    <col min="5" max="5" width="8.7109375" customWidth="1"/>
    <col min="6" max="6" width="5.28515625" bestFit="1" customWidth="1"/>
    <col min="7" max="7" width="12.140625" customWidth="1"/>
    <col min="8" max="8" width="11.42578125" customWidth="1"/>
    <col min="9" max="9" width="12" customWidth="1"/>
    <col min="10" max="10" width="13.28515625" customWidth="1"/>
    <col min="11" max="11" width="9.140625" customWidth="1"/>
    <col min="12" max="12" width="7.5703125" customWidth="1"/>
  </cols>
  <sheetData>
    <row r="1" spans="1:12" ht="16.5" thickTop="1" x14ac:dyDescent="0.25">
      <c r="A1" s="270" t="s">
        <v>995</v>
      </c>
      <c r="B1" s="271"/>
      <c r="C1" s="271"/>
      <c r="D1" s="271"/>
      <c r="E1" s="271"/>
      <c r="F1" s="271"/>
      <c r="G1" s="271"/>
      <c r="H1" s="271"/>
      <c r="I1" s="271"/>
      <c r="J1" s="272"/>
    </row>
    <row r="2" spans="1:12" s="157" customFormat="1" ht="47.25" customHeight="1" x14ac:dyDescent="0.25">
      <c r="A2" s="189" t="s">
        <v>937</v>
      </c>
      <c r="B2" s="190" t="s">
        <v>939</v>
      </c>
      <c r="C2" s="190" t="s">
        <v>950</v>
      </c>
      <c r="D2" s="190" t="s">
        <v>1</v>
      </c>
      <c r="E2" s="190" t="s">
        <v>2</v>
      </c>
      <c r="F2" s="190" t="s">
        <v>195</v>
      </c>
      <c r="G2" s="190" t="s">
        <v>196</v>
      </c>
      <c r="H2" s="190" t="s">
        <v>197</v>
      </c>
      <c r="I2" s="190" t="s">
        <v>198</v>
      </c>
      <c r="J2" s="191" t="s">
        <v>952</v>
      </c>
    </row>
    <row r="3" spans="1:12" x14ac:dyDescent="0.25">
      <c r="A3" s="3" t="s">
        <v>938</v>
      </c>
      <c r="B3" s="19">
        <v>7</v>
      </c>
      <c r="C3" s="28" t="s">
        <v>940</v>
      </c>
      <c r="D3" s="28" t="s">
        <v>946</v>
      </c>
      <c r="E3" s="28">
        <v>1020</v>
      </c>
      <c r="F3" s="5">
        <v>1</v>
      </c>
      <c r="G3" s="153" t="s">
        <v>237</v>
      </c>
      <c r="H3" s="153">
        <v>13</v>
      </c>
      <c r="I3" s="153" t="s">
        <v>237</v>
      </c>
      <c r="J3" s="155">
        <v>3000</v>
      </c>
    </row>
    <row r="4" spans="1:12" x14ac:dyDescent="0.25">
      <c r="A4" s="3" t="s">
        <v>938</v>
      </c>
      <c r="B4" s="19">
        <v>7</v>
      </c>
      <c r="C4" s="28" t="s">
        <v>941</v>
      </c>
      <c r="D4" s="28" t="s">
        <v>947</v>
      </c>
      <c r="E4" s="28">
        <v>1020</v>
      </c>
      <c r="F4" s="5">
        <v>1</v>
      </c>
      <c r="G4" s="153" t="s">
        <v>237</v>
      </c>
      <c r="H4" s="153" t="s">
        <v>241</v>
      </c>
      <c r="I4" s="153" t="s">
        <v>237</v>
      </c>
      <c r="J4" s="155">
        <v>1000</v>
      </c>
    </row>
    <row r="5" spans="1:12" x14ac:dyDescent="0.25">
      <c r="A5" s="3" t="s">
        <v>938</v>
      </c>
      <c r="B5" s="19">
        <v>7</v>
      </c>
      <c r="C5" s="28" t="s">
        <v>942</v>
      </c>
      <c r="D5" s="28" t="s">
        <v>5</v>
      </c>
      <c r="E5" s="28">
        <v>9203</v>
      </c>
      <c r="F5" s="5">
        <v>2</v>
      </c>
      <c r="G5" s="153" t="s">
        <v>237</v>
      </c>
      <c r="H5" s="153" t="s">
        <v>855</v>
      </c>
      <c r="I5" s="153" t="s">
        <v>237</v>
      </c>
      <c r="J5" s="160">
        <f>(J3+J4-J6)*15%-354.8</f>
        <v>179.2</v>
      </c>
      <c r="K5" s="184"/>
    </row>
    <row r="6" spans="1:12" x14ac:dyDescent="0.25">
      <c r="A6" s="3" t="s">
        <v>938</v>
      </c>
      <c r="B6" s="19">
        <v>7</v>
      </c>
      <c r="C6" s="28" t="s">
        <v>943</v>
      </c>
      <c r="D6" s="28" t="s">
        <v>948</v>
      </c>
      <c r="E6" s="28">
        <v>9205</v>
      </c>
      <c r="F6" s="5">
        <v>2</v>
      </c>
      <c r="G6" s="153" t="s">
        <v>237</v>
      </c>
      <c r="H6" s="153" t="s">
        <v>458</v>
      </c>
      <c r="I6" s="153" t="s">
        <v>237</v>
      </c>
      <c r="J6" s="155">
        <f>(J3+J4)*11%</f>
        <v>440</v>
      </c>
    </row>
    <row r="7" spans="1:12" x14ac:dyDescent="0.25">
      <c r="A7" s="3" t="s">
        <v>938</v>
      </c>
      <c r="B7" s="19">
        <v>7</v>
      </c>
      <c r="C7" s="28" t="s">
        <v>944</v>
      </c>
      <c r="D7" s="28" t="s">
        <v>949</v>
      </c>
      <c r="E7" s="28">
        <v>9901</v>
      </c>
      <c r="F7" s="5">
        <v>3</v>
      </c>
      <c r="G7" s="153" t="s">
        <v>237</v>
      </c>
      <c r="H7" s="153" t="s">
        <v>458</v>
      </c>
      <c r="I7" s="153" t="s">
        <v>237</v>
      </c>
      <c r="J7" s="155">
        <v>0</v>
      </c>
    </row>
    <row r="8" spans="1:12" x14ac:dyDescent="0.25">
      <c r="A8" s="3" t="s">
        <v>938</v>
      </c>
      <c r="B8" s="19">
        <v>7</v>
      </c>
      <c r="C8" s="28" t="s">
        <v>945</v>
      </c>
      <c r="D8" s="28" t="s">
        <v>951</v>
      </c>
      <c r="E8" s="28">
        <v>9903</v>
      </c>
      <c r="F8" s="5">
        <v>3</v>
      </c>
      <c r="G8" s="153" t="s">
        <v>237</v>
      </c>
      <c r="H8" s="153" t="s">
        <v>458</v>
      </c>
      <c r="I8" s="153" t="s">
        <v>237</v>
      </c>
      <c r="J8" s="155">
        <f>(J3+J4-J6)</f>
        <v>3560</v>
      </c>
      <c r="K8" s="194"/>
      <c r="L8" s="182" t="s">
        <v>993</v>
      </c>
    </row>
    <row r="9" spans="1:12" x14ac:dyDescent="0.25">
      <c r="A9" s="3" t="s">
        <v>938</v>
      </c>
      <c r="B9" s="19">
        <v>7</v>
      </c>
      <c r="C9" s="152"/>
      <c r="D9" s="276" t="s">
        <v>953</v>
      </c>
      <c r="E9" s="276"/>
      <c r="F9" s="276"/>
      <c r="G9" s="276"/>
      <c r="H9" s="276"/>
      <c r="I9" s="276"/>
      <c r="J9" s="158">
        <f>(J3+J4-J5-J6)</f>
        <v>3380.8</v>
      </c>
      <c r="K9" s="181">
        <v>3300</v>
      </c>
      <c r="L9" s="181">
        <f>J9-K9</f>
        <v>80.800000000000182</v>
      </c>
    </row>
    <row r="10" spans="1:12" ht="11.25" customHeight="1" x14ac:dyDescent="0.25">
      <c r="A10" s="273"/>
      <c r="B10" s="274"/>
      <c r="C10" s="274"/>
      <c r="D10" s="274"/>
      <c r="E10" s="274"/>
      <c r="F10" s="274"/>
      <c r="G10" s="274"/>
      <c r="H10" s="274"/>
      <c r="I10" s="274"/>
      <c r="J10" s="275"/>
    </row>
    <row r="11" spans="1:12" x14ac:dyDescent="0.25">
      <c r="A11" s="3" t="s">
        <v>954</v>
      </c>
      <c r="B11" s="19" t="s">
        <v>955</v>
      </c>
      <c r="C11" s="28" t="s">
        <v>956</v>
      </c>
      <c r="D11" s="28" t="s">
        <v>960</v>
      </c>
      <c r="E11" s="28">
        <v>1000</v>
      </c>
      <c r="F11" s="5">
        <v>1</v>
      </c>
      <c r="G11" s="153">
        <v>11</v>
      </c>
      <c r="H11" s="153">
        <v>11</v>
      </c>
      <c r="I11" s="153">
        <v>11</v>
      </c>
      <c r="J11" s="155">
        <v>1500</v>
      </c>
    </row>
    <row r="12" spans="1:12" x14ac:dyDescent="0.25">
      <c r="A12" s="3" t="s">
        <v>954</v>
      </c>
      <c r="B12" s="19" t="s">
        <v>955</v>
      </c>
      <c r="C12" s="28" t="s">
        <v>957</v>
      </c>
      <c r="D12" s="28" t="s">
        <v>961</v>
      </c>
      <c r="E12" s="28">
        <v>1020</v>
      </c>
      <c r="F12" s="5">
        <v>1</v>
      </c>
      <c r="G12" s="153">
        <v>11</v>
      </c>
      <c r="H12" s="153" t="s">
        <v>458</v>
      </c>
      <c r="I12" s="153">
        <v>11</v>
      </c>
      <c r="J12" s="155">
        <v>3000</v>
      </c>
    </row>
    <row r="13" spans="1:12" x14ac:dyDescent="0.25">
      <c r="A13" s="3" t="s">
        <v>954</v>
      </c>
      <c r="B13" s="19" t="s">
        <v>955</v>
      </c>
      <c r="C13" s="28" t="s">
        <v>958</v>
      </c>
      <c r="D13" s="28" t="s">
        <v>962</v>
      </c>
      <c r="E13" s="28">
        <v>1020</v>
      </c>
      <c r="F13" s="5">
        <v>1</v>
      </c>
      <c r="G13" s="153">
        <v>11</v>
      </c>
      <c r="H13" s="153" t="s">
        <v>458</v>
      </c>
      <c r="I13" s="153">
        <v>11</v>
      </c>
      <c r="J13" s="155">
        <v>1000</v>
      </c>
    </row>
    <row r="14" spans="1:12" x14ac:dyDescent="0.25">
      <c r="A14" s="3" t="s">
        <v>954</v>
      </c>
      <c r="B14" s="19" t="s">
        <v>955</v>
      </c>
      <c r="C14" s="28" t="s">
        <v>959</v>
      </c>
      <c r="D14" s="28" t="s">
        <v>963</v>
      </c>
      <c r="E14" s="28">
        <v>1623</v>
      </c>
      <c r="F14" s="5">
        <v>1</v>
      </c>
      <c r="G14" s="153" t="s">
        <v>237</v>
      </c>
      <c r="H14" s="153" t="s">
        <v>458</v>
      </c>
      <c r="I14" s="153" t="s">
        <v>237</v>
      </c>
      <c r="J14" s="155">
        <f>J6</f>
        <v>440</v>
      </c>
    </row>
    <row r="15" spans="1:12" x14ac:dyDescent="0.25">
      <c r="A15" s="3" t="s">
        <v>954</v>
      </c>
      <c r="B15" s="19" t="s">
        <v>955</v>
      </c>
      <c r="C15" s="28" t="s">
        <v>964</v>
      </c>
      <c r="D15" s="28" t="s">
        <v>996</v>
      </c>
      <c r="E15" s="28">
        <v>9221</v>
      </c>
      <c r="F15" s="5">
        <v>2</v>
      </c>
      <c r="G15" s="153" t="s">
        <v>237</v>
      </c>
      <c r="H15" s="153" t="s">
        <v>458</v>
      </c>
      <c r="I15" s="153" t="s">
        <v>237</v>
      </c>
      <c r="J15" s="155">
        <v>4000</v>
      </c>
    </row>
    <row r="16" spans="1:12" x14ac:dyDescent="0.25">
      <c r="A16" s="3" t="s">
        <v>954</v>
      </c>
      <c r="B16" s="19" t="s">
        <v>955</v>
      </c>
      <c r="C16" s="28" t="s">
        <v>965</v>
      </c>
      <c r="D16" s="28" t="s">
        <v>966</v>
      </c>
      <c r="E16" s="28">
        <v>9201</v>
      </c>
      <c r="F16" s="5">
        <v>2</v>
      </c>
      <c r="G16" s="153" t="s">
        <v>849</v>
      </c>
      <c r="H16" s="153" t="s">
        <v>870</v>
      </c>
      <c r="I16" s="153" t="s">
        <v>237</v>
      </c>
      <c r="J16" s="155">
        <f>J6</f>
        <v>440</v>
      </c>
    </row>
    <row r="17" spans="1:10" x14ac:dyDescent="0.25">
      <c r="A17" s="3" t="s">
        <v>954</v>
      </c>
      <c r="B17" s="19" t="s">
        <v>955</v>
      </c>
      <c r="C17" s="29" t="s">
        <v>967</v>
      </c>
      <c r="D17" s="29" t="s">
        <v>968</v>
      </c>
      <c r="E17" s="29">
        <v>9201</v>
      </c>
      <c r="F17" s="196">
        <v>2</v>
      </c>
      <c r="G17" s="154" t="s">
        <v>849</v>
      </c>
      <c r="H17" s="154" t="s">
        <v>864</v>
      </c>
      <c r="I17" s="154" t="s">
        <v>237</v>
      </c>
      <c r="J17" s="156">
        <f>1500*11%</f>
        <v>165</v>
      </c>
    </row>
    <row r="18" spans="1:10" x14ac:dyDescent="0.25">
      <c r="A18" s="3" t="s">
        <v>954</v>
      </c>
      <c r="B18" s="19" t="s">
        <v>955</v>
      </c>
      <c r="C18" s="29" t="s">
        <v>944</v>
      </c>
      <c r="D18" s="29" t="s">
        <v>949</v>
      </c>
      <c r="E18" s="29">
        <v>9901</v>
      </c>
      <c r="F18" s="196">
        <v>3</v>
      </c>
      <c r="G18" s="154" t="s">
        <v>237</v>
      </c>
      <c r="H18" s="154" t="s">
        <v>458</v>
      </c>
      <c r="I18" s="154" t="s">
        <v>237</v>
      </c>
      <c r="J18" s="156">
        <f>(J11+J12+J13)</f>
        <v>5500</v>
      </c>
    </row>
    <row r="19" spans="1:10" ht="15.75" thickBot="1" x14ac:dyDescent="0.3">
      <c r="A19" s="31" t="s">
        <v>954</v>
      </c>
      <c r="B19" s="25" t="s">
        <v>955</v>
      </c>
      <c r="C19" s="30" t="s">
        <v>945</v>
      </c>
      <c r="D19" s="30" t="s">
        <v>951</v>
      </c>
      <c r="E19" s="30">
        <v>9903</v>
      </c>
      <c r="F19" s="33">
        <v>3</v>
      </c>
      <c r="G19" s="192" t="s">
        <v>237</v>
      </c>
      <c r="H19" s="192" t="s">
        <v>458</v>
      </c>
      <c r="I19" s="192" t="s">
        <v>237</v>
      </c>
      <c r="J19" s="193">
        <f>(J11-J16-J17)</f>
        <v>895</v>
      </c>
    </row>
    <row r="20" spans="1:10" ht="15.75" thickTop="1" x14ac:dyDescent="0.25">
      <c r="A20" s="185" t="s">
        <v>954</v>
      </c>
      <c r="B20" s="186" t="s">
        <v>955</v>
      </c>
      <c r="C20" s="187"/>
      <c r="D20" s="263" t="s">
        <v>994</v>
      </c>
      <c r="E20" s="264"/>
      <c r="F20" s="264"/>
      <c r="G20" s="264"/>
      <c r="H20" s="264"/>
      <c r="I20" s="265"/>
      <c r="J20" s="188">
        <f>(J11+J12+J13+J14)-J15-J16-J17</f>
        <v>1335</v>
      </c>
    </row>
    <row r="21" spans="1:10" x14ac:dyDescent="0.25">
      <c r="A21" s="183"/>
      <c r="B21" s="183"/>
      <c r="C21" s="183"/>
      <c r="D21" s="183"/>
      <c r="E21" s="183"/>
      <c r="F21" s="183"/>
      <c r="G21" s="183"/>
      <c r="H21" s="183"/>
      <c r="I21" s="183"/>
      <c r="J21" s="183"/>
    </row>
    <row r="22" spans="1:10" x14ac:dyDescent="0.25">
      <c r="A22" s="183"/>
      <c r="B22" s="183"/>
      <c r="C22" s="183"/>
      <c r="D22" s="183"/>
      <c r="E22" s="183"/>
      <c r="F22" s="183"/>
      <c r="G22" s="183"/>
      <c r="H22" s="183"/>
      <c r="I22" s="183"/>
      <c r="J22" s="183"/>
    </row>
    <row r="23" spans="1:10" x14ac:dyDescent="0.25">
      <c r="A23" s="183"/>
      <c r="B23" s="183"/>
      <c r="C23" s="183"/>
      <c r="D23" s="183"/>
      <c r="E23" s="183"/>
      <c r="F23" s="183"/>
      <c r="G23" s="183"/>
      <c r="H23" s="183"/>
      <c r="I23" s="183"/>
      <c r="J23" s="183"/>
    </row>
    <row r="24" spans="1:10" ht="16.5" thickBot="1" x14ac:dyDescent="0.3">
      <c r="A24" s="266" t="s">
        <v>998</v>
      </c>
      <c r="B24" s="266"/>
      <c r="C24" s="266"/>
      <c r="D24" s="266"/>
      <c r="E24" s="266"/>
      <c r="F24" s="266"/>
      <c r="G24" s="266"/>
      <c r="H24" s="266"/>
      <c r="I24" s="266"/>
      <c r="J24" s="266"/>
    </row>
    <row r="25" spans="1:10" ht="37.5" customHeight="1" thickTop="1" x14ac:dyDescent="0.25">
      <c r="A25" s="149" t="s">
        <v>937</v>
      </c>
      <c r="B25" s="150" t="s">
        <v>939</v>
      </c>
      <c r="C25" s="150" t="s">
        <v>950</v>
      </c>
      <c r="D25" s="150" t="s">
        <v>1</v>
      </c>
      <c r="E25" s="150" t="s">
        <v>2</v>
      </c>
      <c r="F25" s="150" t="s">
        <v>195</v>
      </c>
      <c r="G25" s="150" t="s">
        <v>196</v>
      </c>
      <c r="H25" s="150" t="s">
        <v>197</v>
      </c>
      <c r="I25" s="150" t="s">
        <v>198</v>
      </c>
      <c r="J25" s="151" t="s">
        <v>952</v>
      </c>
    </row>
    <row r="26" spans="1:10" x14ac:dyDescent="0.25">
      <c r="A26" s="3" t="s">
        <v>938</v>
      </c>
      <c r="B26" s="19">
        <v>7</v>
      </c>
      <c r="C26" s="28">
        <v>20</v>
      </c>
      <c r="D26" s="28" t="s">
        <v>14</v>
      </c>
      <c r="E26" s="28">
        <v>1020</v>
      </c>
      <c r="F26" s="5">
        <v>1</v>
      </c>
      <c r="G26" s="153" t="s">
        <v>237</v>
      </c>
      <c r="H26" s="153">
        <v>13</v>
      </c>
      <c r="I26" s="153" t="s">
        <v>237</v>
      </c>
      <c r="J26" s="155">
        <v>3000</v>
      </c>
    </row>
    <row r="27" spans="1:10" x14ac:dyDescent="0.25">
      <c r="A27" s="3" t="s">
        <v>938</v>
      </c>
      <c r="B27" s="19">
        <v>7</v>
      </c>
      <c r="C27" s="28">
        <v>21</v>
      </c>
      <c r="D27" s="28" t="s">
        <v>997</v>
      </c>
      <c r="E27" s="28">
        <v>1020</v>
      </c>
      <c r="F27" s="5">
        <v>1</v>
      </c>
      <c r="G27" s="153" t="s">
        <v>237</v>
      </c>
      <c r="H27" s="153" t="s">
        <v>241</v>
      </c>
      <c r="I27" s="153" t="s">
        <v>237</v>
      </c>
      <c r="J27" s="155">
        <v>1000</v>
      </c>
    </row>
    <row r="28" spans="1:10" x14ac:dyDescent="0.25">
      <c r="A28" s="3" t="s">
        <v>938</v>
      </c>
      <c r="B28" s="19">
        <v>7</v>
      </c>
      <c r="C28" s="28">
        <v>531</v>
      </c>
      <c r="D28" s="28" t="s">
        <v>5</v>
      </c>
      <c r="E28" s="28">
        <v>9203</v>
      </c>
      <c r="F28" s="5">
        <v>2</v>
      </c>
      <c r="G28" s="153" t="s">
        <v>237</v>
      </c>
      <c r="H28" s="153" t="s">
        <v>855</v>
      </c>
      <c r="I28" s="153" t="s">
        <v>237</v>
      </c>
      <c r="J28" s="160">
        <f>(J26+J27-J29)*15%-354.8</f>
        <v>179.2</v>
      </c>
    </row>
    <row r="29" spans="1:10" x14ac:dyDescent="0.25">
      <c r="A29" s="3" t="s">
        <v>938</v>
      </c>
      <c r="B29" s="19">
        <v>7</v>
      </c>
      <c r="C29" s="28">
        <v>523</v>
      </c>
      <c r="D29" s="28" t="s">
        <v>948</v>
      </c>
      <c r="E29" s="28">
        <v>9205</v>
      </c>
      <c r="F29" s="5">
        <v>2</v>
      </c>
      <c r="G29" s="153" t="s">
        <v>237</v>
      </c>
      <c r="H29" s="153" t="s">
        <v>458</v>
      </c>
      <c r="I29" s="153" t="s">
        <v>237</v>
      </c>
      <c r="J29" s="155">
        <f>(J26+J27)*11%</f>
        <v>440</v>
      </c>
    </row>
    <row r="30" spans="1:10" x14ac:dyDescent="0.25">
      <c r="A30" s="3" t="s">
        <v>938</v>
      </c>
      <c r="B30" s="19">
        <v>7</v>
      </c>
      <c r="C30" s="195" t="s">
        <v>999</v>
      </c>
      <c r="D30" s="28" t="s">
        <v>949</v>
      </c>
      <c r="E30" s="28">
        <v>9901</v>
      </c>
      <c r="F30" s="5">
        <v>3</v>
      </c>
      <c r="G30" s="153" t="s">
        <v>237</v>
      </c>
      <c r="H30" s="153" t="s">
        <v>458</v>
      </c>
      <c r="I30" s="153" t="s">
        <v>237</v>
      </c>
      <c r="J30" s="155">
        <v>4000</v>
      </c>
    </row>
    <row r="31" spans="1:10" x14ac:dyDescent="0.25">
      <c r="A31" s="3" t="s">
        <v>938</v>
      </c>
      <c r="B31" s="19">
        <v>7</v>
      </c>
      <c r="C31" s="195" t="s">
        <v>1000</v>
      </c>
      <c r="D31" s="28" t="s">
        <v>951</v>
      </c>
      <c r="E31" s="28">
        <v>9903</v>
      </c>
      <c r="F31" s="5">
        <v>3</v>
      </c>
      <c r="G31" s="153" t="s">
        <v>237</v>
      </c>
      <c r="H31" s="153" t="s">
        <v>458</v>
      </c>
      <c r="I31" s="153" t="s">
        <v>237</v>
      </c>
      <c r="J31" s="155">
        <f>(J26+J27-J29)</f>
        <v>3560</v>
      </c>
    </row>
    <row r="32" spans="1:10" x14ac:dyDescent="0.25">
      <c r="A32" s="3" t="s">
        <v>938</v>
      </c>
      <c r="B32" s="19">
        <v>7</v>
      </c>
      <c r="C32" s="152"/>
      <c r="D32" s="260" t="s">
        <v>953</v>
      </c>
      <c r="E32" s="261"/>
      <c r="F32" s="261"/>
      <c r="G32" s="261"/>
      <c r="H32" s="261"/>
      <c r="I32" s="262"/>
      <c r="J32" s="158">
        <f>(J26+J27-J28-J29)</f>
        <v>3380.8</v>
      </c>
    </row>
    <row r="33" spans="1:10" ht="12.75" customHeight="1" x14ac:dyDescent="0.25">
      <c r="A33" s="267"/>
      <c r="B33" s="268"/>
      <c r="C33" s="268"/>
      <c r="D33" s="268"/>
      <c r="E33" s="268"/>
      <c r="F33" s="268"/>
      <c r="G33" s="268"/>
      <c r="H33" s="268"/>
      <c r="I33" s="268"/>
      <c r="J33" s="269"/>
    </row>
    <row r="34" spans="1:10" x14ac:dyDescent="0.25">
      <c r="A34" s="3" t="s">
        <v>954</v>
      </c>
      <c r="B34" s="19" t="s">
        <v>955</v>
      </c>
      <c r="C34" s="195" t="s">
        <v>999</v>
      </c>
      <c r="D34" s="28" t="s">
        <v>960</v>
      </c>
      <c r="E34" s="28">
        <v>1000</v>
      </c>
      <c r="F34" s="5">
        <v>1</v>
      </c>
      <c r="G34" s="153">
        <v>11</v>
      </c>
      <c r="H34" s="153">
        <v>11</v>
      </c>
      <c r="I34" s="153">
        <v>11</v>
      </c>
      <c r="J34" s="155">
        <v>100</v>
      </c>
    </row>
    <row r="35" spans="1:10" x14ac:dyDescent="0.25">
      <c r="A35" s="3" t="s">
        <v>954</v>
      </c>
      <c r="B35" s="19" t="s">
        <v>955</v>
      </c>
      <c r="C35" s="28">
        <v>20</v>
      </c>
      <c r="D35" s="28" t="s">
        <v>961</v>
      </c>
      <c r="E35" s="28">
        <v>1020</v>
      </c>
      <c r="F35" s="5">
        <v>1</v>
      </c>
      <c r="G35" s="153">
        <v>11</v>
      </c>
      <c r="H35" s="153" t="s">
        <v>458</v>
      </c>
      <c r="I35" s="153">
        <v>11</v>
      </c>
      <c r="J35" s="155">
        <v>3000</v>
      </c>
    </row>
    <row r="36" spans="1:10" x14ac:dyDescent="0.25">
      <c r="A36" s="3" t="s">
        <v>954</v>
      </c>
      <c r="B36" s="19" t="s">
        <v>955</v>
      </c>
      <c r="C36" s="28">
        <v>21</v>
      </c>
      <c r="D36" s="28" t="s">
        <v>962</v>
      </c>
      <c r="E36" s="28">
        <v>1020</v>
      </c>
      <c r="F36" s="5">
        <v>1</v>
      </c>
      <c r="G36" s="153">
        <v>11</v>
      </c>
      <c r="H36" s="153" t="s">
        <v>458</v>
      </c>
      <c r="I36" s="153">
        <v>11</v>
      </c>
      <c r="J36" s="155">
        <v>1000</v>
      </c>
    </row>
    <row r="37" spans="1:10" x14ac:dyDescent="0.25">
      <c r="A37" s="3" t="s">
        <v>954</v>
      </c>
      <c r="B37" s="19" t="s">
        <v>955</v>
      </c>
      <c r="C37" s="28">
        <v>28</v>
      </c>
      <c r="D37" s="28" t="s">
        <v>996</v>
      </c>
      <c r="E37" s="28">
        <v>9221</v>
      </c>
      <c r="F37" s="5">
        <v>2</v>
      </c>
      <c r="G37" s="153" t="s">
        <v>237</v>
      </c>
      <c r="H37" s="153" t="s">
        <v>458</v>
      </c>
      <c r="I37" s="153" t="s">
        <v>237</v>
      </c>
      <c r="J37" s="155">
        <f>J32</f>
        <v>3380.8</v>
      </c>
    </row>
    <row r="38" spans="1:10" x14ac:dyDescent="0.25">
      <c r="A38" s="3" t="s">
        <v>954</v>
      </c>
      <c r="B38" s="19" t="s">
        <v>955</v>
      </c>
      <c r="C38" s="28">
        <v>523</v>
      </c>
      <c r="D38" s="28" t="s">
        <v>966</v>
      </c>
      <c r="E38" s="28">
        <v>9205</v>
      </c>
      <c r="F38" s="5">
        <v>2</v>
      </c>
      <c r="G38" s="153" t="s">
        <v>237</v>
      </c>
      <c r="H38" s="153" t="s">
        <v>870</v>
      </c>
      <c r="I38" s="153" t="s">
        <v>237</v>
      </c>
      <c r="J38" s="155">
        <f>J29</f>
        <v>440</v>
      </c>
    </row>
    <row r="39" spans="1:10" x14ac:dyDescent="0.25">
      <c r="A39" s="3" t="s">
        <v>954</v>
      </c>
      <c r="B39" s="19" t="s">
        <v>955</v>
      </c>
      <c r="C39" s="29">
        <v>520</v>
      </c>
      <c r="D39" s="29" t="s">
        <v>968</v>
      </c>
      <c r="E39" s="29">
        <v>9201</v>
      </c>
      <c r="F39" s="196">
        <v>2</v>
      </c>
      <c r="G39" s="154" t="s">
        <v>849</v>
      </c>
      <c r="H39" s="154" t="s">
        <v>864</v>
      </c>
      <c r="I39" s="154" t="s">
        <v>237</v>
      </c>
      <c r="J39" s="156">
        <v>11</v>
      </c>
    </row>
    <row r="40" spans="1:10" x14ac:dyDescent="0.25">
      <c r="A40" s="3"/>
      <c r="B40" s="19" t="s">
        <v>955</v>
      </c>
      <c r="C40" s="29">
        <v>531</v>
      </c>
      <c r="D40" s="29" t="s">
        <v>1002</v>
      </c>
      <c r="E40" s="29">
        <v>9203</v>
      </c>
      <c r="F40" s="196">
        <v>2</v>
      </c>
      <c r="G40" s="154" t="s">
        <v>237</v>
      </c>
      <c r="H40" s="154" t="s">
        <v>855</v>
      </c>
      <c r="I40" s="154" t="s">
        <v>237</v>
      </c>
      <c r="J40" s="156">
        <f>J28</f>
        <v>179.2</v>
      </c>
    </row>
    <row r="41" spans="1:10" x14ac:dyDescent="0.25">
      <c r="A41" s="3" t="s">
        <v>954</v>
      </c>
      <c r="B41" s="19" t="s">
        <v>955</v>
      </c>
      <c r="C41" s="195" t="s">
        <v>999</v>
      </c>
      <c r="D41" s="29" t="s">
        <v>949</v>
      </c>
      <c r="E41" s="29">
        <v>9901</v>
      </c>
      <c r="F41" s="196">
        <v>3</v>
      </c>
      <c r="G41" s="154" t="s">
        <v>237</v>
      </c>
      <c r="H41" s="154" t="s">
        <v>458</v>
      </c>
      <c r="I41" s="154" t="s">
        <v>237</v>
      </c>
      <c r="J41" s="156">
        <f>(J34+J35+J36)</f>
        <v>4100</v>
      </c>
    </row>
    <row r="42" spans="1:10" x14ac:dyDescent="0.25">
      <c r="A42" s="3" t="s">
        <v>954</v>
      </c>
      <c r="B42" s="19" t="s">
        <v>955</v>
      </c>
      <c r="C42" s="195" t="s">
        <v>1001</v>
      </c>
      <c r="D42" s="28" t="s">
        <v>951</v>
      </c>
      <c r="E42" s="28">
        <v>9903</v>
      </c>
      <c r="F42" s="5">
        <v>3</v>
      </c>
      <c r="G42" s="153" t="s">
        <v>237</v>
      </c>
      <c r="H42" s="153" t="s">
        <v>458</v>
      </c>
      <c r="I42" s="153" t="s">
        <v>237</v>
      </c>
      <c r="J42" s="155">
        <v>89</v>
      </c>
    </row>
    <row r="43" spans="1:10" x14ac:dyDescent="0.25">
      <c r="A43" s="3" t="s">
        <v>954</v>
      </c>
      <c r="B43" s="19" t="s">
        <v>955</v>
      </c>
      <c r="C43" s="152"/>
      <c r="D43" s="260" t="s">
        <v>994</v>
      </c>
      <c r="E43" s="261"/>
      <c r="F43" s="261"/>
      <c r="G43" s="261"/>
      <c r="H43" s="261"/>
      <c r="I43" s="262"/>
      <c r="J43" s="158">
        <f>(J34+J35+J36-J37-J38-J39-J40)</f>
        <v>88.999999999999829</v>
      </c>
    </row>
    <row r="45" spans="1:10" x14ac:dyDescent="0.25">
      <c r="A45" s="159"/>
    </row>
  </sheetData>
  <mergeCells count="8">
    <mergeCell ref="A1:J1"/>
    <mergeCell ref="A10:J10"/>
    <mergeCell ref="D9:I9"/>
    <mergeCell ref="D43:I43"/>
    <mergeCell ref="D20:I20"/>
    <mergeCell ref="A24:J24"/>
    <mergeCell ref="D32:I32"/>
    <mergeCell ref="A33:J3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D0EC-AA6D-451C-AF5D-CAA6AF5AFFC3}">
  <sheetPr>
    <tabColor rgb="FFFFC000"/>
  </sheetPr>
  <dimension ref="A1:F20"/>
  <sheetViews>
    <sheetView zoomScale="93" zoomScaleNormal="93" workbookViewId="0">
      <selection activeCell="E12" sqref="E12"/>
    </sheetView>
  </sheetViews>
  <sheetFormatPr defaultRowHeight="15" x14ac:dyDescent="0.25"/>
  <cols>
    <col min="1" max="1" width="47" customWidth="1"/>
    <col min="2" max="2" width="15.42578125" customWidth="1"/>
    <col min="3" max="3" width="20.85546875" customWidth="1"/>
    <col min="4" max="4" width="6.85546875" customWidth="1"/>
    <col min="5" max="5" width="34.140625" customWidth="1"/>
    <col min="6" max="6" width="20.85546875" style="157" customWidth="1"/>
  </cols>
  <sheetData>
    <row r="1" spans="1:6" ht="30.75" customHeight="1" thickBot="1" x14ac:dyDescent="0.3">
      <c r="A1" s="280" t="s">
        <v>969</v>
      </c>
      <c r="B1" s="280"/>
      <c r="C1" s="280"/>
    </row>
    <row r="2" spans="1:6" ht="11.25" customHeight="1" thickBot="1" x14ac:dyDescent="0.3">
      <c r="A2" s="281"/>
      <c r="B2" s="281"/>
      <c r="C2" s="281"/>
    </row>
    <row r="3" spans="1:6" ht="30.75" thickTop="1" x14ac:dyDescent="0.25">
      <c r="A3" s="161" t="s">
        <v>970</v>
      </c>
      <c r="B3" s="162" t="s">
        <v>971</v>
      </c>
      <c r="C3" s="163" t="s">
        <v>972</v>
      </c>
      <c r="E3" s="179" t="s">
        <v>992</v>
      </c>
      <c r="F3" s="180" t="s">
        <v>988</v>
      </c>
    </row>
    <row r="4" spans="1:6" x14ac:dyDescent="0.25">
      <c r="A4" s="164" t="s">
        <v>973</v>
      </c>
      <c r="B4" s="165"/>
      <c r="C4" s="166" t="s">
        <v>974</v>
      </c>
      <c r="E4" s="173" t="s">
        <v>989</v>
      </c>
      <c r="F4" s="174">
        <v>8</v>
      </c>
    </row>
    <row r="5" spans="1:6" x14ac:dyDescent="0.25">
      <c r="A5" s="164" t="s">
        <v>975</v>
      </c>
      <c r="B5" s="167">
        <v>7.5</v>
      </c>
      <c r="C5" s="168">
        <v>142.80000000000001</v>
      </c>
      <c r="E5" s="173" t="s">
        <v>990</v>
      </c>
      <c r="F5" s="174">
        <v>9</v>
      </c>
    </row>
    <row r="6" spans="1:6" x14ac:dyDescent="0.25">
      <c r="A6" s="164" t="s">
        <v>976</v>
      </c>
      <c r="B6" s="167">
        <v>15</v>
      </c>
      <c r="C6" s="168">
        <v>354.8</v>
      </c>
      <c r="E6" s="173" t="s">
        <v>991</v>
      </c>
      <c r="F6" s="174">
        <v>11</v>
      </c>
    </row>
    <row r="7" spans="1:6" x14ac:dyDescent="0.25">
      <c r="A7" s="164" t="s">
        <v>977</v>
      </c>
      <c r="B7" s="167">
        <v>22.5</v>
      </c>
      <c r="C7" s="168">
        <v>636.13</v>
      </c>
      <c r="E7" s="175"/>
      <c r="F7" s="176"/>
    </row>
    <row r="8" spans="1:6" ht="15.75" thickBot="1" x14ac:dyDescent="0.3">
      <c r="A8" s="169" t="s">
        <v>978</v>
      </c>
      <c r="B8" s="170">
        <v>27.5</v>
      </c>
      <c r="C8" s="171">
        <v>869.36</v>
      </c>
      <c r="E8" s="177"/>
      <c r="F8" s="178"/>
    </row>
    <row r="9" spans="1:6" ht="16.5" thickTop="1" thickBot="1" x14ac:dyDescent="0.3">
      <c r="A9" s="282" t="s">
        <v>979</v>
      </c>
      <c r="B9" s="283"/>
      <c r="C9" s="284"/>
    </row>
    <row r="10" spans="1:6" ht="15.75" thickTop="1" x14ac:dyDescent="0.25">
      <c r="A10" s="285"/>
      <c r="B10" s="285"/>
      <c r="C10" s="285"/>
    </row>
    <row r="11" spans="1:6" ht="49.5" customHeight="1" x14ac:dyDescent="0.25">
      <c r="A11" s="286" t="s">
        <v>980</v>
      </c>
      <c r="B11" s="286"/>
      <c r="C11" s="286"/>
    </row>
    <row r="12" spans="1:6" ht="84" customHeight="1" x14ac:dyDescent="0.25">
      <c r="A12" s="278" t="s">
        <v>981</v>
      </c>
      <c r="B12" s="278"/>
      <c r="C12" s="278"/>
    </row>
    <row r="13" spans="1:6" x14ac:dyDescent="0.25">
      <c r="A13" s="277" t="s">
        <v>982</v>
      </c>
      <c r="B13" s="277"/>
      <c r="C13" s="277"/>
    </row>
    <row r="14" spans="1:6" ht="41.25" customHeight="1" x14ac:dyDescent="0.25">
      <c r="A14" s="278" t="s">
        <v>983</v>
      </c>
      <c r="B14" s="278"/>
      <c r="C14" s="278"/>
    </row>
    <row r="15" spans="1:6" ht="84" customHeight="1" x14ac:dyDescent="0.25">
      <c r="A15" s="278" t="s">
        <v>984</v>
      </c>
      <c r="B15" s="278"/>
      <c r="C15" s="278"/>
    </row>
    <row r="16" spans="1:6" ht="72" customHeight="1" x14ac:dyDescent="0.25">
      <c r="A16" s="278" t="s">
        <v>985</v>
      </c>
      <c r="B16" s="278"/>
      <c r="C16" s="278"/>
    </row>
    <row r="17" spans="1:3" ht="109.5" customHeight="1" x14ac:dyDescent="0.25">
      <c r="A17" s="278" t="s">
        <v>986</v>
      </c>
      <c r="B17" s="278"/>
      <c r="C17" s="278"/>
    </row>
    <row r="18" spans="1:3" ht="88.5" customHeight="1" x14ac:dyDescent="0.25">
      <c r="A18" s="279" t="s">
        <v>987</v>
      </c>
      <c r="B18" s="279"/>
      <c r="C18" s="279"/>
    </row>
    <row r="19" spans="1:3" x14ac:dyDescent="0.25">
      <c r="A19" s="172"/>
      <c r="B19" s="172"/>
      <c r="C19" s="172"/>
    </row>
    <row r="20" spans="1:3" x14ac:dyDescent="0.25">
      <c r="A20" s="172"/>
      <c r="B20" s="172"/>
      <c r="C20" s="172"/>
    </row>
  </sheetData>
  <mergeCells count="12">
    <mergeCell ref="A18:C18"/>
    <mergeCell ref="A1:C1"/>
    <mergeCell ref="A2:C2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Verbas Cadastradas</vt:lpstr>
      <vt:lpstr>Tab_Org Verbas</vt:lpstr>
      <vt:lpstr>Tabela 03_ Anexo I</vt:lpstr>
      <vt:lpstr>INSS_Incid</vt:lpstr>
      <vt:lpstr>IRRF_Incid</vt:lpstr>
      <vt:lpstr>FGTS_Incid</vt:lpstr>
      <vt:lpstr>Cont. Sindical</vt:lpstr>
      <vt:lpstr>Tab 54_SPED</vt:lpstr>
      <vt:lpstr>Evento de Féris cfe MOS</vt:lpstr>
      <vt:lpstr>Tabelas Contribuições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elanedosanjos27@gmail.com</dc:creator>
  <cp:lastModifiedBy>ELANE DOS ANJOS</cp:lastModifiedBy>
  <cp:lastPrinted>2018-07-25T20:05:37Z</cp:lastPrinted>
  <dcterms:created xsi:type="dcterms:W3CDTF">2018-07-20T16:05:10Z</dcterms:created>
  <dcterms:modified xsi:type="dcterms:W3CDTF">2018-08-08T00:48:46Z</dcterms:modified>
</cp:coreProperties>
</file>