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10" windowWidth="20775" windowHeight="11190"/>
  </bookViews>
  <sheets>
    <sheet name="Atividades detalhadas" sheetId="1" r:id="rId1"/>
    <sheet name="Resumo e Grafico" sheetId="2" r:id="rId2"/>
  </sheets>
  <definedNames>
    <definedName name="Concluído" localSheetId="0">'Atividades detalhadas'!$U$1:$U$3</definedName>
    <definedName name="listastatus">'Atividades detalhadas'!$U$1:$U$4</definedName>
    <definedName name="Status">'Atividades detalhadas'!$U$1:$U$3</definedName>
    <definedName name="Statusesocial">'Atividades detalhadas'!$U$1:$U$3</definedName>
  </definedNames>
  <calcPr calcId="144525"/>
</workbook>
</file>

<file path=xl/calcChain.xml><?xml version="1.0" encoding="utf-8"?>
<calcChain xmlns="http://schemas.openxmlformats.org/spreadsheetml/2006/main">
  <c r="B55" i="2" l="1"/>
  <c r="C54" i="2"/>
  <c r="B54" i="2"/>
  <c r="B53" i="2"/>
  <c r="B52" i="2"/>
  <c r="B51" i="2"/>
  <c r="C50" i="2"/>
  <c r="B50" i="2"/>
  <c r="B49" i="2"/>
  <c r="B48" i="2"/>
  <c r="B47" i="2"/>
  <c r="C46" i="2"/>
  <c r="B46" i="2"/>
  <c r="B45" i="2"/>
  <c r="B44" i="2"/>
  <c r="B43" i="2"/>
  <c r="C42" i="2"/>
  <c r="B42" i="2"/>
  <c r="B41" i="2"/>
  <c r="B40" i="2"/>
  <c r="B39" i="2"/>
  <c r="C38" i="2"/>
  <c r="B38" i="2"/>
  <c r="B37" i="2"/>
  <c r="B36" i="2"/>
  <c r="B35" i="2"/>
  <c r="C34" i="2"/>
  <c r="B34" i="2"/>
  <c r="B33" i="2"/>
  <c r="B32" i="2"/>
  <c r="B31" i="2"/>
  <c r="C30" i="2"/>
  <c r="B30" i="2"/>
  <c r="B29" i="2"/>
  <c r="B28" i="2"/>
  <c r="B27" i="2"/>
  <c r="C26" i="2"/>
  <c r="B26" i="2"/>
  <c r="B25" i="2"/>
  <c r="B24" i="2"/>
  <c r="B23" i="2"/>
  <c r="C22" i="2"/>
  <c r="B22" i="2"/>
  <c r="B21" i="2"/>
  <c r="B20" i="2"/>
  <c r="B19" i="2"/>
  <c r="C18" i="2"/>
  <c r="B18" i="2"/>
  <c r="B17" i="2"/>
  <c r="B16" i="2"/>
  <c r="B15" i="2"/>
  <c r="C14" i="2"/>
  <c r="B14" i="2"/>
  <c r="B13" i="2"/>
  <c r="B12" i="2"/>
  <c r="C8" i="2"/>
  <c r="B8" i="2"/>
  <c r="B7" i="2"/>
  <c r="B6" i="2"/>
  <c r="K728" i="1"/>
  <c r="C55" i="2" s="1"/>
  <c r="K719" i="1"/>
  <c r="K692" i="1"/>
  <c r="C53" i="2" s="1"/>
  <c r="K678" i="1"/>
  <c r="C52" i="2" s="1"/>
  <c r="K663" i="1"/>
  <c r="C51" i="2" s="1"/>
  <c r="K653" i="1"/>
  <c r="K637" i="1"/>
  <c r="C49" i="2" s="1"/>
  <c r="K616" i="1"/>
  <c r="C48" i="2" s="1"/>
  <c r="K600" i="1"/>
  <c r="C47" i="2" s="1"/>
  <c r="K569" i="1"/>
  <c r="K542" i="1"/>
  <c r="C45" i="2" s="1"/>
  <c r="K533" i="1"/>
  <c r="C44" i="2" s="1"/>
  <c r="K523" i="1"/>
  <c r="C43" i="2" s="1"/>
  <c r="K504" i="1"/>
  <c r="K487" i="1"/>
  <c r="C41" i="2" s="1"/>
  <c r="K472" i="1"/>
  <c r="C40" i="2" s="1"/>
  <c r="K458" i="1"/>
  <c r="C39" i="2" s="1"/>
  <c r="K442" i="1"/>
  <c r="K417" i="1"/>
  <c r="C37" i="2" s="1"/>
  <c r="K395" i="1"/>
  <c r="C36" i="2" s="1"/>
  <c r="K373" i="1"/>
  <c r="C35" i="2" s="1"/>
  <c r="K365" i="1"/>
  <c r="K358" i="1"/>
  <c r="C33" i="2" s="1"/>
  <c r="K350" i="1"/>
  <c r="C32" i="2" s="1"/>
  <c r="K343" i="1"/>
  <c r="C31" i="2" s="1"/>
  <c r="K335" i="1"/>
  <c r="K326" i="1"/>
  <c r="C29" i="2" s="1"/>
  <c r="K319" i="1"/>
  <c r="C28" i="2" s="1"/>
  <c r="K306" i="1"/>
  <c r="C27" i="2" s="1"/>
  <c r="K293" i="1"/>
  <c r="K275" i="1"/>
  <c r="C25" i="2" s="1"/>
  <c r="K265" i="1"/>
  <c r="C24" i="2" s="1"/>
  <c r="K251" i="1"/>
  <c r="C23" i="2" s="1"/>
  <c r="K226" i="1"/>
  <c r="K215" i="1"/>
  <c r="C21" i="2" s="1"/>
  <c r="K203" i="1"/>
  <c r="C20" i="2" s="1"/>
  <c r="K191" i="1"/>
  <c r="C19" i="2" s="1"/>
  <c r="K178" i="1"/>
  <c r="K164" i="1"/>
  <c r="C17" i="2" s="1"/>
  <c r="K152" i="1"/>
  <c r="C16" i="2" s="1"/>
  <c r="K138" i="1"/>
  <c r="C15" i="2" s="1"/>
  <c r="K120" i="1"/>
  <c r="K102" i="1"/>
  <c r="C13" i="2" s="1"/>
  <c r="K78" i="1"/>
  <c r="C12" i="2" s="1"/>
  <c r="K56" i="1"/>
  <c r="K38" i="1"/>
  <c r="C7" i="2" s="1"/>
  <c r="K16" i="1"/>
  <c r="C6" i="2" s="1"/>
  <c r="C10" i="2" s="1"/>
  <c r="E2" i="1"/>
  <c r="C9" i="2" l="1"/>
</calcChain>
</file>

<file path=xl/sharedStrings.xml><?xml version="1.0" encoding="utf-8"?>
<sst xmlns="http://schemas.openxmlformats.org/spreadsheetml/2006/main" count="2699" uniqueCount="984">
  <si>
    <t>Trabalho de Implantação do eSocial - Cliente XYZ INDUST</t>
  </si>
  <si>
    <t>Concluído</t>
  </si>
  <si>
    <t>Faturamento em 2016 - R$ 281.920.188,35</t>
  </si>
  <si>
    <t>Atualizado em:</t>
  </si>
  <si>
    <t>Em andamento</t>
  </si>
  <si>
    <t>Qualificação Cadastral</t>
  </si>
  <si>
    <t>Prazo da Atividade</t>
  </si>
  <si>
    <t>Responsável</t>
  </si>
  <si>
    <t>Acompanhamento</t>
  </si>
  <si>
    <t>Atrasado</t>
  </si>
  <si>
    <t>Início</t>
  </si>
  <si>
    <t>Fim</t>
  </si>
  <si>
    <t>Contabilidade</t>
  </si>
  <si>
    <t>Cliente</t>
  </si>
  <si>
    <t>Status</t>
  </si>
  <si>
    <t>Data conclusão</t>
  </si>
  <si>
    <t>% Conclusão</t>
  </si>
  <si>
    <t>Não Iniciado</t>
  </si>
  <si>
    <t>1.1</t>
  </si>
  <si>
    <t>Gerar informações do sistema para envio a Qualificação Cadastral em Lote</t>
  </si>
  <si>
    <t>Equipe DP</t>
  </si>
  <si>
    <t>1.2</t>
  </si>
  <si>
    <t xml:space="preserve">Importar para o Sistema o arquivo retorno </t>
  </si>
  <si>
    <t>1.3</t>
  </si>
  <si>
    <t>Analise dos ajustes à serem realizados</t>
  </si>
  <si>
    <t>1.4</t>
  </si>
  <si>
    <t>Encaminhar informações para ajuste necessários</t>
  </si>
  <si>
    <t>1.5</t>
  </si>
  <si>
    <t>Receber informações para ajuste dos dados do Colaborador</t>
  </si>
  <si>
    <t>RH - Cliente</t>
  </si>
  <si>
    <t>1.6</t>
  </si>
  <si>
    <t>Solicitar o Colaborador para realizar o ajuste nos orgãos Governamentais</t>
  </si>
  <si>
    <t>1.7</t>
  </si>
  <si>
    <t>Devolver as informações dos Colaboradores ajustadas</t>
  </si>
  <si>
    <t>1.8</t>
  </si>
  <si>
    <t>Receber informações para ajuste dos dados do Colaborador no sistema</t>
  </si>
  <si>
    <t>1.9</t>
  </si>
  <si>
    <t>Corrigir as informações no sistema</t>
  </si>
  <si>
    <t>1.12</t>
  </si>
  <si>
    <t>Retransmitir para o eSocial (Qualif.Cadastral)</t>
  </si>
  <si>
    <t>1.13</t>
  </si>
  <si>
    <t>Fazer qualificação cadastral para os admitidos desta data em diante</t>
  </si>
  <si>
    <t>Percentual de conclusão desta etapa:</t>
  </si>
  <si>
    <t>Saneamento da Base - Análise de Impacto (Robô)</t>
  </si>
  <si>
    <t>2.1</t>
  </si>
  <si>
    <t>Instalação do "Robô" para realizar Análise de Impacto das informações do eSocial</t>
  </si>
  <si>
    <t>Equipe T.I.</t>
  </si>
  <si>
    <t>2.2</t>
  </si>
  <si>
    <t>Treinamento da ferramenta "Robô" para equipe do DP</t>
  </si>
  <si>
    <t>2.3</t>
  </si>
  <si>
    <t>Multiplicar Treinamento da Ferramenta "Robô" a toda equipe DP</t>
  </si>
  <si>
    <t>Gestor DP</t>
  </si>
  <si>
    <t>2.4</t>
  </si>
  <si>
    <t>Esclarecimento de dúvidas de utilização da ferramenta "Robo" para equipe DP</t>
  </si>
  <si>
    <t>2.5</t>
  </si>
  <si>
    <t>Analise dos dados básicos do Empregador no Sistema de Folha de pagamento</t>
  </si>
  <si>
    <t>2.6</t>
  </si>
  <si>
    <t>Corrigir as informações do Empregador (se necessário)</t>
  </si>
  <si>
    <t>2.7</t>
  </si>
  <si>
    <t>Analisar se o Sistema de folha está adptado para atender as exigências do eSocial</t>
  </si>
  <si>
    <t>2.8</t>
  </si>
  <si>
    <t>Verificar todas as rubricas pagas em folha de pagamento nos ultimos 24 meses</t>
  </si>
  <si>
    <t>2.9</t>
  </si>
  <si>
    <t>Entender a necessidade de cada rubrica paga em folha de pagamento</t>
  </si>
  <si>
    <t>2.10</t>
  </si>
  <si>
    <t>Verificar as incidências dos Eventos e ajustar (se for necessário)</t>
  </si>
  <si>
    <t>2.11</t>
  </si>
  <si>
    <t>Verificar todos os cargos se estão com os CBO corretos</t>
  </si>
  <si>
    <t>2.12</t>
  </si>
  <si>
    <t>Ajustar os cargos que estão com o CBO não correspondente ao cargo</t>
  </si>
  <si>
    <t>2.13</t>
  </si>
  <si>
    <t>Validar a categoria de todos os Colaboradores do Cliente</t>
  </si>
  <si>
    <t>2.14</t>
  </si>
  <si>
    <r>
      <t xml:space="preserve">Fazer o (Dê/Para) das rubricas da folha de acordo com a </t>
    </r>
    <r>
      <rPr>
        <b/>
        <sz val="11"/>
        <color rgb="FF000000"/>
        <rFont val="Calibri"/>
      </rPr>
      <t>Tabela 3</t>
    </r>
    <r>
      <rPr>
        <sz val="11"/>
        <color rgb="FF000000"/>
        <rFont val="Calibri"/>
      </rPr>
      <t xml:space="preserve"> do eSocial</t>
    </r>
  </si>
  <si>
    <t>2.15</t>
  </si>
  <si>
    <t>Conferir o RAT/FAP e CNAE Preponderante</t>
  </si>
  <si>
    <t>2.16</t>
  </si>
  <si>
    <t xml:space="preserve">Verificar se o Cliente possui Estagiários e se possuir  solicitar documentação </t>
  </si>
  <si>
    <t>2.17</t>
  </si>
  <si>
    <t>Analisar o Cadastro dos Sindicatos e suas respectivas regras no sistema</t>
  </si>
  <si>
    <t>2.18</t>
  </si>
  <si>
    <t>Analisar as tabelas de horários (Registro de Ponto)</t>
  </si>
  <si>
    <t>Readequação dos Processos Internos</t>
  </si>
  <si>
    <t>3.1</t>
  </si>
  <si>
    <t>Analisar as Admissões se atendem as exigências do eSocial</t>
  </si>
  <si>
    <t>3.2</t>
  </si>
  <si>
    <t>Analisar se todas as admissões possuem exame admissional com data correta</t>
  </si>
  <si>
    <t>3.3</t>
  </si>
  <si>
    <t>Analisar o cadastro de todas as admissões no sistema, se estão corretos e completos</t>
  </si>
  <si>
    <t>3.4</t>
  </si>
  <si>
    <t>Analisar os contratos de Estagiários, se atendem as exigências do eSocial</t>
  </si>
  <si>
    <t>3.5</t>
  </si>
  <si>
    <t>Analisar a cota dos Menores Aprendizes</t>
  </si>
  <si>
    <t>3.6</t>
  </si>
  <si>
    <t>Analisar a cota das Pessoas com Deficiência</t>
  </si>
  <si>
    <t>3.7</t>
  </si>
  <si>
    <r>
      <t>Mapear possíveis erros nas rotinas internas e corrigí-los (</t>
    </r>
    <r>
      <rPr>
        <b/>
        <sz val="11"/>
        <color rgb="FFFF0000"/>
        <rFont val="Calibri"/>
      </rPr>
      <t>Auditoria</t>
    </r>
    <r>
      <rPr>
        <sz val="11"/>
        <color rgb="FF000000"/>
        <rFont val="Calibri"/>
      </rPr>
      <t>)</t>
    </r>
  </si>
  <si>
    <t>3.8</t>
  </si>
  <si>
    <t>Ajustar Declaração de Encargos para fins Salario Familia e Imposto de renda</t>
  </si>
  <si>
    <t>3.9</t>
  </si>
  <si>
    <t>Adequar o período de desligamentos por iniciativa da empresa ao eSocial</t>
  </si>
  <si>
    <t>3.10</t>
  </si>
  <si>
    <t>Analisar se todas as demissões possuem exame demissional no prazo</t>
  </si>
  <si>
    <t>3.11</t>
  </si>
  <si>
    <r>
      <t>Analisar nas Contratações dos Estrangeiros se estão com a documentação exigida conforme  legislação vigênte (</t>
    </r>
    <r>
      <rPr>
        <b/>
        <sz val="11"/>
        <color rgb="FF000000"/>
        <rFont val="Calibri"/>
      </rPr>
      <t>Lei n° 6.815/80 - Estatuto do Estrangeiro</t>
    </r>
    <r>
      <rPr>
        <sz val="11"/>
        <color rgb="FF000000"/>
        <rFont val="Calibri"/>
      </rPr>
      <t>)</t>
    </r>
  </si>
  <si>
    <t>3.12</t>
  </si>
  <si>
    <t>Ajustar o procedimento de concessão de férias (aviso com 30 dias antes do inicio)</t>
  </si>
  <si>
    <t>3.13</t>
  </si>
  <si>
    <t>Revisar o procedimento de afastamentos (Atestados, auxilio doença, cat)</t>
  </si>
  <si>
    <t>3.14</t>
  </si>
  <si>
    <t>Revisar o procedimento de contratação de autônomos</t>
  </si>
  <si>
    <t>Análise da tabela S1000 - Informações do Empregador/Contribuinte</t>
  </si>
  <si>
    <t>4.1</t>
  </si>
  <si>
    <t>Validar Evento de informações do empregador</t>
  </si>
  <si>
    <t>4.2</t>
  </si>
  <si>
    <t>Validar Informações de Identificação do Evento</t>
  </si>
  <si>
    <t>4.3</t>
  </si>
  <si>
    <t>Validar Informações de identificação do empregador</t>
  </si>
  <si>
    <t>4.4</t>
  </si>
  <si>
    <t>Validar Inclusão de novas informações</t>
  </si>
  <si>
    <t>4.5</t>
  </si>
  <si>
    <t>Validar Período de validade das informações incluídas</t>
  </si>
  <si>
    <t>4.6</t>
  </si>
  <si>
    <t>Validar Informações Complementares - Empresas Isentas - Dados da Isenção</t>
  </si>
  <si>
    <t>4.7</t>
  </si>
  <si>
    <t>Validar Informações de contato</t>
  </si>
  <si>
    <t>4.8</t>
  </si>
  <si>
    <t>Validar Informações relativas a Órgãos Públicos</t>
  </si>
  <si>
    <t>4.9</t>
  </si>
  <si>
    <t>Validar Informações relativas a Ente Federativo Responsável - EFR</t>
  </si>
  <si>
    <t>4.10</t>
  </si>
  <si>
    <t>Validar Informações relativas ao ente federativo estadual, distrital ou municipal</t>
  </si>
  <si>
    <t>4.11</t>
  </si>
  <si>
    <t>Validar Informações exclusivas de organismos internacionais e outras instituições extraterritoriais</t>
  </si>
  <si>
    <t>4.12</t>
  </si>
  <si>
    <t>Validar Informações do desenvolvedor do Software</t>
  </si>
  <si>
    <t>4.13</t>
  </si>
  <si>
    <t>Validar Informações complementares sobre o declarante</t>
  </si>
  <si>
    <t>4.14</t>
  </si>
  <si>
    <t>Validar Informações Complementares - Pessoa Jurídica</t>
  </si>
  <si>
    <t>4.15</t>
  </si>
  <si>
    <t>Validar Informações Complementares - Pessoa Física</t>
  </si>
  <si>
    <t>4.16</t>
  </si>
  <si>
    <t>Validar Período de validade das informações alteradas</t>
  </si>
  <si>
    <t>4.17</t>
  </si>
  <si>
    <t>Validar Exclusão das informações</t>
  </si>
  <si>
    <t>4.18</t>
  </si>
  <si>
    <t>Validar Período de validade das informações excluídas</t>
  </si>
  <si>
    <t>Análise da tabela S1005 - Tabela de Estabelecimentos, Obras ou Unidades de Órgãos Públicos</t>
  </si>
  <si>
    <t>5.1</t>
  </si>
  <si>
    <t>Validar Evento Tabela de Estabelecimentos, Obras ou Órgãos Públicos</t>
  </si>
  <si>
    <t>5.2</t>
  </si>
  <si>
    <t>5.3</t>
  </si>
  <si>
    <t>5.4</t>
  </si>
  <si>
    <t>Validar Informações do Estabelecimento ou obra</t>
  </si>
  <si>
    <t>5.5</t>
  </si>
  <si>
    <t>5.6</t>
  </si>
  <si>
    <t>Validar Identificação do estabelecimento, obra ou órgão público e validade das informações</t>
  </si>
  <si>
    <t>5.7</t>
  </si>
  <si>
    <t>Validar Detalhamento das informações do estabelecimento, obra ou órgão público</t>
  </si>
  <si>
    <t>5.8</t>
  </si>
  <si>
    <t>Validar Informações de Apuração da alíquota Gilrat do Estabelecimento</t>
  </si>
  <si>
    <t>5.9</t>
  </si>
  <si>
    <t>Validar Processo administrativo/judicial relativo à alíquota RAT</t>
  </si>
  <si>
    <t>5.10</t>
  </si>
  <si>
    <t>Validar Processo administrativo/judicial relativo ao FAP</t>
  </si>
  <si>
    <t>5.11</t>
  </si>
  <si>
    <t>Validar Informações relativas ao CAEPF</t>
  </si>
  <si>
    <t>5.12</t>
  </si>
  <si>
    <t>Validar Indicativo de substituição da contribuição Patronal - Obra de Construção Civil</t>
  </si>
  <si>
    <t>5.13</t>
  </si>
  <si>
    <t>Validar Informações Trabalhistas</t>
  </si>
  <si>
    <t>5.14</t>
  </si>
  <si>
    <t>Validar Informações relacionadas à contratação de aprendiz</t>
  </si>
  <si>
    <t>5.15</t>
  </si>
  <si>
    <t>Validar Identificação da(s) entidade(s) educativa(s) ou de prática desportiva</t>
  </si>
  <si>
    <t>5.16</t>
  </si>
  <si>
    <t>Validar Informações sobre a contratação de pessoa com deficiência (PCD)</t>
  </si>
  <si>
    <t>5.17</t>
  </si>
  <si>
    <t>Validar Alteração das informações</t>
  </si>
  <si>
    <t>5.18</t>
  </si>
  <si>
    <t>5.19</t>
  </si>
  <si>
    <t>Validar Novo período de validade das informações</t>
  </si>
  <si>
    <t>5.20</t>
  </si>
  <si>
    <t>Análise da tabela S1010 - Tabela de Rúbricas</t>
  </si>
  <si>
    <t>6.1</t>
  </si>
  <si>
    <t>Validar Evento Tabela de Rubricas</t>
  </si>
  <si>
    <t>6.2</t>
  </si>
  <si>
    <t>6.3</t>
  </si>
  <si>
    <t>6.4</t>
  </si>
  <si>
    <r>
      <t>Fazer a Co-relação das rubricas do sistema x eSocial conforme (</t>
    </r>
    <r>
      <rPr>
        <b/>
        <sz val="11"/>
        <color rgb="FFFF0000"/>
        <rFont val="Calibri"/>
      </rPr>
      <t>Tabela 03</t>
    </r>
    <r>
      <rPr>
        <sz val="11"/>
        <color rgb="FF000000"/>
        <rFont val="Calibri"/>
      </rPr>
      <t>) do eSocial</t>
    </r>
  </si>
  <si>
    <t>6.5</t>
  </si>
  <si>
    <r>
      <t>Validar os campos "Repercute" das rubricas do Sistema (</t>
    </r>
    <r>
      <rPr>
        <b/>
        <sz val="11"/>
        <color rgb="FFFF0000"/>
        <rFont val="Calibri"/>
      </rPr>
      <t>Não é mais necessário</t>
    </r>
    <r>
      <rPr>
        <sz val="11"/>
        <color rgb="FF000000"/>
        <rFont val="Calibri"/>
      </rPr>
      <t>)</t>
    </r>
  </si>
  <si>
    <t>6.6</t>
  </si>
  <si>
    <t>Validar Informações de identificação da rubrica e validade das informações</t>
  </si>
  <si>
    <t>6.7</t>
  </si>
  <si>
    <t>Validar Identificação de Processo - Incidência de Contrib. Previdenciária</t>
  </si>
  <si>
    <t>6.8</t>
  </si>
  <si>
    <t>Validar Identificação de Processo - Incidência de IRRF</t>
  </si>
  <si>
    <t>6.9</t>
  </si>
  <si>
    <t>Validar Identificação de Processo - Incidência de FGTS</t>
  </si>
  <si>
    <t>6.10</t>
  </si>
  <si>
    <t>Validar Identificação de Processo - Incidência de Contrib. Sindical</t>
  </si>
  <si>
    <t>6.11</t>
  </si>
  <si>
    <r>
      <t>Validar Alteração das informações das rubricas (</t>
    </r>
    <r>
      <rPr>
        <b/>
        <sz val="11"/>
        <color rgb="FFFF0000"/>
        <rFont val="Calibri"/>
      </rPr>
      <t>Auditoria</t>
    </r>
    <r>
      <rPr>
        <sz val="11"/>
        <color rgb="FF000000"/>
        <rFont val="Calibri"/>
      </rPr>
      <t>)</t>
    </r>
  </si>
  <si>
    <t>6.12</t>
  </si>
  <si>
    <t>6.13</t>
  </si>
  <si>
    <t>6.14</t>
  </si>
  <si>
    <t>Validar Identificação da rubrica que será excluída</t>
  </si>
  <si>
    <t>Análise da tabela S1020 - Lotações Tributárias</t>
  </si>
  <si>
    <t>7.1</t>
  </si>
  <si>
    <t>Validar Evento Tabela de Lotações</t>
  </si>
  <si>
    <t>7.2</t>
  </si>
  <si>
    <t>7.3</t>
  </si>
  <si>
    <t>7.4</t>
  </si>
  <si>
    <t>Validar Informações da Lotação</t>
  </si>
  <si>
    <t>7.5</t>
  </si>
  <si>
    <t>7.6</t>
  </si>
  <si>
    <t>Validar Identificação da Lotação</t>
  </si>
  <si>
    <t>7.7</t>
  </si>
  <si>
    <t>Validar Informações de FPAS e Terceiros relativas à lotação tributária</t>
  </si>
  <si>
    <t>7.8</t>
  </si>
  <si>
    <t>Validar Informações de processos judiciais relativos às contribuições destinadas a outras Entidades</t>
  </si>
  <si>
    <t>7.9</t>
  </si>
  <si>
    <t>Validar Identificação do Processo Judicial</t>
  </si>
  <si>
    <t>7.10</t>
  </si>
  <si>
    <t>Validar Informação complementar de obra de construção civil</t>
  </si>
  <si>
    <t>7.11</t>
  </si>
  <si>
    <t>7.12</t>
  </si>
  <si>
    <t>7.13</t>
  </si>
  <si>
    <t>7.14</t>
  </si>
  <si>
    <t>Validar Identificação da lotação que será excluída</t>
  </si>
  <si>
    <t>Análise da tabela S1030 - Tabela de Cargos/Empregos Públicos</t>
  </si>
  <si>
    <t>8.1</t>
  </si>
  <si>
    <t>Validar os Eventos da tabela de cargos</t>
  </si>
  <si>
    <t>8.2</t>
  </si>
  <si>
    <t>Validar informações de identificação do evento</t>
  </si>
  <si>
    <t>8.3</t>
  </si>
  <si>
    <t>Validar informações de identificação do empregador</t>
  </si>
  <si>
    <t>8.4</t>
  </si>
  <si>
    <t>Validar informações do cargo</t>
  </si>
  <si>
    <t>8.5</t>
  </si>
  <si>
    <t>Validar as inclusões de novas informações (se ocorrer)</t>
  </si>
  <si>
    <t>8.6</t>
  </si>
  <si>
    <t>Validar Lei que criou/extinguiu/reestruturou o cargo</t>
  </si>
  <si>
    <t>8.7</t>
  </si>
  <si>
    <t>Validar o detalhamento de informações exclusivas para cargos e Empregos Públicos</t>
  </si>
  <si>
    <t>8.8</t>
  </si>
  <si>
    <t>8.9</t>
  </si>
  <si>
    <t>8.10</t>
  </si>
  <si>
    <t>Validar Identificação do registro que será excluído</t>
  </si>
  <si>
    <t>Análise da tabela S1035 - Tabela de Carreiras Públicas</t>
  </si>
  <si>
    <t>9.1</t>
  </si>
  <si>
    <t>Validar evento de tabelas de carreiras públicas</t>
  </si>
  <si>
    <t>9.2</t>
  </si>
  <si>
    <t>Validar as informações dos eventos</t>
  </si>
  <si>
    <t>9.3</t>
  </si>
  <si>
    <t>Validar a identificação do empregador</t>
  </si>
  <si>
    <t>9.4</t>
  </si>
  <si>
    <t>Validar as informações de carreira</t>
  </si>
  <si>
    <t>9.5</t>
  </si>
  <si>
    <t>9.6</t>
  </si>
  <si>
    <t>9.7</t>
  </si>
  <si>
    <t>9.8</t>
  </si>
  <si>
    <t>Validar Identificação da Carreira a ser excluída</t>
  </si>
  <si>
    <t>Análise da tabela S1040 - Tabela de Funções/Cargos em Comissão</t>
  </si>
  <si>
    <t>10.1</t>
  </si>
  <si>
    <t>Validar Evento Tabela de Funções</t>
  </si>
  <si>
    <t>10.2</t>
  </si>
  <si>
    <t>10.3</t>
  </si>
  <si>
    <t>10.4</t>
  </si>
  <si>
    <t>Validar Informações da Função</t>
  </si>
  <si>
    <t>10.5</t>
  </si>
  <si>
    <t>10.6</t>
  </si>
  <si>
    <t>Validar Identificação da Função</t>
  </si>
  <si>
    <t>10.7</t>
  </si>
  <si>
    <t>10.8</t>
  </si>
  <si>
    <t>10.9</t>
  </si>
  <si>
    <t>10.10</t>
  </si>
  <si>
    <t>Validar Identificação da função que será excluído</t>
  </si>
  <si>
    <t>Análise da tabela S1050 - Tabela de Horários/Turnos de Trabalho</t>
  </si>
  <si>
    <t>11.1</t>
  </si>
  <si>
    <t>Validar evento de tabelas de horários/turnos de trabalho</t>
  </si>
  <si>
    <t>11.2</t>
  </si>
  <si>
    <t>11.3</t>
  </si>
  <si>
    <t>11.4</t>
  </si>
  <si>
    <t>Validar as informações do horário contratual</t>
  </si>
  <si>
    <t>11.5</t>
  </si>
  <si>
    <t>Validar os intervalos de jornada definido no horário contratual</t>
  </si>
  <si>
    <t>11.6</t>
  </si>
  <si>
    <t>Validar as alterações das informações do evento</t>
  </si>
  <si>
    <t>11.7</t>
  </si>
  <si>
    <t>11.8</t>
  </si>
  <si>
    <t>11.9</t>
  </si>
  <si>
    <t>Validar Identificação do horário contratual que será excluído</t>
  </si>
  <si>
    <t>Análise da tabela S1060 - Tabela de Ambientes de Trabalho</t>
  </si>
  <si>
    <t>12.1</t>
  </si>
  <si>
    <t>Validar evento de tabelas de ambiente de trabalho</t>
  </si>
  <si>
    <t>12.2</t>
  </si>
  <si>
    <t>Validar as informações de identificação do evento</t>
  </si>
  <si>
    <t>12.3</t>
  </si>
  <si>
    <t>12.4</t>
  </si>
  <si>
    <t>Validar as informações do fator de risco</t>
  </si>
  <si>
    <t>12.5</t>
  </si>
  <si>
    <t>12.6</t>
  </si>
  <si>
    <t>12.7</t>
  </si>
  <si>
    <t>12.8</t>
  </si>
  <si>
    <t>Validar Identificação do Ambiente que será excluído</t>
  </si>
  <si>
    <t>Análise da tabela S1070 - Tabela de Processos Administrativos/Judiciais</t>
  </si>
  <si>
    <t>13.1</t>
  </si>
  <si>
    <t>Validar evento de tabelas de processos administrativos/Judiciais</t>
  </si>
  <si>
    <t>13.2</t>
  </si>
  <si>
    <t>13.3</t>
  </si>
  <si>
    <t>13.4</t>
  </si>
  <si>
    <t>Validar as informações dos dados do processo administrativo/judicial</t>
  </si>
  <si>
    <t>13.5</t>
  </si>
  <si>
    <t>Validar as informações de suspensão por exigibilidade de tributos e FGTS</t>
  </si>
  <si>
    <t>13.6</t>
  </si>
  <si>
    <t>13.7</t>
  </si>
  <si>
    <t>13.8</t>
  </si>
  <si>
    <t>Validar Identificação do Processo que será excluído</t>
  </si>
  <si>
    <t>Análise da tabela S1080 - Tabela de Operadores Portuários</t>
  </si>
  <si>
    <t>14.1</t>
  </si>
  <si>
    <t>Validar evento de tabelas de Operadores Portuários</t>
  </si>
  <si>
    <t>14.2</t>
  </si>
  <si>
    <t>14.3</t>
  </si>
  <si>
    <t>14.4</t>
  </si>
  <si>
    <t>Validar as informações dos dados do Operador Portuário</t>
  </si>
  <si>
    <t>14.5</t>
  </si>
  <si>
    <t>14.6</t>
  </si>
  <si>
    <t>14.7</t>
  </si>
  <si>
    <t>Validar Identificação do Operador Portuário que será excluído</t>
  </si>
  <si>
    <t>Análise da tabela S1200 - Remuneração de trabalhador vinculado ao Regime Geral de Previd. Social</t>
  </si>
  <si>
    <t>15.1</t>
  </si>
  <si>
    <t>Validar a Remuneração de trabalhador vinculado ao Regime Geral de Previd. Social</t>
  </si>
  <si>
    <t>15.2</t>
  </si>
  <si>
    <t>15.3</t>
  </si>
  <si>
    <t>15.4</t>
  </si>
  <si>
    <t>Validar a identificação do trabalhador</t>
  </si>
  <si>
    <t>15.5</t>
  </si>
  <si>
    <t>Validar a informação de múltiplos vínculos</t>
  </si>
  <si>
    <t>15.6</t>
  </si>
  <si>
    <t>Validar a remuneração recebida pelo trabalhador em outras empresas ou atividades</t>
  </si>
  <si>
    <t>15.7</t>
  </si>
  <si>
    <t>Validar as informações complementares de identificação do trabalhador</t>
  </si>
  <si>
    <t>15.8</t>
  </si>
  <si>
    <t>Validar Grupo de informações da sucessão de vínculo trabalhista</t>
  </si>
  <si>
    <t>15.9</t>
  </si>
  <si>
    <t>Validar Informações sobre a existência de processos judiciais do trabalhador</t>
  </si>
  <si>
    <t>15.10</t>
  </si>
  <si>
    <t>Validar Demonstrativos de valores devidos ao trabalhador</t>
  </si>
  <si>
    <t>15.11</t>
  </si>
  <si>
    <t>Validar Remuneração no período de apuração</t>
  </si>
  <si>
    <t>15.12</t>
  </si>
  <si>
    <t>Validar Identificação do estabelecimento e lotação</t>
  </si>
  <si>
    <t>15.13</t>
  </si>
  <si>
    <t>Validar Remuneração do Trabalhador</t>
  </si>
  <si>
    <t>15.14</t>
  </si>
  <si>
    <t>Validar Itens da Remuneração do Trabalhador</t>
  </si>
  <si>
    <t>15.15</t>
  </si>
  <si>
    <t>Validar informações de plano privado coletivo empresarial de assistência à saúde.</t>
  </si>
  <si>
    <t>15.16</t>
  </si>
  <si>
    <t>Validar detalhamento dos valores pagos a Operadoras de Planos de Saúde.</t>
  </si>
  <si>
    <t>15.17</t>
  </si>
  <si>
    <t>Validar Informações do dependente do plano privado de saúde.</t>
  </si>
  <si>
    <t>15.18</t>
  </si>
  <si>
    <t>Validar Grau de Exposição a Agentes Nocivos</t>
  </si>
  <si>
    <t>15.19</t>
  </si>
  <si>
    <t>Validar Remuneração relativa a diferenças salariais</t>
  </si>
  <si>
    <t>15.20</t>
  </si>
  <si>
    <t>Validar Instrumento ou situação ensejadora da remuneração em Períodos Anteriores</t>
  </si>
  <si>
    <t>15.21</t>
  </si>
  <si>
    <t>Validar Identificação do período de referência da remuneração</t>
  </si>
  <si>
    <t>Análise da tabela S1202 - Remuneração de servidor vinculado a Regime Próprio de Previd. Social</t>
  </si>
  <si>
    <t>16.1</t>
  </si>
  <si>
    <t>Validar a Remuneração de trabalhador vinculado ao Regime Próprio de Previd. Social</t>
  </si>
  <si>
    <t>16.2</t>
  </si>
  <si>
    <t>16.3</t>
  </si>
  <si>
    <t>Validar a identificação da unidade do órgão público</t>
  </si>
  <si>
    <t>16.4</t>
  </si>
  <si>
    <t>16.5</t>
  </si>
  <si>
    <t>16.6</t>
  </si>
  <si>
    <t>16.7</t>
  </si>
  <si>
    <t>16.8</t>
  </si>
  <si>
    <t>16.9</t>
  </si>
  <si>
    <t>16.10</t>
  </si>
  <si>
    <t>Análise da tabela S1207 - Benefícios previdenciários - RPPS</t>
  </si>
  <si>
    <t>17.1</t>
  </si>
  <si>
    <t>Validar Remuneração de trabalhadores RPPS</t>
  </si>
  <si>
    <t>17.2</t>
  </si>
  <si>
    <t>Validar Informações de identificação do evento</t>
  </si>
  <si>
    <t>17.3</t>
  </si>
  <si>
    <t>17.4</t>
  </si>
  <si>
    <t>Validar Identificação do Trabalhador</t>
  </si>
  <si>
    <t>17.5</t>
  </si>
  <si>
    <t>Validar Demonstrativos de valores devidos ao beneficiário</t>
  </si>
  <si>
    <t>17.6</t>
  </si>
  <si>
    <t>Validar Detalhamento dos valores devidos ao beneficiário</t>
  </si>
  <si>
    <t>Análise da tabela S1210 - Pagamentos de Rendimentos do Trabalho</t>
  </si>
  <si>
    <t>18.1</t>
  </si>
  <si>
    <t>Validar Evento Pagamentos Efetuados</t>
  </si>
  <si>
    <t>18.2</t>
  </si>
  <si>
    <t>18.3</t>
  </si>
  <si>
    <t>18.4</t>
  </si>
  <si>
    <t>Validar Identificação do beneficiário do pagamento</t>
  </si>
  <si>
    <t>18.5</t>
  </si>
  <si>
    <t>Validar Informações de dependentes do beneficiário</t>
  </si>
  <si>
    <t>18.6</t>
  </si>
  <si>
    <t>Validar Informações dos pagamentos efetuados</t>
  </si>
  <si>
    <t>18.7</t>
  </si>
  <si>
    <t>Validar Detalhamento dos pagamentos efetuados apurados em S-1200 ou
S-1202</t>
  </si>
  <si>
    <t>18.8</t>
  </si>
  <si>
    <t>Validar Retenções efetuadas no ato do pagamento</t>
  </si>
  <si>
    <t>18.9</t>
  </si>
  <si>
    <t>Validar Pensão alimentícia</t>
  </si>
  <si>
    <t>18.10</t>
  </si>
  <si>
    <t>Validar Informações complementares relacionadas ao pagamento parcial</t>
  </si>
  <si>
    <t>18.11</t>
  </si>
  <si>
    <t>Validar Detalhamento de pagamentos relativos a benefícios previdenciários</t>
  </si>
  <si>
    <t>18.12</t>
  </si>
  <si>
    <t>Validar Detalhamento dos pagamentos de férias</t>
  </si>
  <si>
    <t>18.13</t>
  </si>
  <si>
    <t>Validar Detalhamento das rubricas</t>
  </si>
  <si>
    <t>18.14</t>
  </si>
  <si>
    <t>Validar Pagamento relativo a competências anteriores ao início de obrigatoriedade do eSocial</t>
  </si>
  <si>
    <t>Análise da tabela S1250 - Aquisição de Produção Rural</t>
  </si>
  <si>
    <t>19.1</t>
  </si>
  <si>
    <t>Validar Evento Aquisição de Produção</t>
  </si>
  <si>
    <t>19.2</t>
  </si>
  <si>
    <t>19.3</t>
  </si>
  <si>
    <t>19.4</t>
  </si>
  <si>
    <t>Validar Informação da Aquisição de Produção</t>
  </si>
  <si>
    <t>19.5</t>
  </si>
  <si>
    <t>Validar Identificação do estabelecimento adquirente da produção</t>
  </si>
  <si>
    <t>19.6</t>
  </si>
  <si>
    <t>Validar Aquisição de produção</t>
  </si>
  <si>
    <t>19.7</t>
  </si>
  <si>
    <t>Validar Identificação dos produtores rurais</t>
  </si>
  <si>
    <t>19.8</t>
  </si>
  <si>
    <t>Validar informações das notas Fiscais da aquisição de produção</t>
  </si>
  <si>
    <t>19.9</t>
  </si>
  <si>
    <t>Validar Informação de Processo Judicial</t>
  </si>
  <si>
    <t>Análise da tabela S1260 - Comercialização da Produção Rural Pessoa Física</t>
  </si>
  <si>
    <t>20.1</t>
  </si>
  <si>
    <t>Validar Evento Comercialização da Produção Rural Pessoa Física</t>
  </si>
  <si>
    <t>20.2</t>
  </si>
  <si>
    <t>20.3</t>
  </si>
  <si>
    <t>20.4</t>
  </si>
  <si>
    <t>Validar Informação da Comercialização de Produção</t>
  </si>
  <si>
    <t>20.5</t>
  </si>
  <si>
    <t>Validar Identificação do estabelecimento que comercializou a produção</t>
  </si>
  <si>
    <t>20.6</t>
  </si>
  <si>
    <t>Validar Registro que apresenta o valor total da comercialização por "tipo" de comercialização</t>
  </si>
  <si>
    <t>20.7</t>
  </si>
  <si>
    <t>Validar Identificação dos Adquirentes da Produção</t>
  </si>
  <si>
    <t>20.8</t>
  </si>
  <si>
    <t>20.9</t>
  </si>
  <si>
    <t>Análise da tabela S1270 - Contratação de Trabalhadores Avulsos Não Portuários</t>
  </si>
  <si>
    <t>21.1</t>
  </si>
  <si>
    <t>Validar Remuneração de Trab. Avulsos Não Portuários</t>
  </si>
  <si>
    <t>21.2</t>
  </si>
  <si>
    <t>21.3</t>
  </si>
  <si>
    <t>Análise da tabela S1280 - Informações Complementares aos Eventos Periódicos</t>
  </si>
  <si>
    <t>22.1</t>
  </si>
  <si>
    <t>Validar Inf. Complementares - Empresas Enquadradas nos artigos 7 a 9 da Lei 12.546/2011</t>
  </si>
  <si>
    <t>22.2</t>
  </si>
  <si>
    <t>22.3</t>
  </si>
  <si>
    <t>22.4</t>
  </si>
  <si>
    <t>Validar Informação de substituição prevista na Lei 12.546/2011</t>
  </si>
  <si>
    <t>22.5</t>
  </si>
  <si>
    <t>Validar Empresas enquadradas no Simples Nacional - Atividades Concomitantes</t>
  </si>
  <si>
    <t>Análise da tabela S1295 - Solicitação de Totalização para Pagamento em Contingência</t>
  </si>
  <si>
    <t>23.1</t>
  </si>
  <si>
    <t>Validar Solicitação contingencial de totalização de bases de cálculo/contribuições</t>
  </si>
  <si>
    <t>23.2</t>
  </si>
  <si>
    <t>23.3</t>
  </si>
  <si>
    <t>23.4</t>
  </si>
  <si>
    <t>Validar Responsável pelas informações</t>
  </si>
  <si>
    <t>Análise da tabela S1298 - Reabertura dos Eventos Periódicos</t>
  </si>
  <si>
    <t>24.1</t>
  </si>
  <si>
    <t>Validar Evento de reabertura de eventos periódicos - remuneração</t>
  </si>
  <si>
    <t>24.2</t>
  </si>
  <si>
    <t>24.3</t>
  </si>
  <si>
    <t>Análise da tabela S1299 - Fechamento dos Eventos Periódicos</t>
  </si>
  <si>
    <t>25.1</t>
  </si>
  <si>
    <t>Validar Informações do Fechamento</t>
  </si>
  <si>
    <t>25.2</t>
  </si>
  <si>
    <t>25.3</t>
  </si>
  <si>
    <t>25.4</t>
  </si>
  <si>
    <t>Análise da tabela S1300 - Contribuição Sindical Patronal</t>
  </si>
  <si>
    <t>26.1</t>
  </si>
  <si>
    <t>Validar Informações da contribuição sindical patronal</t>
  </si>
  <si>
    <t>26.2</t>
  </si>
  <si>
    <t>26.3</t>
  </si>
  <si>
    <t>Análise da tabela S2190 - Admissão de Trabalhador - Registro Preliminar</t>
  </si>
  <si>
    <t>27.1</t>
  </si>
  <si>
    <t>Validar Evento Admissão do Trabalhador - Registro Preliminar</t>
  </si>
  <si>
    <t>27.2</t>
  </si>
  <si>
    <t>27.3</t>
  </si>
  <si>
    <t>27.4</t>
  </si>
  <si>
    <t>Validar Informações do Registro Preliminar do Trabalhador</t>
  </si>
  <si>
    <t>Análise da tabela S2200 - Cadastramento Inicial do Vínculo e Admissão/Ingresso de Trabalhador</t>
  </si>
  <si>
    <t>28.1</t>
  </si>
  <si>
    <t>Validar Evento Cadastramento Inicial do Vínculo e Admissão / Ingresso de Trabalhador</t>
  </si>
  <si>
    <t>28.2</t>
  </si>
  <si>
    <t>28.3</t>
  </si>
  <si>
    <t>28.4</t>
  </si>
  <si>
    <t>Validar Informações Pessoais do Trabalhador</t>
  </si>
  <si>
    <t>28.5</t>
  </si>
  <si>
    <t>Validar Grupo de informações do nascimento do trabalhador</t>
  </si>
  <si>
    <t>28.6</t>
  </si>
  <si>
    <t>Validar Informações dos documentos pessoais do trabalhador</t>
  </si>
  <si>
    <t>28.7</t>
  </si>
  <si>
    <t>Validar Carteira de Trabalho e Previdência Social</t>
  </si>
  <si>
    <t>28.8</t>
  </si>
  <si>
    <t>Validar Registro de Identificação Civil</t>
  </si>
  <si>
    <t>28.9</t>
  </si>
  <si>
    <t>Validar Informações do Registro Geral (RG)</t>
  </si>
  <si>
    <t>28.10</t>
  </si>
  <si>
    <t>Validar Informações do Registro Nacional de Estrangeiro</t>
  </si>
  <si>
    <t>28.11</t>
  </si>
  <si>
    <t>Validar Informações do número de registro em Órgão de Classe (OC)</t>
  </si>
  <si>
    <t>28.12</t>
  </si>
  <si>
    <t>Validar Informações da Carteira Nacional de Habilitação (CNH)</t>
  </si>
  <si>
    <t>28.13</t>
  </si>
  <si>
    <t>Validar Endereço do Trabalhador</t>
  </si>
  <si>
    <t>28.14</t>
  </si>
  <si>
    <t>Validar Endereço no Brasil</t>
  </si>
  <si>
    <t>28.15</t>
  </si>
  <si>
    <t>Validar Endereço no Exterior</t>
  </si>
  <si>
    <t>28.16</t>
  </si>
  <si>
    <t>Validar Informações do Trabalhador Estrangeiro</t>
  </si>
  <si>
    <t>28.17</t>
  </si>
  <si>
    <t>Validar Pessoa com Deficiência</t>
  </si>
  <si>
    <t>28.18</t>
  </si>
  <si>
    <t>Validar Informações dos dependentes</t>
  </si>
  <si>
    <t>Análise da tabela S2205 - Alteração de Dados Cadastrais do Trabalhador</t>
  </si>
  <si>
    <t>29.1</t>
  </si>
  <si>
    <t>Validar Evento Alteração Cadastral do Trabalhador</t>
  </si>
  <si>
    <t>29.2</t>
  </si>
  <si>
    <t>29.3</t>
  </si>
  <si>
    <t>29.4</t>
  </si>
  <si>
    <t>29.5</t>
  </si>
  <si>
    <t>Validar Alteração de Dados Cadastrais do Trabalhador</t>
  </si>
  <si>
    <t>29.6</t>
  </si>
  <si>
    <t>29.7</t>
  </si>
  <si>
    <t>29.8</t>
  </si>
  <si>
    <t>29.9</t>
  </si>
  <si>
    <t>29.10</t>
  </si>
  <si>
    <t>29.11</t>
  </si>
  <si>
    <t>29.12</t>
  </si>
  <si>
    <t>29.13</t>
  </si>
  <si>
    <t>29.14</t>
  </si>
  <si>
    <t>29.15</t>
  </si>
  <si>
    <t>29.16</t>
  </si>
  <si>
    <t>29.17</t>
  </si>
  <si>
    <t>Validar Informação de aposentadoria do trabalhador</t>
  </si>
  <si>
    <t>29.18</t>
  </si>
  <si>
    <t>Validar Informações de Contato</t>
  </si>
  <si>
    <t>Análise da tabela S2206 - Alteração de Contrato de Trabalho</t>
  </si>
  <si>
    <t>30.1</t>
  </si>
  <si>
    <t>Validar Evento Alteração Contratual</t>
  </si>
  <si>
    <t>30.2</t>
  </si>
  <si>
    <t>30.3</t>
  </si>
  <si>
    <t>30.4</t>
  </si>
  <si>
    <t>Validar Informações de Identificação do Trabalhador e do Vínculo</t>
  </si>
  <si>
    <t>30.5</t>
  </si>
  <si>
    <t>Validar Informações do Contrato de Trabalho</t>
  </si>
  <si>
    <t>30.6</t>
  </si>
  <si>
    <t>Validar Informações do vinculo</t>
  </si>
  <si>
    <t>30.7</t>
  </si>
  <si>
    <t>Validar Informações do regime trabalhista</t>
  </si>
  <si>
    <t>30.8</t>
  </si>
  <si>
    <t>Validar Informações de Trabalhador Celetista</t>
  </si>
  <si>
    <t>30.9</t>
  </si>
  <si>
    <t>Validar Dados sobre trabalho temporário</t>
  </si>
  <si>
    <t>30.10</t>
  </si>
  <si>
    <t>Validar Informações relacionadas ao aprendiz</t>
  </si>
  <si>
    <t>30.11</t>
  </si>
  <si>
    <t>Validar Informações de Trabalhador Estatutário</t>
  </si>
  <si>
    <t>30.12</t>
  </si>
  <si>
    <t>Validar Informações da remuneração e periodicidade de pagamento</t>
  </si>
  <si>
    <t>30.13</t>
  </si>
  <si>
    <t>Validar Duração do Contrato de Trabalho</t>
  </si>
  <si>
    <t>30.14</t>
  </si>
  <si>
    <t>Validar Informações do local de trabalho</t>
  </si>
  <si>
    <t>30.15</t>
  </si>
  <si>
    <t>Validar Estabelecimento onde o trabalhador exercerá suas atividades</t>
  </si>
  <si>
    <t>30.16</t>
  </si>
  <si>
    <t>Validar Endereço de trabalho do trabalhador doméstico e trabalhador temporário</t>
  </si>
  <si>
    <t>30.17</t>
  </si>
  <si>
    <t>Validar Informações do Horário Contratual do Trabalhador</t>
  </si>
  <si>
    <t>30.18</t>
  </si>
  <si>
    <t>Validar Informações diárias do horário contratual</t>
  </si>
  <si>
    <t>30.19</t>
  </si>
  <si>
    <t>Validar Filiação Sindical do Trabalhador</t>
  </si>
  <si>
    <t>30.20</t>
  </si>
  <si>
    <t>Validar Dados do Alvará Judicial</t>
  </si>
  <si>
    <t>30.21</t>
  </si>
  <si>
    <t>Validar Alterações inerentes ao servidor público</t>
  </si>
  <si>
    <t>Análise da tabela S2210 - Comunicação de Acidente de Trabalho</t>
  </si>
  <si>
    <t>31.1</t>
  </si>
  <si>
    <t>Validar Evento Comunicação de Acidente de Trabalho</t>
  </si>
  <si>
    <t>31.2</t>
  </si>
  <si>
    <t>31.3</t>
  </si>
  <si>
    <t>Validar Informações de identificação do registrador da CAT</t>
  </si>
  <si>
    <t>31.4</t>
  </si>
  <si>
    <t>31.5</t>
  </si>
  <si>
    <t>Validar Informações de Identificação do Trabalhador</t>
  </si>
  <si>
    <t>31.6</t>
  </si>
  <si>
    <t>Validar Data da Comunicação de Acidente de Trabalho</t>
  </si>
  <si>
    <t>31.7</t>
  </si>
  <si>
    <t>Validar Local do Acidente</t>
  </si>
  <si>
    <t>31.8</t>
  </si>
  <si>
    <t>Validar Parte do Corpo Atingida</t>
  </si>
  <si>
    <t>31.9</t>
  </si>
  <si>
    <t>Validar Agente Causador</t>
  </si>
  <si>
    <t>31.10</t>
  </si>
  <si>
    <t>Validar Atestado Médico</t>
  </si>
  <si>
    <t>31.11</t>
  </si>
  <si>
    <t>Validar Médico/Dentista que emitiu o atestado</t>
  </si>
  <si>
    <t>31.12</t>
  </si>
  <si>
    <t>Validar CAT de origem</t>
  </si>
  <si>
    <r>
      <t xml:space="preserve">Análise da tabela S2220 - Monitoramento da Saúde do Trabalhador </t>
    </r>
    <r>
      <rPr>
        <b/>
        <sz val="11"/>
        <color rgb="FFFF0000"/>
        <rFont val="Calibri"/>
      </rPr>
      <t>(A partir de Julho/2017)</t>
    </r>
  </si>
  <si>
    <t>32.1</t>
  </si>
  <si>
    <t>Validar Evento Monitoramento da Saúde do Trabalhador</t>
  </si>
  <si>
    <t>32.2</t>
  </si>
  <si>
    <t>32.3</t>
  </si>
  <si>
    <t>32.4</t>
  </si>
  <si>
    <t>32.5</t>
  </si>
  <si>
    <t>Validar Atestado de Saúde Ocupacional</t>
  </si>
  <si>
    <t>32.6</t>
  </si>
  <si>
    <t>Validar Exames realizados</t>
  </si>
  <si>
    <t>32.7</t>
  </si>
  <si>
    <t>Validar Responsável pela Monitoração Biológica</t>
  </si>
  <si>
    <t>32.8</t>
  </si>
  <si>
    <t>Validar Serviço de Saúde responsável</t>
  </si>
  <si>
    <t>32.9</t>
  </si>
  <si>
    <t>Validar Médico responsável</t>
  </si>
  <si>
    <t>32.10</t>
  </si>
  <si>
    <t>Validar CRM</t>
  </si>
  <si>
    <t>Análise da tabela S2230 - Afastamento Temporário</t>
  </si>
  <si>
    <t>33.1</t>
  </si>
  <si>
    <t>Validar Evento Afastamento Temporário</t>
  </si>
  <si>
    <t>33.2</t>
  </si>
  <si>
    <t>33.3</t>
  </si>
  <si>
    <t>33.4</t>
  </si>
  <si>
    <t>33.5</t>
  </si>
  <si>
    <t>Validar Informações do Afastamento Temporário - Início</t>
  </si>
  <si>
    <t>33.6</t>
  </si>
  <si>
    <t>Validar Informações Complementares - Atestado Médico</t>
  </si>
  <si>
    <t>33.7</t>
  </si>
  <si>
    <t>33.8</t>
  </si>
  <si>
    <t>Validar Informações Complementares - Cessão/requisição de trabalhador</t>
  </si>
  <si>
    <t>33.9</t>
  </si>
  <si>
    <t>Validar Informações Complementares - afastamento para exercício de mandato sindical</t>
  </si>
  <si>
    <t>33.10</t>
  </si>
  <si>
    <t>Validar Informações de retificação do Afastamento Temporário</t>
  </si>
  <si>
    <t>33.11</t>
  </si>
  <si>
    <t>Validar Informações do Término do Afastamento</t>
  </si>
  <si>
    <r>
      <t xml:space="preserve">Análise da tabela S2240 - Condições Ambientais do Trabalho - Fatores de Risco </t>
    </r>
    <r>
      <rPr>
        <b/>
        <sz val="11"/>
        <color rgb="FFFF0000"/>
        <rFont val="Calibri"/>
      </rPr>
      <t>(A partir de Julho/2017)</t>
    </r>
  </si>
  <si>
    <t>34.1</t>
  </si>
  <si>
    <t>Evento Condições Ambientais do Trabalho - Fatores de Risco</t>
  </si>
  <si>
    <t>34.2</t>
  </si>
  <si>
    <t>Informações de Identificação do Evento</t>
  </si>
  <si>
    <t>34.3</t>
  </si>
  <si>
    <t>Informações de identificação do empregador</t>
  </si>
  <si>
    <t>34.4</t>
  </si>
  <si>
    <t>Informações de Identificação do Trabalhador e do Vínculo</t>
  </si>
  <si>
    <t>34.5</t>
  </si>
  <si>
    <t>Ambiente de trabalho, atividades desempenhadas e exposição a fatores de risco</t>
  </si>
  <si>
    <t>34.6</t>
  </si>
  <si>
    <t>Início da exposição</t>
  </si>
  <si>
    <t>34.7</t>
  </si>
  <si>
    <t>Informações relativas ao ambiente de trabalho</t>
  </si>
  <si>
    <t>34.8</t>
  </si>
  <si>
    <t>Descrição das Atividades Desempenhadas</t>
  </si>
  <si>
    <t>34.9</t>
  </si>
  <si>
    <t>Fator de risco ao qual o trabalhador está exposto na atividade exercida no ambiente</t>
  </si>
  <si>
    <t>34.10</t>
  </si>
  <si>
    <t>EPC e EPI</t>
  </si>
  <si>
    <t>34.11</t>
  </si>
  <si>
    <t>Alteração da exposição</t>
  </si>
  <si>
    <t>34.12</t>
  </si>
  <si>
    <t>Condição de Trabalho - Término</t>
  </si>
  <si>
    <t>34.13</t>
  </si>
  <si>
    <t>Responsável pelos registros ambientais</t>
  </si>
  <si>
    <t>Análise da tabela S2241 - Insalubridade, Periculosidade e Aposentadoria Especial</t>
  </si>
  <si>
    <t>35.1</t>
  </si>
  <si>
    <t>Insalubridade, periculosidade e aposentadoria especial</t>
  </si>
  <si>
    <t>35.2</t>
  </si>
  <si>
    <t>35.3</t>
  </si>
  <si>
    <t>35.4</t>
  </si>
  <si>
    <t>35.5</t>
  </si>
  <si>
    <t>Informações sobre o ambiente de trabalho insalubre/periculoso.</t>
  </si>
  <si>
    <t>35.6</t>
  </si>
  <si>
    <t>Validar Insalubridade e periculosidade - Início</t>
  </si>
  <si>
    <t>35.7</t>
  </si>
  <si>
    <t>Validar Detalhamento Ambientes de trabalho que o trabalhador desempenha atividades insalubres</t>
  </si>
  <si>
    <t>35.8</t>
  </si>
  <si>
    <t>Validar Fator de risco ao qual o trabalhador está exposto na atividade exercida no ambiente</t>
  </si>
  <si>
    <t>35.9</t>
  </si>
  <si>
    <t>Validar Insalubridade e periculosidade - Alteração</t>
  </si>
  <si>
    <t>35.10</t>
  </si>
  <si>
    <t>Validar Informações sobre as condições de trabalho insalubre/periculoso</t>
  </si>
  <si>
    <t>35.11</t>
  </si>
  <si>
    <t>Validar Insalubridade e periculosidade - Fim</t>
  </si>
  <si>
    <t>35.12</t>
  </si>
  <si>
    <t>Validar Informações sobre o trabalho exercido em condições que ensejam a aposentadoria especial.</t>
  </si>
  <si>
    <t>35.13</t>
  </si>
  <si>
    <t>Validar Aposentadoria especial - Início</t>
  </si>
  <si>
    <t>35.14</t>
  </si>
  <si>
    <t>Validar Aposentadoria especial - Alteração</t>
  </si>
  <si>
    <t>35.15</t>
  </si>
  <si>
    <t>Validar Aposentadoria especial - Término</t>
  </si>
  <si>
    <t>Análise da tabela S2250 - Aviso Prévio</t>
  </si>
  <si>
    <t>36.1</t>
  </si>
  <si>
    <t>Validar Evento Aviso Prévio</t>
  </si>
  <si>
    <t>36.2</t>
  </si>
  <si>
    <t>36.3</t>
  </si>
  <si>
    <t>36.4</t>
  </si>
  <si>
    <t>36.5</t>
  </si>
  <si>
    <t>Validar Informações do Aviso Prévio</t>
  </si>
  <si>
    <t>36.6</t>
  </si>
  <si>
    <t>Validar  informações de cancelamento do Aviso Prévio</t>
  </si>
  <si>
    <t>Análise da tabela S2298 - Reintegração</t>
  </si>
  <si>
    <t>37.1</t>
  </si>
  <si>
    <t>Validar Evento Reintegração</t>
  </si>
  <si>
    <t>37.2</t>
  </si>
  <si>
    <t>37.3</t>
  </si>
  <si>
    <t>37.4</t>
  </si>
  <si>
    <t>37.5</t>
  </si>
  <si>
    <t>Validar Reintegração</t>
  </si>
  <si>
    <t>Análise da tabela S2299 - Desligamento</t>
  </si>
  <si>
    <t>38.1</t>
  </si>
  <si>
    <t>Validar Evento Desligamento</t>
  </si>
  <si>
    <t>38.2</t>
  </si>
  <si>
    <t>38.3</t>
  </si>
  <si>
    <t>38.4</t>
  </si>
  <si>
    <t>38.5</t>
  </si>
  <si>
    <t>Validar Desligamento</t>
  </si>
  <si>
    <t>38.6</t>
  </si>
  <si>
    <t>Validar Sucessão do Vínculo Trabalhista/Estatutário</t>
  </si>
  <si>
    <t>38.7</t>
  </si>
  <si>
    <t>Validar Verbas Rescisórias</t>
  </si>
  <si>
    <t>38.8</t>
  </si>
  <si>
    <t>38.9</t>
  </si>
  <si>
    <t>Validar Verbas rescisórias relativas ao mês da data do desligamento</t>
  </si>
  <si>
    <t>38.10</t>
  </si>
  <si>
    <t>38.11</t>
  </si>
  <si>
    <t>Validar Detalhamento das verbas rescisórias</t>
  </si>
  <si>
    <t>38.12</t>
  </si>
  <si>
    <t>Validar Informações de plano privado coletivo empresarial de assistência à saúde.</t>
  </si>
  <si>
    <t>38.13</t>
  </si>
  <si>
    <t>Validar Detalhamento dos valores pagos a Operadoras de Planos de Saúde.</t>
  </si>
  <si>
    <t>38.14</t>
  </si>
  <si>
    <t>Validar Informações do dependente do plano privado de saúde</t>
  </si>
  <si>
    <t>38.15</t>
  </si>
  <si>
    <t>38.16</t>
  </si>
  <si>
    <t>Validar Informação relativa a empresas do Simples</t>
  </si>
  <si>
    <t>38.17</t>
  </si>
  <si>
    <t>Validar Remuneração em Períodos Anteriores (Acordo/Convenção/CCP/Dissídio)</t>
  </si>
  <si>
    <t>38.18</t>
  </si>
  <si>
    <t>Validar Identificação do Acordo/Legislação/Convenção/CCP/Dissídio/Conversão</t>
  </si>
  <si>
    <t>38.19</t>
  </si>
  <si>
    <t>38.20</t>
  </si>
  <si>
    <t>38.21</t>
  </si>
  <si>
    <t>Validar Informação de Múltiplos Vínculos</t>
  </si>
  <si>
    <t>38.22</t>
  </si>
  <si>
    <t>Validar Remuneração recebida pelo trabalhador em outras empresas ou atividades</t>
  </si>
  <si>
    <t>38.23</t>
  </si>
  <si>
    <t>Validar Informações sobre a quarentena remunerada de trabalhador desligado</t>
  </si>
  <si>
    <t>Análise da tabela S2300 - Trabalhador Sem Vínculo de Emprego/Estatutário - Início</t>
  </si>
  <si>
    <t>39.1</t>
  </si>
  <si>
    <t>Validar Trabalhador Sem Vínculo Empregatício - Início</t>
  </si>
  <si>
    <t>39.2</t>
  </si>
  <si>
    <t>39.3</t>
  </si>
  <si>
    <t>39.4</t>
  </si>
  <si>
    <t>Validar Grupo de Informações do Trabalhador</t>
  </si>
  <si>
    <t>39.5</t>
  </si>
  <si>
    <t>39.6</t>
  </si>
  <si>
    <t>39.7</t>
  </si>
  <si>
    <t>39.8</t>
  </si>
  <si>
    <t>39.9</t>
  </si>
  <si>
    <t>39.10</t>
  </si>
  <si>
    <t>39.11</t>
  </si>
  <si>
    <t>39.12</t>
  </si>
  <si>
    <t>39.13</t>
  </si>
  <si>
    <t>39.14</t>
  </si>
  <si>
    <t>39.15</t>
  </si>
  <si>
    <t>39.16</t>
  </si>
  <si>
    <t>39.17</t>
  </si>
  <si>
    <t>Validar Trabalhador Sem Vínculo - Início</t>
  </si>
  <si>
    <t>39.18</t>
  </si>
  <si>
    <t>Validar Informações complementares</t>
  </si>
  <si>
    <t>39.19</t>
  </si>
  <si>
    <t>Validar Cargo/Função ocupado pelo Trabalhador Sem Vínculo</t>
  </si>
  <si>
    <t>39.20</t>
  </si>
  <si>
    <t>39.21</t>
  </si>
  <si>
    <t>Validar Informações relativas ao FGTS</t>
  </si>
  <si>
    <t>39.22</t>
  </si>
  <si>
    <t>Validar Empresa de Origem do Dirigente Sindical</t>
  </si>
  <si>
    <t>39.23</t>
  </si>
  <si>
    <t>Validar Informações relativas ao trabalhador cedido, preenchidas exclusivamente pelo cessionário.</t>
  </si>
  <si>
    <t>39.24</t>
  </si>
  <si>
    <t>Validar Informações relativas ao estagiário</t>
  </si>
  <si>
    <t>39.25</t>
  </si>
  <si>
    <t>Validar Instituição de Ensino</t>
  </si>
  <si>
    <t>39.26</t>
  </si>
  <si>
    <t>Validar Agente de Integração</t>
  </si>
  <si>
    <t>39.27</t>
  </si>
  <si>
    <t>Validar Supervisor do Estágio</t>
  </si>
  <si>
    <t>Análise da tabela S2306 - Trabalhador Sem Vínculo de Emprego/Estatutário - Alteração</t>
  </si>
  <si>
    <t>40.1</t>
  </si>
  <si>
    <t>Validar Trabalhador Sem Vínculo Empregatício - Alteração Contratual</t>
  </si>
  <si>
    <t>40.2</t>
  </si>
  <si>
    <t>40.3</t>
  </si>
  <si>
    <t>40.4</t>
  </si>
  <si>
    <t>Validar Identificação do Trabalhador Sem Vínculo de Emprego</t>
  </si>
  <si>
    <t>40.5</t>
  </si>
  <si>
    <t>Validar Trabalhador Sem Vínculo de Emprego - Alteração Contratual</t>
  </si>
  <si>
    <t>40.6</t>
  </si>
  <si>
    <t>40.7</t>
  </si>
  <si>
    <t>40.8</t>
  </si>
  <si>
    <t>40.9</t>
  </si>
  <si>
    <t>Validar informações do estagiário</t>
  </si>
  <si>
    <t>40.10</t>
  </si>
  <si>
    <t>40.11</t>
  </si>
  <si>
    <t>40.12</t>
  </si>
  <si>
    <t>Análise da tabela S2399 - Trabalhador Sem Vínculo de Emprego/Estatutário - Término</t>
  </si>
  <si>
    <t>41.1</t>
  </si>
  <si>
    <t>Validar Trabalhador Sem Vínculo Empregatício - Término</t>
  </si>
  <si>
    <t>41.2</t>
  </si>
  <si>
    <t>41.3</t>
  </si>
  <si>
    <t>41.4</t>
  </si>
  <si>
    <t>Validar Identificação do Trabalhador Sem Vínculo</t>
  </si>
  <si>
    <t>41.5</t>
  </si>
  <si>
    <t>Validar Trabalhador Sem Vínculo de Emprego - Término</t>
  </si>
  <si>
    <t>41.6</t>
  </si>
  <si>
    <t>Validar Verbas rescisórias</t>
  </si>
  <si>
    <t>41.7</t>
  </si>
  <si>
    <t>Validar Identificação dos demonstrativos de pagamentos a serem efetuados</t>
  </si>
  <si>
    <t>41.8</t>
  </si>
  <si>
    <t>41.9</t>
  </si>
  <si>
    <t>Validar Informações de plano privado coletivo empresarial de assistência à saúde</t>
  </si>
  <si>
    <t>41.10</t>
  </si>
  <si>
    <t>Validar Detalhamento dos valores pagos a Operadoras de Planos de Saúde</t>
  </si>
  <si>
    <t>41.11</t>
  </si>
  <si>
    <t>41.12</t>
  </si>
  <si>
    <t>41.13</t>
  </si>
  <si>
    <t>41.14</t>
  </si>
  <si>
    <t>41.15</t>
  </si>
  <si>
    <t>41.16</t>
  </si>
  <si>
    <t>41.17</t>
  </si>
  <si>
    <t>Análise da tabela S2400 - Cadastro de Benefícios Previdenciários - RPPS</t>
  </si>
  <si>
    <t>42.1</t>
  </si>
  <si>
    <t>Validar Evento de cadastro de benefícios previdenciários de Regimes Próprios</t>
  </si>
  <si>
    <t>42.2</t>
  </si>
  <si>
    <t>42.3</t>
  </si>
  <si>
    <t>42.4</t>
  </si>
  <si>
    <t>Validar Identificação do beneficiário</t>
  </si>
  <si>
    <t>42.5</t>
  </si>
  <si>
    <t>Validar Dados do beneficiário</t>
  </si>
  <si>
    <t>42.6</t>
  </si>
  <si>
    <t>Validar Informações de nascimento do beneficiário</t>
  </si>
  <si>
    <t>42.7</t>
  </si>
  <si>
    <t>42.8</t>
  </si>
  <si>
    <t>Validar Informações relacionadas ao benefício previdenciário</t>
  </si>
  <si>
    <t>42.9</t>
  </si>
  <si>
    <t>Validar Informações relativas a benefícios previdenciários - Início</t>
  </si>
  <si>
    <t>42.10</t>
  </si>
  <si>
    <t>Validar Informações relativas a pensão por morte</t>
  </si>
  <si>
    <t>42.11</t>
  </si>
  <si>
    <t>Validar Informações relativas a benefícios previdenciários - Alteração</t>
  </si>
  <si>
    <t>42.12</t>
  </si>
  <si>
    <t>Validar Informações relativas a benefícios previdenciários - Término</t>
  </si>
  <si>
    <t>Análise da tabela S3000 - Exclusão de eventos</t>
  </si>
  <si>
    <t>43.1</t>
  </si>
  <si>
    <t>Validar Evento de exclusão</t>
  </si>
  <si>
    <t>43.2</t>
  </si>
  <si>
    <t>43.3</t>
  </si>
  <si>
    <t>43.4</t>
  </si>
  <si>
    <t>Validar Informação do evento que será excluído</t>
  </si>
  <si>
    <t>43.5</t>
  </si>
  <si>
    <t>Validar Registro que identificação a qual trabalhador pertence o evento que será excluído.</t>
  </si>
  <si>
    <t>43.6</t>
  </si>
  <si>
    <t>Validar Registro que identifica a qual folha de pagamento pertence o evento que será excluído</t>
  </si>
  <si>
    <t>Análise da tabela S5001 - Informações das contribuições sociais por trabalhador</t>
  </si>
  <si>
    <t>44.1</t>
  </si>
  <si>
    <t>Validar Evento Bases por Trabalhador</t>
  </si>
  <si>
    <t>44.2</t>
  </si>
  <si>
    <t>Validar Identificação do evento de retorno</t>
  </si>
  <si>
    <t>44.3</t>
  </si>
  <si>
    <t>44.4</t>
  </si>
  <si>
    <t>44.5</t>
  </si>
  <si>
    <t>Validar Processos judiciais do trabalhador</t>
  </si>
  <si>
    <t>44.6</t>
  </si>
  <si>
    <t>Validar Cálculo da contribuição previdenciária do segurado.</t>
  </si>
  <si>
    <t>44.7</t>
  </si>
  <si>
    <t>Validar Informações sobre bases e valores das contribuições sociais</t>
  </si>
  <si>
    <t>44.8</t>
  </si>
  <si>
    <t>Validar Identificação do estabelecimento ou obra e da lotação tributária</t>
  </si>
  <si>
    <t>44.9</t>
  </si>
  <si>
    <t>Validar Informações relativas à matrícula e categoria do trabalhador e tipos de incidências</t>
  </si>
  <si>
    <t>44.10</t>
  </si>
  <si>
    <t>Validar Informações sobre bases de cálculo, descontos e deduções de CS</t>
  </si>
  <si>
    <t>44.11</t>
  </si>
  <si>
    <t>Validar Cálculo das contribuições sociais devidas a Outras Entidades e Fundos</t>
  </si>
  <si>
    <t>Análise da tabela S5002 - Imposto de Renda Retido na Fonte</t>
  </si>
  <si>
    <t>45.1</t>
  </si>
  <si>
    <t>Validar IRRF do beneficiário</t>
  </si>
  <si>
    <t>45.2</t>
  </si>
  <si>
    <t>45.3</t>
  </si>
  <si>
    <t>45.4</t>
  </si>
  <si>
    <t>45.5</t>
  </si>
  <si>
    <t>Validar Informações relativas a existência de dependentes</t>
  </si>
  <si>
    <t>45.6</t>
  </si>
  <si>
    <t>Validar Informações relativas ao IRRF</t>
  </si>
  <si>
    <t>45.7</t>
  </si>
  <si>
    <t>Validar Bases do IRRF</t>
  </si>
  <si>
    <t>45.8</t>
  </si>
  <si>
    <t>Validar Informações complementares sobre pagamentos a residente fiscal no exterior</t>
  </si>
  <si>
    <t>45.9</t>
  </si>
  <si>
    <t>Validar Identificação do País onde foi efetuado o pagamento</t>
  </si>
  <si>
    <t>45.10</t>
  </si>
  <si>
    <t>Validar Informações complementares de endereço do beneficiário</t>
  </si>
  <si>
    <t>Análise da tabela S5011 - Informações das contribuições sociais consolidadas por contribuinte</t>
  </si>
  <si>
    <t>46.1</t>
  </si>
  <si>
    <t>Validar Evento Contribuições Sociais</t>
  </si>
  <si>
    <t>46.2</t>
  </si>
  <si>
    <t>46.3</t>
  </si>
  <si>
    <t>46.4</t>
  </si>
  <si>
    <t>Validar Informações relativas às Contribuições Sociais</t>
  </si>
  <si>
    <t>46.5</t>
  </si>
  <si>
    <t>Validar Informações de contribuição previdenciária do Segurado</t>
  </si>
  <si>
    <t>46.6</t>
  </si>
  <si>
    <t>Validar Informações gerais do contribuinte</t>
  </si>
  <si>
    <t>46.7</t>
  </si>
  <si>
    <t>Validar Informações exclusivas da PJ</t>
  </si>
  <si>
    <t>46.8</t>
  </si>
  <si>
    <t>Validar Informações de Atividades Concomitantes</t>
  </si>
  <si>
    <t>46.9</t>
  </si>
  <si>
    <t>Validar Identificação do estabelecimento/obra</t>
  </si>
  <si>
    <t>46.10</t>
  </si>
  <si>
    <t>Validar Informações do estabelecimento</t>
  </si>
  <si>
    <t>46.11</t>
  </si>
  <si>
    <t>Validar Informações complementares relativas a obras</t>
  </si>
  <si>
    <t>46.12</t>
  </si>
  <si>
    <t>Validar Identificação da lotação tributária</t>
  </si>
  <si>
    <t>46.13</t>
  </si>
  <si>
    <t>Validar Informações de suspensão de contribuição a Terceiros</t>
  </si>
  <si>
    <t>46.14</t>
  </si>
  <si>
    <t>46.15</t>
  </si>
  <si>
    <t>Validar Informações relativas ao operador portuário</t>
  </si>
  <si>
    <t>46.16</t>
  </si>
  <si>
    <t>Validar Bases de cálculo por categoria</t>
  </si>
  <si>
    <t>46.17</t>
  </si>
  <si>
    <t>Validar Bases, contribuições do segurado e deduções da CP</t>
  </si>
  <si>
    <t>46.18</t>
  </si>
  <si>
    <t>Validar Contratação de avulsos não portuários</t>
  </si>
  <si>
    <t>46.19</t>
  </si>
  <si>
    <t>Validar Inf. de substituição prevista na Lei 12.546/2011.</t>
  </si>
  <si>
    <t>46.20</t>
  </si>
  <si>
    <t>Validar Informações sobre aquisição rural</t>
  </si>
  <si>
    <t>46.21</t>
  </si>
  <si>
    <t>Validar Informações da Comercialização da produção</t>
  </si>
  <si>
    <t>46.22</t>
  </si>
  <si>
    <t>Validar Códigos de Receita por Estabelecimento</t>
  </si>
  <si>
    <t>46.23</t>
  </si>
  <si>
    <t>Validar Totalizador dos CT do contribuinte</t>
  </si>
  <si>
    <t>Análise da tabela S5012 - Informações do IRRF consolidadas por contribuinte</t>
  </si>
  <si>
    <t>47.1</t>
  </si>
  <si>
    <t>Validar Evento IRRF</t>
  </si>
  <si>
    <t>47.2</t>
  </si>
  <si>
    <t>47.3</t>
  </si>
  <si>
    <t>47.4</t>
  </si>
  <si>
    <t>47.5</t>
  </si>
  <si>
    <t>Validar Totalizador do IRRF por Código de Receita (CR)</t>
  </si>
  <si>
    <t>ETAPAS DE IMPLANTAÇÃO DO e_SOCIAL</t>
  </si>
  <si>
    <t>% CONCLUSÃO XYZ INDUST S/A</t>
  </si>
  <si>
    <t>Consciêntização Diretoria/Colab./Terceiros</t>
  </si>
  <si>
    <t>Palestras com o Cliente sobre o eSocial</t>
  </si>
  <si>
    <t>Análise das Tabelas e Eventos</t>
  </si>
  <si>
    <t xml:space="preserve">Entrega Oficial do eSocial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</si>
</sst>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rgb="FF000000"/>
      <name val="Calibri"/>
    </font>
    <font>
      <b/>
      <i/>
      <sz val="34"/>
      <color rgb="FF000000"/>
      <name val="Cantata One"/>
    </font>
    <font>
      <sz val="11"/>
      <name val="Calibri"/>
    </font>
    <font>
      <b/>
      <sz val="11"/>
      <color rgb="FFFFFFFF"/>
      <name val="Calibri"/>
    </font>
    <font>
      <b/>
      <sz val="22"/>
      <color rgb="FFFF0000"/>
      <name val="Calibri"/>
    </font>
    <font>
      <b/>
      <sz val="22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rgb="FFFFFFFF"/>
      <name val="Calibri"/>
    </font>
    <font>
      <b/>
      <sz val="14"/>
      <color rgb="FF000000"/>
      <name val="Calibri"/>
    </font>
    <font>
      <b/>
      <sz val="24"/>
      <color rgb="FF000000"/>
      <name val="Calibri"/>
    </font>
    <font>
      <b/>
      <sz val="11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25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0" fillId="2" borderId="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5" xfId="0" applyFont="1" applyFill="1" applyBorder="1"/>
    <xf numFmtId="0" fontId="6" fillId="3" borderId="5" xfId="0" applyFont="1" applyFill="1" applyBorder="1" applyAlignment="1">
      <alignment horizontal="right" vertical="center"/>
    </xf>
    <xf numFmtId="14" fontId="6" fillId="3" borderId="5" xfId="0" applyNumberFormat="1" applyFont="1" applyFill="1" applyBorder="1" applyAlignment="1">
      <alignment horizontal="right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20" xfId="0" applyFont="1" applyBorder="1" applyAlignment="1">
      <alignment horizontal="right"/>
    </xf>
    <xf numFmtId="0" fontId="0" fillId="0" borderId="20" xfId="0" applyFont="1" applyBorder="1"/>
    <xf numFmtId="14" fontId="0" fillId="0" borderId="20" xfId="0" applyNumberFormat="1" applyFont="1" applyBorder="1"/>
    <xf numFmtId="0" fontId="0" fillId="0" borderId="20" xfId="0" applyFont="1" applyBorder="1" applyAlignment="1">
      <alignment horizontal="center"/>
    </xf>
    <xf numFmtId="14" fontId="0" fillId="0" borderId="20" xfId="0" applyNumberFormat="1" applyFont="1" applyBorder="1" applyAlignment="1">
      <alignment horizontal="center"/>
    </xf>
    <xf numFmtId="9" fontId="0" fillId="0" borderId="20" xfId="0" applyNumberFormat="1" applyFont="1" applyBorder="1" applyAlignment="1">
      <alignment horizontal="center"/>
    </xf>
    <xf numFmtId="0" fontId="8" fillId="3" borderId="5" xfId="0" applyFont="1" applyFill="1" applyBorder="1"/>
    <xf numFmtId="0" fontId="0" fillId="3" borderId="5" xfId="0" applyFont="1" applyFill="1" applyBorder="1"/>
    <xf numFmtId="0" fontId="0" fillId="0" borderId="21" xfId="0" applyFont="1" applyBorder="1"/>
    <xf numFmtId="14" fontId="0" fillId="0" borderId="21" xfId="0" applyNumberFormat="1" applyFont="1" applyBorder="1" applyAlignment="1">
      <alignment horizontal="center"/>
    </xf>
    <xf numFmtId="10" fontId="9" fillId="4" borderId="5" xfId="0" applyNumberFormat="1" applyFont="1" applyFill="1" applyBorder="1" applyAlignment="1">
      <alignment horizontal="center"/>
    </xf>
    <xf numFmtId="0" fontId="0" fillId="0" borderId="0" xfId="0" applyFont="1"/>
    <xf numFmtId="0" fontId="9" fillId="0" borderId="0" xfId="0" applyFont="1" applyAlignment="1">
      <alignment horizontal="center"/>
    </xf>
    <xf numFmtId="10" fontId="9" fillId="0" borderId="0" xfId="0" applyNumberFormat="1" applyFont="1" applyAlignment="1">
      <alignment horizontal="center"/>
    </xf>
    <xf numFmtId="0" fontId="0" fillId="0" borderId="21" xfId="0" applyFont="1" applyBorder="1" applyAlignment="1">
      <alignment horizontal="center"/>
    </xf>
    <xf numFmtId="14" fontId="0" fillId="0" borderId="21" xfId="0" applyNumberFormat="1" applyFont="1" applyBorder="1" applyAlignment="1">
      <alignment horizontal="center" vertical="center"/>
    </xf>
    <xf numFmtId="0" fontId="0" fillId="0" borderId="21" xfId="0" applyFont="1" applyBorder="1" applyAlignment="1">
      <alignment horizontal="right"/>
    </xf>
    <xf numFmtId="0" fontId="0" fillId="0" borderId="21" xfId="0" applyFont="1" applyBorder="1" applyAlignment="1">
      <alignment horizontal="right" vertical="center"/>
    </xf>
    <xf numFmtId="0" fontId="0" fillId="0" borderId="21" xfId="0" applyFont="1" applyBorder="1" applyAlignment="1">
      <alignment vertical="center" wrapText="1"/>
    </xf>
    <xf numFmtId="0" fontId="0" fillId="0" borderId="20" xfId="0" applyFont="1" applyBorder="1" applyAlignment="1">
      <alignment horizontal="center" vertical="center"/>
    </xf>
    <xf numFmtId="9" fontId="0" fillId="0" borderId="20" xfId="0" applyNumberFormat="1" applyFont="1" applyBorder="1" applyAlignment="1">
      <alignment horizontal="center" vertical="center"/>
    </xf>
    <xf numFmtId="0" fontId="0" fillId="0" borderId="0" xfId="0" applyFont="1" applyAlignment="1">
      <alignment horizontal="right"/>
    </xf>
    <xf numFmtId="14" fontId="0" fillId="0" borderId="20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right" vertical="center"/>
    </xf>
    <xf numFmtId="0" fontId="0" fillId="0" borderId="20" xfId="0" applyFont="1" applyBorder="1" applyAlignment="1">
      <alignment vertical="center" wrapText="1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0" xfId="0" applyFont="1" applyAlignment="1">
      <alignment horizontal="right"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7" fillId="0" borderId="0" xfId="0" applyFont="1"/>
    <xf numFmtId="10" fontId="0" fillId="0" borderId="0" xfId="0" applyNumberFormat="1" applyFont="1"/>
    <xf numFmtId="0" fontId="10" fillId="0" borderId="0" xfId="0" applyFont="1"/>
    <xf numFmtId="10" fontId="10" fillId="0" borderId="0" xfId="0" applyNumberFormat="1" applyFont="1"/>
    <xf numFmtId="0" fontId="0" fillId="4" borderId="5" xfId="0" applyFont="1" applyFill="1" applyBorder="1" applyAlignment="1">
      <alignment horizontal="center"/>
    </xf>
    <xf numFmtId="0" fontId="10" fillId="4" borderId="5" xfId="0" applyFont="1" applyFill="1" applyBorder="1"/>
    <xf numFmtId="10" fontId="10" fillId="4" borderId="5" xfId="0" applyNumberFormat="1" applyFont="1" applyFill="1" applyBorder="1"/>
    <xf numFmtId="0" fontId="7" fillId="5" borderId="12" xfId="0" applyFont="1" applyFill="1" applyBorder="1" applyAlignment="1">
      <alignment horizontal="left" vertical="center"/>
    </xf>
    <xf numFmtId="0" fontId="2" fillId="0" borderId="13" xfId="0" applyFont="1" applyBorder="1"/>
    <xf numFmtId="0" fontId="2" fillId="0" borderId="14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4" fillId="4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9" fillId="4" borderId="22" xfId="0" applyFont="1" applyFill="1" applyBorder="1" applyAlignment="1">
      <alignment horizontal="center"/>
    </xf>
    <xf numFmtId="0" fontId="2" fillId="0" borderId="23" xfId="0" applyFont="1" applyBorder="1"/>
    <xf numFmtId="0" fontId="2" fillId="0" borderId="24" xfId="0" applyFont="1" applyBorder="1"/>
    <xf numFmtId="0" fontId="7" fillId="5" borderId="1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7" fillId="5" borderId="11" xfId="0" applyFont="1" applyFill="1" applyBorder="1" applyAlignment="1">
      <alignment horizontal="left" vertical="center"/>
    </xf>
    <xf numFmtId="0" fontId="2" fillId="0" borderId="16" xfId="0" applyFont="1" applyBorder="1"/>
    <xf numFmtId="0" fontId="7" fillId="5" borderId="9" xfId="0" applyFont="1" applyFill="1" applyBorder="1" applyAlignment="1">
      <alignment horizontal="center"/>
    </xf>
    <xf numFmtId="0" fontId="2" fillId="0" borderId="10" xfId="0" applyFont="1" applyBorder="1"/>
    <xf numFmtId="0" fontId="2" fillId="0" borderId="15" xfId="0" applyFont="1" applyBorder="1"/>
    <xf numFmtId="10" fontId="5" fillId="3" borderId="9" xfId="0" applyNumberFormat="1" applyFont="1" applyFill="1" applyBorder="1" applyAlignment="1">
      <alignment horizontal="right"/>
    </xf>
    <xf numFmtId="0" fontId="6" fillId="3" borderId="9" xfId="0" applyFont="1" applyFill="1" applyBorder="1" applyAlignment="1">
      <alignment horizontal="right" vertical="center"/>
    </xf>
    <xf numFmtId="0" fontId="7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284"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'Resumo e Grafico'!$C$3</c:f>
              <c:strCache>
                <c:ptCount val="1"/>
                <c:pt idx="0">
                  <c:v>% CONCLUSÃO XYZ INDUST S/A</c:v>
                </c:pt>
              </c:strCache>
            </c:strRef>
          </c:tx>
          <c:spPr>
            <a:solidFill>
              <a:srgbClr val="5B9BD5"/>
            </a:solidFill>
          </c:spPr>
          <c:invertIfNegative val="1"/>
          <c:dLbls>
            <c:txPr>
              <a:bodyPr/>
              <a:lstStyle/>
              <a:p>
                <a:pPr lvl="0">
                  <a:defRPr sz="900" b="0" i="0">
                    <a:solidFill>
                      <a:srgbClr val="40404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'Resumo e Grafico'!$C$4:$C$10</c:f>
              <c:numCache>
                <c:formatCode>0.00%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0.90909090909090906</c:v>
                </c:pt>
                <c:pt idx="3">
                  <c:v>1</c:v>
                </c:pt>
                <c:pt idx="4">
                  <c:v>0.98714285714285721</c:v>
                </c:pt>
                <c:pt idx="5">
                  <c:v>0.48769480519480518</c:v>
                </c:pt>
                <c:pt idx="6">
                  <c:v>0.53785316724092247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722688"/>
        <c:axId val="85654848"/>
      </c:barChart>
      <c:catAx>
        <c:axId val="44722688"/>
        <c:scaling>
          <c:orientation val="minMax"/>
        </c:scaling>
        <c:delete val="0"/>
        <c:axPos val="b"/>
        <c:majorTickMark val="cross"/>
        <c:minorTickMark val="cross"/>
        <c:tickLblPos val="nextTo"/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pt-BR"/>
          </a:p>
        </c:txPr>
        <c:crossAx val="85654848"/>
        <c:crosses val="autoZero"/>
        <c:auto val="1"/>
        <c:lblAlgn val="ctr"/>
        <c:lblOffset val="100"/>
        <c:noMultiLvlLbl val="1"/>
      </c:catAx>
      <c:valAx>
        <c:axId val="856548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0.00%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pt-BR"/>
          </a:p>
        </c:txPr>
        <c:crossAx val="4472268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2</xdr:row>
      <xdr:rowOff>161925</xdr:rowOff>
    </xdr:from>
    <xdr:to>
      <xdr:col>17</xdr:col>
      <xdr:colOff>171450</xdr:colOff>
      <xdr:row>21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28"/>
  <sheetViews>
    <sheetView showGridLines="0" tabSelected="1" topLeftCell="A823" workbookViewId="0"/>
  </sheetViews>
  <sheetFormatPr defaultColWidth="14.42578125" defaultRowHeight="15" customHeight="1"/>
  <cols>
    <col min="1" max="1" width="3" customWidth="1"/>
    <col min="2" max="2" width="1" customWidth="1"/>
    <col min="3" max="3" width="5.5703125" customWidth="1"/>
    <col min="4" max="4" width="74.28515625" customWidth="1"/>
    <col min="5" max="6" width="11.5703125" customWidth="1"/>
    <col min="7" max="7" width="18.5703125" customWidth="1"/>
    <col min="8" max="8" width="18.7109375" customWidth="1"/>
    <col min="9" max="9" width="16" customWidth="1"/>
    <col min="10" max="10" width="14.5703125" customWidth="1"/>
    <col min="11" max="11" width="14.28515625" customWidth="1"/>
    <col min="12" max="13" width="8.7109375" customWidth="1"/>
    <col min="14" max="14" width="17.42578125" customWidth="1"/>
    <col min="15" max="20" width="8.7109375" customWidth="1"/>
    <col min="21" max="21" width="14.42578125" hidden="1" customWidth="1"/>
  </cols>
  <sheetData>
    <row r="1" spans="1:21" ht="42">
      <c r="A1" s="1"/>
      <c r="B1" s="59" t="s">
        <v>0</v>
      </c>
      <c r="C1" s="60"/>
      <c r="D1" s="60"/>
      <c r="E1" s="60"/>
      <c r="F1" s="60"/>
      <c r="G1" s="60"/>
      <c r="H1" s="60"/>
      <c r="I1" s="60"/>
      <c r="J1" s="60"/>
      <c r="K1" s="61"/>
      <c r="U1" s="2" t="s">
        <v>1</v>
      </c>
    </row>
    <row r="2" spans="1:21" ht="28.5">
      <c r="A2" s="52" t="s">
        <v>2</v>
      </c>
      <c r="B2" s="53"/>
      <c r="C2" s="53"/>
      <c r="D2" s="54"/>
      <c r="E2" s="67">
        <f>AVERAGE(K16,K38,K56,K78,K102,K120,K138,K152,K164,K178,K191,K203,K215,K226,K251,K265,K275,K293,K306,K319,K326,K335,K343,K350,K358,K365,K373,K395,K417,K442,K458,K472,K487,K504,K523,K533,K542,K569,K600,K616,K637,K653,K663,K678,K692,K719,K728)</f>
        <v>0.51818734457032334</v>
      </c>
      <c r="F2" s="65"/>
      <c r="G2" s="3" t="s">
        <v>1</v>
      </c>
      <c r="H2" s="68" t="s">
        <v>3</v>
      </c>
      <c r="I2" s="65"/>
      <c r="J2" s="4"/>
      <c r="K2" s="5">
        <v>43068</v>
      </c>
      <c r="U2" s="2" t="s">
        <v>4</v>
      </c>
    </row>
    <row r="3" spans="1:21">
      <c r="A3" s="62">
        <v>1</v>
      </c>
      <c r="B3" s="46" t="s">
        <v>5</v>
      </c>
      <c r="C3" s="47"/>
      <c r="D3" s="48"/>
      <c r="E3" s="64" t="s">
        <v>6</v>
      </c>
      <c r="F3" s="65"/>
      <c r="G3" s="64" t="s">
        <v>7</v>
      </c>
      <c r="H3" s="65"/>
      <c r="I3" s="64" t="s">
        <v>8</v>
      </c>
      <c r="J3" s="66"/>
      <c r="K3" s="65"/>
      <c r="U3" s="2" t="s">
        <v>9</v>
      </c>
    </row>
    <row r="4" spans="1:21">
      <c r="A4" s="63"/>
      <c r="B4" s="49"/>
      <c r="C4" s="50"/>
      <c r="D4" s="51"/>
      <c r="E4" s="6" t="s">
        <v>10</v>
      </c>
      <c r="F4" s="6" t="s">
        <v>11</v>
      </c>
      <c r="G4" s="7" t="s">
        <v>12</v>
      </c>
      <c r="H4" s="7" t="s">
        <v>13</v>
      </c>
      <c r="I4" s="7" t="s">
        <v>14</v>
      </c>
      <c r="J4" s="7" t="s">
        <v>15</v>
      </c>
      <c r="K4" s="7" t="s">
        <v>16</v>
      </c>
      <c r="U4" s="2" t="s">
        <v>17</v>
      </c>
    </row>
    <row r="5" spans="1:21">
      <c r="A5" s="8"/>
      <c r="C5" s="9" t="s">
        <v>18</v>
      </c>
      <c r="D5" s="10" t="s">
        <v>19</v>
      </c>
      <c r="E5" s="11">
        <v>42919</v>
      </c>
      <c r="F5" s="11">
        <v>43084</v>
      </c>
      <c r="G5" s="12" t="s">
        <v>20</v>
      </c>
      <c r="H5" s="12"/>
      <c r="I5" s="12" t="s">
        <v>17</v>
      </c>
      <c r="J5" s="13">
        <v>42930</v>
      </c>
      <c r="K5" s="14">
        <v>0</v>
      </c>
      <c r="U5" s="15"/>
    </row>
    <row r="6" spans="1:21">
      <c r="A6" s="8"/>
      <c r="C6" s="9" t="s">
        <v>21</v>
      </c>
      <c r="D6" s="10" t="s">
        <v>22</v>
      </c>
      <c r="E6" s="11">
        <v>42919</v>
      </c>
      <c r="F6" s="11">
        <v>43084</v>
      </c>
      <c r="G6" s="12" t="s">
        <v>20</v>
      </c>
      <c r="H6" s="12"/>
      <c r="I6" s="12" t="s">
        <v>1</v>
      </c>
      <c r="J6" s="13">
        <v>42933</v>
      </c>
      <c r="K6" s="14">
        <v>1</v>
      </c>
      <c r="U6" s="16"/>
    </row>
    <row r="7" spans="1:21">
      <c r="A7" s="8"/>
      <c r="C7" s="9" t="s">
        <v>23</v>
      </c>
      <c r="D7" s="17" t="s">
        <v>24</v>
      </c>
      <c r="E7" s="11">
        <v>42919</v>
      </c>
      <c r="F7" s="11">
        <v>43084</v>
      </c>
      <c r="G7" s="12" t="s">
        <v>20</v>
      </c>
      <c r="H7" s="12"/>
      <c r="I7" s="12" t="s">
        <v>1</v>
      </c>
      <c r="J7" s="18">
        <v>42937</v>
      </c>
      <c r="K7" s="14">
        <v>1</v>
      </c>
      <c r="U7" s="16"/>
    </row>
    <row r="8" spans="1:21">
      <c r="A8" s="8"/>
      <c r="C8" s="9" t="s">
        <v>25</v>
      </c>
      <c r="D8" s="17" t="s">
        <v>26</v>
      </c>
      <c r="E8" s="11">
        <v>42919</v>
      </c>
      <c r="F8" s="11">
        <v>43084</v>
      </c>
      <c r="G8" s="12" t="s">
        <v>20</v>
      </c>
      <c r="H8" s="12"/>
      <c r="I8" s="12" t="s">
        <v>1</v>
      </c>
      <c r="J8" s="18">
        <v>42940</v>
      </c>
      <c r="K8" s="14">
        <v>1</v>
      </c>
      <c r="U8" s="16"/>
    </row>
    <row r="9" spans="1:21">
      <c r="A9" s="8"/>
      <c r="C9" s="9" t="s">
        <v>27</v>
      </c>
      <c r="D9" s="17" t="s">
        <v>28</v>
      </c>
      <c r="E9" s="11">
        <v>42919</v>
      </c>
      <c r="F9" s="11">
        <v>43084</v>
      </c>
      <c r="G9" s="12"/>
      <c r="H9" s="12" t="s">
        <v>29</v>
      </c>
      <c r="I9" s="12" t="s">
        <v>1</v>
      </c>
      <c r="J9" s="18">
        <v>42941</v>
      </c>
      <c r="K9" s="14">
        <v>1</v>
      </c>
      <c r="U9" s="16"/>
    </row>
    <row r="10" spans="1:21">
      <c r="A10" s="8"/>
      <c r="C10" s="9" t="s">
        <v>30</v>
      </c>
      <c r="D10" s="17" t="s">
        <v>31</v>
      </c>
      <c r="E10" s="11">
        <v>42919</v>
      </c>
      <c r="F10" s="11">
        <v>43084</v>
      </c>
      <c r="G10" s="12"/>
      <c r="H10" s="12" t="s">
        <v>29</v>
      </c>
      <c r="I10" s="12" t="s">
        <v>1</v>
      </c>
      <c r="J10" s="18">
        <v>42944</v>
      </c>
      <c r="K10" s="14">
        <v>1</v>
      </c>
      <c r="U10" s="16"/>
    </row>
    <row r="11" spans="1:21">
      <c r="A11" s="8"/>
      <c r="C11" s="9" t="s">
        <v>32</v>
      </c>
      <c r="D11" s="17" t="s">
        <v>33</v>
      </c>
      <c r="E11" s="11">
        <v>42919</v>
      </c>
      <c r="F11" s="11">
        <v>43084</v>
      </c>
      <c r="G11" s="12"/>
      <c r="H11" s="12" t="s">
        <v>29</v>
      </c>
      <c r="I11" s="12" t="s">
        <v>1</v>
      </c>
      <c r="J11" s="18">
        <v>42951</v>
      </c>
      <c r="K11" s="14">
        <v>1</v>
      </c>
      <c r="U11" s="16"/>
    </row>
    <row r="12" spans="1:21">
      <c r="A12" s="8"/>
      <c r="C12" s="9" t="s">
        <v>34</v>
      </c>
      <c r="D12" s="17" t="s">
        <v>35</v>
      </c>
      <c r="E12" s="11">
        <v>42919</v>
      </c>
      <c r="F12" s="11">
        <v>43084</v>
      </c>
      <c r="G12" s="12" t="s">
        <v>20</v>
      </c>
      <c r="H12" s="12"/>
      <c r="I12" s="12" t="s">
        <v>1</v>
      </c>
      <c r="J12" s="18">
        <v>42954</v>
      </c>
      <c r="K12" s="14">
        <v>1</v>
      </c>
      <c r="U12" s="16"/>
    </row>
    <row r="13" spans="1:21">
      <c r="A13" s="8"/>
      <c r="C13" s="9" t="s">
        <v>36</v>
      </c>
      <c r="D13" s="17" t="s">
        <v>37</v>
      </c>
      <c r="E13" s="11">
        <v>42919</v>
      </c>
      <c r="F13" s="11">
        <v>43084</v>
      </c>
      <c r="G13" s="12" t="s">
        <v>20</v>
      </c>
      <c r="H13" s="12"/>
      <c r="I13" s="12" t="s">
        <v>1</v>
      </c>
      <c r="J13" s="18">
        <v>42962</v>
      </c>
      <c r="K13" s="14">
        <v>1</v>
      </c>
      <c r="U13" s="16"/>
    </row>
    <row r="14" spans="1:21">
      <c r="A14" s="8"/>
      <c r="C14" s="9" t="s">
        <v>38</v>
      </c>
      <c r="D14" s="17" t="s">
        <v>39</v>
      </c>
      <c r="E14" s="11">
        <v>42919</v>
      </c>
      <c r="F14" s="11">
        <v>43084</v>
      </c>
      <c r="G14" s="12" t="s">
        <v>20</v>
      </c>
      <c r="H14" s="12"/>
      <c r="I14" s="12" t="s">
        <v>1</v>
      </c>
      <c r="J14" s="18">
        <v>42965</v>
      </c>
      <c r="K14" s="14">
        <v>1</v>
      </c>
      <c r="U14" s="16"/>
    </row>
    <row r="15" spans="1:21">
      <c r="A15" s="8"/>
      <c r="C15" s="9" t="s">
        <v>40</v>
      </c>
      <c r="D15" s="17" t="s">
        <v>41</v>
      </c>
      <c r="E15" s="11">
        <v>42979</v>
      </c>
      <c r="F15" s="11">
        <v>42979</v>
      </c>
      <c r="G15" s="12"/>
      <c r="H15" s="12" t="s">
        <v>29</v>
      </c>
      <c r="I15" s="12" t="s">
        <v>1</v>
      </c>
      <c r="J15" s="18">
        <v>42979</v>
      </c>
      <c r="K15" s="14">
        <v>1</v>
      </c>
      <c r="U15" s="16"/>
    </row>
    <row r="16" spans="1:21" ht="18.75">
      <c r="A16" s="8"/>
      <c r="G16" s="8"/>
      <c r="H16" s="55" t="s">
        <v>42</v>
      </c>
      <c r="I16" s="56"/>
      <c r="J16" s="57"/>
      <c r="K16" s="19">
        <f>AVERAGE(K5:K15)</f>
        <v>0.90909090909090906</v>
      </c>
      <c r="U16" s="16"/>
    </row>
    <row r="17" spans="1:21" ht="18.75">
      <c r="A17" s="8"/>
      <c r="B17" s="20"/>
      <c r="C17" s="20"/>
      <c r="D17" s="20"/>
      <c r="E17" s="20"/>
      <c r="F17" s="20"/>
      <c r="G17" s="8"/>
      <c r="H17" s="21"/>
      <c r="I17" s="21"/>
      <c r="J17" s="21"/>
      <c r="K17" s="22"/>
      <c r="L17" s="20"/>
      <c r="M17" s="20"/>
      <c r="N17" s="20"/>
      <c r="O17" s="20"/>
      <c r="P17" s="20"/>
      <c r="Q17" s="20"/>
      <c r="R17" s="20"/>
      <c r="S17" s="20"/>
      <c r="T17" s="20"/>
      <c r="U17" s="16"/>
    </row>
    <row r="18" spans="1:21">
      <c r="A18" s="62">
        <v>2</v>
      </c>
      <c r="B18" s="46" t="s">
        <v>43</v>
      </c>
      <c r="C18" s="47"/>
      <c r="D18" s="48"/>
      <c r="E18" s="64" t="s">
        <v>6</v>
      </c>
      <c r="F18" s="65"/>
      <c r="G18" s="64" t="s">
        <v>7</v>
      </c>
      <c r="H18" s="65"/>
      <c r="I18" s="64" t="s">
        <v>8</v>
      </c>
      <c r="J18" s="66"/>
      <c r="K18" s="65"/>
      <c r="U18" s="16"/>
    </row>
    <row r="19" spans="1:21">
      <c r="A19" s="63"/>
      <c r="B19" s="49"/>
      <c r="C19" s="50"/>
      <c r="D19" s="51"/>
      <c r="E19" s="6" t="s">
        <v>10</v>
      </c>
      <c r="F19" s="6" t="s">
        <v>11</v>
      </c>
      <c r="G19" s="7" t="s">
        <v>12</v>
      </c>
      <c r="H19" s="7" t="s">
        <v>13</v>
      </c>
      <c r="I19" s="7" t="s">
        <v>14</v>
      </c>
      <c r="J19" s="7" t="s">
        <v>15</v>
      </c>
      <c r="K19" s="7" t="s">
        <v>16</v>
      </c>
      <c r="U19" s="16"/>
    </row>
    <row r="20" spans="1:21">
      <c r="A20" s="8"/>
      <c r="C20" s="9" t="s">
        <v>44</v>
      </c>
      <c r="D20" s="10" t="s">
        <v>45</v>
      </c>
      <c r="E20" s="11">
        <v>42919</v>
      </c>
      <c r="F20" s="11">
        <v>43084</v>
      </c>
      <c r="G20" s="12" t="s">
        <v>46</v>
      </c>
      <c r="H20" s="12"/>
      <c r="I20" s="12" t="s">
        <v>1</v>
      </c>
      <c r="J20" s="13">
        <v>42923</v>
      </c>
      <c r="K20" s="14">
        <v>1</v>
      </c>
      <c r="U20" s="16"/>
    </row>
    <row r="21" spans="1:21" ht="15.75" customHeight="1">
      <c r="A21" s="8"/>
      <c r="C21" s="9" t="s">
        <v>47</v>
      </c>
      <c r="D21" s="10" t="s">
        <v>48</v>
      </c>
      <c r="E21" s="11">
        <v>42919</v>
      </c>
      <c r="F21" s="11">
        <v>43084</v>
      </c>
      <c r="G21" s="12" t="s">
        <v>46</v>
      </c>
      <c r="H21" s="12"/>
      <c r="I21" s="12" t="s">
        <v>1</v>
      </c>
      <c r="J21" s="13">
        <v>42926</v>
      </c>
      <c r="K21" s="14">
        <v>1</v>
      </c>
      <c r="U21" s="16"/>
    </row>
    <row r="22" spans="1:21" ht="15.75" customHeight="1">
      <c r="A22" s="8"/>
      <c r="C22" s="9" t="s">
        <v>49</v>
      </c>
      <c r="D22" s="10" t="s">
        <v>50</v>
      </c>
      <c r="E22" s="11">
        <v>42919</v>
      </c>
      <c r="F22" s="11">
        <v>43084</v>
      </c>
      <c r="G22" s="12" t="s">
        <v>51</v>
      </c>
      <c r="H22" s="12"/>
      <c r="I22" s="12" t="s">
        <v>1</v>
      </c>
      <c r="J22" s="13">
        <v>42927</v>
      </c>
      <c r="K22" s="14">
        <v>1</v>
      </c>
      <c r="U22" s="16"/>
    </row>
    <row r="23" spans="1:21" ht="15.75" customHeight="1">
      <c r="A23" s="8"/>
      <c r="C23" s="9" t="s">
        <v>52</v>
      </c>
      <c r="D23" s="10" t="s">
        <v>53</v>
      </c>
      <c r="E23" s="11">
        <v>42919</v>
      </c>
      <c r="F23" s="11">
        <v>43084</v>
      </c>
      <c r="G23" s="12" t="s">
        <v>51</v>
      </c>
      <c r="H23" s="12"/>
      <c r="I23" s="12" t="s">
        <v>1</v>
      </c>
      <c r="J23" s="13">
        <v>42930</v>
      </c>
      <c r="K23" s="14">
        <v>1</v>
      </c>
      <c r="U23" s="16"/>
    </row>
    <row r="24" spans="1:21" ht="15.75" customHeight="1">
      <c r="A24" s="8"/>
      <c r="C24" s="9" t="s">
        <v>54</v>
      </c>
      <c r="D24" s="17" t="s">
        <v>55</v>
      </c>
      <c r="E24" s="11">
        <v>42919</v>
      </c>
      <c r="F24" s="11">
        <v>43084</v>
      </c>
      <c r="G24" s="12" t="s">
        <v>20</v>
      </c>
      <c r="H24" s="12"/>
      <c r="I24" s="12" t="s">
        <v>1</v>
      </c>
      <c r="J24" s="13">
        <v>42934</v>
      </c>
      <c r="K24" s="14">
        <v>1</v>
      </c>
      <c r="U24" s="16"/>
    </row>
    <row r="25" spans="1:21" ht="15.75" customHeight="1">
      <c r="A25" s="8"/>
      <c r="C25" s="9" t="s">
        <v>56</v>
      </c>
      <c r="D25" s="17" t="s">
        <v>57</v>
      </c>
      <c r="E25" s="11">
        <v>42919</v>
      </c>
      <c r="F25" s="11">
        <v>43084</v>
      </c>
      <c r="G25" s="12" t="s">
        <v>20</v>
      </c>
      <c r="H25" s="12"/>
      <c r="I25" s="12" t="s">
        <v>1</v>
      </c>
      <c r="J25" s="13">
        <v>42937</v>
      </c>
      <c r="K25" s="14">
        <v>1</v>
      </c>
      <c r="U25" s="16"/>
    </row>
    <row r="26" spans="1:21" ht="15.75" customHeight="1">
      <c r="A26" s="8"/>
      <c r="C26" s="9" t="s">
        <v>58</v>
      </c>
      <c r="D26" s="10" t="s">
        <v>59</v>
      </c>
      <c r="E26" s="11">
        <v>42919</v>
      </c>
      <c r="F26" s="11">
        <v>43084</v>
      </c>
      <c r="G26" s="12" t="s">
        <v>20</v>
      </c>
      <c r="H26" s="12"/>
      <c r="I26" s="12" t="s">
        <v>1</v>
      </c>
      <c r="J26" s="13">
        <v>42948</v>
      </c>
      <c r="K26" s="14">
        <v>1</v>
      </c>
      <c r="U26" s="16"/>
    </row>
    <row r="27" spans="1:21" ht="15.75" customHeight="1">
      <c r="A27" s="8"/>
      <c r="C27" s="9" t="s">
        <v>60</v>
      </c>
      <c r="D27" s="17" t="s">
        <v>61</v>
      </c>
      <c r="E27" s="11">
        <v>42919</v>
      </c>
      <c r="F27" s="11">
        <v>43084</v>
      </c>
      <c r="G27" s="12" t="s">
        <v>20</v>
      </c>
      <c r="H27" s="23"/>
      <c r="I27" s="12" t="s">
        <v>1</v>
      </c>
      <c r="J27" s="18">
        <v>42972</v>
      </c>
      <c r="K27" s="14">
        <v>1</v>
      </c>
      <c r="U27" s="16"/>
    </row>
    <row r="28" spans="1:21" ht="15.75" customHeight="1">
      <c r="A28" s="8"/>
      <c r="C28" s="9" t="s">
        <v>62</v>
      </c>
      <c r="D28" s="17" t="s">
        <v>63</v>
      </c>
      <c r="E28" s="11">
        <v>42919</v>
      </c>
      <c r="F28" s="11">
        <v>43084</v>
      </c>
      <c r="G28" s="12" t="s">
        <v>20</v>
      </c>
      <c r="H28" s="23"/>
      <c r="I28" s="12" t="s">
        <v>1</v>
      </c>
      <c r="J28" s="18">
        <v>42978</v>
      </c>
      <c r="K28" s="14">
        <v>1</v>
      </c>
      <c r="U28" s="16"/>
    </row>
    <row r="29" spans="1:21" ht="15.75" customHeight="1">
      <c r="A29" s="8"/>
      <c r="C29" s="9" t="s">
        <v>64</v>
      </c>
      <c r="D29" s="17" t="s">
        <v>65</v>
      </c>
      <c r="E29" s="11">
        <v>42919</v>
      </c>
      <c r="F29" s="11">
        <v>43084</v>
      </c>
      <c r="G29" s="12" t="s">
        <v>20</v>
      </c>
      <c r="H29" s="23"/>
      <c r="I29" s="12" t="s">
        <v>1</v>
      </c>
      <c r="J29" s="18">
        <v>42993</v>
      </c>
      <c r="K29" s="14">
        <v>1</v>
      </c>
      <c r="U29" s="16"/>
    </row>
    <row r="30" spans="1:21" ht="15.75" customHeight="1">
      <c r="A30" s="8"/>
      <c r="C30" s="9" t="s">
        <v>66</v>
      </c>
      <c r="D30" s="17" t="s">
        <v>67</v>
      </c>
      <c r="E30" s="11">
        <v>42919</v>
      </c>
      <c r="F30" s="11">
        <v>43084</v>
      </c>
      <c r="G30" s="12" t="s">
        <v>20</v>
      </c>
      <c r="H30" s="23"/>
      <c r="I30" s="12" t="s">
        <v>1</v>
      </c>
      <c r="J30" s="18">
        <v>42990</v>
      </c>
      <c r="K30" s="14">
        <v>1</v>
      </c>
      <c r="U30" s="16"/>
    </row>
    <row r="31" spans="1:21" ht="15.75" customHeight="1">
      <c r="A31" s="8"/>
      <c r="C31" s="9" t="s">
        <v>68</v>
      </c>
      <c r="D31" s="17" t="s">
        <v>69</v>
      </c>
      <c r="E31" s="11">
        <v>42919</v>
      </c>
      <c r="F31" s="11">
        <v>43084</v>
      </c>
      <c r="G31" s="12" t="s">
        <v>20</v>
      </c>
      <c r="H31" s="23"/>
      <c r="I31" s="12" t="s">
        <v>1</v>
      </c>
      <c r="J31" s="18">
        <v>42993</v>
      </c>
      <c r="K31" s="14">
        <v>1</v>
      </c>
      <c r="U31" s="16"/>
    </row>
    <row r="32" spans="1:21" ht="15.75" customHeight="1">
      <c r="A32" s="8"/>
      <c r="C32" s="9" t="s">
        <v>70</v>
      </c>
      <c r="D32" s="17" t="s">
        <v>71</v>
      </c>
      <c r="E32" s="11">
        <v>42919</v>
      </c>
      <c r="F32" s="11">
        <v>43084</v>
      </c>
      <c r="G32" s="12" t="s">
        <v>20</v>
      </c>
      <c r="H32" s="12"/>
      <c r="I32" s="12" t="s">
        <v>1</v>
      </c>
      <c r="J32" s="24">
        <v>42972</v>
      </c>
      <c r="K32" s="14">
        <v>1</v>
      </c>
      <c r="U32" s="16"/>
    </row>
    <row r="33" spans="1:21" ht="15.75" customHeight="1">
      <c r="A33" s="8"/>
      <c r="C33" s="9" t="s">
        <v>72</v>
      </c>
      <c r="D33" s="17" t="s">
        <v>73</v>
      </c>
      <c r="E33" s="11">
        <v>42919</v>
      </c>
      <c r="F33" s="11">
        <v>43084</v>
      </c>
      <c r="G33" s="12" t="s">
        <v>20</v>
      </c>
      <c r="H33" s="23"/>
      <c r="I33" s="12" t="s">
        <v>1</v>
      </c>
      <c r="J33" s="18">
        <v>43010</v>
      </c>
      <c r="K33" s="14">
        <v>1</v>
      </c>
      <c r="U33" s="16"/>
    </row>
    <row r="34" spans="1:21" ht="15.75" customHeight="1">
      <c r="A34" s="8"/>
      <c r="C34" s="9" t="s">
        <v>74</v>
      </c>
      <c r="D34" s="17" t="s">
        <v>75</v>
      </c>
      <c r="E34" s="11">
        <v>42919</v>
      </c>
      <c r="F34" s="11">
        <v>43084</v>
      </c>
      <c r="G34" s="12" t="s">
        <v>20</v>
      </c>
      <c r="H34" s="12"/>
      <c r="I34" s="12" t="s">
        <v>1</v>
      </c>
      <c r="J34" s="18">
        <v>42998</v>
      </c>
      <c r="K34" s="14">
        <v>1</v>
      </c>
      <c r="U34" s="16"/>
    </row>
    <row r="35" spans="1:21" ht="15.75" customHeight="1">
      <c r="A35" s="8"/>
      <c r="C35" s="9" t="s">
        <v>76</v>
      </c>
      <c r="D35" s="17" t="s">
        <v>77</v>
      </c>
      <c r="E35" s="11">
        <v>42919</v>
      </c>
      <c r="F35" s="11">
        <v>43084</v>
      </c>
      <c r="G35" s="12" t="s">
        <v>20</v>
      </c>
      <c r="H35" s="12"/>
      <c r="I35" s="12" t="s">
        <v>1</v>
      </c>
      <c r="J35" s="18">
        <v>42957</v>
      </c>
      <c r="K35" s="14">
        <v>1</v>
      </c>
      <c r="U35" s="16"/>
    </row>
    <row r="36" spans="1:21" ht="15.75" customHeight="1">
      <c r="A36" s="8"/>
      <c r="C36" s="9" t="s">
        <v>78</v>
      </c>
      <c r="D36" s="17" t="s">
        <v>79</v>
      </c>
      <c r="E36" s="11">
        <v>42919</v>
      </c>
      <c r="F36" s="11">
        <v>43084</v>
      </c>
      <c r="G36" s="12" t="s">
        <v>20</v>
      </c>
      <c r="H36" s="12"/>
      <c r="I36" s="12" t="s">
        <v>1</v>
      </c>
      <c r="J36" s="18">
        <v>42978</v>
      </c>
      <c r="K36" s="14">
        <v>1</v>
      </c>
      <c r="U36" s="16"/>
    </row>
    <row r="37" spans="1:21" ht="15.75" customHeight="1">
      <c r="A37" s="8"/>
      <c r="C37" s="9" t="s">
        <v>80</v>
      </c>
      <c r="D37" s="17" t="s">
        <v>81</v>
      </c>
      <c r="E37" s="11">
        <v>42919</v>
      </c>
      <c r="F37" s="11">
        <v>43084</v>
      </c>
      <c r="G37" s="12" t="s">
        <v>20</v>
      </c>
      <c r="H37" s="23"/>
      <c r="I37" s="12" t="s">
        <v>1</v>
      </c>
      <c r="J37" s="18">
        <v>42993</v>
      </c>
      <c r="K37" s="14">
        <v>1</v>
      </c>
      <c r="U37" s="16"/>
    </row>
    <row r="38" spans="1:21" ht="15.75" customHeight="1">
      <c r="A38" s="8"/>
      <c r="H38" s="55" t="s">
        <v>42</v>
      </c>
      <c r="I38" s="56"/>
      <c r="J38" s="57"/>
      <c r="K38" s="19">
        <f>AVERAGE(K20:K37)</f>
        <v>1</v>
      </c>
      <c r="U38" s="16"/>
    </row>
    <row r="39" spans="1:21" ht="15.75" customHeight="1">
      <c r="A39" s="8"/>
      <c r="B39" s="20"/>
      <c r="C39" s="20"/>
      <c r="D39" s="20"/>
      <c r="E39" s="20"/>
      <c r="F39" s="20"/>
      <c r="G39" s="20"/>
      <c r="H39" s="21"/>
      <c r="I39" s="21"/>
      <c r="J39" s="21"/>
      <c r="K39" s="22"/>
      <c r="L39" s="20"/>
      <c r="M39" s="20"/>
      <c r="N39" s="20"/>
      <c r="O39" s="20"/>
      <c r="P39" s="20"/>
      <c r="Q39" s="20"/>
      <c r="R39" s="20"/>
      <c r="S39" s="20"/>
      <c r="T39" s="20"/>
      <c r="U39" s="16"/>
    </row>
    <row r="40" spans="1:21" ht="15.75" customHeight="1">
      <c r="A40" s="62">
        <v>3</v>
      </c>
      <c r="B40" s="46" t="s">
        <v>82</v>
      </c>
      <c r="C40" s="47"/>
      <c r="D40" s="48"/>
      <c r="E40" s="64" t="s">
        <v>6</v>
      </c>
      <c r="F40" s="65"/>
      <c r="G40" s="64" t="s">
        <v>7</v>
      </c>
      <c r="H40" s="65"/>
      <c r="I40" s="64" t="s">
        <v>8</v>
      </c>
      <c r="J40" s="66"/>
      <c r="K40" s="65"/>
      <c r="U40" s="16"/>
    </row>
    <row r="41" spans="1:21" ht="15.75" customHeight="1">
      <c r="A41" s="63"/>
      <c r="B41" s="49"/>
      <c r="C41" s="50"/>
      <c r="D41" s="51"/>
      <c r="E41" s="6" t="s">
        <v>10</v>
      </c>
      <c r="F41" s="6" t="s">
        <v>11</v>
      </c>
      <c r="G41" s="7" t="s">
        <v>12</v>
      </c>
      <c r="H41" s="7" t="s">
        <v>13</v>
      </c>
      <c r="I41" s="7" t="s">
        <v>14</v>
      </c>
      <c r="J41" s="7" t="s">
        <v>15</v>
      </c>
      <c r="K41" s="7" t="s">
        <v>16</v>
      </c>
      <c r="U41" s="16"/>
    </row>
    <row r="42" spans="1:21" ht="15.75" customHeight="1">
      <c r="A42" s="8"/>
      <c r="C42" s="9" t="s">
        <v>83</v>
      </c>
      <c r="D42" s="10" t="s">
        <v>84</v>
      </c>
      <c r="E42" s="11">
        <v>42919</v>
      </c>
      <c r="F42" s="11">
        <v>43084</v>
      </c>
      <c r="G42" s="12" t="s">
        <v>20</v>
      </c>
      <c r="H42" s="23"/>
      <c r="I42" s="12" t="s">
        <v>1</v>
      </c>
      <c r="J42" s="18">
        <v>43007</v>
      </c>
      <c r="K42" s="14">
        <v>1</v>
      </c>
      <c r="U42" s="16"/>
    </row>
    <row r="43" spans="1:21" ht="15.75" customHeight="1">
      <c r="A43" s="8"/>
      <c r="C43" s="25" t="s">
        <v>85</v>
      </c>
      <c r="D43" s="17" t="s">
        <v>86</v>
      </c>
      <c r="E43" s="11">
        <v>42919</v>
      </c>
      <c r="F43" s="11">
        <v>43084</v>
      </c>
      <c r="G43" s="12" t="s">
        <v>20</v>
      </c>
      <c r="H43" s="23"/>
      <c r="I43" s="12" t="s">
        <v>1</v>
      </c>
      <c r="J43" s="18">
        <v>43007</v>
      </c>
      <c r="K43" s="14">
        <v>1</v>
      </c>
      <c r="U43" s="16"/>
    </row>
    <row r="44" spans="1:21" ht="15.75" customHeight="1">
      <c r="A44" s="8"/>
      <c r="C44" s="25" t="s">
        <v>87</v>
      </c>
      <c r="D44" s="17" t="s">
        <v>88</v>
      </c>
      <c r="E44" s="11">
        <v>42919</v>
      </c>
      <c r="F44" s="11">
        <v>43084</v>
      </c>
      <c r="G44" s="12" t="s">
        <v>20</v>
      </c>
      <c r="H44" s="23"/>
      <c r="I44" s="12" t="s">
        <v>1</v>
      </c>
      <c r="J44" s="18">
        <v>43007</v>
      </c>
      <c r="K44" s="14">
        <v>1</v>
      </c>
      <c r="U44" s="16"/>
    </row>
    <row r="45" spans="1:21" ht="15.75" customHeight="1">
      <c r="A45" s="8"/>
      <c r="C45" s="25" t="s">
        <v>89</v>
      </c>
      <c r="D45" s="17" t="s">
        <v>90</v>
      </c>
      <c r="E45" s="11">
        <v>42919</v>
      </c>
      <c r="F45" s="11">
        <v>43084</v>
      </c>
      <c r="G45" s="12" t="s">
        <v>20</v>
      </c>
      <c r="H45" s="23"/>
      <c r="I45" s="12" t="s">
        <v>1</v>
      </c>
      <c r="J45" s="18">
        <v>42998</v>
      </c>
      <c r="K45" s="14">
        <v>1</v>
      </c>
      <c r="U45" s="16"/>
    </row>
    <row r="46" spans="1:21" ht="15.75" customHeight="1">
      <c r="A46" s="8"/>
      <c r="C46" s="25" t="s">
        <v>91</v>
      </c>
      <c r="D46" s="17" t="s">
        <v>92</v>
      </c>
      <c r="E46" s="11">
        <v>42919</v>
      </c>
      <c r="F46" s="11">
        <v>43084</v>
      </c>
      <c r="G46" s="12" t="s">
        <v>20</v>
      </c>
      <c r="H46" s="23"/>
      <c r="I46" s="12" t="s">
        <v>1</v>
      </c>
      <c r="J46" s="18">
        <v>43000</v>
      </c>
      <c r="K46" s="14">
        <v>1</v>
      </c>
      <c r="U46" s="16"/>
    </row>
    <row r="47" spans="1:21" ht="15.75" customHeight="1">
      <c r="A47" s="8"/>
      <c r="C47" s="25" t="s">
        <v>93</v>
      </c>
      <c r="D47" s="17" t="s">
        <v>94</v>
      </c>
      <c r="E47" s="11">
        <v>42919</v>
      </c>
      <c r="F47" s="11">
        <v>43084</v>
      </c>
      <c r="G47" s="12" t="s">
        <v>20</v>
      </c>
      <c r="H47" s="23"/>
      <c r="I47" s="12" t="s">
        <v>1</v>
      </c>
      <c r="J47" s="18">
        <v>43000</v>
      </c>
      <c r="K47" s="14">
        <v>1</v>
      </c>
      <c r="U47" s="16"/>
    </row>
    <row r="48" spans="1:21" ht="15.75" customHeight="1">
      <c r="A48" s="8"/>
      <c r="C48" s="25" t="s">
        <v>95</v>
      </c>
      <c r="D48" s="17" t="s">
        <v>96</v>
      </c>
      <c r="E48" s="11">
        <v>42919</v>
      </c>
      <c r="F48" s="11">
        <v>43084</v>
      </c>
      <c r="G48" s="12" t="s">
        <v>51</v>
      </c>
      <c r="H48" s="23"/>
      <c r="I48" s="12" t="s">
        <v>4</v>
      </c>
      <c r="J48" s="18"/>
      <c r="K48" s="14">
        <v>0.82</v>
      </c>
      <c r="U48" s="16"/>
    </row>
    <row r="49" spans="1:21" ht="15.75" customHeight="1">
      <c r="A49" s="8"/>
      <c r="C49" s="25" t="s">
        <v>97</v>
      </c>
      <c r="D49" s="17" t="s">
        <v>98</v>
      </c>
      <c r="E49" s="11">
        <v>42919</v>
      </c>
      <c r="F49" s="11">
        <v>43084</v>
      </c>
      <c r="G49" s="12" t="s">
        <v>20</v>
      </c>
      <c r="H49" s="23"/>
      <c r="I49" s="12" t="s">
        <v>1</v>
      </c>
      <c r="J49" s="18">
        <v>42926</v>
      </c>
      <c r="K49" s="14">
        <v>1</v>
      </c>
      <c r="U49" s="16"/>
    </row>
    <row r="50" spans="1:21" ht="15.75" customHeight="1">
      <c r="A50" s="8"/>
      <c r="C50" s="25" t="s">
        <v>99</v>
      </c>
      <c r="D50" s="17" t="s">
        <v>100</v>
      </c>
      <c r="E50" s="11">
        <v>42919</v>
      </c>
      <c r="F50" s="11">
        <v>43084</v>
      </c>
      <c r="G50" s="12"/>
      <c r="H50" s="23" t="s">
        <v>29</v>
      </c>
      <c r="I50" s="12" t="s">
        <v>1</v>
      </c>
      <c r="J50" s="18">
        <v>43010</v>
      </c>
      <c r="K50" s="14">
        <v>1</v>
      </c>
      <c r="U50" s="16"/>
    </row>
    <row r="51" spans="1:21" ht="15.75" customHeight="1">
      <c r="A51" s="8"/>
      <c r="C51" s="25" t="s">
        <v>101</v>
      </c>
      <c r="D51" s="17" t="s">
        <v>102</v>
      </c>
      <c r="E51" s="11">
        <v>42919</v>
      </c>
      <c r="F51" s="11">
        <v>43084</v>
      </c>
      <c r="G51" s="12" t="s">
        <v>20</v>
      </c>
      <c r="H51" s="23"/>
      <c r="I51" s="12" t="s">
        <v>1</v>
      </c>
      <c r="J51" s="18">
        <v>43035</v>
      </c>
      <c r="K51" s="14">
        <v>1</v>
      </c>
      <c r="U51" s="16"/>
    </row>
    <row r="52" spans="1:21" ht="15.75" customHeight="1">
      <c r="A52" s="8"/>
      <c r="C52" s="26" t="s">
        <v>103</v>
      </c>
      <c r="D52" s="27" t="s">
        <v>104</v>
      </c>
      <c r="E52" s="11">
        <v>42919</v>
      </c>
      <c r="F52" s="11">
        <v>43084</v>
      </c>
      <c r="G52" s="12" t="s">
        <v>20</v>
      </c>
      <c r="H52" s="23"/>
      <c r="I52" s="12" t="s">
        <v>1</v>
      </c>
      <c r="J52" s="18">
        <v>43039</v>
      </c>
      <c r="K52" s="14">
        <v>1</v>
      </c>
      <c r="U52" s="16"/>
    </row>
    <row r="53" spans="1:21" ht="15.75" customHeight="1">
      <c r="A53" s="8"/>
      <c r="C53" s="26" t="s">
        <v>105</v>
      </c>
      <c r="D53" s="27" t="s">
        <v>106</v>
      </c>
      <c r="E53" s="11">
        <v>42919</v>
      </c>
      <c r="F53" s="11">
        <v>43084</v>
      </c>
      <c r="G53" s="12"/>
      <c r="H53" s="23" t="s">
        <v>29</v>
      </c>
      <c r="I53" s="12" t="s">
        <v>1</v>
      </c>
      <c r="J53" s="18">
        <v>43038</v>
      </c>
      <c r="K53" s="14">
        <v>1</v>
      </c>
      <c r="U53" s="16"/>
    </row>
    <row r="54" spans="1:21" ht="15.75" customHeight="1">
      <c r="A54" s="8"/>
      <c r="C54" s="25" t="s">
        <v>107</v>
      </c>
      <c r="D54" s="17" t="s">
        <v>108</v>
      </c>
      <c r="E54" s="11">
        <v>42919</v>
      </c>
      <c r="F54" s="11">
        <v>43084</v>
      </c>
      <c r="G54" s="12"/>
      <c r="H54" s="23" t="s">
        <v>29</v>
      </c>
      <c r="I54" s="12" t="s">
        <v>1</v>
      </c>
      <c r="J54" s="18">
        <v>43045</v>
      </c>
      <c r="K54" s="14">
        <v>1</v>
      </c>
      <c r="U54" s="16"/>
    </row>
    <row r="55" spans="1:21" ht="15.75" customHeight="1">
      <c r="A55" s="8"/>
      <c r="C55" s="25" t="s">
        <v>109</v>
      </c>
      <c r="D55" s="17" t="s">
        <v>110</v>
      </c>
      <c r="E55" s="11">
        <v>42919</v>
      </c>
      <c r="F55" s="11">
        <v>43084</v>
      </c>
      <c r="G55" s="12"/>
      <c r="H55" s="23" t="s">
        <v>29</v>
      </c>
      <c r="I55" s="12" t="s">
        <v>1</v>
      </c>
      <c r="J55" s="18">
        <v>43049</v>
      </c>
      <c r="K55" s="14">
        <v>1</v>
      </c>
      <c r="U55" s="16"/>
    </row>
    <row r="56" spans="1:21" ht="15.75" customHeight="1">
      <c r="A56" s="8"/>
      <c r="H56" s="55" t="s">
        <v>42</v>
      </c>
      <c r="I56" s="56"/>
      <c r="J56" s="57"/>
      <c r="K56" s="19">
        <f>AVERAGE(K42:K55)</f>
        <v>0.98714285714285721</v>
      </c>
      <c r="U56" s="16"/>
    </row>
    <row r="57" spans="1:21" ht="15.75" customHeight="1">
      <c r="A57" s="8"/>
      <c r="B57" s="20"/>
      <c r="C57" s="20"/>
      <c r="D57" s="20"/>
      <c r="E57" s="20"/>
      <c r="F57" s="20"/>
      <c r="G57" s="20"/>
      <c r="H57" s="21"/>
      <c r="I57" s="21"/>
      <c r="J57" s="21"/>
      <c r="K57" s="22"/>
      <c r="L57" s="20"/>
      <c r="M57" s="20"/>
      <c r="N57" s="20"/>
      <c r="O57" s="20"/>
      <c r="P57" s="20"/>
      <c r="Q57" s="20"/>
      <c r="R57" s="20"/>
      <c r="S57" s="20"/>
      <c r="T57" s="20"/>
      <c r="U57" s="16"/>
    </row>
    <row r="58" spans="1:21" ht="15.75" customHeight="1">
      <c r="A58" s="62">
        <v>4</v>
      </c>
      <c r="B58" s="46" t="s">
        <v>111</v>
      </c>
      <c r="C58" s="47"/>
      <c r="D58" s="48"/>
      <c r="E58" s="64" t="s">
        <v>6</v>
      </c>
      <c r="F58" s="65"/>
      <c r="G58" s="64" t="s">
        <v>7</v>
      </c>
      <c r="H58" s="65"/>
      <c r="I58" s="64" t="s">
        <v>8</v>
      </c>
      <c r="J58" s="66"/>
      <c r="K58" s="65"/>
      <c r="U58" s="16"/>
    </row>
    <row r="59" spans="1:21" ht="15.75" customHeight="1">
      <c r="A59" s="63"/>
      <c r="B59" s="49"/>
      <c r="C59" s="50"/>
      <c r="D59" s="51"/>
      <c r="E59" s="6" t="s">
        <v>10</v>
      </c>
      <c r="F59" s="6" t="s">
        <v>11</v>
      </c>
      <c r="G59" s="7" t="s">
        <v>12</v>
      </c>
      <c r="H59" s="7" t="s">
        <v>13</v>
      </c>
      <c r="I59" s="7" t="s">
        <v>14</v>
      </c>
      <c r="J59" s="7" t="s">
        <v>15</v>
      </c>
      <c r="K59" s="7" t="s">
        <v>16</v>
      </c>
      <c r="U59" s="16"/>
    </row>
    <row r="60" spans="1:21" ht="15.75" customHeight="1">
      <c r="A60" s="8"/>
      <c r="C60" s="9" t="s">
        <v>112</v>
      </c>
      <c r="D60" s="10" t="s">
        <v>113</v>
      </c>
      <c r="E60" s="11">
        <v>42919</v>
      </c>
      <c r="F60" s="11">
        <v>43084</v>
      </c>
      <c r="G60" s="12" t="s">
        <v>20</v>
      </c>
      <c r="H60" s="12"/>
      <c r="I60" s="12" t="s">
        <v>1</v>
      </c>
      <c r="J60" s="18">
        <v>43060</v>
      </c>
      <c r="K60" s="14">
        <v>1</v>
      </c>
      <c r="U60" s="16"/>
    </row>
    <row r="61" spans="1:21" ht="15.75" customHeight="1">
      <c r="A61" s="8"/>
      <c r="C61" s="25" t="s">
        <v>114</v>
      </c>
      <c r="D61" s="17" t="s">
        <v>115</v>
      </c>
      <c r="E61" s="11">
        <v>42919</v>
      </c>
      <c r="F61" s="11">
        <v>43084</v>
      </c>
      <c r="G61" s="12" t="s">
        <v>20</v>
      </c>
      <c r="H61" s="12"/>
      <c r="I61" s="12" t="s">
        <v>1</v>
      </c>
      <c r="J61" s="18">
        <v>43060</v>
      </c>
      <c r="K61" s="14">
        <v>1</v>
      </c>
      <c r="U61" s="16"/>
    </row>
    <row r="62" spans="1:21" ht="15.75" customHeight="1">
      <c r="A62" s="8"/>
      <c r="C62" s="25" t="s">
        <v>116</v>
      </c>
      <c r="D62" s="17" t="s">
        <v>117</v>
      </c>
      <c r="E62" s="11">
        <v>42919</v>
      </c>
      <c r="F62" s="11">
        <v>43084</v>
      </c>
      <c r="G62" s="12" t="s">
        <v>20</v>
      </c>
      <c r="H62" s="12"/>
      <c r="I62" s="12" t="s">
        <v>1</v>
      </c>
      <c r="J62" s="18">
        <v>43060</v>
      </c>
      <c r="K62" s="14">
        <v>1</v>
      </c>
      <c r="U62" s="16"/>
    </row>
    <row r="63" spans="1:21" ht="15.75" customHeight="1">
      <c r="A63" s="8"/>
      <c r="C63" s="25" t="s">
        <v>118</v>
      </c>
      <c r="D63" s="17" t="s">
        <v>119</v>
      </c>
      <c r="E63" s="11">
        <v>42919</v>
      </c>
      <c r="F63" s="11">
        <v>43084</v>
      </c>
      <c r="G63" s="12" t="s">
        <v>20</v>
      </c>
      <c r="H63" s="12"/>
      <c r="I63" s="12" t="s">
        <v>1</v>
      </c>
      <c r="J63" s="18">
        <v>43060</v>
      </c>
      <c r="K63" s="14">
        <v>1</v>
      </c>
      <c r="U63" s="16"/>
    </row>
    <row r="64" spans="1:21" ht="15.75" customHeight="1">
      <c r="A64" s="8"/>
      <c r="C64" s="25" t="s">
        <v>120</v>
      </c>
      <c r="D64" s="17" t="s">
        <v>121</v>
      </c>
      <c r="E64" s="11">
        <v>42919</v>
      </c>
      <c r="F64" s="11">
        <v>43084</v>
      </c>
      <c r="G64" s="12" t="s">
        <v>20</v>
      </c>
      <c r="H64" s="12"/>
      <c r="I64" s="12" t="s">
        <v>1</v>
      </c>
      <c r="J64" s="18">
        <v>43060</v>
      </c>
      <c r="K64" s="14">
        <v>1</v>
      </c>
      <c r="U64" s="16"/>
    </row>
    <row r="65" spans="1:21" ht="15.75" customHeight="1">
      <c r="A65" s="8"/>
      <c r="C65" s="25" t="s">
        <v>122</v>
      </c>
      <c r="D65" s="17" t="s">
        <v>123</v>
      </c>
      <c r="E65" s="11">
        <v>42919</v>
      </c>
      <c r="F65" s="11">
        <v>43084</v>
      </c>
      <c r="G65" s="12" t="s">
        <v>20</v>
      </c>
      <c r="H65" s="12"/>
      <c r="I65" s="12" t="s">
        <v>1</v>
      </c>
      <c r="J65" s="18">
        <v>43060</v>
      </c>
      <c r="K65" s="14">
        <v>1</v>
      </c>
      <c r="U65" s="16"/>
    </row>
    <row r="66" spans="1:21" ht="15.75" customHeight="1">
      <c r="A66" s="8"/>
      <c r="C66" s="25" t="s">
        <v>124</v>
      </c>
      <c r="D66" s="17" t="s">
        <v>125</v>
      </c>
      <c r="E66" s="11">
        <v>42919</v>
      </c>
      <c r="F66" s="11">
        <v>43084</v>
      </c>
      <c r="G66" s="12" t="s">
        <v>20</v>
      </c>
      <c r="H66" s="12"/>
      <c r="I66" s="12" t="s">
        <v>1</v>
      </c>
      <c r="J66" s="18">
        <v>43060</v>
      </c>
      <c r="K66" s="14">
        <v>1</v>
      </c>
      <c r="U66" s="16"/>
    </row>
    <row r="67" spans="1:21" ht="15.75" customHeight="1">
      <c r="A67" s="8"/>
      <c r="C67" s="25" t="s">
        <v>126</v>
      </c>
      <c r="D67" s="17" t="s">
        <v>127</v>
      </c>
      <c r="E67" s="11">
        <v>42919</v>
      </c>
      <c r="F67" s="11">
        <v>43084</v>
      </c>
      <c r="G67" s="12" t="s">
        <v>20</v>
      </c>
      <c r="H67" s="12"/>
      <c r="I67" s="12" t="s">
        <v>1</v>
      </c>
      <c r="J67" s="18">
        <v>43060</v>
      </c>
      <c r="K67" s="14">
        <v>1</v>
      </c>
      <c r="U67" s="16"/>
    </row>
    <row r="68" spans="1:21" ht="15.75" customHeight="1">
      <c r="A68" s="8"/>
      <c r="C68" s="25" t="s">
        <v>128</v>
      </c>
      <c r="D68" s="17" t="s">
        <v>129</v>
      </c>
      <c r="E68" s="11">
        <v>42919</v>
      </c>
      <c r="F68" s="11">
        <v>43084</v>
      </c>
      <c r="G68" s="12" t="s">
        <v>20</v>
      </c>
      <c r="H68" s="12"/>
      <c r="I68" s="12" t="s">
        <v>1</v>
      </c>
      <c r="J68" s="18">
        <v>43060</v>
      </c>
      <c r="K68" s="14">
        <v>1</v>
      </c>
      <c r="U68" s="16"/>
    </row>
    <row r="69" spans="1:21" ht="15.75" customHeight="1">
      <c r="A69" s="8"/>
      <c r="C69" s="26" t="s">
        <v>130</v>
      </c>
      <c r="D69" s="27" t="s">
        <v>131</v>
      </c>
      <c r="E69" s="11">
        <v>42919</v>
      </c>
      <c r="F69" s="11">
        <v>43084</v>
      </c>
      <c r="G69" s="12" t="s">
        <v>20</v>
      </c>
      <c r="H69" s="12"/>
      <c r="I69" s="12" t="s">
        <v>1</v>
      </c>
      <c r="J69" s="18">
        <v>43060</v>
      </c>
      <c r="K69" s="14">
        <v>1</v>
      </c>
      <c r="U69" s="16"/>
    </row>
    <row r="70" spans="1:21" ht="15.75" customHeight="1">
      <c r="A70" s="8"/>
      <c r="C70" s="26" t="s">
        <v>132</v>
      </c>
      <c r="D70" s="27" t="s">
        <v>133</v>
      </c>
      <c r="E70" s="11">
        <v>42919</v>
      </c>
      <c r="F70" s="11">
        <v>43084</v>
      </c>
      <c r="G70" s="12" t="s">
        <v>20</v>
      </c>
      <c r="H70" s="28"/>
      <c r="I70" s="28" t="s">
        <v>1</v>
      </c>
      <c r="J70" s="24">
        <v>43060</v>
      </c>
      <c r="K70" s="29">
        <v>1</v>
      </c>
      <c r="U70" s="16"/>
    </row>
    <row r="71" spans="1:21" ht="15.75" customHeight="1">
      <c r="A71" s="8"/>
      <c r="C71" s="25" t="s">
        <v>134</v>
      </c>
      <c r="D71" s="17" t="s">
        <v>135</v>
      </c>
      <c r="E71" s="11">
        <v>42919</v>
      </c>
      <c r="F71" s="11">
        <v>43084</v>
      </c>
      <c r="G71" s="12" t="s">
        <v>20</v>
      </c>
      <c r="H71" s="12"/>
      <c r="I71" s="12" t="s">
        <v>1</v>
      </c>
      <c r="J71" s="18">
        <v>43060</v>
      </c>
      <c r="K71" s="14">
        <v>1</v>
      </c>
      <c r="U71" s="16"/>
    </row>
    <row r="72" spans="1:21" ht="15.75" customHeight="1">
      <c r="A72" s="8"/>
      <c r="C72" s="25" t="s">
        <v>136</v>
      </c>
      <c r="D72" s="17" t="s">
        <v>137</v>
      </c>
      <c r="E72" s="11">
        <v>42919</v>
      </c>
      <c r="F72" s="11">
        <v>43084</v>
      </c>
      <c r="G72" s="12" t="s">
        <v>20</v>
      </c>
      <c r="H72" s="12"/>
      <c r="I72" s="12" t="s">
        <v>1</v>
      </c>
      <c r="J72" s="18">
        <v>43060</v>
      </c>
      <c r="K72" s="14">
        <v>1</v>
      </c>
      <c r="U72" s="16"/>
    </row>
    <row r="73" spans="1:21" ht="15.75" customHeight="1">
      <c r="A73" s="8"/>
      <c r="C73" s="25" t="s">
        <v>138</v>
      </c>
      <c r="D73" s="17" t="s">
        <v>139</v>
      </c>
      <c r="E73" s="11">
        <v>42919</v>
      </c>
      <c r="F73" s="11">
        <v>43084</v>
      </c>
      <c r="G73" s="12" t="s">
        <v>20</v>
      </c>
      <c r="H73" s="12"/>
      <c r="I73" s="12" t="s">
        <v>1</v>
      </c>
      <c r="J73" s="18">
        <v>43060</v>
      </c>
      <c r="K73" s="14">
        <v>1</v>
      </c>
      <c r="U73" s="16"/>
    </row>
    <row r="74" spans="1:21" ht="15.75" customHeight="1">
      <c r="A74" s="8"/>
      <c r="C74" s="25" t="s">
        <v>140</v>
      </c>
      <c r="D74" s="17" t="s">
        <v>141</v>
      </c>
      <c r="E74" s="11">
        <v>42919</v>
      </c>
      <c r="F74" s="11">
        <v>43084</v>
      </c>
      <c r="G74" s="12" t="s">
        <v>20</v>
      </c>
      <c r="H74" s="12"/>
      <c r="I74" s="12" t="s">
        <v>1</v>
      </c>
      <c r="J74" s="18">
        <v>43060</v>
      </c>
      <c r="K74" s="14">
        <v>1</v>
      </c>
      <c r="U74" s="16"/>
    </row>
    <row r="75" spans="1:21" ht="15.75" customHeight="1">
      <c r="A75" s="8"/>
      <c r="C75" s="25" t="s">
        <v>142</v>
      </c>
      <c r="D75" s="17" t="s">
        <v>143</v>
      </c>
      <c r="E75" s="11">
        <v>42919</v>
      </c>
      <c r="F75" s="11">
        <v>43084</v>
      </c>
      <c r="G75" s="12" t="s">
        <v>20</v>
      </c>
      <c r="H75" s="12"/>
      <c r="I75" s="12" t="s">
        <v>1</v>
      </c>
      <c r="J75" s="18">
        <v>43060</v>
      </c>
      <c r="K75" s="14">
        <v>1</v>
      </c>
      <c r="U75" s="16"/>
    </row>
    <row r="76" spans="1:21" ht="15.75" customHeight="1">
      <c r="A76" s="8"/>
      <c r="C76" s="25" t="s">
        <v>144</v>
      </c>
      <c r="D76" s="17" t="s">
        <v>145</v>
      </c>
      <c r="E76" s="11">
        <v>42919</v>
      </c>
      <c r="F76" s="11">
        <v>43084</v>
      </c>
      <c r="G76" s="12" t="s">
        <v>20</v>
      </c>
      <c r="H76" s="12"/>
      <c r="I76" s="12" t="s">
        <v>1</v>
      </c>
      <c r="J76" s="18">
        <v>43060</v>
      </c>
      <c r="K76" s="14">
        <v>1</v>
      </c>
      <c r="U76" s="16"/>
    </row>
    <row r="77" spans="1:21" ht="15.75" customHeight="1">
      <c r="A77" s="8"/>
      <c r="C77" s="25" t="s">
        <v>146</v>
      </c>
      <c r="D77" s="17" t="s">
        <v>147</v>
      </c>
      <c r="E77" s="11">
        <v>42919</v>
      </c>
      <c r="F77" s="11">
        <v>43084</v>
      </c>
      <c r="G77" s="12" t="s">
        <v>20</v>
      </c>
      <c r="H77" s="12"/>
      <c r="I77" s="12" t="s">
        <v>1</v>
      </c>
      <c r="J77" s="18">
        <v>43060</v>
      </c>
      <c r="K77" s="14">
        <v>1</v>
      </c>
      <c r="U77" s="16"/>
    </row>
    <row r="78" spans="1:21" ht="15.75" customHeight="1">
      <c r="A78" s="8"/>
      <c r="C78" s="30"/>
      <c r="H78" s="55" t="s">
        <v>42</v>
      </c>
      <c r="I78" s="56"/>
      <c r="J78" s="57"/>
      <c r="K78" s="19">
        <f>AVERAGE(K60:K77)</f>
        <v>1</v>
      </c>
      <c r="U78" s="16"/>
    </row>
    <row r="79" spans="1:21" ht="15.75" customHeight="1">
      <c r="A79" s="8"/>
      <c r="B79" s="20"/>
      <c r="C79" s="30"/>
      <c r="D79" s="20"/>
      <c r="E79" s="20"/>
      <c r="F79" s="20"/>
      <c r="G79" s="20"/>
      <c r="H79" s="21"/>
      <c r="I79" s="21"/>
      <c r="J79" s="21"/>
      <c r="K79" s="22"/>
      <c r="L79" s="20"/>
      <c r="M79" s="20"/>
      <c r="N79" s="20"/>
      <c r="O79" s="20"/>
      <c r="P79" s="20"/>
      <c r="Q79" s="20"/>
      <c r="R79" s="20"/>
      <c r="S79" s="20"/>
      <c r="T79" s="20"/>
      <c r="U79" s="16"/>
    </row>
    <row r="80" spans="1:21" ht="15.75" customHeight="1">
      <c r="A80" s="62">
        <v>5</v>
      </c>
      <c r="B80" s="58" t="s">
        <v>148</v>
      </c>
      <c r="C80" s="47"/>
      <c r="D80" s="48"/>
      <c r="E80" s="64" t="s">
        <v>6</v>
      </c>
      <c r="F80" s="65"/>
      <c r="G80" s="64" t="s">
        <v>7</v>
      </c>
      <c r="H80" s="65"/>
      <c r="I80" s="64" t="s">
        <v>8</v>
      </c>
      <c r="J80" s="66"/>
      <c r="K80" s="65"/>
      <c r="U80" s="16"/>
    </row>
    <row r="81" spans="1:21" ht="15.75" customHeight="1">
      <c r="A81" s="63"/>
      <c r="B81" s="49"/>
      <c r="C81" s="50"/>
      <c r="D81" s="51"/>
      <c r="E81" s="6" t="s">
        <v>10</v>
      </c>
      <c r="F81" s="6" t="s">
        <v>11</v>
      </c>
      <c r="G81" s="7" t="s">
        <v>12</v>
      </c>
      <c r="H81" s="7" t="s">
        <v>13</v>
      </c>
      <c r="I81" s="7" t="s">
        <v>14</v>
      </c>
      <c r="J81" s="7" t="s">
        <v>15</v>
      </c>
      <c r="K81" s="7" t="s">
        <v>16</v>
      </c>
      <c r="U81" s="16"/>
    </row>
    <row r="82" spans="1:21" ht="15.75" customHeight="1">
      <c r="A82" s="8"/>
      <c r="C82" s="9" t="s">
        <v>149</v>
      </c>
      <c r="D82" s="10" t="s">
        <v>150</v>
      </c>
      <c r="E82" s="11">
        <v>42919</v>
      </c>
      <c r="F82" s="11">
        <v>43084</v>
      </c>
      <c r="G82" s="12" t="s">
        <v>20</v>
      </c>
      <c r="H82" s="12"/>
      <c r="I82" s="12" t="s">
        <v>1</v>
      </c>
      <c r="J82" s="13">
        <v>43063</v>
      </c>
      <c r="K82" s="14">
        <v>1</v>
      </c>
      <c r="U82" s="16"/>
    </row>
    <row r="83" spans="1:21" ht="15.75" customHeight="1">
      <c r="A83" s="8"/>
      <c r="C83" s="25" t="s">
        <v>151</v>
      </c>
      <c r="D83" s="17" t="s">
        <v>115</v>
      </c>
      <c r="E83" s="11">
        <v>42919</v>
      </c>
      <c r="F83" s="11">
        <v>43084</v>
      </c>
      <c r="G83" s="12" t="s">
        <v>20</v>
      </c>
      <c r="H83" s="12"/>
      <c r="I83" s="12" t="s">
        <v>1</v>
      </c>
      <c r="J83" s="13">
        <v>43063</v>
      </c>
      <c r="K83" s="14">
        <v>1</v>
      </c>
      <c r="U83" s="16"/>
    </row>
    <row r="84" spans="1:21" ht="15.75" customHeight="1">
      <c r="A84" s="8"/>
      <c r="C84" s="25" t="s">
        <v>152</v>
      </c>
      <c r="D84" s="17" t="s">
        <v>117</v>
      </c>
      <c r="E84" s="11">
        <v>42919</v>
      </c>
      <c r="F84" s="11">
        <v>43084</v>
      </c>
      <c r="G84" s="12" t="s">
        <v>20</v>
      </c>
      <c r="H84" s="12"/>
      <c r="I84" s="12" t="s">
        <v>1</v>
      </c>
      <c r="J84" s="13">
        <v>43063</v>
      </c>
      <c r="K84" s="14">
        <v>1</v>
      </c>
      <c r="U84" s="16"/>
    </row>
    <row r="85" spans="1:21" ht="15.75" customHeight="1">
      <c r="A85" s="8"/>
      <c r="C85" s="25" t="s">
        <v>153</v>
      </c>
      <c r="D85" s="17" t="s">
        <v>154</v>
      </c>
      <c r="E85" s="11">
        <v>42919</v>
      </c>
      <c r="F85" s="11">
        <v>43084</v>
      </c>
      <c r="G85" s="12" t="s">
        <v>20</v>
      </c>
      <c r="H85" s="12"/>
      <c r="I85" s="12" t="s">
        <v>1</v>
      </c>
      <c r="J85" s="13">
        <v>43063</v>
      </c>
      <c r="K85" s="14">
        <v>1</v>
      </c>
      <c r="U85" s="16"/>
    </row>
    <row r="86" spans="1:21" ht="15.75" customHeight="1">
      <c r="A86" s="8"/>
      <c r="C86" s="25" t="s">
        <v>155</v>
      </c>
      <c r="D86" s="17" t="s">
        <v>119</v>
      </c>
      <c r="E86" s="11">
        <v>42919</v>
      </c>
      <c r="F86" s="11">
        <v>43084</v>
      </c>
      <c r="G86" s="12" t="s">
        <v>20</v>
      </c>
      <c r="H86" s="12"/>
      <c r="I86" s="12" t="s">
        <v>1</v>
      </c>
      <c r="J86" s="13">
        <v>43063</v>
      </c>
      <c r="K86" s="14">
        <v>1</v>
      </c>
      <c r="U86" s="16"/>
    </row>
    <row r="87" spans="1:21" ht="15.75" customHeight="1">
      <c r="A87" s="8"/>
      <c r="C87" s="26" t="s">
        <v>156</v>
      </c>
      <c r="D87" s="27" t="s">
        <v>157</v>
      </c>
      <c r="E87" s="11">
        <v>42919</v>
      </c>
      <c r="F87" s="11">
        <v>43084</v>
      </c>
      <c r="G87" s="12" t="s">
        <v>20</v>
      </c>
      <c r="H87" s="12"/>
      <c r="I87" s="12" t="s">
        <v>1</v>
      </c>
      <c r="J87" s="13">
        <v>43063</v>
      </c>
      <c r="K87" s="14">
        <v>1</v>
      </c>
      <c r="U87" s="16"/>
    </row>
    <row r="88" spans="1:21" ht="15.75" customHeight="1">
      <c r="A88" s="8"/>
      <c r="C88" s="26" t="s">
        <v>158</v>
      </c>
      <c r="D88" s="27" t="s">
        <v>159</v>
      </c>
      <c r="E88" s="11">
        <v>42919</v>
      </c>
      <c r="F88" s="11">
        <v>43084</v>
      </c>
      <c r="G88" s="12" t="s">
        <v>20</v>
      </c>
      <c r="H88" s="12"/>
      <c r="I88" s="12" t="s">
        <v>1</v>
      </c>
      <c r="J88" s="13">
        <v>43063</v>
      </c>
      <c r="K88" s="14">
        <v>1</v>
      </c>
      <c r="U88" s="16"/>
    </row>
    <row r="89" spans="1:21" ht="15.75" customHeight="1">
      <c r="A89" s="8"/>
      <c r="C89" s="25" t="s">
        <v>160</v>
      </c>
      <c r="D89" s="17" t="s">
        <v>161</v>
      </c>
      <c r="E89" s="11">
        <v>42919</v>
      </c>
      <c r="F89" s="11">
        <v>43084</v>
      </c>
      <c r="G89" s="12" t="s">
        <v>20</v>
      </c>
      <c r="H89" s="12"/>
      <c r="I89" s="12" t="s">
        <v>1</v>
      </c>
      <c r="J89" s="13">
        <v>43063</v>
      </c>
      <c r="K89" s="14">
        <v>1</v>
      </c>
      <c r="U89" s="16"/>
    </row>
    <row r="90" spans="1:21" ht="15.75" customHeight="1">
      <c r="A90" s="8"/>
      <c r="C90" s="25" t="s">
        <v>162</v>
      </c>
      <c r="D90" s="17" t="s">
        <v>163</v>
      </c>
      <c r="E90" s="11">
        <v>42919</v>
      </c>
      <c r="F90" s="11">
        <v>43084</v>
      </c>
      <c r="G90" s="12" t="s">
        <v>20</v>
      </c>
      <c r="H90" s="12"/>
      <c r="I90" s="12" t="s">
        <v>1</v>
      </c>
      <c r="J90" s="13">
        <v>43063</v>
      </c>
      <c r="K90" s="14">
        <v>1</v>
      </c>
      <c r="U90" s="16"/>
    </row>
    <row r="91" spans="1:21" ht="15.75" customHeight="1">
      <c r="A91" s="8"/>
      <c r="C91" s="25" t="s">
        <v>164</v>
      </c>
      <c r="D91" s="17" t="s">
        <v>165</v>
      </c>
      <c r="E91" s="11">
        <v>42919</v>
      </c>
      <c r="F91" s="11">
        <v>43084</v>
      </c>
      <c r="G91" s="12" t="s">
        <v>20</v>
      </c>
      <c r="H91" s="12"/>
      <c r="I91" s="12" t="s">
        <v>1</v>
      </c>
      <c r="J91" s="13">
        <v>43063</v>
      </c>
      <c r="K91" s="14">
        <v>1</v>
      </c>
      <c r="U91" s="16"/>
    </row>
    <row r="92" spans="1:21" ht="15.75" customHeight="1">
      <c r="A92" s="8"/>
      <c r="C92" s="25" t="s">
        <v>166</v>
      </c>
      <c r="D92" s="17" t="s">
        <v>167</v>
      </c>
      <c r="E92" s="11">
        <v>42919</v>
      </c>
      <c r="F92" s="11">
        <v>43084</v>
      </c>
      <c r="G92" s="12" t="s">
        <v>20</v>
      </c>
      <c r="H92" s="12"/>
      <c r="I92" s="12" t="s">
        <v>1</v>
      </c>
      <c r="J92" s="13">
        <v>43063</v>
      </c>
      <c r="K92" s="14">
        <v>1</v>
      </c>
      <c r="U92" s="16"/>
    </row>
    <row r="93" spans="1:21" ht="15.75" customHeight="1">
      <c r="A93" s="8"/>
      <c r="C93" s="26" t="s">
        <v>168</v>
      </c>
      <c r="D93" s="27" t="s">
        <v>169</v>
      </c>
      <c r="E93" s="11">
        <v>42919</v>
      </c>
      <c r="F93" s="11">
        <v>43084</v>
      </c>
      <c r="G93" s="12" t="s">
        <v>20</v>
      </c>
      <c r="H93" s="12"/>
      <c r="I93" s="12" t="s">
        <v>1</v>
      </c>
      <c r="J93" s="13">
        <v>43063</v>
      </c>
      <c r="K93" s="14">
        <v>1</v>
      </c>
      <c r="U93" s="16"/>
    </row>
    <row r="94" spans="1:21" ht="15.75" customHeight="1">
      <c r="A94" s="8"/>
      <c r="C94" s="25" t="s">
        <v>170</v>
      </c>
      <c r="D94" s="17" t="s">
        <v>171</v>
      </c>
      <c r="E94" s="11">
        <v>42919</v>
      </c>
      <c r="F94" s="11">
        <v>43084</v>
      </c>
      <c r="G94" s="12" t="s">
        <v>20</v>
      </c>
      <c r="H94" s="12"/>
      <c r="I94" s="12" t="s">
        <v>1</v>
      </c>
      <c r="J94" s="13">
        <v>43063</v>
      </c>
      <c r="K94" s="14">
        <v>1</v>
      </c>
      <c r="U94" s="16"/>
    </row>
    <row r="95" spans="1:21" ht="15.75" customHeight="1">
      <c r="A95" s="8"/>
      <c r="C95" s="25" t="s">
        <v>172</v>
      </c>
      <c r="D95" s="17" t="s">
        <v>173</v>
      </c>
      <c r="E95" s="11">
        <v>42919</v>
      </c>
      <c r="F95" s="11">
        <v>43084</v>
      </c>
      <c r="G95" s="12" t="s">
        <v>20</v>
      </c>
      <c r="H95" s="12"/>
      <c r="I95" s="12" t="s">
        <v>1</v>
      </c>
      <c r="J95" s="13">
        <v>43063</v>
      </c>
      <c r="K95" s="14">
        <v>1</v>
      </c>
      <c r="U95" s="16"/>
    </row>
    <row r="96" spans="1:21" ht="15.75" customHeight="1">
      <c r="A96" s="8"/>
      <c r="C96" s="25" t="s">
        <v>174</v>
      </c>
      <c r="D96" s="17" t="s">
        <v>175</v>
      </c>
      <c r="E96" s="11">
        <v>42919</v>
      </c>
      <c r="F96" s="11">
        <v>43084</v>
      </c>
      <c r="G96" s="12" t="s">
        <v>20</v>
      </c>
      <c r="H96" s="12"/>
      <c r="I96" s="12" t="s">
        <v>1</v>
      </c>
      <c r="J96" s="13">
        <v>43063</v>
      </c>
      <c r="K96" s="14">
        <v>1</v>
      </c>
      <c r="U96" s="16"/>
    </row>
    <row r="97" spans="1:21" ht="15.75" customHeight="1">
      <c r="A97" s="8"/>
      <c r="C97" s="25" t="s">
        <v>176</v>
      </c>
      <c r="D97" s="17" t="s">
        <v>177</v>
      </c>
      <c r="E97" s="11">
        <v>42919</v>
      </c>
      <c r="F97" s="11">
        <v>43084</v>
      </c>
      <c r="G97" s="12" t="s">
        <v>20</v>
      </c>
      <c r="H97" s="12"/>
      <c r="I97" s="12" t="s">
        <v>1</v>
      </c>
      <c r="J97" s="13">
        <v>43063</v>
      </c>
      <c r="K97" s="14">
        <v>1</v>
      </c>
      <c r="U97" s="16"/>
    </row>
    <row r="98" spans="1:21" ht="15.75" customHeight="1">
      <c r="A98" s="8"/>
      <c r="C98" s="25" t="s">
        <v>178</v>
      </c>
      <c r="D98" s="17" t="s">
        <v>179</v>
      </c>
      <c r="E98" s="11">
        <v>42919</v>
      </c>
      <c r="F98" s="11">
        <v>43084</v>
      </c>
      <c r="G98" s="12" t="s">
        <v>20</v>
      </c>
      <c r="H98" s="12"/>
      <c r="I98" s="12" t="s">
        <v>1</v>
      </c>
      <c r="J98" s="13">
        <v>43063</v>
      </c>
      <c r="K98" s="14">
        <v>1</v>
      </c>
      <c r="U98" s="16"/>
    </row>
    <row r="99" spans="1:21" ht="15.75" customHeight="1">
      <c r="A99" s="8"/>
      <c r="C99" s="26" t="s">
        <v>180</v>
      </c>
      <c r="D99" s="27" t="s">
        <v>157</v>
      </c>
      <c r="E99" s="11">
        <v>42919</v>
      </c>
      <c r="F99" s="11">
        <v>43084</v>
      </c>
      <c r="G99" s="12" t="s">
        <v>20</v>
      </c>
      <c r="H99" s="12"/>
      <c r="I99" s="12" t="s">
        <v>1</v>
      </c>
      <c r="J99" s="13">
        <v>43063</v>
      </c>
      <c r="K99" s="14">
        <v>1</v>
      </c>
      <c r="U99" s="16"/>
    </row>
    <row r="100" spans="1:21" ht="15.75" customHeight="1">
      <c r="A100" s="8"/>
      <c r="C100" s="25" t="s">
        <v>181</v>
      </c>
      <c r="D100" s="17" t="s">
        <v>182</v>
      </c>
      <c r="E100" s="11">
        <v>42919</v>
      </c>
      <c r="F100" s="11">
        <v>43084</v>
      </c>
      <c r="G100" s="12" t="s">
        <v>20</v>
      </c>
      <c r="H100" s="12"/>
      <c r="I100" s="12" t="s">
        <v>1</v>
      </c>
      <c r="J100" s="13">
        <v>43063</v>
      </c>
      <c r="K100" s="14">
        <v>1</v>
      </c>
      <c r="U100" s="16"/>
    </row>
    <row r="101" spans="1:21" ht="15.75" customHeight="1">
      <c r="A101" s="8"/>
      <c r="C101" s="25" t="s">
        <v>183</v>
      </c>
      <c r="D101" s="17" t="s">
        <v>145</v>
      </c>
      <c r="E101" s="11">
        <v>42919</v>
      </c>
      <c r="F101" s="11">
        <v>43084</v>
      </c>
      <c r="G101" s="12" t="s">
        <v>20</v>
      </c>
      <c r="H101" s="12"/>
      <c r="I101" s="12" t="s">
        <v>1</v>
      </c>
      <c r="J101" s="13">
        <v>43063</v>
      </c>
      <c r="K101" s="14">
        <v>1</v>
      </c>
      <c r="U101" s="16"/>
    </row>
    <row r="102" spans="1:21" ht="15.75" customHeight="1">
      <c r="A102" s="8"/>
      <c r="H102" s="55" t="s">
        <v>42</v>
      </c>
      <c r="I102" s="56"/>
      <c r="J102" s="57"/>
      <c r="K102" s="19">
        <f>AVERAGE(K82:K101)</f>
        <v>1</v>
      </c>
      <c r="U102" s="16"/>
    </row>
    <row r="103" spans="1:21" ht="15.75" customHeight="1">
      <c r="A103" s="8"/>
      <c r="B103" s="20"/>
      <c r="C103" s="20"/>
      <c r="D103" s="20"/>
      <c r="E103" s="20"/>
      <c r="F103" s="20"/>
      <c r="G103" s="20"/>
      <c r="H103" s="21"/>
      <c r="I103" s="21"/>
      <c r="J103" s="21"/>
      <c r="K103" s="22"/>
      <c r="L103" s="20"/>
      <c r="M103" s="20"/>
      <c r="N103" s="20"/>
      <c r="O103" s="20"/>
      <c r="P103" s="20"/>
      <c r="Q103" s="20"/>
      <c r="R103" s="20"/>
      <c r="S103" s="20"/>
      <c r="T103" s="20"/>
      <c r="U103" s="16"/>
    </row>
    <row r="104" spans="1:21" ht="15.75" customHeight="1">
      <c r="A104" s="62">
        <v>6</v>
      </c>
      <c r="B104" s="46" t="s">
        <v>184</v>
      </c>
      <c r="C104" s="47"/>
      <c r="D104" s="48"/>
      <c r="E104" s="64" t="s">
        <v>6</v>
      </c>
      <c r="F104" s="65"/>
      <c r="G104" s="64" t="s">
        <v>7</v>
      </c>
      <c r="H104" s="65"/>
      <c r="I104" s="64" t="s">
        <v>8</v>
      </c>
      <c r="J104" s="66"/>
      <c r="K104" s="65"/>
      <c r="U104" s="16"/>
    </row>
    <row r="105" spans="1:21" ht="15.75" customHeight="1">
      <c r="A105" s="63"/>
      <c r="B105" s="49"/>
      <c r="C105" s="50"/>
      <c r="D105" s="51"/>
      <c r="E105" s="6" t="s">
        <v>10</v>
      </c>
      <c r="F105" s="6" t="s">
        <v>11</v>
      </c>
      <c r="G105" s="7" t="s">
        <v>12</v>
      </c>
      <c r="H105" s="7" t="s">
        <v>13</v>
      </c>
      <c r="I105" s="7" t="s">
        <v>14</v>
      </c>
      <c r="J105" s="7" t="s">
        <v>15</v>
      </c>
      <c r="K105" s="7" t="s">
        <v>16</v>
      </c>
      <c r="U105" s="16"/>
    </row>
    <row r="106" spans="1:21" ht="15.75" customHeight="1">
      <c r="A106" s="8"/>
      <c r="C106" s="9" t="s">
        <v>185</v>
      </c>
      <c r="D106" s="10" t="s">
        <v>186</v>
      </c>
      <c r="E106" s="11">
        <v>42919</v>
      </c>
      <c r="F106" s="11">
        <v>43084</v>
      </c>
      <c r="G106" s="12" t="s">
        <v>20</v>
      </c>
      <c r="H106" s="12"/>
      <c r="I106" s="12" t="s">
        <v>1</v>
      </c>
      <c r="J106" s="13">
        <v>43066</v>
      </c>
      <c r="K106" s="14">
        <v>1</v>
      </c>
      <c r="U106" s="16"/>
    </row>
    <row r="107" spans="1:21" ht="15.75" customHeight="1">
      <c r="A107" s="8"/>
      <c r="C107" s="25" t="s">
        <v>187</v>
      </c>
      <c r="D107" s="17" t="s">
        <v>115</v>
      </c>
      <c r="E107" s="11">
        <v>42919</v>
      </c>
      <c r="F107" s="11">
        <v>43084</v>
      </c>
      <c r="G107" s="12" t="s">
        <v>20</v>
      </c>
      <c r="H107" s="12"/>
      <c r="I107" s="12" t="s">
        <v>1</v>
      </c>
      <c r="J107" s="13">
        <v>43066</v>
      </c>
      <c r="K107" s="14">
        <v>1</v>
      </c>
      <c r="U107" s="16"/>
    </row>
    <row r="108" spans="1:21" ht="15.75" customHeight="1">
      <c r="A108" s="8"/>
      <c r="C108" s="25" t="s">
        <v>188</v>
      </c>
      <c r="D108" s="17" t="s">
        <v>117</v>
      </c>
      <c r="E108" s="11">
        <v>42919</v>
      </c>
      <c r="F108" s="11">
        <v>43084</v>
      </c>
      <c r="G108" s="12" t="s">
        <v>20</v>
      </c>
      <c r="H108" s="12"/>
      <c r="I108" s="12" t="s">
        <v>1</v>
      </c>
      <c r="J108" s="13">
        <v>43066</v>
      </c>
      <c r="K108" s="14">
        <v>1</v>
      </c>
      <c r="U108" s="16"/>
    </row>
    <row r="109" spans="1:21" ht="15.75" customHeight="1">
      <c r="A109" s="8"/>
      <c r="C109" s="25" t="s">
        <v>189</v>
      </c>
      <c r="D109" s="17" t="s">
        <v>190</v>
      </c>
      <c r="E109" s="11">
        <v>42919</v>
      </c>
      <c r="F109" s="11">
        <v>43084</v>
      </c>
      <c r="G109" s="12" t="s">
        <v>20</v>
      </c>
      <c r="H109" s="12"/>
      <c r="I109" s="12" t="s">
        <v>1</v>
      </c>
      <c r="J109" s="13">
        <v>43066</v>
      </c>
      <c r="K109" s="14">
        <v>1</v>
      </c>
      <c r="U109" s="16"/>
    </row>
    <row r="110" spans="1:21" ht="15.75" customHeight="1">
      <c r="A110" s="8"/>
      <c r="C110" s="25" t="s">
        <v>191</v>
      </c>
      <c r="D110" s="17" t="s">
        <v>192</v>
      </c>
      <c r="E110" s="11">
        <v>42919</v>
      </c>
      <c r="F110" s="11">
        <v>43084</v>
      </c>
      <c r="G110" s="12" t="s">
        <v>20</v>
      </c>
      <c r="H110" s="12"/>
      <c r="I110" s="12" t="s">
        <v>1</v>
      </c>
      <c r="J110" s="13">
        <v>43066</v>
      </c>
      <c r="K110" s="14">
        <v>1</v>
      </c>
      <c r="U110" s="16"/>
    </row>
    <row r="111" spans="1:21" ht="15.75" customHeight="1">
      <c r="A111" s="8"/>
      <c r="C111" s="25" t="s">
        <v>193</v>
      </c>
      <c r="D111" s="17" t="s">
        <v>194</v>
      </c>
      <c r="E111" s="11">
        <v>42919</v>
      </c>
      <c r="F111" s="11">
        <v>43084</v>
      </c>
      <c r="G111" s="12" t="s">
        <v>20</v>
      </c>
      <c r="H111" s="12"/>
      <c r="I111" s="12" t="s">
        <v>1</v>
      </c>
      <c r="J111" s="13">
        <v>43066</v>
      </c>
      <c r="K111" s="14">
        <v>1</v>
      </c>
      <c r="U111" s="16"/>
    </row>
    <row r="112" spans="1:21" ht="15.75" customHeight="1">
      <c r="A112" s="8"/>
      <c r="C112" s="25" t="s">
        <v>195</v>
      </c>
      <c r="D112" s="17" t="s">
        <v>196</v>
      </c>
      <c r="E112" s="11">
        <v>42919</v>
      </c>
      <c r="F112" s="11">
        <v>43084</v>
      </c>
      <c r="G112" s="12" t="s">
        <v>20</v>
      </c>
      <c r="H112" s="12"/>
      <c r="I112" s="12" t="s">
        <v>1</v>
      </c>
      <c r="J112" s="13">
        <v>43066</v>
      </c>
      <c r="K112" s="14">
        <v>1</v>
      </c>
      <c r="U112" s="16"/>
    </row>
    <row r="113" spans="1:21" ht="15.75" customHeight="1">
      <c r="A113" s="8"/>
      <c r="C113" s="25" t="s">
        <v>197</v>
      </c>
      <c r="D113" s="17" t="s">
        <v>198</v>
      </c>
      <c r="E113" s="11">
        <v>42919</v>
      </c>
      <c r="F113" s="11">
        <v>43084</v>
      </c>
      <c r="G113" s="12" t="s">
        <v>20</v>
      </c>
      <c r="H113" s="12"/>
      <c r="I113" s="12" t="s">
        <v>1</v>
      </c>
      <c r="J113" s="13">
        <v>43066</v>
      </c>
      <c r="K113" s="14">
        <v>1</v>
      </c>
      <c r="U113" s="16"/>
    </row>
    <row r="114" spans="1:21" ht="15.75" customHeight="1">
      <c r="A114" s="8"/>
      <c r="C114" s="25" t="s">
        <v>199</v>
      </c>
      <c r="D114" s="17" t="s">
        <v>200</v>
      </c>
      <c r="E114" s="11">
        <v>42919</v>
      </c>
      <c r="F114" s="11">
        <v>43084</v>
      </c>
      <c r="G114" s="12" t="s">
        <v>20</v>
      </c>
      <c r="H114" s="12"/>
      <c r="I114" s="12" t="s">
        <v>1</v>
      </c>
      <c r="J114" s="13">
        <v>43066</v>
      </c>
      <c r="K114" s="14">
        <v>1</v>
      </c>
      <c r="U114" s="16"/>
    </row>
    <row r="115" spans="1:21" ht="15.75" customHeight="1">
      <c r="A115" s="8"/>
      <c r="C115" s="25" t="s">
        <v>201</v>
      </c>
      <c r="D115" s="17" t="s">
        <v>202</v>
      </c>
      <c r="E115" s="11">
        <v>42919</v>
      </c>
      <c r="F115" s="11">
        <v>43084</v>
      </c>
      <c r="G115" s="12" t="s">
        <v>20</v>
      </c>
      <c r="H115" s="12"/>
      <c r="I115" s="12" t="s">
        <v>1</v>
      </c>
      <c r="J115" s="13">
        <v>43066</v>
      </c>
      <c r="K115" s="14">
        <v>1</v>
      </c>
      <c r="U115" s="16"/>
    </row>
    <row r="116" spans="1:21" ht="15.75" customHeight="1">
      <c r="A116" s="8"/>
      <c r="C116" s="25" t="s">
        <v>203</v>
      </c>
      <c r="D116" s="17" t="s">
        <v>204</v>
      </c>
      <c r="E116" s="11">
        <v>42919</v>
      </c>
      <c r="F116" s="11">
        <v>43084</v>
      </c>
      <c r="G116" s="12" t="s">
        <v>20</v>
      </c>
      <c r="H116" s="12"/>
      <c r="I116" s="12" t="s">
        <v>1</v>
      </c>
      <c r="J116" s="13">
        <v>43066</v>
      </c>
      <c r="K116" s="14">
        <v>1</v>
      </c>
      <c r="U116" s="16"/>
    </row>
    <row r="117" spans="1:21" ht="15.75" customHeight="1">
      <c r="A117" s="8"/>
      <c r="C117" s="25" t="s">
        <v>205</v>
      </c>
      <c r="D117" s="17" t="s">
        <v>182</v>
      </c>
      <c r="E117" s="11">
        <v>42919</v>
      </c>
      <c r="F117" s="11">
        <v>43084</v>
      </c>
      <c r="G117" s="12" t="s">
        <v>20</v>
      </c>
      <c r="H117" s="12"/>
      <c r="I117" s="12" t="s">
        <v>1</v>
      </c>
      <c r="J117" s="13">
        <v>43066</v>
      </c>
      <c r="K117" s="14">
        <v>1</v>
      </c>
      <c r="U117" s="16"/>
    </row>
    <row r="118" spans="1:21" ht="15.75" customHeight="1">
      <c r="A118" s="8"/>
      <c r="C118" s="25" t="s">
        <v>206</v>
      </c>
      <c r="D118" s="17" t="s">
        <v>145</v>
      </c>
      <c r="E118" s="11">
        <v>42919</v>
      </c>
      <c r="F118" s="11">
        <v>43084</v>
      </c>
      <c r="G118" s="12" t="s">
        <v>20</v>
      </c>
      <c r="H118" s="12"/>
      <c r="I118" s="12" t="s">
        <v>1</v>
      </c>
      <c r="J118" s="13">
        <v>43066</v>
      </c>
      <c r="K118" s="14">
        <v>1</v>
      </c>
      <c r="U118" s="16"/>
    </row>
    <row r="119" spans="1:21" ht="15.75" customHeight="1">
      <c r="A119" s="8"/>
      <c r="C119" s="25" t="s">
        <v>207</v>
      </c>
      <c r="D119" s="17" t="s">
        <v>208</v>
      </c>
      <c r="E119" s="11">
        <v>42919</v>
      </c>
      <c r="F119" s="11">
        <v>43084</v>
      </c>
      <c r="G119" s="12" t="s">
        <v>20</v>
      </c>
      <c r="H119" s="12"/>
      <c r="I119" s="12" t="s">
        <v>1</v>
      </c>
      <c r="J119" s="13">
        <v>43066</v>
      </c>
      <c r="K119" s="14">
        <v>1</v>
      </c>
      <c r="U119" s="16"/>
    </row>
    <row r="120" spans="1:21" ht="15.75" customHeight="1">
      <c r="A120" s="8"/>
      <c r="C120" s="30"/>
      <c r="H120" s="55" t="s">
        <v>42</v>
      </c>
      <c r="I120" s="56"/>
      <c r="J120" s="57"/>
      <c r="K120" s="19">
        <f>AVERAGE(K106:K119)</f>
        <v>1</v>
      </c>
      <c r="U120" s="16"/>
    </row>
    <row r="121" spans="1:21" ht="15.75" customHeight="1">
      <c r="A121" s="8"/>
      <c r="B121" s="20"/>
      <c r="C121" s="30"/>
      <c r="D121" s="20"/>
      <c r="E121" s="20"/>
      <c r="F121" s="20"/>
      <c r="G121" s="20"/>
      <c r="H121" s="21"/>
      <c r="I121" s="21"/>
      <c r="J121" s="21"/>
      <c r="K121" s="22"/>
      <c r="L121" s="20"/>
      <c r="M121" s="20"/>
      <c r="N121" s="20"/>
      <c r="O121" s="20"/>
      <c r="P121" s="20"/>
      <c r="Q121" s="20"/>
      <c r="R121" s="20"/>
      <c r="S121" s="20"/>
      <c r="T121" s="20"/>
      <c r="U121" s="16"/>
    </row>
    <row r="122" spans="1:21" ht="15.75" customHeight="1">
      <c r="A122" s="62">
        <v>7</v>
      </c>
      <c r="B122" s="46" t="s">
        <v>209</v>
      </c>
      <c r="C122" s="47"/>
      <c r="D122" s="48"/>
      <c r="E122" s="64" t="s">
        <v>6</v>
      </c>
      <c r="F122" s="65"/>
      <c r="G122" s="64" t="s">
        <v>7</v>
      </c>
      <c r="H122" s="65"/>
      <c r="I122" s="64" t="s">
        <v>8</v>
      </c>
      <c r="J122" s="66"/>
      <c r="K122" s="65"/>
      <c r="U122" s="16"/>
    </row>
    <row r="123" spans="1:21" ht="15.75" customHeight="1">
      <c r="A123" s="63"/>
      <c r="B123" s="49"/>
      <c r="C123" s="50"/>
      <c r="D123" s="51"/>
      <c r="E123" s="6" t="s">
        <v>10</v>
      </c>
      <c r="F123" s="6" t="s">
        <v>11</v>
      </c>
      <c r="G123" s="7" t="s">
        <v>12</v>
      </c>
      <c r="H123" s="7" t="s">
        <v>13</v>
      </c>
      <c r="I123" s="7" t="s">
        <v>14</v>
      </c>
      <c r="J123" s="7" t="s">
        <v>15</v>
      </c>
      <c r="K123" s="7" t="s">
        <v>16</v>
      </c>
      <c r="U123" s="16"/>
    </row>
    <row r="124" spans="1:21" ht="15.75" customHeight="1">
      <c r="A124" s="8"/>
      <c r="C124" s="9" t="s">
        <v>210</v>
      </c>
      <c r="D124" s="10" t="s">
        <v>211</v>
      </c>
      <c r="E124" s="11">
        <v>42919</v>
      </c>
      <c r="F124" s="11">
        <v>43084</v>
      </c>
      <c r="G124" s="12" t="s">
        <v>20</v>
      </c>
      <c r="H124" s="12"/>
      <c r="I124" s="12" t="s">
        <v>4</v>
      </c>
      <c r="J124" s="10"/>
      <c r="K124" s="14">
        <v>0.6</v>
      </c>
      <c r="U124" s="16"/>
    </row>
    <row r="125" spans="1:21" ht="15.75" customHeight="1">
      <c r="A125" s="8"/>
      <c r="C125" s="25" t="s">
        <v>212</v>
      </c>
      <c r="D125" s="17" t="s">
        <v>115</v>
      </c>
      <c r="E125" s="11">
        <v>42919</v>
      </c>
      <c r="F125" s="11">
        <v>43084</v>
      </c>
      <c r="G125" s="12" t="s">
        <v>20</v>
      </c>
      <c r="H125" s="12"/>
      <c r="I125" s="12" t="s">
        <v>4</v>
      </c>
      <c r="J125" s="10"/>
      <c r="K125" s="14">
        <v>0.6</v>
      </c>
      <c r="U125" s="16"/>
    </row>
    <row r="126" spans="1:21" ht="15.75" customHeight="1">
      <c r="A126" s="8"/>
      <c r="C126" s="25" t="s">
        <v>213</v>
      </c>
      <c r="D126" s="17" t="s">
        <v>117</v>
      </c>
      <c r="E126" s="11">
        <v>42919</v>
      </c>
      <c r="F126" s="11">
        <v>43084</v>
      </c>
      <c r="G126" s="12" t="s">
        <v>20</v>
      </c>
      <c r="H126" s="12"/>
      <c r="I126" s="12" t="s">
        <v>4</v>
      </c>
      <c r="J126" s="10"/>
      <c r="K126" s="14">
        <v>0.6</v>
      </c>
      <c r="U126" s="16"/>
    </row>
    <row r="127" spans="1:21" ht="15.75" customHeight="1">
      <c r="A127" s="8"/>
      <c r="C127" s="25" t="s">
        <v>214</v>
      </c>
      <c r="D127" s="17" t="s">
        <v>215</v>
      </c>
      <c r="E127" s="11">
        <v>42919</v>
      </c>
      <c r="F127" s="11">
        <v>43084</v>
      </c>
      <c r="G127" s="12" t="s">
        <v>20</v>
      </c>
      <c r="H127" s="12"/>
      <c r="I127" s="12" t="s">
        <v>4</v>
      </c>
      <c r="J127" s="10"/>
      <c r="K127" s="14">
        <v>0.6</v>
      </c>
      <c r="U127" s="16"/>
    </row>
    <row r="128" spans="1:21" ht="15.75" customHeight="1">
      <c r="A128" s="8"/>
      <c r="C128" s="25" t="s">
        <v>216</v>
      </c>
      <c r="D128" s="17" t="s">
        <v>119</v>
      </c>
      <c r="E128" s="11">
        <v>42919</v>
      </c>
      <c r="F128" s="11">
        <v>43084</v>
      </c>
      <c r="G128" s="12" t="s">
        <v>20</v>
      </c>
      <c r="H128" s="12"/>
      <c r="I128" s="12" t="s">
        <v>4</v>
      </c>
      <c r="J128" s="10"/>
      <c r="K128" s="14">
        <v>0.6</v>
      </c>
      <c r="U128" s="16"/>
    </row>
    <row r="129" spans="1:21" ht="15.75" customHeight="1">
      <c r="A129" s="8"/>
      <c r="C129" s="25" t="s">
        <v>217</v>
      </c>
      <c r="D129" s="17" t="s">
        <v>218</v>
      </c>
      <c r="E129" s="11">
        <v>42919</v>
      </c>
      <c r="F129" s="11">
        <v>43084</v>
      </c>
      <c r="G129" s="12" t="s">
        <v>20</v>
      </c>
      <c r="H129" s="12"/>
      <c r="I129" s="12" t="s">
        <v>4</v>
      </c>
      <c r="J129" s="10"/>
      <c r="K129" s="14">
        <v>0.5</v>
      </c>
      <c r="U129" s="16"/>
    </row>
    <row r="130" spans="1:21" ht="15.75" customHeight="1">
      <c r="A130" s="8"/>
      <c r="C130" s="25" t="s">
        <v>219</v>
      </c>
      <c r="D130" s="17" t="s">
        <v>220</v>
      </c>
      <c r="E130" s="11">
        <v>42919</v>
      </c>
      <c r="F130" s="11">
        <v>43084</v>
      </c>
      <c r="G130" s="12" t="s">
        <v>20</v>
      </c>
      <c r="H130" s="12"/>
      <c r="I130" s="12" t="s">
        <v>4</v>
      </c>
      <c r="J130" s="10"/>
      <c r="K130" s="14">
        <v>0.5</v>
      </c>
      <c r="U130" s="16"/>
    </row>
    <row r="131" spans="1:21" ht="15.75" customHeight="1">
      <c r="A131" s="8"/>
      <c r="C131" s="26" t="s">
        <v>221</v>
      </c>
      <c r="D131" s="27" t="s">
        <v>222</v>
      </c>
      <c r="E131" s="11">
        <v>42919</v>
      </c>
      <c r="F131" s="11">
        <v>43084</v>
      </c>
      <c r="G131" s="12" t="s">
        <v>20</v>
      </c>
      <c r="H131" s="12"/>
      <c r="I131" s="12" t="s">
        <v>4</v>
      </c>
      <c r="J131" s="10"/>
      <c r="K131" s="14">
        <v>0.5</v>
      </c>
      <c r="U131" s="16"/>
    </row>
    <row r="132" spans="1:21" ht="15.75" customHeight="1">
      <c r="A132" s="8"/>
      <c r="C132" s="25" t="s">
        <v>223</v>
      </c>
      <c r="D132" s="17" t="s">
        <v>224</v>
      </c>
      <c r="E132" s="11">
        <v>42919</v>
      </c>
      <c r="F132" s="11">
        <v>43084</v>
      </c>
      <c r="G132" s="12" t="s">
        <v>20</v>
      </c>
      <c r="H132" s="12"/>
      <c r="I132" s="12" t="s">
        <v>4</v>
      </c>
      <c r="J132" s="10"/>
      <c r="K132" s="14">
        <v>0.5</v>
      </c>
      <c r="U132" s="16"/>
    </row>
    <row r="133" spans="1:21" ht="15.75" customHeight="1">
      <c r="A133" s="8"/>
      <c r="C133" s="25" t="s">
        <v>225</v>
      </c>
      <c r="D133" s="17" t="s">
        <v>226</v>
      </c>
      <c r="E133" s="11">
        <v>42919</v>
      </c>
      <c r="F133" s="11">
        <v>43084</v>
      </c>
      <c r="G133" s="12" t="s">
        <v>20</v>
      </c>
      <c r="H133" s="12"/>
      <c r="I133" s="12" t="s">
        <v>4</v>
      </c>
      <c r="J133" s="10"/>
      <c r="K133" s="14">
        <v>0.3</v>
      </c>
      <c r="U133" s="16"/>
    </row>
    <row r="134" spans="1:21" ht="15.75" customHeight="1">
      <c r="A134" s="8"/>
      <c r="C134" s="25" t="s">
        <v>227</v>
      </c>
      <c r="D134" s="17" t="s">
        <v>179</v>
      </c>
      <c r="E134" s="11">
        <v>42919</v>
      </c>
      <c r="F134" s="11">
        <v>43084</v>
      </c>
      <c r="G134" s="12" t="s">
        <v>20</v>
      </c>
      <c r="H134" s="12"/>
      <c r="I134" s="12" t="s">
        <v>4</v>
      </c>
      <c r="J134" s="10"/>
      <c r="K134" s="14">
        <v>0.7</v>
      </c>
      <c r="U134" s="16"/>
    </row>
    <row r="135" spans="1:21" ht="15.75" customHeight="1">
      <c r="A135" s="8"/>
      <c r="C135" s="25" t="s">
        <v>228</v>
      </c>
      <c r="D135" s="17" t="s">
        <v>182</v>
      </c>
      <c r="E135" s="11">
        <v>42919</v>
      </c>
      <c r="F135" s="11">
        <v>43084</v>
      </c>
      <c r="G135" s="12" t="s">
        <v>20</v>
      </c>
      <c r="H135" s="12"/>
      <c r="I135" s="12" t="s">
        <v>4</v>
      </c>
      <c r="J135" s="10"/>
      <c r="K135" s="14">
        <v>0.7</v>
      </c>
      <c r="U135" s="16"/>
    </row>
    <row r="136" spans="1:21" ht="15.75" customHeight="1">
      <c r="A136" s="8"/>
      <c r="C136" s="25" t="s">
        <v>229</v>
      </c>
      <c r="D136" s="17" t="s">
        <v>145</v>
      </c>
      <c r="E136" s="11">
        <v>42919</v>
      </c>
      <c r="F136" s="11">
        <v>43084</v>
      </c>
      <c r="G136" s="12" t="s">
        <v>20</v>
      </c>
      <c r="H136" s="12"/>
      <c r="I136" s="12" t="s">
        <v>4</v>
      </c>
      <c r="J136" s="10"/>
      <c r="K136" s="14">
        <v>0.7</v>
      </c>
      <c r="U136" s="16"/>
    </row>
    <row r="137" spans="1:21" ht="15.75" customHeight="1">
      <c r="A137" s="8"/>
      <c r="C137" s="25" t="s">
        <v>230</v>
      </c>
      <c r="D137" s="17" t="s">
        <v>231</v>
      </c>
      <c r="E137" s="11">
        <v>42919</v>
      </c>
      <c r="F137" s="11">
        <v>43084</v>
      </c>
      <c r="G137" s="12" t="s">
        <v>20</v>
      </c>
      <c r="H137" s="12"/>
      <c r="I137" s="12" t="s">
        <v>4</v>
      </c>
      <c r="J137" s="10"/>
      <c r="K137" s="14">
        <v>0.7</v>
      </c>
      <c r="U137" s="16"/>
    </row>
    <row r="138" spans="1:21" ht="15.75" customHeight="1">
      <c r="A138" s="8"/>
      <c r="C138" s="30"/>
      <c r="H138" s="55" t="s">
        <v>42</v>
      </c>
      <c r="I138" s="56"/>
      <c r="J138" s="57"/>
      <c r="K138" s="19">
        <f>AVERAGE(K124:K137)</f>
        <v>0.57857142857142851</v>
      </c>
      <c r="U138" s="16"/>
    </row>
    <row r="139" spans="1:21" ht="15.75" customHeight="1">
      <c r="A139" s="8"/>
      <c r="B139" s="20"/>
      <c r="C139" s="30"/>
      <c r="D139" s="20"/>
      <c r="E139" s="20"/>
      <c r="F139" s="20"/>
      <c r="G139" s="20"/>
      <c r="H139" s="21"/>
      <c r="I139" s="21"/>
      <c r="J139" s="21"/>
      <c r="K139" s="22"/>
      <c r="L139" s="20"/>
      <c r="M139" s="20"/>
      <c r="N139" s="20"/>
      <c r="O139" s="20"/>
      <c r="P139" s="20"/>
      <c r="Q139" s="20"/>
      <c r="R139" s="20"/>
      <c r="S139" s="20"/>
      <c r="T139" s="20"/>
      <c r="U139" s="16"/>
    </row>
    <row r="140" spans="1:21" ht="15.75" customHeight="1">
      <c r="A140" s="62">
        <v>8</v>
      </c>
      <c r="B140" s="46" t="s">
        <v>232</v>
      </c>
      <c r="C140" s="47"/>
      <c r="D140" s="48"/>
      <c r="E140" s="64" t="s">
        <v>6</v>
      </c>
      <c r="F140" s="65"/>
      <c r="G140" s="64" t="s">
        <v>7</v>
      </c>
      <c r="H140" s="65"/>
      <c r="I140" s="64" t="s">
        <v>8</v>
      </c>
      <c r="J140" s="66"/>
      <c r="K140" s="65"/>
      <c r="U140" s="16"/>
    </row>
    <row r="141" spans="1:21" ht="15.75" customHeight="1">
      <c r="A141" s="63"/>
      <c r="B141" s="49"/>
      <c r="C141" s="50"/>
      <c r="D141" s="51"/>
      <c r="E141" s="6" t="s">
        <v>10</v>
      </c>
      <c r="F141" s="6" t="s">
        <v>11</v>
      </c>
      <c r="G141" s="7" t="s">
        <v>12</v>
      </c>
      <c r="H141" s="7" t="s">
        <v>13</v>
      </c>
      <c r="I141" s="7" t="s">
        <v>14</v>
      </c>
      <c r="J141" s="7" t="s">
        <v>15</v>
      </c>
      <c r="K141" s="7" t="s">
        <v>16</v>
      </c>
      <c r="U141" s="16"/>
    </row>
    <row r="142" spans="1:21" ht="15.75" customHeight="1">
      <c r="A142" s="8"/>
      <c r="C142" s="9" t="s">
        <v>233</v>
      </c>
      <c r="D142" s="10" t="s">
        <v>234</v>
      </c>
      <c r="E142" s="11">
        <v>42919</v>
      </c>
      <c r="F142" s="11">
        <v>43084</v>
      </c>
      <c r="G142" s="12" t="s">
        <v>20</v>
      </c>
      <c r="H142" s="23"/>
      <c r="I142" s="12" t="s">
        <v>1</v>
      </c>
      <c r="J142" s="13">
        <v>43060</v>
      </c>
      <c r="K142" s="14">
        <v>1</v>
      </c>
      <c r="U142" s="16"/>
    </row>
    <row r="143" spans="1:21" ht="15.75" customHeight="1">
      <c r="A143" s="8"/>
      <c r="C143" s="25" t="s">
        <v>235</v>
      </c>
      <c r="D143" s="17" t="s">
        <v>236</v>
      </c>
      <c r="E143" s="11">
        <v>42919</v>
      </c>
      <c r="F143" s="11">
        <v>43084</v>
      </c>
      <c r="G143" s="12" t="s">
        <v>20</v>
      </c>
      <c r="H143" s="23"/>
      <c r="I143" s="12" t="s">
        <v>1</v>
      </c>
      <c r="J143" s="13">
        <v>43060</v>
      </c>
      <c r="K143" s="14">
        <v>1</v>
      </c>
      <c r="U143" s="16"/>
    </row>
    <row r="144" spans="1:21" ht="15.75" customHeight="1">
      <c r="A144" s="8"/>
      <c r="C144" s="25" t="s">
        <v>237</v>
      </c>
      <c r="D144" s="17" t="s">
        <v>238</v>
      </c>
      <c r="E144" s="11">
        <v>42919</v>
      </c>
      <c r="F144" s="11">
        <v>43084</v>
      </c>
      <c r="G144" s="12" t="s">
        <v>20</v>
      </c>
      <c r="H144" s="23"/>
      <c r="I144" s="12" t="s">
        <v>1</v>
      </c>
      <c r="J144" s="13">
        <v>43060</v>
      </c>
      <c r="K144" s="14">
        <v>1</v>
      </c>
      <c r="U144" s="16"/>
    </row>
    <row r="145" spans="1:21" ht="15.75" customHeight="1">
      <c r="A145" s="8"/>
      <c r="C145" s="25" t="s">
        <v>239</v>
      </c>
      <c r="D145" s="17" t="s">
        <v>240</v>
      </c>
      <c r="E145" s="11">
        <v>42919</v>
      </c>
      <c r="F145" s="11">
        <v>43084</v>
      </c>
      <c r="G145" s="12"/>
      <c r="H145" s="23" t="s">
        <v>29</v>
      </c>
      <c r="I145" s="12" t="s">
        <v>9</v>
      </c>
      <c r="J145" s="13"/>
      <c r="K145" s="14">
        <v>0</v>
      </c>
      <c r="U145" s="16"/>
    </row>
    <row r="146" spans="1:21" ht="15.75" customHeight="1">
      <c r="A146" s="8"/>
      <c r="C146" s="25" t="s">
        <v>241</v>
      </c>
      <c r="D146" s="17" t="s">
        <v>242</v>
      </c>
      <c r="E146" s="11">
        <v>42919</v>
      </c>
      <c r="F146" s="11">
        <v>43084</v>
      </c>
      <c r="G146" s="12" t="s">
        <v>20</v>
      </c>
      <c r="H146" s="23"/>
      <c r="I146" s="12" t="s">
        <v>1</v>
      </c>
      <c r="J146" s="13">
        <v>43060</v>
      </c>
      <c r="K146" s="14">
        <v>1</v>
      </c>
      <c r="U146" s="16"/>
    </row>
    <row r="147" spans="1:21" ht="15.75" customHeight="1">
      <c r="A147" s="8"/>
      <c r="C147" s="25" t="s">
        <v>243</v>
      </c>
      <c r="D147" s="17" t="s">
        <v>244</v>
      </c>
      <c r="E147" s="11">
        <v>42919</v>
      </c>
      <c r="F147" s="11">
        <v>43084</v>
      </c>
      <c r="G147" s="12" t="s">
        <v>20</v>
      </c>
      <c r="H147" s="23"/>
      <c r="I147" s="12" t="s">
        <v>1</v>
      </c>
      <c r="J147" s="13">
        <v>43060</v>
      </c>
      <c r="K147" s="14">
        <v>1</v>
      </c>
      <c r="U147" s="16"/>
    </row>
    <row r="148" spans="1:21" ht="15.75" customHeight="1">
      <c r="A148" s="8"/>
      <c r="C148" s="26" t="s">
        <v>245</v>
      </c>
      <c r="D148" s="27" t="s">
        <v>246</v>
      </c>
      <c r="E148" s="11">
        <v>42919</v>
      </c>
      <c r="F148" s="11">
        <v>43084</v>
      </c>
      <c r="G148" s="12" t="s">
        <v>20</v>
      </c>
      <c r="H148" s="23"/>
      <c r="I148" s="28" t="s">
        <v>1</v>
      </c>
      <c r="J148" s="31">
        <v>43060</v>
      </c>
      <c r="K148" s="29">
        <v>1</v>
      </c>
      <c r="U148" s="16"/>
    </row>
    <row r="149" spans="1:21" ht="15.75" customHeight="1">
      <c r="A149" s="8"/>
      <c r="C149" s="25" t="s">
        <v>247</v>
      </c>
      <c r="D149" s="17" t="s">
        <v>182</v>
      </c>
      <c r="E149" s="11">
        <v>42919</v>
      </c>
      <c r="F149" s="11">
        <v>43084</v>
      </c>
      <c r="G149" s="12" t="s">
        <v>20</v>
      </c>
      <c r="H149" s="23"/>
      <c r="I149" s="12" t="s">
        <v>1</v>
      </c>
      <c r="J149" s="13">
        <v>43060</v>
      </c>
      <c r="K149" s="14">
        <v>1</v>
      </c>
      <c r="U149" s="16"/>
    </row>
    <row r="150" spans="1:21" ht="15.75" customHeight="1">
      <c r="A150" s="8"/>
      <c r="C150" s="25" t="s">
        <v>248</v>
      </c>
      <c r="D150" s="17" t="s">
        <v>145</v>
      </c>
      <c r="E150" s="11">
        <v>42919</v>
      </c>
      <c r="F150" s="11">
        <v>43084</v>
      </c>
      <c r="G150" s="12" t="s">
        <v>20</v>
      </c>
      <c r="H150" s="23"/>
      <c r="I150" s="12" t="s">
        <v>1</v>
      </c>
      <c r="J150" s="13">
        <v>43060</v>
      </c>
      <c r="K150" s="14">
        <v>1</v>
      </c>
      <c r="U150" s="16"/>
    </row>
    <row r="151" spans="1:21" ht="15.75" customHeight="1">
      <c r="A151" s="8"/>
      <c r="C151" s="25" t="s">
        <v>249</v>
      </c>
      <c r="D151" s="17" t="s">
        <v>250</v>
      </c>
      <c r="E151" s="11">
        <v>42919</v>
      </c>
      <c r="F151" s="11">
        <v>43084</v>
      </c>
      <c r="G151" s="12" t="s">
        <v>20</v>
      </c>
      <c r="H151" s="23"/>
      <c r="I151" s="12" t="s">
        <v>1</v>
      </c>
      <c r="J151" s="13">
        <v>43060</v>
      </c>
      <c r="K151" s="14">
        <v>1</v>
      </c>
      <c r="U151" s="16"/>
    </row>
    <row r="152" spans="1:21" ht="15.75" customHeight="1">
      <c r="A152" s="8"/>
      <c r="C152" s="30"/>
      <c r="H152" s="55" t="s">
        <v>42</v>
      </c>
      <c r="I152" s="56"/>
      <c r="J152" s="57"/>
      <c r="K152" s="19">
        <f>AVERAGE(K142:K151)</f>
        <v>0.9</v>
      </c>
      <c r="U152" s="16"/>
    </row>
    <row r="153" spans="1:21" ht="15.75" customHeight="1">
      <c r="A153" s="8"/>
      <c r="B153" s="20"/>
      <c r="C153" s="30"/>
      <c r="D153" s="20"/>
      <c r="E153" s="20"/>
      <c r="F153" s="20"/>
      <c r="G153" s="20"/>
      <c r="H153" s="21"/>
      <c r="I153" s="21"/>
      <c r="J153" s="21"/>
      <c r="K153" s="22"/>
      <c r="L153" s="20"/>
      <c r="M153" s="20"/>
      <c r="N153" s="20"/>
      <c r="O153" s="20"/>
      <c r="P153" s="20"/>
      <c r="Q153" s="20"/>
      <c r="R153" s="20"/>
      <c r="S153" s="20"/>
      <c r="T153" s="20"/>
      <c r="U153" s="16"/>
    </row>
    <row r="154" spans="1:21" ht="15.75" customHeight="1">
      <c r="A154" s="62">
        <v>9</v>
      </c>
      <c r="B154" s="46" t="s">
        <v>251</v>
      </c>
      <c r="C154" s="47"/>
      <c r="D154" s="48"/>
      <c r="E154" s="64" t="s">
        <v>6</v>
      </c>
      <c r="F154" s="65"/>
      <c r="G154" s="64" t="s">
        <v>7</v>
      </c>
      <c r="H154" s="65"/>
      <c r="I154" s="64" t="s">
        <v>8</v>
      </c>
      <c r="J154" s="66"/>
      <c r="K154" s="65"/>
      <c r="U154" s="16"/>
    </row>
    <row r="155" spans="1:21" ht="15.75" customHeight="1">
      <c r="A155" s="63"/>
      <c r="B155" s="49"/>
      <c r="C155" s="50"/>
      <c r="D155" s="51"/>
      <c r="E155" s="6" t="s">
        <v>10</v>
      </c>
      <c r="F155" s="6" t="s">
        <v>11</v>
      </c>
      <c r="G155" s="7" t="s">
        <v>12</v>
      </c>
      <c r="H155" s="7" t="s">
        <v>13</v>
      </c>
      <c r="I155" s="7" t="s">
        <v>14</v>
      </c>
      <c r="J155" s="7" t="s">
        <v>15</v>
      </c>
      <c r="K155" s="7" t="s">
        <v>16</v>
      </c>
      <c r="U155" s="16"/>
    </row>
    <row r="156" spans="1:21" ht="15.75" customHeight="1">
      <c r="A156" s="8"/>
      <c r="C156" s="9" t="s">
        <v>252</v>
      </c>
      <c r="D156" s="10" t="s">
        <v>253</v>
      </c>
      <c r="E156" s="11">
        <v>42919</v>
      </c>
      <c r="F156" s="11">
        <v>43084</v>
      </c>
      <c r="G156" s="12" t="s">
        <v>20</v>
      </c>
      <c r="H156" s="10"/>
      <c r="I156" s="12" t="s">
        <v>1</v>
      </c>
      <c r="J156" s="13">
        <v>43060</v>
      </c>
      <c r="K156" s="14">
        <v>1</v>
      </c>
      <c r="U156" s="16"/>
    </row>
    <row r="157" spans="1:21" ht="15.75" customHeight="1">
      <c r="A157" s="8"/>
      <c r="C157" s="25" t="s">
        <v>254</v>
      </c>
      <c r="D157" s="17" t="s">
        <v>255</v>
      </c>
      <c r="E157" s="11">
        <v>42919</v>
      </c>
      <c r="F157" s="11">
        <v>43084</v>
      </c>
      <c r="G157" s="12" t="s">
        <v>20</v>
      </c>
      <c r="H157" s="17"/>
      <c r="I157" s="12" t="s">
        <v>1</v>
      </c>
      <c r="J157" s="13">
        <v>43060</v>
      </c>
      <c r="K157" s="14">
        <v>1</v>
      </c>
      <c r="U157" s="16"/>
    </row>
    <row r="158" spans="1:21" ht="15.75" customHeight="1">
      <c r="A158" s="8"/>
      <c r="C158" s="25" t="s">
        <v>256</v>
      </c>
      <c r="D158" s="17" t="s">
        <v>257</v>
      </c>
      <c r="E158" s="11">
        <v>42919</v>
      </c>
      <c r="F158" s="11">
        <v>43084</v>
      </c>
      <c r="G158" s="12" t="s">
        <v>20</v>
      </c>
      <c r="H158" s="17"/>
      <c r="I158" s="12" t="s">
        <v>1</v>
      </c>
      <c r="J158" s="13">
        <v>43060</v>
      </c>
      <c r="K158" s="14">
        <v>1</v>
      </c>
      <c r="U158" s="16"/>
    </row>
    <row r="159" spans="1:21" ht="15.75" customHeight="1">
      <c r="A159" s="8"/>
      <c r="C159" s="25" t="s">
        <v>258</v>
      </c>
      <c r="D159" s="17" t="s">
        <v>259</v>
      </c>
      <c r="E159" s="11">
        <v>42919</v>
      </c>
      <c r="F159" s="11">
        <v>43084</v>
      </c>
      <c r="G159" s="12" t="s">
        <v>20</v>
      </c>
      <c r="H159" s="17"/>
      <c r="I159" s="12" t="s">
        <v>1</v>
      </c>
      <c r="J159" s="13">
        <v>43060</v>
      </c>
      <c r="K159" s="14">
        <v>1</v>
      </c>
      <c r="U159" s="16"/>
    </row>
    <row r="160" spans="1:21" ht="15.75" customHeight="1">
      <c r="A160" s="8"/>
      <c r="C160" s="25" t="s">
        <v>260</v>
      </c>
      <c r="D160" s="17" t="s">
        <v>179</v>
      </c>
      <c r="E160" s="11">
        <v>42919</v>
      </c>
      <c r="F160" s="11">
        <v>43084</v>
      </c>
      <c r="G160" s="12" t="s">
        <v>20</v>
      </c>
      <c r="H160" s="17"/>
      <c r="I160" s="12" t="s">
        <v>1</v>
      </c>
      <c r="J160" s="13">
        <v>43060</v>
      </c>
      <c r="K160" s="14">
        <v>1</v>
      </c>
      <c r="U160" s="16"/>
    </row>
    <row r="161" spans="1:21" ht="15.75" customHeight="1">
      <c r="A161" s="8"/>
      <c r="C161" s="25" t="s">
        <v>261</v>
      </c>
      <c r="D161" s="17" t="s">
        <v>182</v>
      </c>
      <c r="E161" s="11">
        <v>42919</v>
      </c>
      <c r="F161" s="11">
        <v>43084</v>
      </c>
      <c r="G161" s="12" t="s">
        <v>20</v>
      </c>
      <c r="H161" s="17"/>
      <c r="I161" s="12" t="s">
        <v>1</v>
      </c>
      <c r="J161" s="13">
        <v>43060</v>
      </c>
      <c r="K161" s="14">
        <v>1</v>
      </c>
      <c r="U161" s="16"/>
    </row>
    <row r="162" spans="1:21" ht="15.75" customHeight="1">
      <c r="A162" s="8"/>
      <c r="C162" s="25" t="s">
        <v>262</v>
      </c>
      <c r="D162" s="17" t="s">
        <v>145</v>
      </c>
      <c r="E162" s="11">
        <v>42919</v>
      </c>
      <c r="F162" s="11">
        <v>43084</v>
      </c>
      <c r="G162" s="12" t="s">
        <v>20</v>
      </c>
      <c r="H162" s="17"/>
      <c r="I162" s="12" t="s">
        <v>1</v>
      </c>
      <c r="J162" s="13">
        <v>43060</v>
      </c>
      <c r="K162" s="14">
        <v>1</v>
      </c>
      <c r="U162" s="16"/>
    </row>
    <row r="163" spans="1:21" ht="15.75" customHeight="1">
      <c r="A163" s="8"/>
      <c r="C163" s="25" t="s">
        <v>263</v>
      </c>
      <c r="D163" s="17" t="s">
        <v>264</v>
      </c>
      <c r="E163" s="11">
        <v>42919</v>
      </c>
      <c r="F163" s="11">
        <v>43084</v>
      </c>
      <c r="G163" s="12" t="s">
        <v>20</v>
      </c>
      <c r="H163" s="17"/>
      <c r="I163" s="12" t="s">
        <v>1</v>
      </c>
      <c r="J163" s="13">
        <v>43060</v>
      </c>
      <c r="K163" s="14">
        <v>1</v>
      </c>
      <c r="U163" s="16"/>
    </row>
    <row r="164" spans="1:21" ht="15.75" customHeight="1">
      <c r="A164" s="8"/>
      <c r="C164" s="30"/>
      <c r="D164" s="20"/>
      <c r="E164" s="20"/>
      <c r="F164" s="20"/>
      <c r="G164" s="20"/>
      <c r="H164" s="55" t="s">
        <v>42</v>
      </c>
      <c r="I164" s="56"/>
      <c r="J164" s="57"/>
      <c r="K164" s="19">
        <f>AVERAGE(K156:K163)</f>
        <v>1</v>
      </c>
      <c r="U164" s="16"/>
    </row>
    <row r="165" spans="1:21" ht="15.75" customHeight="1">
      <c r="A165" s="8"/>
      <c r="C165" s="30"/>
      <c r="U165" s="16"/>
    </row>
    <row r="166" spans="1:21" ht="15.75" customHeight="1">
      <c r="A166" s="62">
        <v>10</v>
      </c>
      <c r="B166" s="46" t="s">
        <v>265</v>
      </c>
      <c r="C166" s="47"/>
      <c r="D166" s="48"/>
      <c r="E166" s="64" t="s">
        <v>6</v>
      </c>
      <c r="F166" s="65"/>
      <c r="G166" s="64" t="s">
        <v>7</v>
      </c>
      <c r="H166" s="65"/>
      <c r="I166" s="64" t="s">
        <v>8</v>
      </c>
      <c r="J166" s="66"/>
      <c r="K166" s="65"/>
      <c r="U166" s="16"/>
    </row>
    <row r="167" spans="1:21" ht="15.75" customHeight="1">
      <c r="A167" s="63"/>
      <c r="B167" s="49"/>
      <c r="C167" s="50"/>
      <c r="D167" s="51"/>
      <c r="E167" s="6" t="s">
        <v>10</v>
      </c>
      <c r="F167" s="6" t="s">
        <v>11</v>
      </c>
      <c r="G167" s="7" t="s">
        <v>12</v>
      </c>
      <c r="H167" s="7" t="s">
        <v>13</v>
      </c>
      <c r="I167" s="7" t="s">
        <v>14</v>
      </c>
      <c r="J167" s="7" t="s">
        <v>15</v>
      </c>
      <c r="K167" s="7" t="s">
        <v>16</v>
      </c>
      <c r="U167" s="16"/>
    </row>
    <row r="168" spans="1:21" ht="15.75" customHeight="1">
      <c r="A168" s="8"/>
      <c r="C168" s="9" t="s">
        <v>266</v>
      </c>
      <c r="D168" s="10" t="s">
        <v>267</v>
      </c>
      <c r="E168" s="11">
        <v>42919</v>
      </c>
      <c r="F168" s="11">
        <v>43084</v>
      </c>
      <c r="G168" s="12" t="s">
        <v>20</v>
      </c>
      <c r="H168" s="10"/>
      <c r="I168" s="12" t="s">
        <v>1</v>
      </c>
      <c r="J168" s="13">
        <v>43066</v>
      </c>
      <c r="K168" s="14">
        <v>1</v>
      </c>
      <c r="U168" s="16"/>
    </row>
    <row r="169" spans="1:21" ht="15.75" customHeight="1">
      <c r="A169" s="8"/>
      <c r="C169" s="25" t="s">
        <v>268</v>
      </c>
      <c r="D169" s="17" t="s">
        <v>115</v>
      </c>
      <c r="E169" s="11">
        <v>42919</v>
      </c>
      <c r="F169" s="11">
        <v>43084</v>
      </c>
      <c r="G169" s="12" t="s">
        <v>20</v>
      </c>
      <c r="H169" s="17"/>
      <c r="I169" s="12" t="s">
        <v>1</v>
      </c>
      <c r="J169" s="13">
        <v>43066</v>
      </c>
      <c r="K169" s="14">
        <v>1</v>
      </c>
      <c r="U169" s="16"/>
    </row>
    <row r="170" spans="1:21" ht="15.75" customHeight="1">
      <c r="A170" s="8"/>
      <c r="C170" s="25" t="s">
        <v>269</v>
      </c>
      <c r="D170" s="17" t="s">
        <v>117</v>
      </c>
      <c r="E170" s="11">
        <v>42919</v>
      </c>
      <c r="F170" s="11">
        <v>43084</v>
      </c>
      <c r="G170" s="12" t="s">
        <v>20</v>
      </c>
      <c r="H170" s="17"/>
      <c r="I170" s="12" t="s">
        <v>1</v>
      </c>
      <c r="J170" s="13">
        <v>43066</v>
      </c>
      <c r="K170" s="14">
        <v>1</v>
      </c>
      <c r="U170" s="16"/>
    </row>
    <row r="171" spans="1:21" ht="15.75" customHeight="1">
      <c r="A171" s="8"/>
      <c r="C171" s="25" t="s">
        <v>270</v>
      </c>
      <c r="D171" s="17" t="s">
        <v>271</v>
      </c>
      <c r="E171" s="11">
        <v>42919</v>
      </c>
      <c r="F171" s="11">
        <v>43084</v>
      </c>
      <c r="G171" s="12" t="s">
        <v>20</v>
      </c>
      <c r="H171" s="17"/>
      <c r="I171" s="12" t="s">
        <v>1</v>
      </c>
      <c r="J171" s="13">
        <v>43066</v>
      </c>
      <c r="K171" s="14">
        <v>1</v>
      </c>
      <c r="U171" s="16"/>
    </row>
    <row r="172" spans="1:21" ht="15.75" customHeight="1">
      <c r="A172" s="8"/>
      <c r="C172" s="25" t="s">
        <v>272</v>
      </c>
      <c r="D172" s="17" t="s">
        <v>119</v>
      </c>
      <c r="E172" s="11">
        <v>42919</v>
      </c>
      <c r="F172" s="11">
        <v>43084</v>
      </c>
      <c r="G172" s="12" t="s">
        <v>20</v>
      </c>
      <c r="H172" s="17"/>
      <c r="I172" s="12" t="s">
        <v>1</v>
      </c>
      <c r="J172" s="13">
        <v>43066</v>
      </c>
      <c r="K172" s="14">
        <v>1</v>
      </c>
      <c r="U172" s="16"/>
    </row>
    <row r="173" spans="1:21" ht="15.75" customHeight="1">
      <c r="A173" s="8"/>
      <c r="C173" s="25" t="s">
        <v>273</v>
      </c>
      <c r="D173" s="17" t="s">
        <v>274</v>
      </c>
      <c r="E173" s="11">
        <v>42919</v>
      </c>
      <c r="F173" s="11">
        <v>43084</v>
      </c>
      <c r="G173" s="12" t="s">
        <v>20</v>
      </c>
      <c r="H173" s="17"/>
      <c r="I173" s="12" t="s">
        <v>1</v>
      </c>
      <c r="J173" s="13">
        <v>43066</v>
      </c>
      <c r="K173" s="14">
        <v>1</v>
      </c>
      <c r="U173" s="16"/>
    </row>
    <row r="174" spans="1:21" ht="15.75" customHeight="1">
      <c r="A174" s="8"/>
      <c r="C174" s="25" t="s">
        <v>275</v>
      </c>
      <c r="D174" s="17" t="s">
        <v>179</v>
      </c>
      <c r="E174" s="11">
        <v>42919</v>
      </c>
      <c r="F174" s="11">
        <v>43084</v>
      </c>
      <c r="G174" s="12" t="s">
        <v>20</v>
      </c>
      <c r="H174" s="17"/>
      <c r="I174" s="12" t="s">
        <v>1</v>
      </c>
      <c r="J174" s="13">
        <v>43066</v>
      </c>
      <c r="K174" s="14">
        <v>1</v>
      </c>
      <c r="U174" s="16"/>
    </row>
    <row r="175" spans="1:21" ht="15.75" customHeight="1">
      <c r="A175" s="8"/>
      <c r="C175" s="25" t="s">
        <v>276</v>
      </c>
      <c r="D175" s="17" t="s">
        <v>182</v>
      </c>
      <c r="E175" s="11">
        <v>42919</v>
      </c>
      <c r="F175" s="11">
        <v>43084</v>
      </c>
      <c r="G175" s="12" t="s">
        <v>20</v>
      </c>
      <c r="H175" s="17"/>
      <c r="I175" s="12" t="s">
        <v>1</v>
      </c>
      <c r="J175" s="13">
        <v>43066</v>
      </c>
      <c r="K175" s="14">
        <v>1</v>
      </c>
      <c r="U175" s="16"/>
    </row>
    <row r="176" spans="1:21" ht="15.75" customHeight="1">
      <c r="A176" s="8"/>
      <c r="C176" s="25" t="s">
        <v>277</v>
      </c>
      <c r="D176" s="17" t="s">
        <v>145</v>
      </c>
      <c r="E176" s="11">
        <v>42919</v>
      </c>
      <c r="F176" s="11">
        <v>43084</v>
      </c>
      <c r="G176" s="12" t="s">
        <v>20</v>
      </c>
      <c r="H176" s="17"/>
      <c r="I176" s="12" t="s">
        <v>1</v>
      </c>
      <c r="J176" s="13">
        <v>43066</v>
      </c>
      <c r="K176" s="14">
        <v>1</v>
      </c>
      <c r="U176" s="16"/>
    </row>
    <row r="177" spans="1:21" ht="15.75" customHeight="1">
      <c r="A177" s="8"/>
      <c r="C177" s="25" t="s">
        <v>278</v>
      </c>
      <c r="D177" s="17" t="s">
        <v>279</v>
      </c>
      <c r="E177" s="11">
        <v>42919</v>
      </c>
      <c r="F177" s="11">
        <v>43084</v>
      </c>
      <c r="G177" s="12" t="s">
        <v>20</v>
      </c>
      <c r="H177" s="17"/>
      <c r="I177" s="12" t="s">
        <v>1</v>
      </c>
      <c r="J177" s="13">
        <v>43066</v>
      </c>
      <c r="K177" s="14">
        <v>1</v>
      </c>
      <c r="U177" s="16"/>
    </row>
    <row r="178" spans="1:21" ht="15.75" customHeight="1">
      <c r="A178" s="8"/>
      <c r="C178" s="30"/>
      <c r="D178" s="20"/>
      <c r="E178" s="20"/>
      <c r="F178" s="20"/>
      <c r="G178" s="20"/>
      <c r="H178" s="55" t="s">
        <v>42</v>
      </c>
      <c r="I178" s="56"/>
      <c r="J178" s="57"/>
      <c r="K178" s="19">
        <f>AVERAGE(K168:K177)</f>
        <v>1</v>
      </c>
      <c r="U178" s="16"/>
    </row>
    <row r="179" spans="1:21" ht="15.75" customHeight="1">
      <c r="A179" s="8"/>
      <c r="C179" s="30"/>
      <c r="U179" s="16"/>
    </row>
    <row r="180" spans="1:21" ht="15.75" customHeight="1">
      <c r="A180" s="62">
        <v>11</v>
      </c>
      <c r="B180" s="46" t="s">
        <v>280</v>
      </c>
      <c r="C180" s="47"/>
      <c r="D180" s="48"/>
      <c r="E180" s="64" t="s">
        <v>6</v>
      </c>
      <c r="F180" s="65"/>
      <c r="G180" s="64" t="s">
        <v>7</v>
      </c>
      <c r="H180" s="65"/>
      <c r="I180" s="64" t="s">
        <v>8</v>
      </c>
      <c r="J180" s="66"/>
      <c r="K180" s="65"/>
      <c r="U180" s="16"/>
    </row>
    <row r="181" spans="1:21" ht="15.75" customHeight="1">
      <c r="A181" s="63"/>
      <c r="B181" s="49"/>
      <c r="C181" s="50"/>
      <c r="D181" s="51"/>
      <c r="E181" s="6" t="s">
        <v>10</v>
      </c>
      <c r="F181" s="6" t="s">
        <v>11</v>
      </c>
      <c r="G181" s="7" t="s">
        <v>12</v>
      </c>
      <c r="H181" s="7" t="s">
        <v>13</v>
      </c>
      <c r="I181" s="7" t="s">
        <v>14</v>
      </c>
      <c r="J181" s="7" t="s">
        <v>15</v>
      </c>
      <c r="K181" s="7" t="s">
        <v>16</v>
      </c>
      <c r="U181" s="16"/>
    </row>
    <row r="182" spans="1:21" ht="15.75" customHeight="1">
      <c r="A182" s="8"/>
      <c r="C182" s="9" t="s">
        <v>281</v>
      </c>
      <c r="D182" s="10" t="s">
        <v>282</v>
      </c>
      <c r="E182" s="11">
        <v>42919</v>
      </c>
      <c r="F182" s="11">
        <v>43084</v>
      </c>
      <c r="G182" s="12" t="s">
        <v>20</v>
      </c>
      <c r="H182" s="23"/>
      <c r="I182" s="12" t="s">
        <v>1</v>
      </c>
      <c r="J182" s="13">
        <v>43060</v>
      </c>
      <c r="K182" s="14">
        <v>1</v>
      </c>
      <c r="U182" s="16"/>
    </row>
    <row r="183" spans="1:21" ht="15.75" customHeight="1">
      <c r="A183" s="8"/>
      <c r="C183" s="25" t="s">
        <v>283</v>
      </c>
      <c r="D183" s="17" t="s">
        <v>255</v>
      </c>
      <c r="E183" s="11">
        <v>42919</v>
      </c>
      <c r="F183" s="11">
        <v>43084</v>
      </c>
      <c r="G183" s="12" t="s">
        <v>20</v>
      </c>
      <c r="H183" s="23"/>
      <c r="I183" s="12" t="s">
        <v>1</v>
      </c>
      <c r="J183" s="18">
        <v>43060</v>
      </c>
      <c r="K183" s="14">
        <v>1</v>
      </c>
      <c r="U183" s="16"/>
    </row>
    <row r="184" spans="1:21" ht="15.75" customHeight="1">
      <c r="A184" s="8"/>
      <c r="C184" s="25" t="s">
        <v>284</v>
      </c>
      <c r="D184" s="17" t="s">
        <v>257</v>
      </c>
      <c r="E184" s="11">
        <v>42919</v>
      </c>
      <c r="F184" s="11">
        <v>43084</v>
      </c>
      <c r="G184" s="12" t="s">
        <v>20</v>
      </c>
      <c r="H184" s="23"/>
      <c r="I184" s="12" t="s">
        <v>1</v>
      </c>
      <c r="J184" s="18">
        <v>43060</v>
      </c>
      <c r="K184" s="14">
        <v>1</v>
      </c>
      <c r="U184" s="16"/>
    </row>
    <row r="185" spans="1:21" ht="15.75" customHeight="1">
      <c r="A185" s="8"/>
      <c r="C185" s="25" t="s">
        <v>285</v>
      </c>
      <c r="D185" s="17" t="s">
        <v>286</v>
      </c>
      <c r="E185" s="11">
        <v>42919</v>
      </c>
      <c r="F185" s="11">
        <v>43084</v>
      </c>
      <c r="G185" s="12"/>
      <c r="H185" s="23" t="s">
        <v>29</v>
      </c>
      <c r="I185" s="12" t="s">
        <v>1</v>
      </c>
      <c r="J185" s="18">
        <v>43063</v>
      </c>
      <c r="K185" s="14">
        <v>1</v>
      </c>
      <c r="U185" s="16"/>
    </row>
    <row r="186" spans="1:21" ht="15.75" customHeight="1">
      <c r="A186" s="8"/>
      <c r="C186" s="25" t="s">
        <v>287</v>
      </c>
      <c r="D186" s="17" t="s">
        <v>288</v>
      </c>
      <c r="E186" s="11">
        <v>42919</v>
      </c>
      <c r="F186" s="11">
        <v>43084</v>
      </c>
      <c r="G186" s="12"/>
      <c r="H186" s="23" t="s">
        <v>29</v>
      </c>
      <c r="I186" s="12" t="s">
        <v>1</v>
      </c>
      <c r="J186" s="18">
        <v>43063</v>
      </c>
      <c r="K186" s="14">
        <v>1</v>
      </c>
      <c r="U186" s="16"/>
    </row>
    <row r="187" spans="1:21" ht="15.75" customHeight="1">
      <c r="A187" s="8"/>
      <c r="C187" s="25" t="s">
        <v>289</v>
      </c>
      <c r="D187" s="17" t="s">
        <v>290</v>
      </c>
      <c r="E187" s="11">
        <v>42919</v>
      </c>
      <c r="F187" s="11">
        <v>43084</v>
      </c>
      <c r="G187" s="12" t="s">
        <v>20</v>
      </c>
      <c r="H187" s="23"/>
      <c r="I187" s="12" t="s">
        <v>1</v>
      </c>
      <c r="J187" s="18">
        <v>43066</v>
      </c>
      <c r="K187" s="14">
        <v>1</v>
      </c>
      <c r="U187" s="16"/>
    </row>
    <row r="188" spans="1:21" ht="15.75" customHeight="1">
      <c r="A188" s="8"/>
      <c r="C188" s="25" t="s">
        <v>291</v>
      </c>
      <c r="D188" s="17" t="s">
        <v>182</v>
      </c>
      <c r="E188" s="11">
        <v>42919</v>
      </c>
      <c r="F188" s="11">
        <v>43084</v>
      </c>
      <c r="G188" s="12" t="s">
        <v>20</v>
      </c>
      <c r="H188" s="23"/>
      <c r="I188" s="12" t="s">
        <v>1</v>
      </c>
      <c r="J188" s="18">
        <v>43066</v>
      </c>
      <c r="K188" s="14">
        <v>1</v>
      </c>
      <c r="U188" s="16"/>
    </row>
    <row r="189" spans="1:21" ht="15.75" customHeight="1">
      <c r="A189" s="8"/>
      <c r="C189" s="25" t="s">
        <v>292</v>
      </c>
      <c r="D189" s="17" t="s">
        <v>145</v>
      </c>
      <c r="E189" s="11">
        <v>42919</v>
      </c>
      <c r="F189" s="11">
        <v>43084</v>
      </c>
      <c r="G189" s="12" t="s">
        <v>20</v>
      </c>
      <c r="H189" s="23"/>
      <c r="I189" s="12" t="s">
        <v>1</v>
      </c>
      <c r="J189" s="18">
        <v>43066</v>
      </c>
      <c r="K189" s="14">
        <v>1</v>
      </c>
      <c r="U189" s="16"/>
    </row>
    <row r="190" spans="1:21" ht="15.75" customHeight="1">
      <c r="A190" s="8"/>
      <c r="C190" s="25" t="s">
        <v>293</v>
      </c>
      <c r="D190" s="17" t="s">
        <v>294</v>
      </c>
      <c r="E190" s="11">
        <v>42919</v>
      </c>
      <c r="F190" s="11">
        <v>43084</v>
      </c>
      <c r="G190" s="12" t="s">
        <v>20</v>
      </c>
      <c r="H190" s="23"/>
      <c r="I190" s="12" t="s">
        <v>1</v>
      </c>
      <c r="J190" s="18">
        <v>43066</v>
      </c>
      <c r="K190" s="14">
        <v>1</v>
      </c>
      <c r="U190" s="16"/>
    </row>
    <row r="191" spans="1:21" ht="15.75" customHeight="1">
      <c r="A191" s="8"/>
      <c r="C191" s="30"/>
      <c r="D191" s="20"/>
      <c r="E191" s="20"/>
      <c r="F191" s="20"/>
      <c r="G191" s="20"/>
      <c r="H191" s="55" t="s">
        <v>42</v>
      </c>
      <c r="I191" s="56"/>
      <c r="J191" s="57"/>
      <c r="K191" s="19">
        <f>AVERAGE(K182:K190)</f>
        <v>1</v>
      </c>
      <c r="U191" s="16"/>
    </row>
    <row r="192" spans="1:21" ht="15.75" customHeight="1">
      <c r="A192" s="8"/>
      <c r="C192" s="30"/>
      <c r="U192" s="16"/>
    </row>
    <row r="193" spans="1:21" ht="15.75" customHeight="1">
      <c r="A193" s="62">
        <v>12</v>
      </c>
      <c r="B193" s="46" t="s">
        <v>295</v>
      </c>
      <c r="C193" s="47"/>
      <c r="D193" s="48"/>
      <c r="E193" s="64" t="s">
        <v>6</v>
      </c>
      <c r="F193" s="65"/>
      <c r="G193" s="64" t="s">
        <v>7</v>
      </c>
      <c r="H193" s="65"/>
      <c r="I193" s="64" t="s">
        <v>8</v>
      </c>
      <c r="J193" s="66"/>
      <c r="K193" s="65"/>
      <c r="U193" s="16"/>
    </row>
    <row r="194" spans="1:21" ht="15.75" customHeight="1">
      <c r="A194" s="63"/>
      <c r="B194" s="49"/>
      <c r="C194" s="50"/>
      <c r="D194" s="51"/>
      <c r="E194" s="6" t="s">
        <v>10</v>
      </c>
      <c r="F194" s="6" t="s">
        <v>11</v>
      </c>
      <c r="G194" s="7" t="s">
        <v>12</v>
      </c>
      <c r="H194" s="7" t="s">
        <v>13</v>
      </c>
      <c r="I194" s="7" t="s">
        <v>14</v>
      </c>
      <c r="J194" s="7" t="s">
        <v>15</v>
      </c>
      <c r="K194" s="7" t="s">
        <v>16</v>
      </c>
      <c r="U194" s="16"/>
    </row>
    <row r="195" spans="1:21" ht="15.75" customHeight="1">
      <c r="A195" s="8"/>
      <c r="C195" s="9" t="s">
        <v>296</v>
      </c>
      <c r="D195" s="10" t="s">
        <v>297</v>
      </c>
      <c r="E195" s="11">
        <v>42919</v>
      </c>
      <c r="F195" s="11">
        <v>43084</v>
      </c>
      <c r="G195" s="12" t="s">
        <v>20</v>
      </c>
      <c r="H195" s="12"/>
      <c r="I195" s="12" t="s">
        <v>1</v>
      </c>
      <c r="J195" s="18">
        <v>43066</v>
      </c>
      <c r="K195" s="14">
        <v>1</v>
      </c>
      <c r="U195" s="16"/>
    </row>
    <row r="196" spans="1:21" ht="15.75" customHeight="1">
      <c r="A196" s="8"/>
      <c r="C196" s="25" t="s">
        <v>298</v>
      </c>
      <c r="D196" s="17" t="s">
        <v>299</v>
      </c>
      <c r="E196" s="11">
        <v>42919</v>
      </c>
      <c r="F196" s="11">
        <v>43084</v>
      </c>
      <c r="G196" s="12" t="s">
        <v>20</v>
      </c>
      <c r="H196" s="12"/>
      <c r="I196" s="12" t="s">
        <v>1</v>
      </c>
      <c r="J196" s="18">
        <v>43066</v>
      </c>
      <c r="K196" s="14">
        <v>1</v>
      </c>
      <c r="U196" s="16"/>
    </row>
    <row r="197" spans="1:21" ht="15.75" customHeight="1">
      <c r="A197" s="8"/>
      <c r="C197" s="25" t="s">
        <v>300</v>
      </c>
      <c r="D197" s="17" t="s">
        <v>257</v>
      </c>
      <c r="E197" s="11">
        <v>42919</v>
      </c>
      <c r="F197" s="11">
        <v>43084</v>
      </c>
      <c r="G197" s="12" t="s">
        <v>20</v>
      </c>
      <c r="H197" s="12"/>
      <c r="I197" s="12" t="s">
        <v>1</v>
      </c>
      <c r="J197" s="18">
        <v>43066</v>
      </c>
      <c r="K197" s="14">
        <v>1</v>
      </c>
      <c r="U197" s="16"/>
    </row>
    <row r="198" spans="1:21" ht="15.75" customHeight="1">
      <c r="A198" s="8"/>
      <c r="C198" s="25" t="s">
        <v>301</v>
      </c>
      <c r="D198" s="17" t="s">
        <v>302</v>
      </c>
      <c r="E198" s="11">
        <v>42919</v>
      </c>
      <c r="F198" s="11">
        <v>43084</v>
      </c>
      <c r="G198" s="12"/>
      <c r="H198" s="23" t="s">
        <v>29</v>
      </c>
      <c r="I198" s="12" t="s">
        <v>1</v>
      </c>
      <c r="J198" s="18">
        <v>43066</v>
      </c>
      <c r="K198" s="14">
        <v>1</v>
      </c>
      <c r="U198" s="16"/>
    </row>
    <row r="199" spans="1:21" ht="15.75" customHeight="1">
      <c r="A199" s="8"/>
      <c r="C199" s="25" t="s">
        <v>303</v>
      </c>
      <c r="D199" s="17" t="s">
        <v>290</v>
      </c>
      <c r="E199" s="11">
        <v>42919</v>
      </c>
      <c r="F199" s="11">
        <v>43084</v>
      </c>
      <c r="G199" s="12" t="s">
        <v>20</v>
      </c>
      <c r="H199" s="12"/>
      <c r="I199" s="12" t="s">
        <v>1</v>
      </c>
      <c r="J199" s="18">
        <v>43066</v>
      </c>
      <c r="K199" s="14">
        <v>1</v>
      </c>
      <c r="U199" s="16"/>
    </row>
    <row r="200" spans="1:21" ht="15.75" customHeight="1">
      <c r="A200" s="8"/>
      <c r="C200" s="25" t="s">
        <v>304</v>
      </c>
      <c r="D200" s="17" t="s">
        <v>182</v>
      </c>
      <c r="E200" s="11">
        <v>42919</v>
      </c>
      <c r="F200" s="11">
        <v>43084</v>
      </c>
      <c r="G200" s="12" t="s">
        <v>20</v>
      </c>
      <c r="H200" s="12"/>
      <c r="I200" s="12" t="s">
        <v>1</v>
      </c>
      <c r="J200" s="18">
        <v>43066</v>
      </c>
      <c r="K200" s="14">
        <v>1</v>
      </c>
      <c r="U200" s="16"/>
    </row>
    <row r="201" spans="1:21" ht="15.75" customHeight="1">
      <c r="A201" s="8"/>
      <c r="C201" s="25" t="s">
        <v>305</v>
      </c>
      <c r="D201" s="17" t="s">
        <v>145</v>
      </c>
      <c r="E201" s="11">
        <v>42919</v>
      </c>
      <c r="F201" s="11">
        <v>43084</v>
      </c>
      <c r="G201" s="12" t="s">
        <v>20</v>
      </c>
      <c r="H201" s="12"/>
      <c r="I201" s="12" t="s">
        <v>1</v>
      </c>
      <c r="J201" s="18">
        <v>43066</v>
      </c>
      <c r="K201" s="14">
        <v>1</v>
      </c>
      <c r="U201" s="16"/>
    </row>
    <row r="202" spans="1:21" ht="15.75" customHeight="1">
      <c r="A202" s="8"/>
      <c r="C202" s="25" t="s">
        <v>306</v>
      </c>
      <c r="D202" s="17" t="s">
        <v>307</v>
      </c>
      <c r="E202" s="11">
        <v>42919</v>
      </c>
      <c r="F202" s="11">
        <v>43084</v>
      </c>
      <c r="G202" s="12" t="s">
        <v>20</v>
      </c>
      <c r="H202" s="12"/>
      <c r="I202" s="12" t="s">
        <v>1</v>
      </c>
      <c r="J202" s="18">
        <v>43066</v>
      </c>
      <c r="K202" s="14">
        <v>1</v>
      </c>
      <c r="U202" s="16"/>
    </row>
    <row r="203" spans="1:21" ht="15.75" customHeight="1">
      <c r="A203" s="8"/>
      <c r="C203" s="30"/>
      <c r="D203" s="20"/>
      <c r="E203" s="20"/>
      <c r="F203" s="20"/>
      <c r="G203" s="20"/>
      <c r="H203" s="55" t="s">
        <v>42</v>
      </c>
      <c r="I203" s="56"/>
      <c r="J203" s="57"/>
      <c r="K203" s="19">
        <f>AVERAGE(K195:K202)</f>
        <v>1</v>
      </c>
      <c r="U203" s="16"/>
    </row>
    <row r="204" spans="1:21" ht="15.75" customHeight="1">
      <c r="A204" s="8"/>
      <c r="C204" s="30"/>
      <c r="U204" s="16"/>
    </row>
    <row r="205" spans="1:21" ht="15.75" customHeight="1">
      <c r="A205" s="62">
        <v>13</v>
      </c>
      <c r="B205" s="46" t="s">
        <v>308</v>
      </c>
      <c r="C205" s="47"/>
      <c r="D205" s="48"/>
      <c r="E205" s="64" t="s">
        <v>6</v>
      </c>
      <c r="F205" s="65"/>
      <c r="G205" s="64" t="s">
        <v>7</v>
      </c>
      <c r="H205" s="65"/>
      <c r="I205" s="64" t="s">
        <v>8</v>
      </c>
      <c r="J205" s="66"/>
      <c r="K205" s="65"/>
      <c r="U205" s="16"/>
    </row>
    <row r="206" spans="1:21" ht="15.75" customHeight="1">
      <c r="A206" s="63"/>
      <c r="B206" s="49"/>
      <c r="C206" s="50"/>
      <c r="D206" s="51"/>
      <c r="E206" s="6" t="s">
        <v>10</v>
      </c>
      <c r="F206" s="6" t="s">
        <v>11</v>
      </c>
      <c r="G206" s="7" t="s">
        <v>12</v>
      </c>
      <c r="H206" s="7" t="s">
        <v>13</v>
      </c>
      <c r="I206" s="7" t="s">
        <v>14</v>
      </c>
      <c r="J206" s="7" t="s">
        <v>15</v>
      </c>
      <c r="K206" s="7" t="s">
        <v>16</v>
      </c>
      <c r="U206" s="16"/>
    </row>
    <row r="207" spans="1:21" ht="15.75" customHeight="1">
      <c r="A207" s="8"/>
      <c r="C207" s="9" t="s">
        <v>309</v>
      </c>
      <c r="D207" s="10" t="s">
        <v>310</v>
      </c>
      <c r="E207" s="11">
        <v>42919</v>
      </c>
      <c r="F207" s="11">
        <v>43084</v>
      </c>
      <c r="G207" s="12" t="s">
        <v>20</v>
      </c>
      <c r="H207" s="10"/>
      <c r="I207" s="12" t="s">
        <v>9</v>
      </c>
      <c r="J207" s="10"/>
      <c r="K207" s="14">
        <v>0</v>
      </c>
      <c r="U207" s="16"/>
    </row>
    <row r="208" spans="1:21" ht="15.75" customHeight="1">
      <c r="A208" s="8"/>
      <c r="C208" s="25" t="s">
        <v>311</v>
      </c>
      <c r="D208" s="17" t="s">
        <v>299</v>
      </c>
      <c r="E208" s="11">
        <v>42919</v>
      </c>
      <c r="F208" s="11">
        <v>43084</v>
      </c>
      <c r="G208" s="12" t="s">
        <v>20</v>
      </c>
      <c r="H208" s="17"/>
      <c r="I208" s="12" t="s">
        <v>9</v>
      </c>
      <c r="J208" s="17"/>
      <c r="K208" s="14">
        <v>0</v>
      </c>
      <c r="U208" s="16"/>
    </row>
    <row r="209" spans="1:21" ht="15.75" customHeight="1">
      <c r="A209" s="8"/>
      <c r="C209" s="25" t="s">
        <v>312</v>
      </c>
      <c r="D209" s="17" t="s">
        <v>257</v>
      </c>
      <c r="E209" s="11">
        <v>42919</v>
      </c>
      <c r="F209" s="11">
        <v>43084</v>
      </c>
      <c r="G209" s="12" t="s">
        <v>20</v>
      </c>
      <c r="H209" s="17"/>
      <c r="I209" s="12" t="s">
        <v>9</v>
      </c>
      <c r="J209" s="17"/>
      <c r="K209" s="14">
        <v>0</v>
      </c>
      <c r="U209" s="16"/>
    </row>
    <row r="210" spans="1:21" ht="15.75" customHeight="1">
      <c r="A210" s="8"/>
      <c r="C210" s="25" t="s">
        <v>313</v>
      </c>
      <c r="D210" s="17" t="s">
        <v>314</v>
      </c>
      <c r="E210" s="11">
        <v>42919</v>
      </c>
      <c r="F210" s="11">
        <v>43084</v>
      </c>
      <c r="G210" s="12"/>
      <c r="H210" s="23" t="s">
        <v>29</v>
      </c>
      <c r="I210" s="12" t="s">
        <v>9</v>
      </c>
      <c r="J210" s="17"/>
      <c r="K210" s="14">
        <v>0</v>
      </c>
      <c r="U210" s="16"/>
    </row>
    <row r="211" spans="1:21" ht="15.75" customHeight="1">
      <c r="A211" s="8"/>
      <c r="C211" s="25" t="s">
        <v>315</v>
      </c>
      <c r="D211" s="17" t="s">
        <v>316</v>
      </c>
      <c r="E211" s="11">
        <v>42919</v>
      </c>
      <c r="F211" s="11">
        <v>43084</v>
      </c>
      <c r="G211" s="12"/>
      <c r="H211" s="23" t="s">
        <v>29</v>
      </c>
      <c r="I211" s="12" t="s">
        <v>9</v>
      </c>
      <c r="J211" s="17"/>
      <c r="K211" s="14">
        <v>0</v>
      </c>
      <c r="U211" s="16"/>
    </row>
    <row r="212" spans="1:21" ht="15.75" customHeight="1">
      <c r="A212" s="8"/>
      <c r="C212" s="25" t="s">
        <v>317</v>
      </c>
      <c r="D212" s="17" t="s">
        <v>182</v>
      </c>
      <c r="E212" s="11">
        <v>42919</v>
      </c>
      <c r="F212" s="11">
        <v>43084</v>
      </c>
      <c r="G212" s="12" t="s">
        <v>20</v>
      </c>
      <c r="H212" s="17"/>
      <c r="I212" s="12" t="s">
        <v>9</v>
      </c>
      <c r="J212" s="17"/>
      <c r="K212" s="14">
        <v>0</v>
      </c>
      <c r="U212" s="16"/>
    </row>
    <row r="213" spans="1:21" ht="15.75" customHeight="1">
      <c r="A213" s="8"/>
      <c r="C213" s="25" t="s">
        <v>318</v>
      </c>
      <c r="D213" s="17" t="s">
        <v>145</v>
      </c>
      <c r="E213" s="11">
        <v>42919</v>
      </c>
      <c r="F213" s="11">
        <v>43084</v>
      </c>
      <c r="G213" s="12" t="s">
        <v>20</v>
      </c>
      <c r="H213" s="17"/>
      <c r="I213" s="12" t="s">
        <v>9</v>
      </c>
      <c r="J213" s="17"/>
      <c r="K213" s="14">
        <v>0</v>
      </c>
      <c r="U213" s="16"/>
    </row>
    <row r="214" spans="1:21" ht="15.75" customHeight="1">
      <c r="A214" s="8"/>
      <c r="C214" s="25" t="s">
        <v>319</v>
      </c>
      <c r="D214" s="17" t="s">
        <v>320</v>
      </c>
      <c r="E214" s="11">
        <v>42919</v>
      </c>
      <c r="F214" s="11">
        <v>43084</v>
      </c>
      <c r="G214" s="12" t="s">
        <v>20</v>
      </c>
      <c r="H214" s="17"/>
      <c r="I214" s="12" t="s">
        <v>9</v>
      </c>
      <c r="J214" s="17"/>
      <c r="K214" s="14">
        <v>0</v>
      </c>
      <c r="U214" s="16"/>
    </row>
    <row r="215" spans="1:21" ht="15.75" customHeight="1">
      <c r="A215" s="8"/>
      <c r="C215" s="30"/>
      <c r="D215" s="20"/>
      <c r="E215" s="20"/>
      <c r="F215" s="20"/>
      <c r="G215" s="20"/>
      <c r="H215" s="55" t="s">
        <v>42</v>
      </c>
      <c r="I215" s="56"/>
      <c r="J215" s="57"/>
      <c r="K215" s="19">
        <f>AVERAGE(K207:K214)</f>
        <v>0</v>
      </c>
      <c r="U215" s="16"/>
    </row>
    <row r="216" spans="1:21" ht="15.75" customHeight="1">
      <c r="A216" s="8"/>
      <c r="C216" s="30"/>
      <c r="U216" s="16"/>
    </row>
    <row r="217" spans="1:21" ht="15.75" customHeight="1">
      <c r="A217" s="62">
        <v>14</v>
      </c>
      <c r="B217" s="46" t="s">
        <v>321</v>
      </c>
      <c r="C217" s="47"/>
      <c r="D217" s="48"/>
      <c r="E217" s="64" t="s">
        <v>6</v>
      </c>
      <c r="F217" s="65"/>
      <c r="G217" s="64" t="s">
        <v>7</v>
      </c>
      <c r="H217" s="65"/>
      <c r="I217" s="64" t="s">
        <v>8</v>
      </c>
      <c r="J217" s="66"/>
      <c r="K217" s="65"/>
      <c r="U217" s="16"/>
    </row>
    <row r="218" spans="1:21" ht="15.75" customHeight="1">
      <c r="A218" s="63"/>
      <c r="B218" s="49"/>
      <c r="C218" s="50"/>
      <c r="D218" s="51"/>
      <c r="E218" s="6" t="s">
        <v>10</v>
      </c>
      <c r="F218" s="6" t="s">
        <v>11</v>
      </c>
      <c r="G218" s="7" t="s">
        <v>12</v>
      </c>
      <c r="H218" s="7" t="s">
        <v>13</v>
      </c>
      <c r="I218" s="7" t="s">
        <v>14</v>
      </c>
      <c r="J218" s="7" t="s">
        <v>15</v>
      </c>
      <c r="K218" s="7" t="s">
        <v>16</v>
      </c>
      <c r="U218" s="16"/>
    </row>
    <row r="219" spans="1:21" ht="15.75" customHeight="1">
      <c r="A219" s="8"/>
      <c r="C219" s="9" t="s">
        <v>322</v>
      </c>
      <c r="D219" s="10" t="s">
        <v>323</v>
      </c>
      <c r="E219" s="11">
        <v>42919</v>
      </c>
      <c r="F219" s="11">
        <v>43084</v>
      </c>
      <c r="G219" s="12" t="s">
        <v>20</v>
      </c>
      <c r="H219" s="17"/>
      <c r="I219" s="12" t="s">
        <v>1</v>
      </c>
      <c r="J219" s="13">
        <v>43060</v>
      </c>
      <c r="K219" s="14">
        <v>1</v>
      </c>
      <c r="U219" s="16"/>
    </row>
    <row r="220" spans="1:21" ht="15.75" customHeight="1">
      <c r="A220" s="8"/>
      <c r="C220" s="25" t="s">
        <v>324</v>
      </c>
      <c r="D220" s="17" t="s">
        <v>299</v>
      </c>
      <c r="E220" s="11">
        <v>42919</v>
      </c>
      <c r="F220" s="11">
        <v>43084</v>
      </c>
      <c r="G220" s="12" t="s">
        <v>20</v>
      </c>
      <c r="H220" s="17"/>
      <c r="I220" s="12" t="s">
        <v>1</v>
      </c>
      <c r="J220" s="13">
        <v>43060</v>
      </c>
      <c r="K220" s="14">
        <v>1</v>
      </c>
      <c r="U220" s="16"/>
    </row>
    <row r="221" spans="1:21" ht="15.75" customHeight="1">
      <c r="A221" s="8"/>
      <c r="C221" s="25" t="s">
        <v>325</v>
      </c>
      <c r="D221" s="17" t="s">
        <v>257</v>
      </c>
      <c r="E221" s="11">
        <v>42919</v>
      </c>
      <c r="F221" s="11">
        <v>43084</v>
      </c>
      <c r="G221" s="12" t="s">
        <v>20</v>
      </c>
      <c r="H221" s="17"/>
      <c r="I221" s="12" t="s">
        <v>1</v>
      </c>
      <c r="J221" s="13">
        <v>43060</v>
      </c>
      <c r="K221" s="14">
        <v>1</v>
      </c>
      <c r="U221" s="16"/>
    </row>
    <row r="222" spans="1:21" ht="15.75" customHeight="1">
      <c r="A222" s="8"/>
      <c r="C222" s="25" t="s">
        <v>326</v>
      </c>
      <c r="D222" s="17" t="s">
        <v>327</v>
      </c>
      <c r="E222" s="11">
        <v>42919</v>
      </c>
      <c r="F222" s="11">
        <v>43084</v>
      </c>
      <c r="G222" s="12" t="s">
        <v>20</v>
      </c>
      <c r="H222" s="17"/>
      <c r="I222" s="12" t="s">
        <v>1</v>
      </c>
      <c r="J222" s="13">
        <v>43060</v>
      </c>
      <c r="K222" s="14">
        <v>1</v>
      </c>
      <c r="U222" s="16"/>
    </row>
    <row r="223" spans="1:21" ht="15.75" customHeight="1">
      <c r="A223" s="8"/>
      <c r="C223" s="25" t="s">
        <v>328</v>
      </c>
      <c r="D223" s="17" t="s">
        <v>182</v>
      </c>
      <c r="E223" s="11">
        <v>42919</v>
      </c>
      <c r="F223" s="11">
        <v>43084</v>
      </c>
      <c r="G223" s="12" t="s">
        <v>20</v>
      </c>
      <c r="H223" s="17"/>
      <c r="I223" s="12" t="s">
        <v>1</v>
      </c>
      <c r="J223" s="13">
        <v>43060</v>
      </c>
      <c r="K223" s="14">
        <v>1</v>
      </c>
      <c r="U223" s="16"/>
    </row>
    <row r="224" spans="1:21" ht="15.75" customHeight="1">
      <c r="A224" s="8"/>
      <c r="C224" s="25" t="s">
        <v>329</v>
      </c>
      <c r="D224" s="17" t="s">
        <v>145</v>
      </c>
      <c r="E224" s="11">
        <v>42919</v>
      </c>
      <c r="F224" s="11">
        <v>43084</v>
      </c>
      <c r="G224" s="12" t="s">
        <v>20</v>
      </c>
      <c r="H224" s="17"/>
      <c r="I224" s="12" t="s">
        <v>1</v>
      </c>
      <c r="J224" s="13">
        <v>43060</v>
      </c>
      <c r="K224" s="14">
        <v>1</v>
      </c>
      <c r="U224" s="16"/>
    </row>
    <row r="225" spans="1:21" ht="15.75" customHeight="1">
      <c r="A225" s="8"/>
      <c r="C225" s="25" t="s">
        <v>330</v>
      </c>
      <c r="D225" s="17" t="s">
        <v>331</v>
      </c>
      <c r="E225" s="11">
        <v>42919</v>
      </c>
      <c r="F225" s="11">
        <v>43084</v>
      </c>
      <c r="G225" s="12" t="s">
        <v>20</v>
      </c>
      <c r="H225" s="17"/>
      <c r="I225" s="12" t="s">
        <v>1</v>
      </c>
      <c r="J225" s="13">
        <v>43060</v>
      </c>
      <c r="K225" s="14">
        <v>1</v>
      </c>
      <c r="U225" s="16"/>
    </row>
    <row r="226" spans="1:21" ht="15.75" customHeight="1">
      <c r="A226" s="8"/>
      <c r="C226" s="30"/>
      <c r="D226" s="20"/>
      <c r="E226" s="20"/>
      <c r="F226" s="20"/>
      <c r="G226" s="20"/>
      <c r="H226" s="55" t="s">
        <v>42</v>
      </c>
      <c r="I226" s="56"/>
      <c r="J226" s="57"/>
      <c r="K226" s="19">
        <f>AVERAGE(K219:K225)</f>
        <v>1</v>
      </c>
      <c r="U226" s="16"/>
    </row>
    <row r="227" spans="1:21" ht="15.75" customHeight="1">
      <c r="A227" s="8"/>
      <c r="C227" s="30"/>
      <c r="U227" s="16"/>
    </row>
    <row r="228" spans="1:21" ht="15.75" customHeight="1">
      <c r="A228" s="62">
        <v>15</v>
      </c>
      <c r="B228" s="58" t="s">
        <v>332</v>
      </c>
      <c r="C228" s="47"/>
      <c r="D228" s="48"/>
      <c r="E228" s="64" t="s">
        <v>6</v>
      </c>
      <c r="F228" s="65"/>
      <c r="G228" s="64" t="s">
        <v>7</v>
      </c>
      <c r="H228" s="65"/>
      <c r="I228" s="64" t="s">
        <v>8</v>
      </c>
      <c r="J228" s="66"/>
      <c r="K228" s="65"/>
      <c r="U228" s="16"/>
    </row>
    <row r="229" spans="1:21" ht="15.75" customHeight="1">
      <c r="A229" s="63"/>
      <c r="B229" s="49"/>
      <c r="C229" s="50"/>
      <c r="D229" s="51"/>
      <c r="E229" s="6" t="s">
        <v>10</v>
      </c>
      <c r="F229" s="6" t="s">
        <v>11</v>
      </c>
      <c r="G229" s="7" t="s">
        <v>12</v>
      </c>
      <c r="H229" s="7" t="s">
        <v>13</v>
      </c>
      <c r="I229" s="7" t="s">
        <v>14</v>
      </c>
      <c r="J229" s="7" t="s">
        <v>15</v>
      </c>
      <c r="K229" s="7" t="s">
        <v>16</v>
      </c>
      <c r="U229" s="16"/>
    </row>
    <row r="230" spans="1:21" ht="15.75" customHeight="1">
      <c r="A230" s="8"/>
      <c r="C230" s="32" t="s">
        <v>333</v>
      </c>
      <c r="D230" s="33" t="s">
        <v>334</v>
      </c>
      <c r="E230" s="11">
        <v>42919</v>
      </c>
      <c r="F230" s="11">
        <v>43084</v>
      </c>
      <c r="G230" s="34"/>
      <c r="H230" s="12"/>
      <c r="I230" s="12" t="s">
        <v>1</v>
      </c>
      <c r="J230" s="13">
        <v>43059</v>
      </c>
      <c r="K230" s="14">
        <v>1</v>
      </c>
      <c r="U230" s="16"/>
    </row>
    <row r="231" spans="1:21" ht="15.75" customHeight="1">
      <c r="A231" s="8"/>
      <c r="C231" s="25" t="s">
        <v>335</v>
      </c>
      <c r="D231" s="17" t="s">
        <v>299</v>
      </c>
      <c r="E231" s="11">
        <v>42919</v>
      </c>
      <c r="F231" s="11">
        <v>43084</v>
      </c>
      <c r="G231" s="17"/>
      <c r="H231" s="12"/>
      <c r="I231" s="12" t="s">
        <v>1</v>
      </c>
      <c r="J231" s="13">
        <v>43059</v>
      </c>
      <c r="K231" s="14">
        <v>1</v>
      </c>
      <c r="U231" s="16"/>
    </row>
    <row r="232" spans="1:21" ht="15.75" customHeight="1">
      <c r="A232" s="8"/>
      <c r="C232" s="25" t="s">
        <v>336</v>
      </c>
      <c r="D232" s="17" t="s">
        <v>257</v>
      </c>
      <c r="E232" s="11">
        <v>42919</v>
      </c>
      <c r="F232" s="11">
        <v>43084</v>
      </c>
      <c r="G232" s="17"/>
      <c r="H232" s="12"/>
      <c r="I232" s="12" t="s">
        <v>1</v>
      </c>
      <c r="J232" s="13">
        <v>43059</v>
      </c>
      <c r="K232" s="14">
        <v>1</v>
      </c>
      <c r="U232" s="16"/>
    </row>
    <row r="233" spans="1:21" ht="15.75" customHeight="1">
      <c r="A233" s="8"/>
      <c r="C233" s="25" t="s">
        <v>337</v>
      </c>
      <c r="D233" s="17" t="s">
        <v>338</v>
      </c>
      <c r="E233" s="11">
        <v>42919</v>
      </c>
      <c r="F233" s="11">
        <v>43084</v>
      </c>
      <c r="G233" s="17"/>
      <c r="H233" s="12"/>
      <c r="I233" s="12" t="s">
        <v>1</v>
      </c>
      <c r="J233" s="13">
        <v>43059</v>
      </c>
      <c r="K233" s="14">
        <v>1</v>
      </c>
      <c r="U233" s="16"/>
    </row>
    <row r="234" spans="1:21" ht="15.75" customHeight="1">
      <c r="A234" s="8"/>
      <c r="C234" s="25" t="s">
        <v>339</v>
      </c>
      <c r="D234" s="17" t="s">
        <v>340</v>
      </c>
      <c r="E234" s="11">
        <v>42919</v>
      </c>
      <c r="F234" s="11">
        <v>43084</v>
      </c>
      <c r="G234" s="17"/>
      <c r="H234" s="12"/>
      <c r="I234" s="12" t="s">
        <v>1</v>
      </c>
      <c r="J234" s="13">
        <v>43059</v>
      </c>
      <c r="K234" s="14">
        <v>1</v>
      </c>
      <c r="U234" s="16"/>
    </row>
    <row r="235" spans="1:21" ht="15.75" customHeight="1">
      <c r="A235" s="8"/>
      <c r="C235" s="26" t="s">
        <v>341</v>
      </c>
      <c r="D235" s="27" t="s">
        <v>342</v>
      </c>
      <c r="E235" s="11">
        <v>42919</v>
      </c>
      <c r="F235" s="11">
        <v>43084</v>
      </c>
      <c r="G235" s="35"/>
      <c r="H235" s="12"/>
      <c r="I235" s="12" t="s">
        <v>1</v>
      </c>
      <c r="J235" s="13">
        <v>43059</v>
      </c>
      <c r="K235" s="14">
        <v>1</v>
      </c>
      <c r="U235" s="16"/>
    </row>
    <row r="236" spans="1:21" ht="15.75" customHeight="1">
      <c r="A236" s="8"/>
      <c r="C236" s="25" t="s">
        <v>343</v>
      </c>
      <c r="D236" s="17" t="s">
        <v>344</v>
      </c>
      <c r="E236" s="11">
        <v>42919</v>
      </c>
      <c r="F236" s="11">
        <v>43084</v>
      </c>
      <c r="G236" s="17"/>
      <c r="H236" s="12"/>
      <c r="I236" s="12" t="s">
        <v>1</v>
      </c>
      <c r="J236" s="13">
        <v>43059</v>
      </c>
      <c r="K236" s="14">
        <v>1</v>
      </c>
      <c r="U236" s="16"/>
    </row>
    <row r="237" spans="1:21" ht="15.75" customHeight="1">
      <c r="A237" s="8"/>
      <c r="C237" s="25" t="s">
        <v>345</v>
      </c>
      <c r="D237" s="17" t="s">
        <v>346</v>
      </c>
      <c r="E237" s="11">
        <v>42919</v>
      </c>
      <c r="F237" s="11">
        <v>43084</v>
      </c>
      <c r="G237" s="17"/>
      <c r="H237" s="12"/>
      <c r="I237" s="12" t="s">
        <v>1</v>
      </c>
      <c r="J237" s="13">
        <v>43059</v>
      </c>
      <c r="K237" s="14">
        <v>1</v>
      </c>
      <c r="U237" s="16"/>
    </row>
    <row r="238" spans="1:21" ht="15.75" customHeight="1">
      <c r="A238" s="8"/>
      <c r="C238" s="25" t="s">
        <v>347</v>
      </c>
      <c r="D238" s="17" t="s">
        <v>348</v>
      </c>
      <c r="E238" s="11">
        <v>42919</v>
      </c>
      <c r="F238" s="11">
        <v>43084</v>
      </c>
      <c r="G238" s="17"/>
      <c r="H238" s="12"/>
      <c r="I238" s="12" t="s">
        <v>1</v>
      </c>
      <c r="J238" s="13">
        <v>43059</v>
      </c>
      <c r="K238" s="14">
        <v>1</v>
      </c>
      <c r="U238" s="16"/>
    </row>
    <row r="239" spans="1:21" ht="15.75" customHeight="1">
      <c r="A239" s="8"/>
      <c r="C239" s="25" t="s">
        <v>349</v>
      </c>
      <c r="D239" s="17" t="s">
        <v>350</v>
      </c>
      <c r="E239" s="11">
        <v>42919</v>
      </c>
      <c r="F239" s="11">
        <v>43084</v>
      </c>
      <c r="G239" s="17"/>
      <c r="H239" s="12"/>
      <c r="I239" s="12" t="s">
        <v>1</v>
      </c>
      <c r="J239" s="13">
        <v>43059</v>
      </c>
      <c r="K239" s="14">
        <v>1</v>
      </c>
      <c r="U239" s="16"/>
    </row>
    <row r="240" spans="1:21" ht="15.75" customHeight="1">
      <c r="A240" s="8"/>
      <c r="C240" s="25" t="s">
        <v>351</v>
      </c>
      <c r="D240" s="17" t="s">
        <v>352</v>
      </c>
      <c r="E240" s="11">
        <v>42919</v>
      </c>
      <c r="F240" s="11">
        <v>43084</v>
      </c>
      <c r="G240" s="17"/>
      <c r="H240" s="12"/>
      <c r="I240" s="12" t="s">
        <v>1</v>
      </c>
      <c r="J240" s="13">
        <v>43059</v>
      </c>
      <c r="K240" s="14">
        <v>1</v>
      </c>
      <c r="U240" s="16"/>
    </row>
    <row r="241" spans="1:21" ht="15.75" customHeight="1">
      <c r="A241" s="8"/>
      <c r="C241" s="25" t="s">
        <v>353</v>
      </c>
      <c r="D241" s="17" t="s">
        <v>354</v>
      </c>
      <c r="E241" s="11">
        <v>42919</v>
      </c>
      <c r="F241" s="11">
        <v>43084</v>
      </c>
      <c r="G241" s="17"/>
      <c r="H241" s="12"/>
      <c r="I241" s="12" t="s">
        <v>1</v>
      </c>
      <c r="J241" s="13">
        <v>43059</v>
      </c>
      <c r="K241" s="14">
        <v>1</v>
      </c>
      <c r="U241" s="16"/>
    </row>
    <row r="242" spans="1:21" ht="15.75" customHeight="1">
      <c r="A242" s="8"/>
      <c r="C242" s="25" t="s">
        <v>355</v>
      </c>
      <c r="D242" s="17" t="s">
        <v>356</v>
      </c>
      <c r="E242" s="11">
        <v>42919</v>
      </c>
      <c r="F242" s="11">
        <v>43084</v>
      </c>
      <c r="G242" s="17"/>
      <c r="H242" s="12"/>
      <c r="I242" s="12" t="s">
        <v>1</v>
      </c>
      <c r="J242" s="13">
        <v>43059</v>
      </c>
      <c r="K242" s="14">
        <v>1</v>
      </c>
      <c r="U242" s="16"/>
    </row>
    <row r="243" spans="1:21" ht="15.75" customHeight="1">
      <c r="A243" s="8"/>
      <c r="C243" s="25" t="s">
        <v>357</v>
      </c>
      <c r="D243" s="17" t="s">
        <v>358</v>
      </c>
      <c r="E243" s="11">
        <v>42919</v>
      </c>
      <c r="F243" s="11">
        <v>43084</v>
      </c>
      <c r="G243" s="17"/>
      <c r="H243" s="12"/>
      <c r="I243" s="12" t="s">
        <v>1</v>
      </c>
      <c r="J243" s="13">
        <v>43059</v>
      </c>
      <c r="K243" s="14">
        <v>1</v>
      </c>
      <c r="U243" s="16"/>
    </row>
    <row r="244" spans="1:21" ht="15.75" customHeight="1">
      <c r="A244" s="8"/>
      <c r="C244" s="26" t="s">
        <v>359</v>
      </c>
      <c r="D244" s="27" t="s">
        <v>360</v>
      </c>
      <c r="E244" s="11">
        <v>42919</v>
      </c>
      <c r="F244" s="11">
        <v>43084</v>
      </c>
      <c r="G244" s="35"/>
      <c r="H244" s="12"/>
      <c r="I244" s="12" t="s">
        <v>1</v>
      </c>
      <c r="J244" s="13">
        <v>43059</v>
      </c>
      <c r="K244" s="14">
        <v>1</v>
      </c>
      <c r="U244" s="16"/>
    </row>
    <row r="245" spans="1:21" ht="15.75" customHeight="1">
      <c r="A245" s="8"/>
      <c r="C245" s="25" t="s">
        <v>361</v>
      </c>
      <c r="D245" s="17" t="s">
        <v>362</v>
      </c>
      <c r="E245" s="11">
        <v>42919</v>
      </c>
      <c r="F245" s="11">
        <v>43084</v>
      </c>
      <c r="G245" s="17"/>
      <c r="H245" s="12"/>
      <c r="I245" s="12" t="s">
        <v>1</v>
      </c>
      <c r="J245" s="13">
        <v>43059</v>
      </c>
      <c r="K245" s="14">
        <v>1</v>
      </c>
      <c r="U245" s="16"/>
    </row>
    <row r="246" spans="1:21" ht="15.75" customHeight="1">
      <c r="A246" s="8"/>
      <c r="C246" s="25" t="s">
        <v>363</v>
      </c>
      <c r="D246" s="17" t="s">
        <v>364</v>
      </c>
      <c r="E246" s="11">
        <v>42919</v>
      </c>
      <c r="F246" s="11">
        <v>43084</v>
      </c>
      <c r="G246" s="17"/>
      <c r="H246" s="12"/>
      <c r="I246" s="12" t="s">
        <v>1</v>
      </c>
      <c r="J246" s="13">
        <v>43059</v>
      </c>
      <c r="K246" s="14">
        <v>1</v>
      </c>
      <c r="U246" s="16"/>
    </row>
    <row r="247" spans="1:21" ht="15.75" customHeight="1">
      <c r="A247" s="8"/>
      <c r="C247" s="25" t="s">
        <v>365</v>
      </c>
      <c r="D247" s="17" t="s">
        <v>366</v>
      </c>
      <c r="E247" s="11">
        <v>42919</v>
      </c>
      <c r="F247" s="11">
        <v>43084</v>
      </c>
      <c r="G247" s="17"/>
      <c r="H247" s="12"/>
      <c r="I247" s="12" t="s">
        <v>1</v>
      </c>
      <c r="J247" s="13">
        <v>43059</v>
      </c>
      <c r="K247" s="14">
        <v>1</v>
      </c>
      <c r="U247" s="16"/>
    </row>
    <row r="248" spans="1:21" ht="15.75" customHeight="1">
      <c r="A248" s="8"/>
      <c r="C248" s="25" t="s">
        <v>367</v>
      </c>
      <c r="D248" s="17" t="s">
        <v>368</v>
      </c>
      <c r="E248" s="11">
        <v>42919</v>
      </c>
      <c r="F248" s="11">
        <v>43084</v>
      </c>
      <c r="G248" s="17"/>
      <c r="H248" s="12"/>
      <c r="I248" s="12" t="s">
        <v>1</v>
      </c>
      <c r="J248" s="13">
        <v>43059</v>
      </c>
      <c r="K248" s="14">
        <v>1</v>
      </c>
      <c r="U248" s="16"/>
    </row>
    <row r="249" spans="1:21" ht="15.75" customHeight="1">
      <c r="A249" s="8"/>
      <c r="C249" s="26" t="s">
        <v>369</v>
      </c>
      <c r="D249" s="27" t="s">
        <v>370</v>
      </c>
      <c r="E249" s="11">
        <v>42919</v>
      </c>
      <c r="F249" s="11">
        <v>43084</v>
      </c>
      <c r="G249" s="35"/>
      <c r="H249" s="12"/>
      <c r="I249" s="12" t="s">
        <v>1</v>
      </c>
      <c r="J249" s="13">
        <v>43059</v>
      </c>
      <c r="K249" s="14">
        <v>1</v>
      </c>
      <c r="U249" s="16"/>
    </row>
    <row r="250" spans="1:21" ht="15.75" customHeight="1">
      <c r="A250" s="8"/>
      <c r="C250" s="25" t="s">
        <v>371</v>
      </c>
      <c r="D250" s="17" t="s">
        <v>372</v>
      </c>
      <c r="E250" s="11">
        <v>42919</v>
      </c>
      <c r="F250" s="11">
        <v>43084</v>
      </c>
      <c r="G250" s="17"/>
      <c r="H250" s="12"/>
      <c r="I250" s="12" t="s">
        <v>1</v>
      </c>
      <c r="J250" s="13">
        <v>43059</v>
      </c>
      <c r="K250" s="14">
        <v>1</v>
      </c>
      <c r="U250" s="16"/>
    </row>
    <row r="251" spans="1:21" ht="15.75" customHeight="1">
      <c r="A251" s="8"/>
      <c r="C251" s="30"/>
      <c r="D251" s="20"/>
      <c r="E251" s="20"/>
      <c r="F251" s="20"/>
      <c r="G251" s="20"/>
      <c r="H251" s="55" t="s">
        <v>42</v>
      </c>
      <c r="I251" s="56"/>
      <c r="J251" s="57"/>
      <c r="K251" s="19">
        <f>AVERAGE(K230:K250)</f>
        <v>1</v>
      </c>
      <c r="U251" s="16"/>
    </row>
    <row r="252" spans="1:21" ht="15.75" customHeight="1">
      <c r="A252" s="8"/>
      <c r="C252" s="30"/>
      <c r="U252" s="16"/>
    </row>
    <row r="253" spans="1:21" ht="15.75" customHeight="1">
      <c r="A253" s="62">
        <v>16</v>
      </c>
      <c r="B253" s="58" t="s">
        <v>373</v>
      </c>
      <c r="C253" s="47"/>
      <c r="D253" s="48"/>
      <c r="E253" s="64" t="s">
        <v>6</v>
      </c>
      <c r="F253" s="65"/>
      <c r="G253" s="64" t="s">
        <v>7</v>
      </c>
      <c r="H253" s="65"/>
      <c r="I253" s="64" t="s">
        <v>8</v>
      </c>
      <c r="J253" s="66"/>
      <c r="K253" s="65"/>
      <c r="U253" s="16"/>
    </row>
    <row r="254" spans="1:21" ht="15.75" customHeight="1">
      <c r="A254" s="63"/>
      <c r="B254" s="49"/>
      <c r="C254" s="50"/>
      <c r="D254" s="51"/>
      <c r="E254" s="6" t="s">
        <v>10</v>
      </c>
      <c r="F254" s="6" t="s">
        <v>11</v>
      </c>
      <c r="G254" s="7" t="s">
        <v>12</v>
      </c>
      <c r="H254" s="7" t="s">
        <v>13</v>
      </c>
      <c r="I254" s="7" t="s">
        <v>14</v>
      </c>
      <c r="J254" s="7" t="s">
        <v>15</v>
      </c>
      <c r="K254" s="7" t="s">
        <v>16</v>
      </c>
      <c r="U254" s="16"/>
    </row>
    <row r="255" spans="1:21" ht="15.75" customHeight="1">
      <c r="A255" s="8"/>
      <c r="C255" s="32" t="s">
        <v>374</v>
      </c>
      <c r="D255" s="33" t="s">
        <v>375</v>
      </c>
      <c r="E255" s="11">
        <v>42919</v>
      </c>
      <c r="F255" s="11">
        <v>43084</v>
      </c>
      <c r="G255" s="12" t="s">
        <v>20</v>
      </c>
      <c r="H255" s="12"/>
      <c r="I255" s="12" t="s">
        <v>1</v>
      </c>
      <c r="J255" s="13">
        <v>43060</v>
      </c>
      <c r="K255" s="14">
        <v>1</v>
      </c>
      <c r="U255" s="16"/>
    </row>
    <row r="256" spans="1:21" ht="15.75" customHeight="1">
      <c r="A256" s="8"/>
      <c r="C256" s="25" t="s">
        <v>376</v>
      </c>
      <c r="D256" s="17" t="s">
        <v>299</v>
      </c>
      <c r="E256" s="11">
        <v>42919</v>
      </c>
      <c r="F256" s="11">
        <v>43084</v>
      </c>
      <c r="G256" s="12" t="s">
        <v>20</v>
      </c>
      <c r="H256" s="12"/>
      <c r="I256" s="12" t="s">
        <v>1</v>
      </c>
      <c r="J256" s="13">
        <v>43060</v>
      </c>
      <c r="K256" s="14">
        <v>1</v>
      </c>
      <c r="U256" s="16"/>
    </row>
    <row r="257" spans="1:21" ht="15.75" customHeight="1">
      <c r="A257" s="8"/>
      <c r="C257" s="25" t="s">
        <v>377</v>
      </c>
      <c r="D257" s="17" t="s">
        <v>378</v>
      </c>
      <c r="E257" s="11">
        <v>42919</v>
      </c>
      <c r="F257" s="11">
        <v>43084</v>
      </c>
      <c r="G257" s="12" t="s">
        <v>20</v>
      </c>
      <c r="H257" s="12"/>
      <c r="I257" s="12" t="s">
        <v>1</v>
      </c>
      <c r="J257" s="13">
        <v>43060</v>
      </c>
      <c r="K257" s="14">
        <v>1</v>
      </c>
      <c r="U257" s="16"/>
    </row>
    <row r="258" spans="1:21" ht="15.75" customHeight="1">
      <c r="A258" s="8"/>
      <c r="C258" s="25" t="s">
        <v>379</v>
      </c>
      <c r="D258" s="17" t="s">
        <v>338</v>
      </c>
      <c r="E258" s="11">
        <v>42919</v>
      </c>
      <c r="F258" s="11">
        <v>43084</v>
      </c>
      <c r="G258" s="12" t="s">
        <v>20</v>
      </c>
      <c r="H258" s="12"/>
      <c r="I258" s="12" t="s">
        <v>1</v>
      </c>
      <c r="J258" s="13">
        <v>43060</v>
      </c>
      <c r="K258" s="14">
        <v>1</v>
      </c>
      <c r="U258" s="16"/>
    </row>
    <row r="259" spans="1:21" ht="15.75" customHeight="1">
      <c r="A259" s="8"/>
      <c r="C259" s="25" t="s">
        <v>380</v>
      </c>
      <c r="D259" s="17" t="s">
        <v>348</v>
      </c>
      <c r="E259" s="11">
        <v>42919</v>
      </c>
      <c r="F259" s="11">
        <v>43084</v>
      </c>
      <c r="G259" s="12" t="s">
        <v>20</v>
      </c>
      <c r="H259" s="12"/>
      <c r="I259" s="12" t="s">
        <v>1</v>
      </c>
      <c r="J259" s="13">
        <v>43060</v>
      </c>
      <c r="K259" s="14">
        <v>1</v>
      </c>
      <c r="U259" s="16"/>
    </row>
    <row r="260" spans="1:21" ht="15.75" customHeight="1">
      <c r="A260" s="8"/>
      <c r="C260" s="26" t="s">
        <v>381</v>
      </c>
      <c r="D260" s="27" t="s">
        <v>342</v>
      </c>
      <c r="E260" s="11">
        <v>42919</v>
      </c>
      <c r="F260" s="11">
        <v>43084</v>
      </c>
      <c r="G260" s="12" t="s">
        <v>20</v>
      </c>
      <c r="H260" s="12"/>
      <c r="I260" s="12" t="s">
        <v>1</v>
      </c>
      <c r="J260" s="13">
        <v>43060</v>
      </c>
      <c r="K260" s="14">
        <v>1</v>
      </c>
      <c r="U260" s="16"/>
    </row>
    <row r="261" spans="1:21" ht="15.75" customHeight="1">
      <c r="A261" s="8"/>
      <c r="C261" s="25" t="s">
        <v>382</v>
      </c>
      <c r="D261" s="17" t="s">
        <v>344</v>
      </c>
      <c r="E261" s="11">
        <v>42919</v>
      </c>
      <c r="F261" s="11">
        <v>43084</v>
      </c>
      <c r="G261" s="12" t="s">
        <v>20</v>
      </c>
      <c r="H261" s="12"/>
      <c r="I261" s="12" t="s">
        <v>1</v>
      </c>
      <c r="J261" s="13">
        <v>43060</v>
      </c>
      <c r="K261" s="14">
        <v>1</v>
      </c>
      <c r="U261" s="16"/>
    </row>
    <row r="262" spans="1:21" ht="15.75" customHeight="1">
      <c r="A262" s="8"/>
      <c r="C262" s="25" t="s">
        <v>383</v>
      </c>
      <c r="D262" s="17" t="s">
        <v>350</v>
      </c>
      <c r="E262" s="11">
        <v>42919</v>
      </c>
      <c r="F262" s="11">
        <v>43084</v>
      </c>
      <c r="G262" s="12" t="s">
        <v>20</v>
      </c>
      <c r="H262" s="12"/>
      <c r="I262" s="12" t="s">
        <v>1</v>
      </c>
      <c r="J262" s="13">
        <v>43060</v>
      </c>
      <c r="K262" s="14">
        <v>1</v>
      </c>
      <c r="U262" s="16"/>
    </row>
    <row r="263" spans="1:21" ht="15.75" customHeight="1">
      <c r="A263" s="8"/>
      <c r="C263" s="25" t="s">
        <v>384</v>
      </c>
      <c r="D263" s="17" t="s">
        <v>362</v>
      </c>
      <c r="E263" s="11">
        <v>42919</v>
      </c>
      <c r="F263" s="11">
        <v>43084</v>
      </c>
      <c r="G263" s="12" t="s">
        <v>20</v>
      </c>
      <c r="H263" s="12"/>
      <c r="I263" s="12" t="s">
        <v>1</v>
      </c>
      <c r="J263" s="13">
        <v>43060</v>
      </c>
      <c r="K263" s="14">
        <v>1</v>
      </c>
      <c r="U263" s="16"/>
    </row>
    <row r="264" spans="1:21" ht="15.75" customHeight="1">
      <c r="A264" s="8"/>
      <c r="C264" s="25" t="s">
        <v>385</v>
      </c>
      <c r="D264" s="17" t="s">
        <v>364</v>
      </c>
      <c r="E264" s="11">
        <v>42919</v>
      </c>
      <c r="F264" s="11">
        <v>43084</v>
      </c>
      <c r="G264" s="12" t="s">
        <v>20</v>
      </c>
      <c r="H264" s="12"/>
      <c r="I264" s="12" t="s">
        <v>1</v>
      </c>
      <c r="J264" s="13">
        <v>43060</v>
      </c>
      <c r="K264" s="14">
        <v>1</v>
      </c>
      <c r="U264" s="16"/>
    </row>
    <row r="265" spans="1:21" ht="15.75" customHeight="1">
      <c r="A265" s="8"/>
      <c r="C265" s="30"/>
      <c r="D265" s="20"/>
      <c r="E265" s="20"/>
      <c r="F265" s="20"/>
      <c r="G265" s="20"/>
      <c r="H265" s="55" t="s">
        <v>42</v>
      </c>
      <c r="I265" s="56"/>
      <c r="J265" s="57"/>
      <c r="K265" s="19">
        <f>AVERAGE(K255:K264)</f>
        <v>1</v>
      </c>
      <c r="U265" s="16"/>
    </row>
    <row r="266" spans="1:21" ht="15.75" customHeight="1">
      <c r="A266" s="8"/>
      <c r="C266" s="30"/>
      <c r="U266" s="16"/>
    </row>
    <row r="267" spans="1:21" ht="15.75" customHeight="1">
      <c r="A267" s="62">
        <v>17</v>
      </c>
      <c r="B267" s="46" t="s">
        <v>386</v>
      </c>
      <c r="C267" s="47"/>
      <c r="D267" s="48"/>
      <c r="E267" s="64" t="s">
        <v>6</v>
      </c>
      <c r="F267" s="65"/>
      <c r="G267" s="64" t="s">
        <v>7</v>
      </c>
      <c r="H267" s="65"/>
      <c r="I267" s="64" t="s">
        <v>8</v>
      </c>
      <c r="J267" s="66"/>
      <c r="K267" s="65"/>
      <c r="U267" s="16"/>
    </row>
    <row r="268" spans="1:21" ht="15.75" customHeight="1">
      <c r="A268" s="63"/>
      <c r="B268" s="49"/>
      <c r="C268" s="50"/>
      <c r="D268" s="51"/>
      <c r="E268" s="6" t="s">
        <v>10</v>
      </c>
      <c r="F268" s="6" t="s">
        <v>11</v>
      </c>
      <c r="G268" s="7" t="s">
        <v>12</v>
      </c>
      <c r="H268" s="7" t="s">
        <v>13</v>
      </c>
      <c r="I268" s="7" t="s">
        <v>14</v>
      </c>
      <c r="J268" s="7" t="s">
        <v>15</v>
      </c>
      <c r="K268" s="7" t="s">
        <v>16</v>
      </c>
      <c r="U268" s="16"/>
    </row>
    <row r="269" spans="1:21" ht="15.75" customHeight="1">
      <c r="A269" s="8"/>
      <c r="C269" s="9" t="s">
        <v>387</v>
      </c>
      <c r="D269" s="10" t="s">
        <v>388</v>
      </c>
      <c r="E269" s="11">
        <v>42919</v>
      </c>
      <c r="F269" s="11">
        <v>43084</v>
      </c>
      <c r="G269" s="12" t="s">
        <v>20</v>
      </c>
      <c r="H269" s="12"/>
      <c r="I269" s="12" t="s">
        <v>1</v>
      </c>
      <c r="J269" s="13">
        <v>43060</v>
      </c>
      <c r="K269" s="14">
        <v>1</v>
      </c>
      <c r="U269" s="16"/>
    </row>
    <row r="270" spans="1:21" ht="15.75" customHeight="1">
      <c r="A270" s="8"/>
      <c r="C270" s="25" t="s">
        <v>389</v>
      </c>
      <c r="D270" s="17" t="s">
        <v>390</v>
      </c>
      <c r="E270" s="11">
        <v>42919</v>
      </c>
      <c r="F270" s="11">
        <v>43084</v>
      </c>
      <c r="G270" s="12" t="s">
        <v>20</v>
      </c>
      <c r="H270" s="12"/>
      <c r="I270" s="12" t="s">
        <v>1</v>
      </c>
      <c r="J270" s="13">
        <v>43060</v>
      </c>
      <c r="K270" s="14">
        <v>1</v>
      </c>
      <c r="U270" s="16"/>
    </row>
    <row r="271" spans="1:21" ht="15.75" customHeight="1">
      <c r="A271" s="8"/>
      <c r="C271" s="25" t="s">
        <v>391</v>
      </c>
      <c r="D271" s="17" t="s">
        <v>117</v>
      </c>
      <c r="E271" s="11">
        <v>42919</v>
      </c>
      <c r="F271" s="11">
        <v>43084</v>
      </c>
      <c r="G271" s="12" t="s">
        <v>20</v>
      </c>
      <c r="H271" s="12"/>
      <c r="I271" s="12" t="s">
        <v>1</v>
      </c>
      <c r="J271" s="13">
        <v>43060</v>
      </c>
      <c r="K271" s="14">
        <v>1</v>
      </c>
      <c r="U271" s="16"/>
    </row>
    <row r="272" spans="1:21" ht="15.75" customHeight="1">
      <c r="A272" s="8"/>
      <c r="C272" s="25" t="s">
        <v>392</v>
      </c>
      <c r="D272" s="17" t="s">
        <v>393</v>
      </c>
      <c r="E272" s="11">
        <v>42919</v>
      </c>
      <c r="F272" s="11">
        <v>43084</v>
      </c>
      <c r="G272" s="12" t="s">
        <v>20</v>
      </c>
      <c r="H272" s="12"/>
      <c r="I272" s="12" t="s">
        <v>1</v>
      </c>
      <c r="J272" s="13">
        <v>43060</v>
      </c>
      <c r="K272" s="14">
        <v>1</v>
      </c>
      <c r="U272" s="16"/>
    </row>
    <row r="273" spans="1:21" ht="15.75" customHeight="1">
      <c r="A273" s="8"/>
      <c r="C273" s="25" t="s">
        <v>394</v>
      </c>
      <c r="D273" s="17" t="s">
        <v>395</v>
      </c>
      <c r="E273" s="11">
        <v>42919</v>
      </c>
      <c r="F273" s="11">
        <v>43084</v>
      </c>
      <c r="G273" s="12" t="s">
        <v>20</v>
      </c>
      <c r="H273" s="12"/>
      <c r="I273" s="12" t="s">
        <v>1</v>
      </c>
      <c r="J273" s="13">
        <v>43060</v>
      </c>
      <c r="K273" s="14">
        <v>1</v>
      </c>
      <c r="U273" s="16"/>
    </row>
    <row r="274" spans="1:21" ht="15.75" customHeight="1">
      <c r="A274" s="8"/>
      <c r="C274" s="25" t="s">
        <v>396</v>
      </c>
      <c r="D274" s="17" t="s">
        <v>397</v>
      </c>
      <c r="E274" s="11">
        <v>42919</v>
      </c>
      <c r="F274" s="11">
        <v>43084</v>
      </c>
      <c r="G274" s="12" t="s">
        <v>20</v>
      </c>
      <c r="H274" s="12"/>
      <c r="I274" s="12" t="s">
        <v>1</v>
      </c>
      <c r="J274" s="13">
        <v>43060</v>
      </c>
      <c r="K274" s="14">
        <v>1</v>
      </c>
      <c r="U274" s="16"/>
    </row>
    <row r="275" spans="1:21" ht="15.75" customHeight="1">
      <c r="A275" s="8"/>
      <c r="C275" s="30"/>
      <c r="D275" s="20"/>
      <c r="E275" s="20"/>
      <c r="F275" s="20"/>
      <c r="G275" s="20"/>
      <c r="H275" s="55" t="s">
        <v>42</v>
      </c>
      <c r="I275" s="56"/>
      <c r="J275" s="57"/>
      <c r="K275" s="19">
        <f>AVERAGE(K269:K274)</f>
        <v>1</v>
      </c>
      <c r="U275" s="16"/>
    </row>
    <row r="276" spans="1:21" ht="15.75" customHeight="1">
      <c r="A276" s="8"/>
      <c r="C276" s="30"/>
      <c r="U276" s="16"/>
    </row>
    <row r="277" spans="1:21" ht="15.75" customHeight="1">
      <c r="A277" s="62">
        <v>18</v>
      </c>
      <c r="B277" s="46" t="s">
        <v>398</v>
      </c>
      <c r="C277" s="47"/>
      <c r="D277" s="48"/>
      <c r="E277" s="64" t="s">
        <v>6</v>
      </c>
      <c r="F277" s="65"/>
      <c r="G277" s="64" t="s">
        <v>7</v>
      </c>
      <c r="H277" s="65"/>
      <c r="I277" s="64" t="s">
        <v>8</v>
      </c>
      <c r="J277" s="66"/>
      <c r="K277" s="65"/>
      <c r="U277" s="16"/>
    </row>
    <row r="278" spans="1:21" ht="15.75" customHeight="1">
      <c r="A278" s="63"/>
      <c r="B278" s="49"/>
      <c r="C278" s="50"/>
      <c r="D278" s="51"/>
      <c r="E278" s="6" t="s">
        <v>10</v>
      </c>
      <c r="F278" s="6" t="s">
        <v>11</v>
      </c>
      <c r="G278" s="7" t="s">
        <v>12</v>
      </c>
      <c r="H278" s="7" t="s">
        <v>13</v>
      </c>
      <c r="I278" s="7" t="s">
        <v>14</v>
      </c>
      <c r="J278" s="7" t="s">
        <v>15</v>
      </c>
      <c r="K278" s="7" t="s">
        <v>16</v>
      </c>
      <c r="U278" s="16"/>
    </row>
    <row r="279" spans="1:21" ht="15.75" customHeight="1">
      <c r="A279" s="8"/>
      <c r="C279" s="9" t="s">
        <v>399</v>
      </c>
      <c r="D279" s="10" t="s">
        <v>400</v>
      </c>
      <c r="E279" s="11">
        <v>42919</v>
      </c>
      <c r="F279" s="11">
        <v>43084</v>
      </c>
      <c r="G279" s="12" t="s">
        <v>20</v>
      </c>
      <c r="H279" s="12"/>
      <c r="I279" s="12" t="s">
        <v>1</v>
      </c>
      <c r="J279" s="13">
        <v>43059</v>
      </c>
      <c r="K279" s="14">
        <v>1</v>
      </c>
      <c r="U279" s="16"/>
    </row>
    <row r="280" spans="1:21" ht="15.75" customHeight="1">
      <c r="A280" s="8"/>
      <c r="C280" s="25" t="s">
        <v>401</v>
      </c>
      <c r="D280" s="17" t="s">
        <v>390</v>
      </c>
      <c r="E280" s="11">
        <v>42919</v>
      </c>
      <c r="F280" s="11">
        <v>43084</v>
      </c>
      <c r="G280" s="12" t="s">
        <v>20</v>
      </c>
      <c r="H280" s="12"/>
      <c r="I280" s="12" t="s">
        <v>1</v>
      </c>
      <c r="J280" s="13">
        <v>43059</v>
      </c>
      <c r="K280" s="14">
        <v>1</v>
      </c>
      <c r="U280" s="16"/>
    </row>
    <row r="281" spans="1:21" ht="15.75" customHeight="1">
      <c r="A281" s="8"/>
      <c r="C281" s="25" t="s">
        <v>402</v>
      </c>
      <c r="D281" s="17" t="s">
        <v>117</v>
      </c>
      <c r="E281" s="11">
        <v>42919</v>
      </c>
      <c r="F281" s="11">
        <v>43084</v>
      </c>
      <c r="G281" s="12" t="s">
        <v>20</v>
      </c>
      <c r="H281" s="12"/>
      <c r="I281" s="12" t="s">
        <v>1</v>
      </c>
      <c r="J281" s="13">
        <v>43059</v>
      </c>
      <c r="K281" s="14">
        <v>1</v>
      </c>
      <c r="U281" s="16"/>
    </row>
    <row r="282" spans="1:21" ht="15.75" customHeight="1">
      <c r="A282" s="8"/>
      <c r="C282" s="25" t="s">
        <v>403</v>
      </c>
      <c r="D282" s="17" t="s">
        <v>404</v>
      </c>
      <c r="E282" s="11">
        <v>42919</v>
      </c>
      <c r="F282" s="11">
        <v>43084</v>
      </c>
      <c r="G282" s="12" t="s">
        <v>20</v>
      </c>
      <c r="H282" s="12"/>
      <c r="I282" s="12" t="s">
        <v>1</v>
      </c>
      <c r="J282" s="13">
        <v>43059</v>
      </c>
      <c r="K282" s="14">
        <v>1</v>
      </c>
      <c r="U282" s="16"/>
    </row>
    <row r="283" spans="1:21" ht="15.75" customHeight="1">
      <c r="A283" s="8"/>
      <c r="C283" s="25" t="s">
        <v>405</v>
      </c>
      <c r="D283" s="17" t="s">
        <v>406</v>
      </c>
      <c r="E283" s="11">
        <v>42919</v>
      </c>
      <c r="F283" s="11">
        <v>43084</v>
      </c>
      <c r="G283" s="12" t="s">
        <v>20</v>
      </c>
      <c r="H283" s="12"/>
      <c r="I283" s="12" t="s">
        <v>1</v>
      </c>
      <c r="J283" s="13">
        <v>43059</v>
      </c>
      <c r="K283" s="14">
        <v>1</v>
      </c>
      <c r="U283" s="16"/>
    </row>
    <row r="284" spans="1:21" ht="15.75" customHeight="1">
      <c r="A284" s="8"/>
      <c r="C284" s="25" t="s">
        <v>407</v>
      </c>
      <c r="D284" s="17" t="s">
        <v>408</v>
      </c>
      <c r="E284" s="11">
        <v>42919</v>
      </c>
      <c r="F284" s="11">
        <v>43084</v>
      </c>
      <c r="G284" s="12" t="s">
        <v>20</v>
      </c>
      <c r="H284" s="12"/>
      <c r="I284" s="12" t="s">
        <v>1</v>
      </c>
      <c r="J284" s="13">
        <v>43059</v>
      </c>
      <c r="K284" s="14">
        <v>1</v>
      </c>
      <c r="U284" s="16"/>
    </row>
    <row r="285" spans="1:21" ht="15.75" customHeight="1">
      <c r="A285" s="8"/>
      <c r="C285" s="26" t="s">
        <v>409</v>
      </c>
      <c r="D285" s="27" t="s">
        <v>410</v>
      </c>
      <c r="E285" s="11">
        <v>42919</v>
      </c>
      <c r="F285" s="11">
        <v>43084</v>
      </c>
      <c r="G285" s="12" t="s">
        <v>20</v>
      </c>
      <c r="H285" s="12"/>
      <c r="I285" s="12" t="s">
        <v>1</v>
      </c>
      <c r="J285" s="13">
        <v>43059</v>
      </c>
      <c r="K285" s="14">
        <v>1</v>
      </c>
      <c r="U285" s="16"/>
    </row>
    <row r="286" spans="1:21" ht="15.75" customHeight="1">
      <c r="A286" s="8"/>
      <c r="C286" s="25" t="s">
        <v>411</v>
      </c>
      <c r="D286" s="17" t="s">
        <v>412</v>
      </c>
      <c r="E286" s="11">
        <v>42919</v>
      </c>
      <c r="F286" s="11">
        <v>43084</v>
      </c>
      <c r="G286" s="12" t="s">
        <v>20</v>
      </c>
      <c r="H286" s="12"/>
      <c r="I286" s="12" t="s">
        <v>1</v>
      </c>
      <c r="J286" s="13">
        <v>43059</v>
      </c>
      <c r="K286" s="14">
        <v>1</v>
      </c>
      <c r="U286" s="16"/>
    </row>
    <row r="287" spans="1:21" ht="15.75" customHeight="1">
      <c r="A287" s="8"/>
      <c r="C287" s="25" t="s">
        <v>413</v>
      </c>
      <c r="D287" s="17" t="s">
        <v>414</v>
      </c>
      <c r="E287" s="11">
        <v>42919</v>
      </c>
      <c r="F287" s="11">
        <v>43084</v>
      </c>
      <c r="G287" s="12" t="s">
        <v>20</v>
      </c>
      <c r="H287" s="12"/>
      <c r="I287" s="12" t="s">
        <v>1</v>
      </c>
      <c r="J287" s="13">
        <v>43059</v>
      </c>
      <c r="K287" s="14">
        <v>1</v>
      </c>
      <c r="U287" s="16"/>
    </row>
    <row r="288" spans="1:21" ht="15.75" customHeight="1">
      <c r="A288" s="8"/>
      <c r="C288" s="25" t="s">
        <v>415</v>
      </c>
      <c r="D288" s="17" t="s">
        <v>416</v>
      </c>
      <c r="E288" s="11">
        <v>42919</v>
      </c>
      <c r="F288" s="11">
        <v>43084</v>
      </c>
      <c r="G288" s="12" t="s">
        <v>20</v>
      </c>
      <c r="H288" s="12"/>
      <c r="I288" s="12" t="s">
        <v>1</v>
      </c>
      <c r="J288" s="13">
        <v>43059</v>
      </c>
      <c r="K288" s="14">
        <v>1</v>
      </c>
      <c r="U288" s="16"/>
    </row>
    <row r="289" spans="1:21" ht="15.75" customHeight="1">
      <c r="A289" s="8"/>
      <c r="C289" s="25" t="s">
        <v>417</v>
      </c>
      <c r="D289" s="17" t="s">
        <v>418</v>
      </c>
      <c r="E289" s="11">
        <v>42919</v>
      </c>
      <c r="F289" s="11">
        <v>43084</v>
      </c>
      <c r="G289" s="12" t="s">
        <v>20</v>
      </c>
      <c r="H289" s="12"/>
      <c r="I289" s="12" t="s">
        <v>1</v>
      </c>
      <c r="J289" s="13">
        <v>43059</v>
      </c>
      <c r="K289" s="14">
        <v>1</v>
      </c>
      <c r="U289" s="16"/>
    </row>
    <row r="290" spans="1:21" ht="15.75" customHeight="1">
      <c r="A290" s="8"/>
      <c r="C290" s="25" t="s">
        <v>419</v>
      </c>
      <c r="D290" s="17" t="s">
        <v>420</v>
      </c>
      <c r="E290" s="11">
        <v>42919</v>
      </c>
      <c r="F290" s="11">
        <v>43084</v>
      </c>
      <c r="G290" s="12" t="s">
        <v>20</v>
      </c>
      <c r="H290" s="12"/>
      <c r="I290" s="12" t="s">
        <v>1</v>
      </c>
      <c r="J290" s="13">
        <v>43059</v>
      </c>
      <c r="K290" s="14">
        <v>1</v>
      </c>
      <c r="U290" s="16"/>
    </row>
    <row r="291" spans="1:21" ht="15.75" customHeight="1">
      <c r="A291" s="8"/>
      <c r="C291" s="25" t="s">
        <v>421</v>
      </c>
      <c r="D291" s="17" t="s">
        <v>422</v>
      </c>
      <c r="E291" s="11">
        <v>42919</v>
      </c>
      <c r="F291" s="11">
        <v>43084</v>
      </c>
      <c r="G291" s="12" t="s">
        <v>20</v>
      </c>
      <c r="H291" s="12"/>
      <c r="I291" s="12" t="s">
        <v>1</v>
      </c>
      <c r="J291" s="13">
        <v>43059</v>
      </c>
      <c r="K291" s="14">
        <v>1</v>
      </c>
      <c r="U291" s="16"/>
    </row>
    <row r="292" spans="1:21" ht="15.75" customHeight="1">
      <c r="A292" s="8"/>
      <c r="C292" s="26" t="s">
        <v>423</v>
      </c>
      <c r="D292" s="27" t="s">
        <v>424</v>
      </c>
      <c r="E292" s="11">
        <v>42919</v>
      </c>
      <c r="F292" s="11">
        <v>43084</v>
      </c>
      <c r="G292" s="12" t="s">
        <v>20</v>
      </c>
      <c r="H292" s="12"/>
      <c r="I292" s="12" t="s">
        <v>1</v>
      </c>
      <c r="J292" s="13">
        <v>43059</v>
      </c>
      <c r="K292" s="14">
        <v>1</v>
      </c>
      <c r="U292" s="16"/>
    </row>
    <row r="293" spans="1:21" ht="15.75" customHeight="1">
      <c r="A293" s="8"/>
      <c r="C293" s="36"/>
      <c r="D293" s="37"/>
      <c r="E293" s="38"/>
      <c r="F293" s="38"/>
      <c r="G293" s="38"/>
      <c r="H293" s="55" t="s">
        <v>42</v>
      </c>
      <c r="I293" s="56"/>
      <c r="J293" s="57"/>
      <c r="K293" s="19">
        <f>AVERAGE(K279:K292)</f>
        <v>1</v>
      </c>
      <c r="U293" s="16"/>
    </row>
    <row r="294" spans="1:21" ht="15.75" customHeight="1">
      <c r="A294" s="8"/>
      <c r="C294" s="30"/>
      <c r="U294" s="16"/>
    </row>
    <row r="295" spans="1:21" ht="15.75" customHeight="1">
      <c r="A295" s="62">
        <v>19</v>
      </c>
      <c r="B295" s="46" t="s">
        <v>425</v>
      </c>
      <c r="C295" s="47"/>
      <c r="D295" s="48"/>
      <c r="E295" s="64" t="s">
        <v>6</v>
      </c>
      <c r="F295" s="65"/>
      <c r="G295" s="64" t="s">
        <v>7</v>
      </c>
      <c r="H295" s="65"/>
      <c r="I295" s="64" t="s">
        <v>8</v>
      </c>
      <c r="J295" s="66"/>
      <c r="K295" s="65"/>
      <c r="U295" s="16"/>
    </row>
    <row r="296" spans="1:21" ht="15.75" customHeight="1">
      <c r="A296" s="63"/>
      <c r="B296" s="49"/>
      <c r="C296" s="50"/>
      <c r="D296" s="51"/>
      <c r="E296" s="6" t="s">
        <v>10</v>
      </c>
      <c r="F296" s="6" t="s">
        <v>11</v>
      </c>
      <c r="G296" s="7" t="s">
        <v>12</v>
      </c>
      <c r="H296" s="7" t="s">
        <v>13</v>
      </c>
      <c r="I296" s="7" t="s">
        <v>14</v>
      </c>
      <c r="J296" s="7" t="s">
        <v>15</v>
      </c>
      <c r="K296" s="7" t="s">
        <v>16</v>
      </c>
      <c r="U296" s="16"/>
    </row>
    <row r="297" spans="1:21" ht="15.75" customHeight="1">
      <c r="A297" s="8"/>
      <c r="C297" s="9" t="s">
        <v>426</v>
      </c>
      <c r="D297" s="10" t="s">
        <v>427</v>
      </c>
      <c r="E297" s="11">
        <v>42919</v>
      </c>
      <c r="F297" s="11">
        <v>43084</v>
      </c>
      <c r="G297" s="12" t="s">
        <v>20</v>
      </c>
      <c r="H297" s="12"/>
      <c r="I297" s="12" t="s">
        <v>1</v>
      </c>
      <c r="J297" s="13">
        <v>43067</v>
      </c>
      <c r="K297" s="14">
        <v>1</v>
      </c>
      <c r="U297" s="16"/>
    </row>
    <row r="298" spans="1:21" ht="15.75" customHeight="1">
      <c r="A298" s="8"/>
      <c r="C298" s="25" t="s">
        <v>428</v>
      </c>
      <c r="D298" s="17" t="s">
        <v>390</v>
      </c>
      <c r="E298" s="11">
        <v>42919</v>
      </c>
      <c r="F298" s="11">
        <v>43084</v>
      </c>
      <c r="G298" s="12" t="s">
        <v>20</v>
      </c>
      <c r="H298" s="12"/>
      <c r="I298" s="12" t="s">
        <v>1</v>
      </c>
      <c r="J298" s="13">
        <v>43067</v>
      </c>
      <c r="K298" s="14">
        <v>1</v>
      </c>
      <c r="U298" s="16"/>
    </row>
    <row r="299" spans="1:21" ht="15.75" customHeight="1">
      <c r="A299" s="8"/>
      <c r="C299" s="25" t="s">
        <v>429</v>
      </c>
      <c r="D299" s="17" t="s">
        <v>117</v>
      </c>
      <c r="E299" s="11">
        <v>42919</v>
      </c>
      <c r="F299" s="11">
        <v>43084</v>
      </c>
      <c r="G299" s="12" t="s">
        <v>20</v>
      </c>
      <c r="H299" s="12"/>
      <c r="I299" s="12" t="s">
        <v>1</v>
      </c>
      <c r="J299" s="13">
        <v>43067</v>
      </c>
      <c r="K299" s="14">
        <v>1</v>
      </c>
      <c r="U299" s="16"/>
    </row>
    <row r="300" spans="1:21" ht="15.75" customHeight="1">
      <c r="A300" s="8"/>
      <c r="C300" s="25" t="s">
        <v>430</v>
      </c>
      <c r="D300" s="17" t="s">
        <v>431</v>
      </c>
      <c r="E300" s="11">
        <v>42919</v>
      </c>
      <c r="F300" s="11">
        <v>43084</v>
      </c>
      <c r="G300" s="12" t="s">
        <v>20</v>
      </c>
      <c r="H300" s="12"/>
      <c r="I300" s="12" t="s">
        <v>1</v>
      </c>
      <c r="J300" s="13">
        <v>43067</v>
      </c>
      <c r="K300" s="14">
        <v>1</v>
      </c>
      <c r="U300" s="16"/>
    </row>
    <row r="301" spans="1:21" ht="15.75" customHeight="1">
      <c r="A301" s="8"/>
      <c r="C301" s="25" t="s">
        <v>432</v>
      </c>
      <c r="D301" s="17" t="s">
        <v>433</v>
      </c>
      <c r="E301" s="11">
        <v>42919</v>
      </c>
      <c r="F301" s="11">
        <v>43084</v>
      </c>
      <c r="G301" s="12" t="s">
        <v>20</v>
      </c>
      <c r="H301" s="12"/>
      <c r="I301" s="12" t="s">
        <v>1</v>
      </c>
      <c r="J301" s="13">
        <v>43067</v>
      </c>
      <c r="K301" s="14">
        <v>1</v>
      </c>
      <c r="U301" s="16"/>
    </row>
    <row r="302" spans="1:21" ht="15.75" customHeight="1">
      <c r="A302" s="8"/>
      <c r="C302" s="25" t="s">
        <v>434</v>
      </c>
      <c r="D302" s="17" t="s">
        <v>435</v>
      </c>
      <c r="E302" s="11">
        <v>42919</v>
      </c>
      <c r="F302" s="11">
        <v>43084</v>
      </c>
      <c r="G302" s="12" t="s">
        <v>20</v>
      </c>
      <c r="H302" s="12"/>
      <c r="I302" s="12" t="s">
        <v>1</v>
      </c>
      <c r="J302" s="13">
        <v>43067</v>
      </c>
      <c r="K302" s="14">
        <v>1</v>
      </c>
      <c r="U302" s="16"/>
    </row>
    <row r="303" spans="1:21" ht="15.75" customHeight="1">
      <c r="A303" s="8"/>
      <c r="C303" s="25" t="s">
        <v>436</v>
      </c>
      <c r="D303" s="17" t="s">
        <v>437</v>
      </c>
      <c r="E303" s="11">
        <v>42919</v>
      </c>
      <c r="F303" s="11">
        <v>43084</v>
      </c>
      <c r="G303" s="12" t="s">
        <v>20</v>
      </c>
      <c r="H303" s="12"/>
      <c r="I303" s="12" t="s">
        <v>1</v>
      </c>
      <c r="J303" s="13">
        <v>43067</v>
      </c>
      <c r="K303" s="14">
        <v>1</v>
      </c>
      <c r="U303" s="16"/>
    </row>
    <row r="304" spans="1:21" ht="15.75" customHeight="1">
      <c r="A304" s="8"/>
      <c r="C304" s="25" t="s">
        <v>438</v>
      </c>
      <c r="D304" s="17" t="s">
        <v>439</v>
      </c>
      <c r="E304" s="11">
        <v>42919</v>
      </c>
      <c r="F304" s="11">
        <v>43084</v>
      </c>
      <c r="G304" s="12" t="s">
        <v>20</v>
      </c>
      <c r="H304" s="12"/>
      <c r="I304" s="12" t="s">
        <v>1</v>
      </c>
      <c r="J304" s="13">
        <v>43067</v>
      </c>
      <c r="K304" s="14">
        <v>1</v>
      </c>
      <c r="U304" s="16"/>
    </row>
    <row r="305" spans="1:21" ht="15.75" customHeight="1">
      <c r="A305" s="8"/>
      <c r="C305" s="25" t="s">
        <v>440</v>
      </c>
      <c r="D305" s="17" t="s">
        <v>441</v>
      </c>
      <c r="E305" s="11">
        <v>42919</v>
      </c>
      <c r="F305" s="11">
        <v>43084</v>
      </c>
      <c r="G305" s="12" t="s">
        <v>20</v>
      </c>
      <c r="H305" s="12"/>
      <c r="I305" s="12" t="s">
        <v>1</v>
      </c>
      <c r="J305" s="13">
        <v>43067</v>
      </c>
      <c r="K305" s="14">
        <v>1</v>
      </c>
      <c r="U305" s="16"/>
    </row>
    <row r="306" spans="1:21" ht="15.75" customHeight="1">
      <c r="A306" s="8"/>
      <c r="C306" s="30"/>
      <c r="D306" s="20"/>
      <c r="E306" s="20"/>
      <c r="F306" s="20"/>
      <c r="G306" s="20"/>
      <c r="H306" s="55" t="s">
        <v>42</v>
      </c>
      <c r="I306" s="56"/>
      <c r="J306" s="57"/>
      <c r="K306" s="19">
        <f>AVERAGE(K297:K305)</f>
        <v>1</v>
      </c>
      <c r="U306" s="16"/>
    </row>
    <row r="307" spans="1:21" ht="15.75" customHeight="1">
      <c r="A307" s="8"/>
      <c r="C307" s="30"/>
      <c r="U307" s="16"/>
    </row>
    <row r="308" spans="1:21" ht="15.75" customHeight="1">
      <c r="A308" s="62">
        <v>20</v>
      </c>
      <c r="B308" s="46" t="s">
        <v>442</v>
      </c>
      <c r="C308" s="47"/>
      <c r="D308" s="48"/>
      <c r="E308" s="64" t="s">
        <v>6</v>
      </c>
      <c r="F308" s="65"/>
      <c r="G308" s="64" t="s">
        <v>7</v>
      </c>
      <c r="H308" s="65"/>
      <c r="I308" s="64" t="s">
        <v>8</v>
      </c>
      <c r="J308" s="66"/>
      <c r="K308" s="65"/>
      <c r="U308" s="16"/>
    </row>
    <row r="309" spans="1:21" ht="15.75" customHeight="1">
      <c r="A309" s="63"/>
      <c r="B309" s="49"/>
      <c r="C309" s="50"/>
      <c r="D309" s="51"/>
      <c r="E309" s="6" t="s">
        <v>10</v>
      </c>
      <c r="F309" s="6" t="s">
        <v>11</v>
      </c>
      <c r="G309" s="7" t="s">
        <v>12</v>
      </c>
      <c r="H309" s="7" t="s">
        <v>13</v>
      </c>
      <c r="I309" s="7" t="s">
        <v>14</v>
      </c>
      <c r="J309" s="7" t="s">
        <v>15</v>
      </c>
      <c r="K309" s="7" t="s">
        <v>16</v>
      </c>
      <c r="U309" s="16"/>
    </row>
    <row r="310" spans="1:21" ht="15.75" customHeight="1">
      <c r="A310" s="8"/>
      <c r="C310" s="9" t="s">
        <v>443</v>
      </c>
      <c r="D310" s="10" t="s">
        <v>444</v>
      </c>
      <c r="E310" s="11">
        <v>42919</v>
      </c>
      <c r="F310" s="11">
        <v>43084</v>
      </c>
      <c r="G310" s="12" t="s">
        <v>20</v>
      </c>
      <c r="H310" s="12"/>
      <c r="I310" s="12" t="s">
        <v>1</v>
      </c>
      <c r="J310" s="13">
        <v>43067</v>
      </c>
      <c r="K310" s="14">
        <v>1</v>
      </c>
      <c r="U310" s="16"/>
    </row>
    <row r="311" spans="1:21" ht="15.75" customHeight="1">
      <c r="A311" s="8"/>
      <c r="C311" s="25" t="s">
        <v>445</v>
      </c>
      <c r="D311" s="17" t="s">
        <v>390</v>
      </c>
      <c r="E311" s="11">
        <v>42919</v>
      </c>
      <c r="F311" s="11">
        <v>43084</v>
      </c>
      <c r="G311" s="12" t="s">
        <v>20</v>
      </c>
      <c r="H311" s="12"/>
      <c r="I311" s="12" t="s">
        <v>1</v>
      </c>
      <c r="J311" s="13">
        <v>43067</v>
      </c>
      <c r="K311" s="14">
        <v>1</v>
      </c>
      <c r="U311" s="16"/>
    </row>
    <row r="312" spans="1:21" ht="15.75" customHeight="1">
      <c r="A312" s="8"/>
      <c r="C312" s="25" t="s">
        <v>446</v>
      </c>
      <c r="D312" s="17" t="s">
        <v>117</v>
      </c>
      <c r="E312" s="11">
        <v>42919</v>
      </c>
      <c r="F312" s="11">
        <v>43084</v>
      </c>
      <c r="G312" s="12" t="s">
        <v>20</v>
      </c>
      <c r="H312" s="12"/>
      <c r="I312" s="12" t="s">
        <v>1</v>
      </c>
      <c r="J312" s="13">
        <v>43067</v>
      </c>
      <c r="K312" s="14">
        <v>1</v>
      </c>
      <c r="U312" s="16"/>
    </row>
    <row r="313" spans="1:21" ht="15.75" customHeight="1">
      <c r="A313" s="8"/>
      <c r="C313" s="25" t="s">
        <v>447</v>
      </c>
      <c r="D313" s="17" t="s">
        <v>448</v>
      </c>
      <c r="E313" s="11">
        <v>42919</v>
      </c>
      <c r="F313" s="11">
        <v>43084</v>
      </c>
      <c r="G313" s="12" t="s">
        <v>20</v>
      </c>
      <c r="H313" s="12"/>
      <c r="I313" s="12" t="s">
        <v>1</v>
      </c>
      <c r="J313" s="13">
        <v>43067</v>
      </c>
      <c r="K313" s="14">
        <v>1</v>
      </c>
      <c r="U313" s="16"/>
    </row>
    <row r="314" spans="1:21" ht="15.75" customHeight="1">
      <c r="A314" s="8"/>
      <c r="C314" s="25" t="s">
        <v>449</v>
      </c>
      <c r="D314" s="17" t="s">
        <v>450</v>
      </c>
      <c r="E314" s="11">
        <v>42919</v>
      </c>
      <c r="F314" s="11">
        <v>43084</v>
      </c>
      <c r="G314" s="12" t="s">
        <v>20</v>
      </c>
      <c r="H314" s="12"/>
      <c r="I314" s="12" t="s">
        <v>1</v>
      </c>
      <c r="J314" s="13">
        <v>43067</v>
      </c>
      <c r="K314" s="14">
        <v>1</v>
      </c>
      <c r="U314" s="16"/>
    </row>
    <row r="315" spans="1:21" ht="15.75" customHeight="1">
      <c r="A315" s="8"/>
      <c r="C315" s="26" t="s">
        <v>451</v>
      </c>
      <c r="D315" s="27" t="s">
        <v>452</v>
      </c>
      <c r="E315" s="11">
        <v>42919</v>
      </c>
      <c r="F315" s="11">
        <v>43084</v>
      </c>
      <c r="G315" s="12" t="s">
        <v>20</v>
      </c>
      <c r="H315" s="12"/>
      <c r="I315" s="12" t="s">
        <v>1</v>
      </c>
      <c r="J315" s="13">
        <v>43067</v>
      </c>
      <c r="K315" s="14">
        <v>1</v>
      </c>
      <c r="U315" s="16"/>
    </row>
    <row r="316" spans="1:21" ht="15.75" customHeight="1">
      <c r="A316" s="8"/>
      <c r="C316" s="25" t="s">
        <v>453</v>
      </c>
      <c r="D316" s="17" t="s">
        <v>454</v>
      </c>
      <c r="E316" s="11">
        <v>42919</v>
      </c>
      <c r="F316" s="11">
        <v>43084</v>
      </c>
      <c r="G316" s="12" t="s">
        <v>20</v>
      </c>
      <c r="H316" s="12"/>
      <c r="I316" s="12" t="s">
        <v>1</v>
      </c>
      <c r="J316" s="13">
        <v>43067</v>
      </c>
      <c r="K316" s="14">
        <v>1</v>
      </c>
      <c r="U316" s="16"/>
    </row>
    <row r="317" spans="1:21" ht="15.75" customHeight="1">
      <c r="A317" s="8"/>
      <c r="C317" s="25" t="s">
        <v>455</v>
      </c>
      <c r="D317" s="17" t="s">
        <v>439</v>
      </c>
      <c r="E317" s="11">
        <v>42919</v>
      </c>
      <c r="F317" s="11">
        <v>43084</v>
      </c>
      <c r="G317" s="12" t="s">
        <v>20</v>
      </c>
      <c r="H317" s="12"/>
      <c r="I317" s="12" t="s">
        <v>1</v>
      </c>
      <c r="J317" s="13">
        <v>43067</v>
      </c>
      <c r="K317" s="14">
        <v>1</v>
      </c>
      <c r="U317" s="16"/>
    </row>
    <row r="318" spans="1:21" ht="15.75" customHeight="1">
      <c r="A318" s="8"/>
      <c r="C318" s="25" t="s">
        <v>456</v>
      </c>
      <c r="D318" s="17" t="s">
        <v>441</v>
      </c>
      <c r="E318" s="11">
        <v>42919</v>
      </c>
      <c r="F318" s="11">
        <v>43084</v>
      </c>
      <c r="G318" s="12" t="s">
        <v>20</v>
      </c>
      <c r="H318" s="12"/>
      <c r="I318" s="12" t="s">
        <v>1</v>
      </c>
      <c r="J318" s="13">
        <v>43067</v>
      </c>
      <c r="K318" s="14">
        <v>1</v>
      </c>
      <c r="U318" s="16"/>
    </row>
    <row r="319" spans="1:21" ht="15.75" customHeight="1">
      <c r="A319" s="8"/>
      <c r="C319" s="30"/>
      <c r="D319" s="20"/>
      <c r="E319" s="20"/>
      <c r="F319" s="20"/>
      <c r="G319" s="20"/>
      <c r="H319" s="55" t="s">
        <v>42</v>
      </c>
      <c r="I319" s="56"/>
      <c r="J319" s="57"/>
      <c r="K319" s="19">
        <f>AVERAGE(K310:K318)</f>
        <v>1</v>
      </c>
      <c r="U319" s="16"/>
    </row>
    <row r="320" spans="1:21" ht="15.75" customHeight="1">
      <c r="A320" s="8"/>
      <c r="C320" s="30"/>
      <c r="U320" s="16"/>
    </row>
    <row r="321" spans="1:21" ht="15.75" customHeight="1">
      <c r="A321" s="62">
        <v>21</v>
      </c>
      <c r="B321" s="46" t="s">
        <v>457</v>
      </c>
      <c r="C321" s="47"/>
      <c r="D321" s="48"/>
      <c r="E321" s="64" t="s">
        <v>6</v>
      </c>
      <c r="F321" s="65"/>
      <c r="G321" s="64" t="s">
        <v>7</v>
      </c>
      <c r="H321" s="65"/>
      <c r="I321" s="64" t="s">
        <v>8</v>
      </c>
      <c r="J321" s="66"/>
      <c r="K321" s="65"/>
      <c r="U321" s="16"/>
    </row>
    <row r="322" spans="1:21" ht="15.75" customHeight="1">
      <c r="A322" s="63"/>
      <c r="B322" s="49"/>
      <c r="C322" s="50"/>
      <c r="D322" s="51"/>
      <c r="E322" s="6" t="s">
        <v>10</v>
      </c>
      <c r="F322" s="6" t="s">
        <v>11</v>
      </c>
      <c r="G322" s="7" t="s">
        <v>12</v>
      </c>
      <c r="H322" s="7" t="s">
        <v>13</v>
      </c>
      <c r="I322" s="7" t="s">
        <v>14</v>
      </c>
      <c r="J322" s="7" t="s">
        <v>15</v>
      </c>
      <c r="K322" s="7" t="s">
        <v>16</v>
      </c>
      <c r="U322" s="16"/>
    </row>
    <row r="323" spans="1:21" ht="15.75" customHeight="1">
      <c r="A323" s="8"/>
      <c r="C323" s="9" t="s">
        <v>458</v>
      </c>
      <c r="D323" s="10" t="s">
        <v>459</v>
      </c>
      <c r="E323" s="11">
        <v>42919</v>
      </c>
      <c r="F323" s="11">
        <v>43084</v>
      </c>
      <c r="G323" s="12" t="s">
        <v>20</v>
      </c>
      <c r="H323" s="12"/>
      <c r="I323" s="12" t="s">
        <v>1</v>
      </c>
      <c r="J323" s="13">
        <v>43067</v>
      </c>
      <c r="K323" s="14">
        <v>1</v>
      </c>
      <c r="U323" s="16"/>
    </row>
    <row r="324" spans="1:21" ht="15.75" customHeight="1">
      <c r="A324" s="8"/>
      <c r="C324" s="25" t="s">
        <v>460</v>
      </c>
      <c r="D324" s="17" t="s">
        <v>390</v>
      </c>
      <c r="E324" s="11">
        <v>42919</v>
      </c>
      <c r="F324" s="11">
        <v>43084</v>
      </c>
      <c r="G324" s="12" t="s">
        <v>20</v>
      </c>
      <c r="H324" s="12"/>
      <c r="I324" s="12" t="s">
        <v>1</v>
      </c>
      <c r="J324" s="13">
        <v>43067</v>
      </c>
      <c r="K324" s="14">
        <v>1</v>
      </c>
      <c r="U324" s="16"/>
    </row>
    <row r="325" spans="1:21" ht="15.75" customHeight="1">
      <c r="A325" s="8"/>
      <c r="C325" s="25" t="s">
        <v>461</v>
      </c>
      <c r="D325" s="17" t="s">
        <v>117</v>
      </c>
      <c r="E325" s="11">
        <v>42919</v>
      </c>
      <c r="F325" s="11">
        <v>43084</v>
      </c>
      <c r="G325" s="12" t="s">
        <v>20</v>
      </c>
      <c r="H325" s="12"/>
      <c r="I325" s="12" t="s">
        <v>1</v>
      </c>
      <c r="J325" s="13">
        <v>43067</v>
      </c>
      <c r="K325" s="14">
        <v>1</v>
      </c>
      <c r="U325" s="16"/>
    </row>
    <row r="326" spans="1:21" ht="15.75" customHeight="1">
      <c r="A326" s="8"/>
      <c r="C326" s="30"/>
      <c r="D326" s="20"/>
      <c r="E326" s="20"/>
      <c r="F326" s="20"/>
      <c r="G326" s="20"/>
      <c r="H326" s="55" t="s">
        <v>42</v>
      </c>
      <c r="I326" s="56"/>
      <c r="J326" s="57"/>
      <c r="K326" s="19">
        <f>AVERAGE(K323:K325)</f>
        <v>1</v>
      </c>
      <c r="U326" s="16"/>
    </row>
    <row r="327" spans="1:21" ht="15.75" customHeight="1">
      <c r="A327" s="8"/>
      <c r="C327" s="30"/>
      <c r="U327" s="16"/>
    </row>
    <row r="328" spans="1:21" ht="15.75" customHeight="1">
      <c r="A328" s="62">
        <v>22</v>
      </c>
      <c r="B328" s="46" t="s">
        <v>462</v>
      </c>
      <c r="C328" s="47"/>
      <c r="D328" s="48"/>
      <c r="E328" s="64" t="s">
        <v>6</v>
      </c>
      <c r="F328" s="65"/>
      <c r="G328" s="64" t="s">
        <v>7</v>
      </c>
      <c r="H328" s="65"/>
      <c r="I328" s="64" t="s">
        <v>8</v>
      </c>
      <c r="J328" s="66"/>
      <c r="K328" s="65"/>
      <c r="U328" s="16"/>
    </row>
    <row r="329" spans="1:21" ht="15.75" customHeight="1">
      <c r="A329" s="63"/>
      <c r="B329" s="49"/>
      <c r="C329" s="50"/>
      <c r="D329" s="51"/>
      <c r="E329" s="6" t="s">
        <v>10</v>
      </c>
      <c r="F329" s="6" t="s">
        <v>11</v>
      </c>
      <c r="G329" s="7" t="s">
        <v>12</v>
      </c>
      <c r="H329" s="7" t="s">
        <v>13</v>
      </c>
      <c r="I329" s="7" t="s">
        <v>14</v>
      </c>
      <c r="J329" s="7" t="s">
        <v>15</v>
      </c>
      <c r="K329" s="7" t="s">
        <v>16</v>
      </c>
      <c r="U329" s="16"/>
    </row>
    <row r="330" spans="1:21" ht="15.75" customHeight="1">
      <c r="A330" s="8"/>
      <c r="C330" s="32" t="s">
        <v>463</v>
      </c>
      <c r="D330" s="33" t="s">
        <v>464</v>
      </c>
      <c r="E330" s="11">
        <v>42919</v>
      </c>
      <c r="F330" s="11">
        <v>43084</v>
      </c>
      <c r="G330" s="12" t="s">
        <v>20</v>
      </c>
      <c r="H330" s="12"/>
      <c r="I330" s="12" t="s">
        <v>1</v>
      </c>
      <c r="J330" s="13">
        <v>43067</v>
      </c>
      <c r="K330" s="14">
        <v>1</v>
      </c>
      <c r="U330" s="16"/>
    </row>
    <row r="331" spans="1:21" ht="15.75" customHeight="1">
      <c r="A331" s="8"/>
      <c r="C331" s="25" t="s">
        <v>465</v>
      </c>
      <c r="D331" s="17" t="s">
        <v>390</v>
      </c>
      <c r="E331" s="11">
        <v>42919</v>
      </c>
      <c r="F331" s="11">
        <v>43084</v>
      </c>
      <c r="G331" s="12" t="s">
        <v>20</v>
      </c>
      <c r="H331" s="12"/>
      <c r="I331" s="12" t="s">
        <v>1</v>
      </c>
      <c r="J331" s="13">
        <v>43067</v>
      </c>
      <c r="K331" s="14">
        <v>1</v>
      </c>
      <c r="U331" s="16"/>
    </row>
    <row r="332" spans="1:21" ht="15.75" customHeight="1">
      <c r="A332" s="8"/>
      <c r="C332" s="25" t="s">
        <v>466</v>
      </c>
      <c r="D332" s="17" t="s">
        <v>117</v>
      </c>
      <c r="E332" s="11">
        <v>42919</v>
      </c>
      <c r="F332" s="11">
        <v>43084</v>
      </c>
      <c r="G332" s="12" t="s">
        <v>20</v>
      </c>
      <c r="H332" s="12"/>
      <c r="I332" s="12" t="s">
        <v>1</v>
      </c>
      <c r="J332" s="13">
        <v>43067</v>
      </c>
      <c r="K332" s="14">
        <v>1</v>
      </c>
      <c r="U332" s="16"/>
    </row>
    <row r="333" spans="1:21" ht="15.75" customHeight="1">
      <c r="A333" s="8"/>
      <c r="C333" s="25" t="s">
        <v>467</v>
      </c>
      <c r="D333" s="17" t="s">
        <v>468</v>
      </c>
      <c r="E333" s="11">
        <v>42919</v>
      </c>
      <c r="F333" s="11">
        <v>43084</v>
      </c>
      <c r="G333" s="12" t="s">
        <v>20</v>
      </c>
      <c r="H333" s="12"/>
      <c r="I333" s="12" t="s">
        <v>1</v>
      </c>
      <c r="J333" s="13">
        <v>43067</v>
      </c>
      <c r="K333" s="14">
        <v>1</v>
      </c>
      <c r="U333" s="16"/>
    </row>
    <row r="334" spans="1:21" ht="15.75" customHeight="1">
      <c r="A334" s="8"/>
      <c r="C334" s="26" t="s">
        <v>469</v>
      </c>
      <c r="D334" s="27" t="s">
        <v>470</v>
      </c>
      <c r="E334" s="11">
        <v>42919</v>
      </c>
      <c r="F334" s="11">
        <v>43084</v>
      </c>
      <c r="G334" s="12" t="s">
        <v>20</v>
      </c>
      <c r="H334" s="12"/>
      <c r="I334" s="12" t="s">
        <v>1</v>
      </c>
      <c r="J334" s="13">
        <v>43067</v>
      </c>
      <c r="K334" s="14">
        <v>1</v>
      </c>
      <c r="U334" s="16"/>
    </row>
    <row r="335" spans="1:21" ht="15.75" customHeight="1">
      <c r="A335" s="8"/>
      <c r="C335" s="36"/>
      <c r="D335" s="37"/>
      <c r="E335" s="38"/>
      <c r="F335" s="38"/>
      <c r="G335" s="38"/>
      <c r="H335" s="55" t="s">
        <v>42</v>
      </c>
      <c r="I335" s="56"/>
      <c r="J335" s="57"/>
      <c r="K335" s="19">
        <f>AVERAGE(K330:K334)</f>
        <v>1</v>
      </c>
      <c r="U335" s="16"/>
    </row>
    <row r="336" spans="1:21" ht="15.75" customHeight="1">
      <c r="A336" s="8"/>
      <c r="C336" s="30"/>
      <c r="U336" s="16"/>
    </row>
    <row r="337" spans="1:21" ht="15.75" customHeight="1">
      <c r="A337" s="62">
        <v>23</v>
      </c>
      <c r="B337" s="46" t="s">
        <v>471</v>
      </c>
      <c r="C337" s="47"/>
      <c r="D337" s="48"/>
      <c r="E337" s="64" t="s">
        <v>6</v>
      </c>
      <c r="F337" s="65"/>
      <c r="G337" s="64" t="s">
        <v>7</v>
      </c>
      <c r="H337" s="65"/>
      <c r="I337" s="64" t="s">
        <v>8</v>
      </c>
      <c r="J337" s="66"/>
      <c r="K337" s="65"/>
      <c r="U337" s="16"/>
    </row>
    <row r="338" spans="1:21" ht="15.75" customHeight="1">
      <c r="A338" s="63"/>
      <c r="B338" s="49"/>
      <c r="C338" s="50"/>
      <c r="D338" s="51"/>
      <c r="E338" s="6" t="s">
        <v>10</v>
      </c>
      <c r="F338" s="6" t="s">
        <v>11</v>
      </c>
      <c r="G338" s="7" t="s">
        <v>12</v>
      </c>
      <c r="H338" s="7" t="s">
        <v>13</v>
      </c>
      <c r="I338" s="7" t="s">
        <v>14</v>
      </c>
      <c r="J338" s="7" t="s">
        <v>15</v>
      </c>
      <c r="K338" s="7" t="s">
        <v>16</v>
      </c>
      <c r="U338" s="16"/>
    </row>
    <row r="339" spans="1:21" ht="15.75" customHeight="1">
      <c r="A339" s="8"/>
      <c r="C339" s="32" t="s">
        <v>472</v>
      </c>
      <c r="D339" s="33" t="s">
        <v>473</v>
      </c>
      <c r="E339" s="11">
        <v>42919</v>
      </c>
      <c r="F339" s="11">
        <v>43084</v>
      </c>
      <c r="G339" s="34"/>
      <c r="H339" s="12"/>
      <c r="I339" s="12" t="s">
        <v>17</v>
      </c>
      <c r="J339" s="10"/>
      <c r="K339" s="14">
        <v>0</v>
      </c>
      <c r="U339" s="16"/>
    </row>
    <row r="340" spans="1:21" ht="15.75" customHeight="1">
      <c r="A340" s="8"/>
      <c r="C340" s="25" t="s">
        <v>474</v>
      </c>
      <c r="D340" s="17" t="s">
        <v>390</v>
      </c>
      <c r="E340" s="11">
        <v>42919</v>
      </c>
      <c r="F340" s="11">
        <v>43084</v>
      </c>
      <c r="G340" s="17"/>
      <c r="H340" s="12"/>
      <c r="I340" s="12" t="s">
        <v>17</v>
      </c>
      <c r="J340" s="10"/>
      <c r="K340" s="14">
        <v>0</v>
      </c>
      <c r="U340" s="16"/>
    </row>
    <row r="341" spans="1:21" ht="15.75" customHeight="1">
      <c r="A341" s="8"/>
      <c r="C341" s="25" t="s">
        <v>475</v>
      </c>
      <c r="D341" s="17" t="s">
        <v>117</v>
      </c>
      <c r="E341" s="11">
        <v>42919</v>
      </c>
      <c r="F341" s="11">
        <v>43084</v>
      </c>
      <c r="G341" s="17"/>
      <c r="H341" s="12"/>
      <c r="I341" s="12" t="s">
        <v>17</v>
      </c>
      <c r="J341" s="10"/>
      <c r="K341" s="14">
        <v>0</v>
      </c>
      <c r="U341" s="16"/>
    </row>
    <row r="342" spans="1:21" ht="15.75" customHeight="1">
      <c r="A342" s="8"/>
      <c r="C342" s="25" t="s">
        <v>476</v>
      </c>
      <c r="D342" s="17" t="s">
        <v>477</v>
      </c>
      <c r="E342" s="11">
        <v>42919</v>
      </c>
      <c r="F342" s="11">
        <v>43084</v>
      </c>
      <c r="G342" s="17"/>
      <c r="H342" s="12"/>
      <c r="I342" s="12" t="s">
        <v>17</v>
      </c>
      <c r="J342" s="10"/>
      <c r="K342" s="14">
        <v>0</v>
      </c>
      <c r="U342" s="16"/>
    </row>
    <row r="343" spans="1:21" ht="15.75" customHeight="1">
      <c r="A343" s="8"/>
      <c r="C343" s="30"/>
      <c r="D343" s="20"/>
      <c r="E343" s="20"/>
      <c r="F343" s="20"/>
      <c r="G343" s="20"/>
      <c r="H343" s="55" t="s">
        <v>42</v>
      </c>
      <c r="I343" s="56"/>
      <c r="J343" s="57"/>
      <c r="K343" s="19">
        <f>AVERAGE(K339:K342)</f>
        <v>0</v>
      </c>
      <c r="U343" s="16"/>
    </row>
    <row r="344" spans="1:21" ht="15.75" customHeight="1">
      <c r="A344" s="8"/>
      <c r="C344" s="30"/>
      <c r="U344" s="16"/>
    </row>
    <row r="345" spans="1:21" ht="15.75" customHeight="1">
      <c r="A345" s="62">
        <v>24</v>
      </c>
      <c r="B345" s="46" t="s">
        <v>478</v>
      </c>
      <c r="C345" s="47"/>
      <c r="D345" s="48"/>
      <c r="E345" s="64" t="s">
        <v>6</v>
      </c>
      <c r="F345" s="65"/>
      <c r="G345" s="64" t="s">
        <v>7</v>
      </c>
      <c r="H345" s="65"/>
      <c r="I345" s="64" t="s">
        <v>8</v>
      </c>
      <c r="J345" s="66"/>
      <c r="K345" s="65"/>
      <c r="U345" s="16"/>
    </row>
    <row r="346" spans="1:21" ht="15.75" customHeight="1">
      <c r="A346" s="63"/>
      <c r="B346" s="49"/>
      <c r="C346" s="50"/>
      <c r="D346" s="51"/>
      <c r="E346" s="6" t="s">
        <v>10</v>
      </c>
      <c r="F346" s="6" t="s">
        <v>11</v>
      </c>
      <c r="G346" s="7" t="s">
        <v>12</v>
      </c>
      <c r="H346" s="7" t="s">
        <v>13</v>
      </c>
      <c r="I346" s="7" t="s">
        <v>14</v>
      </c>
      <c r="J346" s="7" t="s">
        <v>15</v>
      </c>
      <c r="K346" s="7" t="s">
        <v>16</v>
      </c>
      <c r="U346" s="16"/>
    </row>
    <row r="347" spans="1:21" ht="15.75" customHeight="1">
      <c r="A347" s="8"/>
      <c r="C347" s="9" t="s">
        <v>479</v>
      </c>
      <c r="D347" s="10" t="s">
        <v>480</v>
      </c>
      <c r="E347" s="11">
        <v>42919</v>
      </c>
      <c r="F347" s="11">
        <v>43084</v>
      </c>
      <c r="G347" s="10"/>
      <c r="H347" s="12"/>
      <c r="I347" s="12" t="s">
        <v>17</v>
      </c>
      <c r="J347" s="10"/>
      <c r="K347" s="14">
        <v>0</v>
      </c>
      <c r="U347" s="16"/>
    </row>
    <row r="348" spans="1:21" ht="15.75" customHeight="1">
      <c r="A348" s="8"/>
      <c r="C348" s="25" t="s">
        <v>481</v>
      </c>
      <c r="D348" s="17" t="s">
        <v>390</v>
      </c>
      <c r="E348" s="11">
        <v>42919</v>
      </c>
      <c r="F348" s="11">
        <v>43084</v>
      </c>
      <c r="G348" s="17"/>
      <c r="H348" s="12"/>
      <c r="I348" s="12" t="s">
        <v>17</v>
      </c>
      <c r="J348" s="10"/>
      <c r="K348" s="14">
        <v>0</v>
      </c>
      <c r="U348" s="16"/>
    </row>
    <row r="349" spans="1:21" ht="15.75" customHeight="1">
      <c r="A349" s="8"/>
      <c r="C349" s="25" t="s">
        <v>482</v>
      </c>
      <c r="D349" s="17" t="s">
        <v>117</v>
      </c>
      <c r="E349" s="11">
        <v>42919</v>
      </c>
      <c r="F349" s="11">
        <v>43084</v>
      </c>
      <c r="G349" s="17"/>
      <c r="H349" s="12"/>
      <c r="I349" s="12" t="s">
        <v>17</v>
      </c>
      <c r="J349" s="10"/>
      <c r="K349" s="14">
        <v>0</v>
      </c>
      <c r="U349" s="16"/>
    </row>
    <row r="350" spans="1:21" ht="15.75" customHeight="1">
      <c r="A350" s="8"/>
      <c r="C350" s="30"/>
      <c r="D350" s="20"/>
      <c r="E350" s="20"/>
      <c r="F350" s="20"/>
      <c r="G350" s="20"/>
      <c r="H350" s="55" t="s">
        <v>42</v>
      </c>
      <c r="I350" s="56"/>
      <c r="J350" s="57"/>
      <c r="K350" s="19">
        <f>AVERAGE(K346:K349)</f>
        <v>0</v>
      </c>
      <c r="U350" s="16"/>
    </row>
    <row r="351" spans="1:21" ht="15.75" customHeight="1">
      <c r="A351" s="8"/>
      <c r="C351" s="30"/>
      <c r="U351" s="16"/>
    </row>
    <row r="352" spans="1:21" ht="15.75" customHeight="1">
      <c r="A352" s="62">
        <v>25</v>
      </c>
      <c r="B352" s="46" t="s">
        <v>483</v>
      </c>
      <c r="C352" s="47"/>
      <c r="D352" s="48"/>
      <c r="E352" s="64" t="s">
        <v>6</v>
      </c>
      <c r="F352" s="65"/>
      <c r="G352" s="64" t="s">
        <v>7</v>
      </c>
      <c r="H352" s="65"/>
      <c r="I352" s="64" t="s">
        <v>8</v>
      </c>
      <c r="J352" s="66"/>
      <c r="K352" s="65"/>
      <c r="U352" s="16"/>
    </row>
    <row r="353" spans="1:21" ht="15.75" customHeight="1">
      <c r="A353" s="63"/>
      <c r="B353" s="49"/>
      <c r="C353" s="50"/>
      <c r="D353" s="51"/>
      <c r="E353" s="6" t="s">
        <v>10</v>
      </c>
      <c r="F353" s="6" t="s">
        <v>11</v>
      </c>
      <c r="G353" s="7" t="s">
        <v>12</v>
      </c>
      <c r="H353" s="7" t="s">
        <v>13</v>
      </c>
      <c r="I353" s="7" t="s">
        <v>14</v>
      </c>
      <c r="J353" s="7" t="s">
        <v>15</v>
      </c>
      <c r="K353" s="7" t="s">
        <v>16</v>
      </c>
      <c r="U353" s="16"/>
    </row>
    <row r="354" spans="1:21" ht="15.75" customHeight="1">
      <c r="A354" s="8"/>
      <c r="C354" s="9" t="s">
        <v>484</v>
      </c>
      <c r="D354" s="10" t="s">
        <v>485</v>
      </c>
      <c r="E354" s="11">
        <v>42919</v>
      </c>
      <c r="F354" s="11">
        <v>43084</v>
      </c>
      <c r="G354" s="10"/>
      <c r="H354" s="12"/>
      <c r="I354" s="12" t="s">
        <v>17</v>
      </c>
      <c r="J354" s="10"/>
      <c r="K354" s="14">
        <v>0</v>
      </c>
      <c r="U354" s="16"/>
    </row>
    <row r="355" spans="1:21" ht="15.75" customHeight="1">
      <c r="A355" s="8"/>
      <c r="C355" s="25" t="s">
        <v>486</v>
      </c>
      <c r="D355" s="17" t="s">
        <v>390</v>
      </c>
      <c r="E355" s="11">
        <v>42919</v>
      </c>
      <c r="F355" s="11">
        <v>43084</v>
      </c>
      <c r="G355" s="17"/>
      <c r="H355" s="12"/>
      <c r="I355" s="12" t="s">
        <v>17</v>
      </c>
      <c r="J355" s="10"/>
      <c r="K355" s="14">
        <v>0</v>
      </c>
      <c r="U355" s="16"/>
    </row>
    <row r="356" spans="1:21" ht="15.75" customHeight="1">
      <c r="A356" s="8"/>
      <c r="C356" s="25" t="s">
        <v>487</v>
      </c>
      <c r="D356" s="17" t="s">
        <v>117</v>
      </c>
      <c r="E356" s="11">
        <v>42919</v>
      </c>
      <c r="F356" s="11">
        <v>43084</v>
      </c>
      <c r="G356" s="17"/>
      <c r="H356" s="12"/>
      <c r="I356" s="12" t="s">
        <v>17</v>
      </c>
      <c r="J356" s="10"/>
      <c r="K356" s="14">
        <v>0</v>
      </c>
      <c r="U356" s="16"/>
    </row>
    <row r="357" spans="1:21" ht="15.75" customHeight="1">
      <c r="A357" s="8"/>
      <c r="C357" s="25" t="s">
        <v>488</v>
      </c>
      <c r="D357" s="17" t="s">
        <v>477</v>
      </c>
      <c r="E357" s="11">
        <v>42919</v>
      </c>
      <c r="F357" s="11">
        <v>43084</v>
      </c>
      <c r="G357" s="17"/>
      <c r="H357" s="12"/>
      <c r="I357" s="12" t="s">
        <v>17</v>
      </c>
      <c r="J357" s="10"/>
      <c r="K357" s="14">
        <v>0</v>
      </c>
      <c r="U357" s="16"/>
    </row>
    <row r="358" spans="1:21" ht="15.75" customHeight="1">
      <c r="A358" s="8"/>
      <c r="C358" s="30"/>
      <c r="D358" s="20"/>
      <c r="E358" s="20"/>
      <c r="F358" s="20"/>
      <c r="G358" s="20"/>
      <c r="H358" s="55" t="s">
        <v>42</v>
      </c>
      <c r="I358" s="56"/>
      <c r="J358" s="57"/>
      <c r="K358" s="19">
        <f>AVERAGE(K354:K357)</f>
        <v>0</v>
      </c>
      <c r="U358" s="16"/>
    </row>
    <row r="359" spans="1:21" ht="15.75" customHeight="1">
      <c r="A359" s="8"/>
      <c r="C359" s="30"/>
      <c r="U359" s="16"/>
    </row>
    <row r="360" spans="1:21" ht="15.75" customHeight="1">
      <c r="A360" s="62">
        <v>26</v>
      </c>
      <c r="B360" s="46" t="s">
        <v>489</v>
      </c>
      <c r="C360" s="47"/>
      <c r="D360" s="48"/>
      <c r="E360" s="64" t="s">
        <v>6</v>
      </c>
      <c r="F360" s="65"/>
      <c r="G360" s="64" t="s">
        <v>7</v>
      </c>
      <c r="H360" s="65"/>
      <c r="I360" s="64" t="s">
        <v>8</v>
      </c>
      <c r="J360" s="66"/>
      <c r="K360" s="65"/>
      <c r="U360" s="16"/>
    </row>
    <row r="361" spans="1:21" ht="15.75" customHeight="1">
      <c r="A361" s="63"/>
      <c r="B361" s="49"/>
      <c r="C361" s="50"/>
      <c r="D361" s="51"/>
      <c r="E361" s="6" t="s">
        <v>10</v>
      </c>
      <c r="F361" s="6" t="s">
        <v>11</v>
      </c>
      <c r="G361" s="7" t="s">
        <v>12</v>
      </c>
      <c r="H361" s="7" t="s">
        <v>13</v>
      </c>
      <c r="I361" s="7" t="s">
        <v>14</v>
      </c>
      <c r="J361" s="7" t="s">
        <v>15</v>
      </c>
      <c r="K361" s="7" t="s">
        <v>16</v>
      </c>
      <c r="U361" s="16"/>
    </row>
    <row r="362" spans="1:21" ht="15.75" customHeight="1">
      <c r="A362" s="8"/>
      <c r="C362" s="9" t="s">
        <v>490</v>
      </c>
      <c r="D362" s="10" t="s">
        <v>491</v>
      </c>
      <c r="E362" s="11">
        <v>42919</v>
      </c>
      <c r="F362" s="11">
        <v>43084</v>
      </c>
      <c r="G362" s="10"/>
      <c r="H362" s="12"/>
      <c r="I362" s="12" t="s">
        <v>17</v>
      </c>
      <c r="J362" s="10"/>
      <c r="K362" s="14">
        <v>0</v>
      </c>
      <c r="U362" s="16"/>
    </row>
    <row r="363" spans="1:21" ht="15.75" customHeight="1">
      <c r="A363" s="8"/>
      <c r="C363" s="25" t="s">
        <v>492</v>
      </c>
      <c r="D363" s="17" t="s">
        <v>390</v>
      </c>
      <c r="E363" s="11">
        <v>42919</v>
      </c>
      <c r="F363" s="11">
        <v>43084</v>
      </c>
      <c r="G363" s="17"/>
      <c r="H363" s="12"/>
      <c r="I363" s="12" t="s">
        <v>17</v>
      </c>
      <c r="J363" s="10"/>
      <c r="K363" s="14">
        <v>0</v>
      </c>
      <c r="U363" s="16"/>
    </row>
    <row r="364" spans="1:21" ht="15.75" customHeight="1">
      <c r="A364" s="8"/>
      <c r="C364" s="25" t="s">
        <v>493</v>
      </c>
      <c r="D364" s="17" t="s">
        <v>117</v>
      </c>
      <c r="E364" s="11">
        <v>42919</v>
      </c>
      <c r="F364" s="11">
        <v>43084</v>
      </c>
      <c r="G364" s="17"/>
      <c r="H364" s="12"/>
      <c r="I364" s="12" t="s">
        <v>17</v>
      </c>
      <c r="J364" s="10"/>
      <c r="K364" s="14">
        <v>0</v>
      </c>
      <c r="U364" s="16"/>
    </row>
    <row r="365" spans="1:21" ht="15.75" customHeight="1">
      <c r="A365" s="8"/>
      <c r="C365" s="30"/>
      <c r="D365" s="20"/>
      <c r="E365" s="20"/>
      <c r="F365" s="20"/>
      <c r="G365" s="20"/>
      <c r="H365" s="55" t="s">
        <v>42</v>
      </c>
      <c r="I365" s="56"/>
      <c r="J365" s="57"/>
      <c r="K365" s="19">
        <f>AVERAGE(K362:K364)</f>
        <v>0</v>
      </c>
      <c r="U365" s="16"/>
    </row>
    <row r="366" spans="1:21" ht="15.75" customHeight="1">
      <c r="A366" s="8"/>
      <c r="C366" s="30"/>
      <c r="U366" s="16"/>
    </row>
    <row r="367" spans="1:21" ht="15.75" customHeight="1">
      <c r="A367" s="62">
        <v>27</v>
      </c>
      <c r="B367" s="46" t="s">
        <v>494</v>
      </c>
      <c r="C367" s="47"/>
      <c r="D367" s="48"/>
      <c r="E367" s="64" t="s">
        <v>6</v>
      </c>
      <c r="F367" s="65"/>
      <c r="G367" s="64" t="s">
        <v>7</v>
      </c>
      <c r="H367" s="65"/>
      <c r="I367" s="64" t="s">
        <v>8</v>
      </c>
      <c r="J367" s="66"/>
      <c r="K367" s="65"/>
      <c r="U367" s="16"/>
    </row>
    <row r="368" spans="1:21" ht="15.75" customHeight="1">
      <c r="A368" s="63"/>
      <c r="B368" s="49"/>
      <c r="C368" s="50"/>
      <c r="D368" s="51"/>
      <c r="E368" s="6" t="s">
        <v>10</v>
      </c>
      <c r="F368" s="6" t="s">
        <v>11</v>
      </c>
      <c r="G368" s="7" t="s">
        <v>12</v>
      </c>
      <c r="H368" s="7" t="s">
        <v>13</v>
      </c>
      <c r="I368" s="7" t="s">
        <v>14</v>
      </c>
      <c r="J368" s="7" t="s">
        <v>15</v>
      </c>
      <c r="K368" s="7" t="s">
        <v>16</v>
      </c>
      <c r="U368" s="16"/>
    </row>
    <row r="369" spans="1:21" ht="15.75" customHeight="1">
      <c r="A369" s="8"/>
      <c r="C369" s="9" t="s">
        <v>495</v>
      </c>
      <c r="D369" s="10" t="s">
        <v>496</v>
      </c>
      <c r="E369" s="11">
        <v>42919</v>
      </c>
      <c r="F369" s="11">
        <v>43084</v>
      </c>
      <c r="G369" s="12" t="s">
        <v>20</v>
      </c>
      <c r="H369" s="12"/>
      <c r="I369" s="12" t="s">
        <v>1</v>
      </c>
      <c r="J369" s="13">
        <v>43068</v>
      </c>
      <c r="K369" s="14">
        <v>1</v>
      </c>
      <c r="U369" s="16"/>
    </row>
    <row r="370" spans="1:21" ht="15.75" customHeight="1">
      <c r="A370" s="8"/>
      <c r="C370" s="25" t="s">
        <v>497</v>
      </c>
      <c r="D370" s="17" t="s">
        <v>115</v>
      </c>
      <c r="E370" s="11">
        <v>42919</v>
      </c>
      <c r="F370" s="11">
        <v>43084</v>
      </c>
      <c r="G370" s="12" t="s">
        <v>20</v>
      </c>
      <c r="H370" s="12"/>
      <c r="I370" s="12" t="s">
        <v>1</v>
      </c>
      <c r="J370" s="13">
        <v>43068</v>
      </c>
      <c r="K370" s="14">
        <v>1</v>
      </c>
      <c r="U370" s="16"/>
    </row>
    <row r="371" spans="1:21" ht="15.75" customHeight="1">
      <c r="A371" s="8"/>
      <c r="C371" s="25" t="s">
        <v>498</v>
      </c>
      <c r="D371" s="17" t="s">
        <v>117</v>
      </c>
      <c r="E371" s="11">
        <v>42919</v>
      </c>
      <c r="F371" s="11">
        <v>43084</v>
      </c>
      <c r="G371" s="12" t="s">
        <v>20</v>
      </c>
      <c r="H371" s="12"/>
      <c r="I371" s="12" t="s">
        <v>1</v>
      </c>
      <c r="J371" s="13">
        <v>43068</v>
      </c>
      <c r="K371" s="14">
        <v>1</v>
      </c>
      <c r="U371" s="16"/>
    </row>
    <row r="372" spans="1:21" ht="15.75" customHeight="1">
      <c r="A372" s="8"/>
      <c r="C372" s="25" t="s">
        <v>499</v>
      </c>
      <c r="D372" s="17" t="s">
        <v>500</v>
      </c>
      <c r="E372" s="11">
        <v>42919</v>
      </c>
      <c r="F372" s="11">
        <v>43084</v>
      </c>
      <c r="G372" s="12" t="s">
        <v>20</v>
      </c>
      <c r="H372" s="12"/>
      <c r="I372" s="12" t="s">
        <v>1</v>
      </c>
      <c r="J372" s="13">
        <v>43068</v>
      </c>
      <c r="K372" s="14">
        <v>1</v>
      </c>
      <c r="U372" s="16"/>
    </row>
    <row r="373" spans="1:21" ht="15.75" customHeight="1">
      <c r="A373" s="8"/>
      <c r="C373" s="30"/>
      <c r="D373" s="20"/>
      <c r="E373" s="20"/>
      <c r="F373" s="20"/>
      <c r="G373" s="20"/>
      <c r="H373" s="55" t="s">
        <v>42</v>
      </c>
      <c r="I373" s="56"/>
      <c r="J373" s="57"/>
      <c r="K373" s="19">
        <f>AVERAGE(K369:K372)</f>
        <v>1</v>
      </c>
      <c r="U373" s="16"/>
    </row>
    <row r="374" spans="1:21" ht="15.75" customHeight="1">
      <c r="A374" s="8"/>
      <c r="C374" s="30"/>
      <c r="U374" s="16"/>
    </row>
    <row r="375" spans="1:21" ht="15.75" customHeight="1">
      <c r="A375" s="62">
        <v>28</v>
      </c>
      <c r="B375" s="58" t="s">
        <v>501</v>
      </c>
      <c r="C375" s="47"/>
      <c r="D375" s="48"/>
      <c r="E375" s="64" t="s">
        <v>6</v>
      </c>
      <c r="F375" s="65"/>
      <c r="G375" s="64" t="s">
        <v>7</v>
      </c>
      <c r="H375" s="65"/>
      <c r="I375" s="64" t="s">
        <v>8</v>
      </c>
      <c r="J375" s="66"/>
      <c r="K375" s="65"/>
      <c r="U375" s="16"/>
    </row>
    <row r="376" spans="1:21" ht="15.75" customHeight="1">
      <c r="A376" s="63"/>
      <c r="B376" s="49"/>
      <c r="C376" s="50"/>
      <c r="D376" s="51"/>
      <c r="E376" s="6" t="s">
        <v>10</v>
      </c>
      <c r="F376" s="6" t="s">
        <v>11</v>
      </c>
      <c r="G376" s="7" t="s">
        <v>12</v>
      </c>
      <c r="H376" s="7" t="s">
        <v>13</v>
      </c>
      <c r="I376" s="7" t="s">
        <v>14</v>
      </c>
      <c r="J376" s="7" t="s">
        <v>15</v>
      </c>
      <c r="K376" s="7" t="s">
        <v>16</v>
      </c>
      <c r="U376" s="16"/>
    </row>
    <row r="377" spans="1:21" ht="15.75" customHeight="1">
      <c r="A377" s="8"/>
      <c r="C377" s="32" t="s">
        <v>502</v>
      </c>
      <c r="D377" s="33" t="s">
        <v>503</v>
      </c>
      <c r="E377" s="11">
        <v>42919</v>
      </c>
      <c r="F377" s="11">
        <v>43084</v>
      </c>
      <c r="G377" s="12" t="s">
        <v>20</v>
      </c>
      <c r="H377" s="12"/>
      <c r="I377" s="12" t="s">
        <v>4</v>
      </c>
      <c r="J377" s="10"/>
      <c r="K377" s="14">
        <v>0.8</v>
      </c>
      <c r="U377" s="16"/>
    </row>
    <row r="378" spans="1:21" ht="15.75" customHeight="1">
      <c r="A378" s="8"/>
      <c r="C378" s="25" t="s">
        <v>504</v>
      </c>
      <c r="D378" s="17" t="s">
        <v>115</v>
      </c>
      <c r="E378" s="11">
        <v>42919</v>
      </c>
      <c r="F378" s="11">
        <v>43084</v>
      </c>
      <c r="G378" s="12" t="s">
        <v>20</v>
      </c>
      <c r="H378" s="12"/>
      <c r="I378" s="12" t="s">
        <v>4</v>
      </c>
      <c r="J378" s="10"/>
      <c r="K378" s="14">
        <v>0.8</v>
      </c>
      <c r="U378" s="16"/>
    </row>
    <row r="379" spans="1:21" ht="15.75" customHeight="1">
      <c r="A379" s="8"/>
      <c r="C379" s="25" t="s">
        <v>505</v>
      </c>
      <c r="D379" s="17" t="s">
        <v>117</v>
      </c>
      <c r="E379" s="11">
        <v>42919</v>
      </c>
      <c r="F379" s="11">
        <v>43084</v>
      </c>
      <c r="G379" s="12" t="s">
        <v>20</v>
      </c>
      <c r="H379" s="12"/>
      <c r="I379" s="12" t="s">
        <v>4</v>
      </c>
      <c r="J379" s="10"/>
      <c r="K379" s="14">
        <v>0.8</v>
      </c>
      <c r="U379" s="16"/>
    </row>
    <row r="380" spans="1:21" ht="15.75" customHeight="1">
      <c r="A380" s="8"/>
      <c r="C380" s="25" t="s">
        <v>506</v>
      </c>
      <c r="D380" s="17" t="s">
        <v>507</v>
      </c>
      <c r="E380" s="11">
        <v>42919</v>
      </c>
      <c r="F380" s="11">
        <v>43084</v>
      </c>
      <c r="G380" s="12" t="s">
        <v>20</v>
      </c>
      <c r="H380" s="12"/>
      <c r="I380" s="12" t="s">
        <v>4</v>
      </c>
      <c r="J380" s="10"/>
      <c r="K380" s="14">
        <v>0.8</v>
      </c>
      <c r="U380" s="16"/>
    </row>
    <row r="381" spans="1:21" ht="15.75" customHeight="1">
      <c r="A381" s="8"/>
      <c r="C381" s="25" t="s">
        <v>508</v>
      </c>
      <c r="D381" s="17" t="s">
        <v>509</v>
      </c>
      <c r="E381" s="11">
        <v>42919</v>
      </c>
      <c r="F381" s="11">
        <v>43084</v>
      </c>
      <c r="G381" s="12" t="s">
        <v>20</v>
      </c>
      <c r="H381" s="12"/>
      <c r="I381" s="12" t="s">
        <v>4</v>
      </c>
      <c r="J381" s="10"/>
      <c r="K381" s="14">
        <v>0.8</v>
      </c>
      <c r="U381" s="16"/>
    </row>
    <row r="382" spans="1:21" ht="15.75" customHeight="1">
      <c r="A382" s="8"/>
      <c r="C382" s="25" t="s">
        <v>510</v>
      </c>
      <c r="D382" s="17" t="s">
        <v>511</v>
      </c>
      <c r="E382" s="11">
        <v>42919</v>
      </c>
      <c r="F382" s="11">
        <v>43084</v>
      </c>
      <c r="G382" s="12" t="s">
        <v>20</v>
      </c>
      <c r="H382" s="12"/>
      <c r="I382" s="12" t="s">
        <v>4</v>
      </c>
      <c r="J382" s="10"/>
      <c r="K382" s="14">
        <v>0.8</v>
      </c>
      <c r="U382" s="16"/>
    </row>
    <row r="383" spans="1:21" ht="15.75" customHeight="1">
      <c r="A383" s="8"/>
      <c r="C383" s="25" t="s">
        <v>512</v>
      </c>
      <c r="D383" s="17" t="s">
        <v>513</v>
      </c>
      <c r="E383" s="11">
        <v>42919</v>
      </c>
      <c r="F383" s="11">
        <v>43084</v>
      </c>
      <c r="G383" s="12" t="s">
        <v>20</v>
      </c>
      <c r="H383" s="12"/>
      <c r="I383" s="12" t="s">
        <v>4</v>
      </c>
      <c r="J383" s="10"/>
      <c r="K383" s="14">
        <v>0.8</v>
      </c>
      <c r="U383" s="16"/>
    </row>
    <row r="384" spans="1:21" ht="15.75" customHeight="1">
      <c r="A384" s="8"/>
      <c r="C384" s="25" t="s">
        <v>514</v>
      </c>
      <c r="D384" s="17" t="s">
        <v>515</v>
      </c>
      <c r="E384" s="11">
        <v>42919</v>
      </c>
      <c r="F384" s="11">
        <v>43084</v>
      </c>
      <c r="G384" s="12" t="s">
        <v>20</v>
      </c>
      <c r="H384" s="12"/>
      <c r="I384" s="12" t="s">
        <v>4</v>
      </c>
      <c r="J384" s="10"/>
      <c r="K384" s="14">
        <v>0.8</v>
      </c>
      <c r="U384" s="16"/>
    </row>
    <row r="385" spans="1:21" ht="15.75" customHeight="1">
      <c r="A385" s="8"/>
      <c r="C385" s="25" t="s">
        <v>516</v>
      </c>
      <c r="D385" s="17" t="s">
        <v>517</v>
      </c>
      <c r="E385" s="11">
        <v>42919</v>
      </c>
      <c r="F385" s="11">
        <v>43084</v>
      </c>
      <c r="G385" s="12" t="s">
        <v>20</v>
      </c>
      <c r="H385" s="12"/>
      <c r="I385" s="12" t="s">
        <v>4</v>
      </c>
      <c r="J385" s="10"/>
      <c r="K385" s="14">
        <v>0.8</v>
      </c>
      <c r="U385" s="16"/>
    </row>
    <row r="386" spans="1:21" ht="15.75" customHeight="1">
      <c r="A386" s="8"/>
      <c r="C386" s="25" t="s">
        <v>518</v>
      </c>
      <c r="D386" s="17" t="s">
        <v>519</v>
      </c>
      <c r="E386" s="11">
        <v>42919</v>
      </c>
      <c r="F386" s="11">
        <v>43084</v>
      </c>
      <c r="G386" s="12" t="s">
        <v>20</v>
      </c>
      <c r="H386" s="12"/>
      <c r="I386" s="12" t="s">
        <v>4</v>
      </c>
      <c r="J386" s="10"/>
      <c r="K386" s="14">
        <v>0.8</v>
      </c>
      <c r="U386" s="16"/>
    </row>
    <row r="387" spans="1:21" ht="15.75" customHeight="1">
      <c r="A387" s="8"/>
      <c r="C387" s="25" t="s">
        <v>520</v>
      </c>
      <c r="D387" s="17" t="s">
        <v>521</v>
      </c>
      <c r="E387" s="11">
        <v>42919</v>
      </c>
      <c r="F387" s="11">
        <v>43084</v>
      </c>
      <c r="G387" s="12" t="s">
        <v>20</v>
      </c>
      <c r="H387" s="12"/>
      <c r="I387" s="12" t="s">
        <v>4</v>
      </c>
      <c r="J387" s="10"/>
      <c r="K387" s="14">
        <v>0.8</v>
      </c>
      <c r="U387" s="16"/>
    </row>
    <row r="388" spans="1:21" ht="15.75" customHeight="1">
      <c r="A388" s="8"/>
      <c r="C388" s="25" t="s">
        <v>522</v>
      </c>
      <c r="D388" s="17" t="s">
        <v>523</v>
      </c>
      <c r="E388" s="11">
        <v>42919</v>
      </c>
      <c r="F388" s="11">
        <v>43084</v>
      </c>
      <c r="G388" s="12" t="s">
        <v>20</v>
      </c>
      <c r="H388" s="12"/>
      <c r="I388" s="12" t="s">
        <v>4</v>
      </c>
      <c r="J388" s="10"/>
      <c r="K388" s="14">
        <v>0.8</v>
      </c>
      <c r="U388" s="16"/>
    </row>
    <row r="389" spans="1:21" ht="15.75" customHeight="1">
      <c r="A389" s="8"/>
      <c r="C389" s="25" t="s">
        <v>524</v>
      </c>
      <c r="D389" s="17" t="s">
        <v>525</v>
      </c>
      <c r="E389" s="11">
        <v>42919</v>
      </c>
      <c r="F389" s="11">
        <v>43084</v>
      </c>
      <c r="G389" s="12" t="s">
        <v>20</v>
      </c>
      <c r="H389" s="12"/>
      <c r="I389" s="12" t="s">
        <v>4</v>
      </c>
      <c r="J389" s="10"/>
      <c r="K389" s="14">
        <v>0.8</v>
      </c>
      <c r="U389" s="16"/>
    </row>
    <row r="390" spans="1:21" ht="15.75" customHeight="1">
      <c r="A390" s="8"/>
      <c r="C390" s="25" t="s">
        <v>526</v>
      </c>
      <c r="D390" s="17" t="s">
        <v>527</v>
      </c>
      <c r="E390" s="11">
        <v>42919</v>
      </c>
      <c r="F390" s="11">
        <v>43084</v>
      </c>
      <c r="G390" s="12" t="s">
        <v>20</v>
      </c>
      <c r="H390" s="12"/>
      <c r="I390" s="12" t="s">
        <v>4</v>
      </c>
      <c r="J390" s="10"/>
      <c r="K390" s="14">
        <v>0.8</v>
      </c>
      <c r="U390" s="16"/>
    </row>
    <row r="391" spans="1:21" ht="15.75" customHeight="1">
      <c r="A391" s="8"/>
      <c r="C391" s="25" t="s">
        <v>528</v>
      </c>
      <c r="D391" s="17" t="s">
        <v>529</v>
      </c>
      <c r="E391" s="11">
        <v>42919</v>
      </c>
      <c r="F391" s="11">
        <v>43084</v>
      </c>
      <c r="G391" s="12" t="s">
        <v>20</v>
      </c>
      <c r="H391" s="12"/>
      <c r="I391" s="12" t="s">
        <v>4</v>
      </c>
      <c r="J391" s="10"/>
      <c r="K391" s="14">
        <v>0.8</v>
      </c>
      <c r="U391" s="16"/>
    </row>
    <row r="392" spans="1:21" ht="15.75" customHeight="1">
      <c r="A392" s="8"/>
      <c r="C392" s="25" t="s">
        <v>530</v>
      </c>
      <c r="D392" s="17" t="s">
        <v>531</v>
      </c>
      <c r="E392" s="11">
        <v>42919</v>
      </c>
      <c r="F392" s="11">
        <v>43084</v>
      </c>
      <c r="G392" s="12" t="s">
        <v>20</v>
      </c>
      <c r="H392" s="12"/>
      <c r="I392" s="12" t="s">
        <v>4</v>
      </c>
      <c r="J392" s="10"/>
      <c r="K392" s="14">
        <v>0.8</v>
      </c>
      <c r="U392" s="16"/>
    </row>
    <row r="393" spans="1:21" ht="15.75" customHeight="1">
      <c r="A393" s="8"/>
      <c r="C393" s="25" t="s">
        <v>532</v>
      </c>
      <c r="D393" s="17" t="s">
        <v>533</v>
      </c>
      <c r="E393" s="11">
        <v>42919</v>
      </c>
      <c r="F393" s="11">
        <v>43084</v>
      </c>
      <c r="G393" s="12" t="s">
        <v>20</v>
      </c>
      <c r="H393" s="12"/>
      <c r="I393" s="12" t="s">
        <v>4</v>
      </c>
      <c r="J393" s="10"/>
      <c r="K393" s="14">
        <v>0.8</v>
      </c>
      <c r="U393" s="16"/>
    </row>
    <row r="394" spans="1:21" ht="15.75" customHeight="1">
      <c r="A394" s="8"/>
      <c r="C394" s="25" t="s">
        <v>534</v>
      </c>
      <c r="D394" s="17" t="s">
        <v>535</v>
      </c>
      <c r="E394" s="11">
        <v>42919</v>
      </c>
      <c r="F394" s="11">
        <v>43084</v>
      </c>
      <c r="G394" s="12" t="s">
        <v>20</v>
      </c>
      <c r="H394" s="12"/>
      <c r="I394" s="12" t="s">
        <v>4</v>
      </c>
      <c r="J394" s="10"/>
      <c r="K394" s="14">
        <v>0.8</v>
      </c>
      <c r="U394" s="16"/>
    </row>
    <row r="395" spans="1:21" ht="15.75" customHeight="1">
      <c r="A395" s="8"/>
      <c r="C395" s="30"/>
      <c r="D395" s="20"/>
      <c r="E395" s="20"/>
      <c r="F395" s="20"/>
      <c r="G395" s="20"/>
      <c r="H395" s="55" t="s">
        <v>42</v>
      </c>
      <c r="I395" s="56"/>
      <c r="J395" s="57"/>
      <c r="K395" s="19">
        <f>AVERAGE(K377:K394)</f>
        <v>0.80000000000000027</v>
      </c>
      <c r="U395" s="16"/>
    </row>
    <row r="396" spans="1:21" ht="15.75" customHeight="1">
      <c r="A396" s="8"/>
      <c r="C396" s="30"/>
      <c r="U396" s="16"/>
    </row>
    <row r="397" spans="1:21" ht="15.75" customHeight="1">
      <c r="A397" s="62">
        <v>29</v>
      </c>
      <c r="B397" s="46" t="s">
        <v>536</v>
      </c>
      <c r="C397" s="47"/>
      <c r="D397" s="48"/>
      <c r="E397" s="64" t="s">
        <v>6</v>
      </c>
      <c r="F397" s="65"/>
      <c r="G397" s="64" t="s">
        <v>7</v>
      </c>
      <c r="H397" s="65"/>
      <c r="I397" s="64" t="s">
        <v>8</v>
      </c>
      <c r="J397" s="66"/>
      <c r="K397" s="65"/>
      <c r="U397" s="16"/>
    </row>
    <row r="398" spans="1:21" ht="15.75" customHeight="1">
      <c r="A398" s="63"/>
      <c r="B398" s="49"/>
      <c r="C398" s="50"/>
      <c r="D398" s="51"/>
      <c r="E398" s="6" t="s">
        <v>10</v>
      </c>
      <c r="F398" s="6" t="s">
        <v>11</v>
      </c>
      <c r="G398" s="7" t="s">
        <v>12</v>
      </c>
      <c r="H398" s="7" t="s">
        <v>13</v>
      </c>
      <c r="I398" s="7" t="s">
        <v>14</v>
      </c>
      <c r="J398" s="7" t="s">
        <v>15</v>
      </c>
      <c r="K398" s="7" t="s">
        <v>16</v>
      </c>
      <c r="U398" s="16"/>
    </row>
    <row r="399" spans="1:21" ht="15.75" customHeight="1">
      <c r="A399" s="8"/>
      <c r="C399" s="9" t="s">
        <v>537</v>
      </c>
      <c r="D399" s="10" t="s">
        <v>538</v>
      </c>
      <c r="E399" s="11">
        <v>42919</v>
      </c>
      <c r="F399" s="11">
        <v>43084</v>
      </c>
      <c r="G399" s="12" t="s">
        <v>20</v>
      </c>
      <c r="H399" s="10"/>
      <c r="I399" s="12" t="s">
        <v>17</v>
      </c>
      <c r="J399" s="10"/>
      <c r="K399" s="14">
        <v>0</v>
      </c>
      <c r="U399" s="16"/>
    </row>
    <row r="400" spans="1:21" ht="15.75" customHeight="1">
      <c r="A400" s="8"/>
      <c r="C400" s="25" t="s">
        <v>539</v>
      </c>
      <c r="D400" s="17" t="s">
        <v>115</v>
      </c>
      <c r="E400" s="11">
        <v>42919</v>
      </c>
      <c r="F400" s="11">
        <v>43084</v>
      </c>
      <c r="G400" s="12" t="s">
        <v>20</v>
      </c>
      <c r="H400" s="17"/>
      <c r="I400" s="12" t="s">
        <v>17</v>
      </c>
      <c r="J400" s="10"/>
      <c r="K400" s="14">
        <v>0</v>
      </c>
      <c r="U400" s="16"/>
    </row>
    <row r="401" spans="1:21" ht="15.75" customHeight="1">
      <c r="A401" s="8"/>
      <c r="C401" s="25" t="s">
        <v>540</v>
      </c>
      <c r="D401" s="17" t="s">
        <v>117</v>
      </c>
      <c r="E401" s="11">
        <v>42919</v>
      </c>
      <c r="F401" s="11">
        <v>43084</v>
      </c>
      <c r="G401" s="12" t="s">
        <v>20</v>
      </c>
      <c r="H401" s="17"/>
      <c r="I401" s="12" t="s">
        <v>17</v>
      </c>
      <c r="J401" s="10"/>
      <c r="K401" s="14">
        <v>0</v>
      </c>
      <c r="U401" s="16"/>
    </row>
    <row r="402" spans="1:21" ht="15.75" customHeight="1">
      <c r="A402" s="8"/>
      <c r="C402" s="25" t="s">
        <v>541</v>
      </c>
      <c r="D402" s="17" t="s">
        <v>393</v>
      </c>
      <c r="E402" s="11">
        <v>42919</v>
      </c>
      <c r="F402" s="11">
        <v>43084</v>
      </c>
      <c r="G402" s="12" t="s">
        <v>20</v>
      </c>
      <c r="H402" s="17"/>
      <c r="I402" s="12" t="s">
        <v>17</v>
      </c>
      <c r="J402" s="10"/>
      <c r="K402" s="14">
        <v>0</v>
      </c>
      <c r="U402" s="16"/>
    </row>
    <row r="403" spans="1:21" ht="15.75" customHeight="1">
      <c r="A403" s="8"/>
      <c r="C403" s="25" t="s">
        <v>542</v>
      </c>
      <c r="D403" s="17" t="s">
        <v>543</v>
      </c>
      <c r="E403" s="11">
        <v>42919</v>
      </c>
      <c r="F403" s="11">
        <v>43084</v>
      </c>
      <c r="G403" s="12" t="s">
        <v>20</v>
      </c>
      <c r="H403" s="17"/>
      <c r="I403" s="12" t="s">
        <v>17</v>
      </c>
      <c r="J403" s="10"/>
      <c r="K403" s="14">
        <v>0</v>
      </c>
      <c r="U403" s="16"/>
    </row>
    <row r="404" spans="1:21" ht="15.75" customHeight="1">
      <c r="A404" s="8"/>
      <c r="C404" s="25" t="s">
        <v>544</v>
      </c>
      <c r="D404" s="17" t="s">
        <v>511</v>
      </c>
      <c r="E404" s="11">
        <v>42919</v>
      </c>
      <c r="F404" s="11">
        <v>43084</v>
      </c>
      <c r="G404" s="12" t="s">
        <v>20</v>
      </c>
      <c r="H404" s="17"/>
      <c r="I404" s="12" t="s">
        <v>17</v>
      </c>
      <c r="J404" s="10"/>
      <c r="K404" s="14">
        <v>0</v>
      </c>
      <c r="U404" s="16"/>
    </row>
    <row r="405" spans="1:21" ht="15.75" customHeight="1">
      <c r="A405" s="8"/>
      <c r="C405" s="25" t="s">
        <v>545</v>
      </c>
      <c r="D405" s="17" t="s">
        <v>513</v>
      </c>
      <c r="E405" s="11">
        <v>42919</v>
      </c>
      <c r="F405" s="11">
        <v>43084</v>
      </c>
      <c r="G405" s="12" t="s">
        <v>20</v>
      </c>
      <c r="H405" s="17"/>
      <c r="I405" s="12" t="s">
        <v>17</v>
      </c>
      <c r="J405" s="10"/>
      <c r="K405" s="14">
        <v>0</v>
      </c>
      <c r="U405" s="16"/>
    </row>
    <row r="406" spans="1:21" ht="15.75" customHeight="1">
      <c r="A406" s="8"/>
      <c r="C406" s="25" t="s">
        <v>546</v>
      </c>
      <c r="D406" s="17" t="s">
        <v>515</v>
      </c>
      <c r="E406" s="11">
        <v>42919</v>
      </c>
      <c r="F406" s="11">
        <v>43084</v>
      </c>
      <c r="G406" s="12" t="s">
        <v>20</v>
      </c>
      <c r="H406" s="17"/>
      <c r="I406" s="12" t="s">
        <v>17</v>
      </c>
      <c r="J406" s="10"/>
      <c r="K406" s="14">
        <v>0</v>
      </c>
      <c r="U406" s="16"/>
    </row>
    <row r="407" spans="1:21" ht="15.75" customHeight="1">
      <c r="A407" s="8"/>
      <c r="C407" s="25" t="s">
        <v>547</v>
      </c>
      <c r="D407" s="17" t="s">
        <v>517</v>
      </c>
      <c r="E407" s="11">
        <v>42919</v>
      </c>
      <c r="F407" s="11">
        <v>43084</v>
      </c>
      <c r="G407" s="12" t="s">
        <v>20</v>
      </c>
      <c r="H407" s="17"/>
      <c r="I407" s="12" t="s">
        <v>17</v>
      </c>
      <c r="J407" s="10"/>
      <c r="K407" s="14">
        <v>0</v>
      </c>
      <c r="U407" s="16"/>
    </row>
    <row r="408" spans="1:21" ht="15.75" customHeight="1">
      <c r="A408" s="8"/>
      <c r="C408" s="25" t="s">
        <v>548</v>
      </c>
      <c r="D408" s="17" t="s">
        <v>519</v>
      </c>
      <c r="E408" s="11">
        <v>42919</v>
      </c>
      <c r="F408" s="11">
        <v>43084</v>
      </c>
      <c r="G408" s="12" t="s">
        <v>20</v>
      </c>
      <c r="H408" s="17"/>
      <c r="I408" s="12" t="s">
        <v>17</v>
      </c>
      <c r="J408" s="10"/>
      <c r="K408" s="14">
        <v>0</v>
      </c>
      <c r="U408" s="16"/>
    </row>
    <row r="409" spans="1:21" ht="15.75" customHeight="1">
      <c r="A409" s="8"/>
      <c r="C409" s="25" t="s">
        <v>549</v>
      </c>
      <c r="D409" s="17" t="s">
        <v>521</v>
      </c>
      <c r="E409" s="11">
        <v>42919</v>
      </c>
      <c r="F409" s="11">
        <v>43084</v>
      </c>
      <c r="G409" s="12" t="s">
        <v>20</v>
      </c>
      <c r="H409" s="17"/>
      <c r="I409" s="12" t="s">
        <v>17</v>
      </c>
      <c r="J409" s="10"/>
      <c r="K409" s="14">
        <v>0</v>
      </c>
      <c r="U409" s="16"/>
    </row>
    <row r="410" spans="1:21" ht="15.75" customHeight="1">
      <c r="A410" s="8"/>
      <c r="C410" s="25" t="s">
        <v>550</v>
      </c>
      <c r="D410" s="17" t="s">
        <v>523</v>
      </c>
      <c r="E410" s="11">
        <v>42919</v>
      </c>
      <c r="F410" s="11">
        <v>43084</v>
      </c>
      <c r="G410" s="12" t="s">
        <v>20</v>
      </c>
      <c r="H410" s="17"/>
      <c r="I410" s="12" t="s">
        <v>17</v>
      </c>
      <c r="J410" s="10"/>
      <c r="K410" s="14">
        <v>0</v>
      </c>
      <c r="U410" s="16"/>
    </row>
    <row r="411" spans="1:21" ht="15.75" customHeight="1">
      <c r="A411" s="8"/>
      <c r="C411" s="25" t="s">
        <v>551</v>
      </c>
      <c r="D411" s="17" t="s">
        <v>525</v>
      </c>
      <c r="E411" s="11">
        <v>42919</v>
      </c>
      <c r="F411" s="11">
        <v>43084</v>
      </c>
      <c r="G411" s="12" t="s">
        <v>20</v>
      </c>
      <c r="H411" s="17"/>
      <c r="I411" s="12" t="s">
        <v>17</v>
      </c>
      <c r="J411" s="10"/>
      <c r="K411" s="14">
        <v>0</v>
      </c>
      <c r="U411" s="16"/>
    </row>
    <row r="412" spans="1:21" ht="15.75" customHeight="1">
      <c r="A412" s="8"/>
      <c r="C412" s="25" t="s">
        <v>552</v>
      </c>
      <c r="D412" s="17" t="s">
        <v>531</v>
      </c>
      <c r="E412" s="11">
        <v>42919</v>
      </c>
      <c r="F412" s="11">
        <v>43084</v>
      </c>
      <c r="G412" s="12" t="s">
        <v>20</v>
      </c>
      <c r="H412" s="17"/>
      <c r="I412" s="12" t="s">
        <v>17</v>
      </c>
      <c r="J412" s="10"/>
      <c r="K412" s="14">
        <v>0</v>
      </c>
      <c r="U412" s="16"/>
    </row>
    <row r="413" spans="1:21" ht="15.75" customHeight="1">
      <c r="A413" s="8"/>
      <c r="C413" s="25" t="s">
        <v>553</v>
      </c>
      <c r="D413" s="17" t="s">
        <v>533</v>
      </c>
      <c r="E413" s="11">
        <v>42919</v>
      </c>
      <c r="F413" s="11">
        <v>43084</v>
      </c>
      <c r="G413" s="12" t="s">
        <v>20</v>
      </c>
      <c r="H413" s="17"/>
      <c r="I413" s="12" t="s">
        <v>17</v>
      </c>
      <c r="J413" s="10"/>
      <c r="K413" s="14">
        <v>0</v>
      </c>
      <c r="U413" s="16"/>
    </row>
    <row r="414" spans="1:21" ht="15.75" customHeight="1">
      <c r="A414" s="8"/>
      <c r="C414" s="25" t="s">
        <v>554</v>
      </c>
      <c r="D414" s="17" t="s">
        <v>535</v>
      </c>
      <c r="E414" s="11">
        <v>42919</v>
      </c>
      <c r="F414" s="11">
        <v>43084</v>
      </c>
      <c r="G414" s="12" t="s">
        <v>20</v>
      </c>
      <c r="H414" s="17"/>
      <c r="I414" s="12" t="s">
        <v>17</v>
      </c>
      <c r="J414" s="10"/>
      <c r="K414" s="14">
        <v>0</v>
      </c>
      <c r="U414" s="16"/>
    </row>
    <row r="415" spans="1:21" ht="15.75" customHeight="1">
      <c r="A415" s="8"/>
      <c r="C415" s="25" t="s">
        <v>555</v>
      </c>
      <c r="D415" s="17" t="s">
        <v>556</v>
      </c>
      <c r="E415" s="11">
        <v>42919</v>
      </c>
      <c r="F415" s="11">
        <v>43084</v>
      </c>
      <c r="G415" s="12" t="s">
        <v>20</v>
      </c>
      <c r="H415" s="17"/>
      <c r="I415" s="12" t="s">
        <v>17</v>
      </c>
      <c r="J415" s="10"/>
      <c r="K415" s="14">
        <v>0</v>
      </c>
      <c r="U415" s="16"/>
    </row>
    <row r="416" spans="1:21" ht="15.75" customHeight="1">
      <c r="A416" s="8"/>
      <c r="C416" s="25" t="s">
        <v>557</v>
      </c>
      <c r="D416" s="17" t="s">
        <v>558</v>
      </c>
      <c r="E416" s="11">
        <v>42919</v>
      </c>
      <c r="F416" s="11">
        <v>43084</v>
      </c>
      <c r="G416" s="12" t="s">
        <v>20</v>
      </c>
      <c r="H416" s="17"/>
      <c r="I416" s="12" t="s">
        <v>17</v>
      </c>
      <c r="J416" s="10"/>
      <c r="K416" s="14">
        <v>0</v>
      </c>
      <c r="U416" s="16"/>
    </row>
    <row r="417" spans="1:21" ht="15.75" customHeight="1">
      <c r="A417" s="8"/>
      <c r="C417" s="30"/>
      <c r="D417" s="20"/>
      <c r="E417" s="20"/>
      <c r="F417" s="20"/>
      <c r="G417" s="20"/>
      <c r="H417" s="55" t="s">
        <v>42</v>
      </c>
      <c r="I417" s="56"/>
      <c r="J417" s="57"/>
      <c r="K417" s="19">
        <f>AVERAGE(K399:K416)</f>
        <v>0</v>
      </c>
      <c r="U417" s="16"/>
    </row>
    <row r="418" spans="1:21" ht="15.75" customHeight="1">
      <c r="A418" s="8"/>
      <c r="C418" s="30"/>
      <c r="U418" s="16"/>
    </row>
    <row r="419" spans="1:21" ht="15.75" customHeight="1">
      <c r="A419" s="62">
        <v>30</v>
      </c>
      <c r="B419" s="46" t="s">
        <v>559</v>
      </c>
      <c r="C419" s="47"/>
      <c r="D419" s="48"/>
      <c r="E419" s="64" t="s">
        <v>6</v>
      </c>
      <c r="F419" s="65"/>
      <c r="G419" s="64" t="s">
        <v>7</v>
      </c>
      <c r="H419" s="65"/>
      <c r="I419" s="64" t="s">
        <v>8</v>
      </c>
      <c r="J419" s="66"/>
      <c r="K419" s="65"/>
      <c r="U419" s="16"/>
    </row>
    <row r="420" spans="1:21" ht="15.75" customHeight="1">
      <c r="A420" s="63"/>
      <c r="B420" s="49"/>
      <c r="C420" s="50"/>
      <c r="D420" s="51"/>
      <c r="E420" s="6" t="s">
        <v>10</v>
      </c>
      <c r="F420" s="6" t="s">
        <v>11</v>
      </c>
      <c r="G420" s="7" t="s">
        <v>12</v>
      </c>
      <c r="H420" s="7" t="s">
        <v>13</v>
      </c>
      <c r="I420" s="7" t="s">
        <v>14</v>
      </c>
      <c r="J420" s="7" t="s">
        <v>15</v>
      </c>
      <c r="K420" s="7" t="s">
        <v>16</v>
      </c>
      <c r="U420" s="16"/>
    </row>
    <row r="421" spans="1:21" ht="15.75" customHeight="1">
      <c r="A421" s="8"/>
      <c r="C421" s="9" t="s">
        <v>560</v>
      </c>
      <c r="D421" s="10" t="s">
        <v>561</v>
      </c>
      <c r="E421" s="11">
        <v>42919</v>
      </c>
      <c r="F421" s="11">
        <v>43084</v>
      </c>
      <c r="G421" s="12" t="s">
        <v>20</v>
      </c>
      <c r="H421" s="10"/>
      <c r="I421" s="12" t="s">
        <v>17</v>
      </c>
      <c r="J421" s="10"/>
      <c r="K421" s="14">
        <v>0</v>
      </c>
      <c r="U421" s="16"/>
    </row>
    <row r="422" spans="1:21" ht="15.75" customHeight="1">
      <c r="A422" s="8"/>
      <c r="C422" s="25" t="s">
        <v>562</v>
      </c>
      <c r="D422" s="17" t="s">
        <v>115</v>
      </c>
      <c r="E422" s="11">
        <v>42919</v>
      </c>
      <c r="F422" s="11">
        <v>43084</v>
      </c>
      <c r="G422" s="12" t="s">
        <v>20</v>
      </c>
      <c r="H422" s="17"/>
      <c r="I422" s="12" t="s">
        <v>17</v>
      </c>
      <c r="J422" s="10"/>
      <c r="K422" s="14">
        <v>0</v>
      </c>
      <c r="U422" s="16"/>
    </row>
    <row r="423" spans="1:21" ht="15.75" customHeight="1">
      <c r="A423" s="8"/>
      <c r="C423" s="25" t="s">
        <v>563</v>
      </c>
      <c r="D423" s="17" t="s">
        <v>117</v>
      </c>
      <c r="E423" s="11">
        <v>42919</v>
      </c>
      <c r="F423" s="11">
        <v>43084</v>
      </c>
      <c r="G423" s="12" t="s">
        <v>20</v>
      </c>
      <c r="H423" s="17"/>
      <c r="I423" s="12" t="s">
        <v>17</v>
      </c>
      <c r="J423" s="10"/>
      <c r="K423" s="14">
        <v>0</v>
      </c>
      <c r="U423" s="16"/>
    </row>
    <row r="424" spans="1:21" ht="15.75" customHeight="1">
      <c r="A424" s="8"/>
      <c r="C424" s="25" t="s">
        <v>564</v>
      </c>
      <c r="D424" s="17" t="s">
        <v>565</v>
      </c>
      <c r="E424" s="11">
        <v>42919</v>
      </c>
      <c r="F424" s="11">
        <v>43084</v>
      </c>
      <c r="G424" s="12" t="s">
        <v>20</v>
      </c>
      <c r="H424" s="17"/>
      <c r="I424" s="12" t="s">
        <v>17</v>
      </c>
      <c r="J424" s="10"/>
      <c r="K424" s="14">
        <v>0</v>
      </c>
      <c r="U424" s="16"/>
    </row>
    <row r="425" spans="1:21" ht="15.75" customHeight="1">
      <c r="A425" s="8"/>
      <c r="C425" s="25" t="s">
        <v>566</v>
      </c>
      <c r="D425" s="17" t="s">
        <v>567</v>
      </c>
      <c r="E425" s="11">
        <v>42919</v>
      </c>
      <c r="F425" s="11">
        <v>43084</v>
      </c>
      <c r="G425" s="12" t="s">
        <v>20</v>
      </c>
      <c r="H425" s="17"/>
      <c r="I425" s="12" t="s">
        <v>17</v>
      </c>
      <c r="J425" s="10"/>
      <c r="K425" s="14">
        <v>0</v>
      </c>
      <c r="U425" s="16"/>
    </row>
    <row r="426" spans="1:21" ht="15.75" customHeight="1">
      <c r="A426" s="8"/>
      <c r="C426" s="25" t="s">
        <v>568</v>
      </c>
      <c r="D426" s="17" t="s">
        <v>569</v>
      </c>
      <c r="E426" s="11">
        <v>42919</v>
      </c>
      <c r="F426" s="11">
        <v>43084</v>
      </c>
      <c r="G426" s="12" t="s">
        <v>20</v>
      </c>
      <c r="H426" s="17"/>
      <c r="I426" s="12" t="s">
        <v>17</v>
      </c>
      <c r="J426" s="10"/>
      <c r="K426" s="14">
        <v>0</v>
      </c>
      <c r="U426" s="16"/>
    </row>
    <row r="427" spans="1:21" ht="15.75" customHeight="1">
      <c r="A427" s="8"/>
      <c r="C427" s="25" t="s">
        <v>570</v>
      </c>
      <c r="D427" s="17" t="s">
        <v>571</v>
      </c>
      <c r="E427" s="11">
        <v>42919</v>
      </c>
      <c r="F427" s="11">
        <v>43084</v>
      </c>
      <c r="G427" s="12" t="s">
        <v>20</v>
      </c>
      <c r="H427" s="17"/>
      <c r="I427" s="12" t="s">
        <v>17</v>
      </c>
      <c r="J427" s="10"/>
      <c r="K427" s="14">
        <v>0</v>
      </c>
      <c r="U427" s="16"/>
    </row>
    <row r="428" spans="1:21" ht="15.75" customHeight="1">
      <c r="A428" s="8"/>
      <c r="C428" s="25" t="s">
        <v>572</v>
      </c>
      <c r="D428" s="17" t="s">
        <v>573</v>
      </c>
      <c r="E428" s="11">
        <v>42919</v>
      </c>
      <c r="F428" s="11">
        <v>43084</v>
      </c>
      <c r="G428" s="12" t="s">
        <v>20</v>
      </c>
      <c r="H428" s="17"/>
      <c r="I428" s="12" t="s">
        <v>17</v>
      </c>
      <c r="J428" s="10"/>
      <c r="K428" s="14">
        <v>0</v>
      </c>
      <c r="U428" s="16"/>
    </row>
    <row r="429" spans="1:21" ht="15.75" customHeight="1">
      <c r="A429" s="8"/>
      <c r="C429" s="25" t="s">
        <v>574</v>
      </c>
      <c r="D429" s="17" t="s">
        <v>575</v>
      </c>
      <c r="E429" s="11">
        <v>42919</v>
      </c>
      <c r="F429" s="11">
        <v>43084</v>
      </c>
      <c r="G429" s="12" t="s">
        <v>20</v>
      </c>
      <c r="H429" s="17"/>
      <c r="I429" s="12" t="s">
        <v>17</v>
      </c>
      <c r="J429" s="10"/>
      <c r="K429" s="14">
        <v>0</v>
      </c>
      <c r="U429" s="16"/>
    </row>
    <row r="430" spans="1:21" ht="15.75" customHeight="1">
      <c r="A430" s="8"/>
      <c r="C430" s="25" t="s">
        <v>576</v>
      </c>
      <c r="D430" s="17" t="s">
        <v>577</v>
      </c>
      <c r="E430" s="11">
        <v>42919</v>
      </c>
      <c r="F430" s="11">
        <v>43084</v>
      </c>
      <c r="G430" s="12" t="s">
        <v>20</v>
      </c>
      <c r="H430" s="17"/>
      <c r="I430" s="12" t="s">
        <v>17</v>
      </c>
      <c r="J430" s="10"/>
      <c r="K430" s="14">
        <v>0</v>
      </c>
      <c r="U430" s="16"/>
    </row>
    <row r="431" spans="1:21" ht="15.75" customHeight="1">
      <c r="A431" s="8"/>
      <c r="C431" s="25" t="s">
        <v>578</v>
      </c>
      <c r="D431" s="17" t="s">
        <v>579</v>
      </c>
      <c r="E431" s="11">
        <v>42919</v>
      </c>
      <c r="F431" s="11">
        <v>43084</v>
      </c>
      <c r="G431" s="12" t="s">
        <v>20</v>
      </c>
      <c r="H431" s="17"/>
      <c r="I431" s="12" t="s">
        <v>17</v>
      </c>
      <c r="J431" s="10"/>
      <c r="K431" s="14">
        <v>0</v>
      </c>
      <c r="U431" s="16"/>
    </row>
    <row r="432" spans="1:21" ht="15.75" customHeight="1">
      <c r="A432" s="8"/>
      <c r="C432" s="25" t="s">
        <v>580</v>
      </c>
      <c r="D432" s="17" t="s">
        <v>581</v>
      </c>
      <c r="E432" s="11">
        <v>42919</v>
      </c>
      <c r="F432" s="11">
        <v>43084</v>
      </c>
      <c r="G432" s="12" t="s">
        <v>20</v>
      </c>
      <c r="H432" s="17"/>
      <c r="I432" s="12" t="s">
        <v>17</v>
      </c>
      <c r="J432" s="10"/>
      <c r="K432" s="14">
        <v>0</v>
      </c>
      <c r="U432" s="16"/>
    </row>
    <row r="433" spans="1:21" ht="15.75" customHeight="1">
      <c r="A433" s="8"/>
      <c r="C433" s="25" t="s">
        <v>582</v>
      </c>
      <c r="D433" s="17" t="s">
        <v>583</v>
      </c>
      <c r="E433" s="11">
        <v>42919</v>
      </c>
      <c r="F433" s="11">
        <v>43084</v>
      </c>
      <c r="G433" s="12" t="s">
        <v>20</v>
      </c>
      <c r="H433" s="17"/>
      <c r="I433" s="12" t="s">
        <v>17</v>
      </c>
      <c r="J433" s="10"/>
      <c r="K433" s="14">
        <v>0</v>
      </c>
      <c r="U433" s="16"/>
    </row>
    <row r="434" spans="1:21" ht="15.75" customHeight="1">
      <c r="A434" s="8"/>
      <c r="C434" s="25" t="s">
        <v>584</v>
      </c>
      <c r="D434" s="17" t="s">
        <v>585</v>
      </c>
      <c r="E434" s="11">
        <v>42919</v>
      </c>
      <c r="F434" s="11">
        <v>43084</v>
      </c>
      <c r="G434" s="12" t="s">
        <v>20</v>
      </c>
      <c r="H434" s="17"/>
      <c r="I434" s="12" t="s">
        <v>17</v>
      </c>
      <c r="J434" s="10"/>
      <c r="K434" s="14">
        <v>0</v>
      </c>
      <c r="U434" s="16"/>
    </row>
    <row r="435" spans="1:21" ht="15.75" customHeight="1">
      <c r="A435" s="8"/>
      <c r="C435" s="25" t="s">
        <v>586</v>
      </c>
      <c r="D435" s="17" t="s">
        <v>587</v>
      </c>
      <c r="E435" s="11">
        <v>42919</v>
      </c>
      <c r="F435" s="11">
        <v>43084</v>
      </c>
      <c r="G435" s="12" t="s">
        <v>20</v>
      </c>
      <c r="H435" s="17"/>
      <c r="I435" s="12" t="s">
        <v>17</v>
      </c>
      <c r="J435" s="10"/>
      <c r="K435" s="14">
        <v>0</v>
      </c>
      <c r="U435" s="16"/>
    </row>
    <row r="436" spans="1:21" ht="15.75" customHeight="1">
      <c r="A436" s="8"/>
      <c r="C436" s="26" t="s">
        <v>588</v>
      </c>
      <c r="D436" s="27" t="s">
        <v>589</v>
      </c>
      <c r="E436" s="11">
        <v>42919</v>
      </c>
      <c r="F436" s="11">
        <v>43084</v>
      </c>
      <c r="G436" s="12" t="s">
        <v>20</v>
      </c>
      <c r="H436" s="35"/>
      <c r="I436" s="12" t="s">
        <v>17</v>
      </c>
      <c r="J436" s="10"/>
      <c r="K436" s="14">
        <v>0</v>
      </c>
      <c r="U436" s="16"/>
    </row>
    <row r="437" spans="1:21" ht="15.75" customHeight="1">
      <c r="A437" s="8"/>
      <c r="C437" s="25" t="s">
        <v>590</v>
      </c>
      <c r="D437" s="17" t="s">
        <v>591</v>
      </c>
      <c r="E437" s="11">
        <v>42919</v>
      </c>
      <c r="F437" s="11">
        <v>43084</v>
      </c>
      <c r="G437" s="12" t="s">
        <v>20</v>
      </c>
      <c r="H437" s="17"/>
      <c r="I437" s="12" t="s">
        <v>17</v>
      </c>
      <c r="J437" s="10"/>
      <c r="K437" s="14">
        <v>0</v>
      </c>
      <c r="U437" s="16"/>
    </row>
    <row r="438" spans="1:21" ht="15.75" customHeight="1">
      <c r="A438" s="8"/>
      <c r="C438" s="25" t="s">
        <v>592</v>
      </c>
      <c r="D438" s="17" t="s">
        <v>593</v>
      </c>
      <c r="E438" s="11">
        <v>42919</v>
      </c>
      <c r="F438" s="11">
        <v>43084</v>
      </c>
      <c r="G438" s="12" t="s">
        <v>20</v>
      </c>
      <c r="H438" s="17"/>
      <c r="I438" s="12" t="s">
        <v>17</v>
      </c>
      <c r="J438" s="10"/>
      <c r="K438" s="14">
        <v>0</v>
      </c>
      <c r="U438" s="16"/>
    </row>
    <row r="439" spans="1:21" ht="15.75" customHeight="1">
      <c r="A439" s="8"/>
      <c r="C439" s="25" t="s">
        <v>594</v>
      </c>
      <c r="D439" s="17" t="s">
        <v>595</v>
      </c>
      <c r="E439" s="11">
        <v>42919</v>
      </c>
      <c r="F439" s="11">
        <v>43084</v>
      </c>
      <c r="G439" s="12" t="s">
        <v>20</v>
      </c>
      <c r="H439" s="17"/>
      <c r="I439" s="12" t="s">
        <v>17</v>
      </c>
      <c r="J439" s="10"/>
      <c r="K439" s="14">
        <v>0</v>
      </c>
      <c r="U439" s="16"/>
    </row>
    <row r="440" spans="1:21" ht="15.75" customHeight="1">
      <c r="A440" s="8"/>
      <c r="C440" s="25" t="s">
        <v>596</v>
      </c>
      <c r="D440" s="17" t="s">
        <v>597</v>
      </c>
      <c r="E440" s="11">
        <v>42919</v>
      </c>
      <c r="F440" s="11">
        <v>43084</v>
      </c>
      <c r="G440" s="12" t="s">
        <v>20</v>
      </c>
      <c r="H440" s="17"/>
      <c r="I440" s="12" t="s">
        <v>17</v>
      </c>
      <c r="J440" s="10"/>
      <c r="K440" s="14">
        <v>0</v>
      </c>
      <c r="U440" s="16"/>
    </row>
    <row r="441" spans="1:21" ht="15.75" customHeight="1">
      <c r="A441" s="8"/>
      <c r="C441" s="25" t="s">
        <v>598</v>
      </c>
      <c r="D441" s="17" t="s">
        <v>599</v>
      </c>
      <c r="E441" s="11">
        <v>42919</v>
      </c>
      <c r="F441" s="11">
        <v>43084</v>
      </c>
      <c r="G441" s="12" t="s">
        <v>20</v>
      </c>
      <c r="H441" s="17"/>
      <c r="I441" s="12" t="s">
        <v>17</v>
      </c>
      <c r="J441" s="10"/>
      <c r="K441" s="14">
        <v>0</v>
      </c>
      <c r="U441" s="16"/>
    </row>
    <row r="442" spans="1:21" ht="15.75" customHeight="1">
      <c r="A442" s="8"/>
      <c r="C442" s="30"/>
      <c r="D442" s="20"/>
      <c r="E442" s="20"/>
      <c r="F442" s="20"/>
      <c r="G442" s="20"/>
      <c r="H442" s="55" t="s">
        <v>42</v>
      </c>
      <c r="I442" s="56"/>
      <c r="J442" s="57"/>
      <c r="K442" s="19">
        <f>AVERAGE(K421:K441)</f>
        <v>0</v>
      </c>
      <c r="U442" s="16"/>
    </row>
    <row r="443" spans="1:21" ht="15.75" customHeight="1">
      <c r="A443" s="8"/>
      <c r="C443" s="30"/>
      <c r="U443" s="16"/>
    </row>
    <row r="444" spans="1:21" ht="15.75" customHeight="1">
      <c r="A444" s="62">
        <v>31</v>
      </c>
      <c r="B444" s="46" t="s">
        <v>600</v>
      </c>
      <c r="C444" s="47"/>
      <c r="D444" s="48"/>
      <c r="E444" s="64" t="s">
        <v>6</v>
      </c>
      <c r="F444" s="65"/>
      <c r="G444" s="64" t="s">
        <v>7</v>
      </c>
      <c r="H444" s="65"/>
      <c r="I444" s="64" t="s">
        <v>8</v>
      </c>
      <c r="J444" s="66"/>
      <c r="K444" s="65"/>
      <c r="U444" s="16"/>
    </row>
    <row r="445" spans="1:21" ht="15.75" customHeight="1">
      <c r="A445" s="63"/>
      <c r="B445" s="49"/>
      <c r="C445" s="50"/>
      <c r="D445" s="51"/>
      <c r="E445" s="6" t="s">
        <v>10</v>
      </c>
      <c r="F445" s="6" t="s">
        <v>11</v>
      </c>
      <c r="G445" s="7" t="s">
        <v>12</v>
      </c>
      <c r="H445" s="7" t="s">
        <v>13</v>
      </c>
      <c r="I445" s="7" t="s">
        <v>14</v>
      </c>
      <c r="J445" s="7" t="s">
        <v>15</v>
      </c>
      <c r="K445" s="7" t="s">
        <v>16</v>
      </c>
      <c r="U445" s="16"/>
    </row>
    <row r="446" spans="1:21" ht="15.75" customHeight="1">
      <c r="A446" s="8"/>
      <c r="C446" s="9" t="s">
        <v>601</v>
      </c>
      <c r="D446" s="10" t="s">
        <v>602</v>
      </c>
      <c r="E446" s="11">
        <v>42919</v>
      </c>
      <c r="F446" s="11">
        <v>43084</v>
      </c>
      <c r="G446" s="12" t="s">
        <v>20</v>
      </c>
      <c r="H446" s="10"/>
      <c r="I446" s="12" t="s">
        <v>17</v>
      </c>
      <c r="J446" s="10"/>
      <c r="K446" s="14">
        <v>0</v>
      </c>
      <c r="U446" s="16"/>
    </row>
    <row r="447" spans="1:21" ht="15.75" customHeight="1">
      <c r="A447" s="8"/>
      <c r="C447" s="25" t="s">
        <v>603</v>
      </c>
      <c r="D447" s="17" t="s">
        <v>115</v>
      </c>
      <c r="E447" s="11">
        <v>42919</v>
      </c>
      <c r="F447" s="11">
        <v>43084</v>
      </c>
      <c r="G447" s="12" t="s">
        <v>20</v>
      </c>
      <c r="H447" s="17"/>
      <c r="I447" s="12" t="s">
        <v>17</v>
      </c>
      <c r="J447" s="10"/>
      <c r="K447" s="14">
        <v>0</v>
      </c>
      <c r="U447" s="16"/>
    </row>
    <row r="448" spans="1:21" ht="15.75" customHeight="1">
      <c r="A448" s="8"/>
      <c r="C448" s="25" t="s">
        <v>604</v>
      </c>
      <c r="D448" s="17" t="s">
        <v>605</v>
      </c>
      <c r="E448" s="11">
        <v>42919</v>
      </c>
      <c r="F448" s="11">
        <v>43084</v>
      </c>
      <c r="G448" s="12" t="s">
        <v>20</v>
      </c>
      <c r="H448" s="17"/>
      <c r="I448" s="12" t="s">
        <v>17</v>
      </c>
      <c r="J448" s="10"/>
      <c r="K448" s="14">
        <v>0</v>
      </c>
      <c r="U448" s="16"/>
    </row>
    <row r="449" spans="1:21" ht="15.75" customHeight="1">
      <c r="A449" s="8"/>
      <c r="C449" s="25" t="s">
        <v>606</v>
      </c>
      <c r="D449" s="17" t="s">
        <v>117</v>
      </c>
      <c r="E449" s="11">
        <v>42919</v>
      </c>
      <c r="F449" s="11">
        <v>43084</v>
      </c>
      <c r="G449" s="12" t="s">
        <v>20</v>
      </c>
      <c r="H449" s="17"/>
      <c r="I449" s="12" t="s">
        <v>17</v>
      </c>
      <c r="J449" s="10"/>
      <c r="K449" s="14">
        <v>0</v>
      </c>
      <c r="U449" s="16"/>
    </row>
    <row r="450" spans="1:21" ht="15.75" customHeight="1">
      <c r="A450" s="8"/>
      <c r="C450" s="25" t="s">
        <v>607</v>
      </c>
      <c r="D450" s="17" t="s">
        <v>608</v>
      </c>
      <c r="E450" s="11">
        <v>42919</v>
      </c>
      <c r="F450" s="11">
        <v>43084</v>
      </c>
      <c r="G450" s="12" t="s">
        <v>20</v>
      </c>
      <c r="H450" s="17"/>
      <c r="I450" s="12" t="s">
        <v>17</v>
      </c>
      <c r="J450" s="10"/>
      <c r="K450" s="14">
        <v>0</v>
      </c>
      <c r="U450" s="16"/>
    </row>
    <row r="451" spans="1:21" ht="15.75" customHeight="1">
      <c r="A451" s="8"/>
      <c r="C451" s="25" t="s">
        <v>609</v>
      </c>
      <c r="D451" s="17" t="s">
        <v>610</v>
      </c>
      <c r="E451" s="11">
        <v>42919</v>
      </c>
      <c r="F451" s="11">
        <v>43084</v>
      </c>
      <c r="G451" s="12" t="s">
        <v>20</v>
      </c>
      <c r="H451" s="17"/>
      <c r="I451" s="12" t="s">
        <v>17</v>
      </c>
      <c r="J451" s="10"/>
      <c r="K451" s="14">
        <v>0</v>
      </c>
      <c r="U451" s="16"/>
    </row>
    <row r="452" spans="1:21" ht="15.75" customHeight="1">
      <c r="A452" s="8"/>
      <c r="C452" s="25" t="s">
        <v>611</v>
      </c>
      <c r="D452" s="17" t="s">
        <v>612</v>
      </c>
      <c r="E452" s="11">
        <v>42919</v>
      </c>
      <c r="F452" s="11">
        <v>43084</v>
      </c>
      <c r="G452" s="12" t="s">
        <v>20</v>
      </c>
      <c r="H452" s="17"/>
      <c r="I452" s="12" t="s">
        <v>17</v>
      </c>
      <c r="J452" s="10"/>
      <c r="K452" s="14">
        <v>0</v>
      </c>
      <c r="U452" s="16"/>
    </row>
    <row r="453" spans="1:21" ht="15.75" customHeight="1">
      <c r="A453" s="8"/>
      <c r="C453" s="25" t="s">
        <v>613</v>
      </c>
      <c r="D453" s="17" t="s">
        <v>614</v>
      </c>
      <c r="E453" s="11">
        <v>42919</v>
      </c>
      <c r="F453" s="11">
        <v>43084</v>
      </c>
      <c r="G453" s="12" t="s">
        <v>20</v>
      </c>
      <c r="H453" s="17"/>
      <c r="I453" s="12" t="s">
        <v>17</v>
      </c>
      <c r="J453" s="10"/>
      <c r="K453" s="14">
        <v>0</v>
      </c>
      <c r="U453" s="16"/>
    </row>
    <row r="454" spans="1:21" ht="15.75" customHeight="1">
      <c r="A454" s="8"/>
      <c r="C454" s="25" t="s">
        <v>615</v>
      </c>
      <c r="D454" s="17" t="s">
        <v>616</v>
      </c>
      <c r="E454" s="11">
        <v>42919</v>
      </c>
      <c r="F454" s="11">
        <v>43084</v>
      </c>
      <c r="G454" s="12" t="s">
        <v>20</v>
      </c>
      <c r="H454" s="17"/>
      <c r="I454" s="12" t="s">
        <v>17</v>
      </c>
      <c r="J454" s="10"/>
      <c r="K454" s="14">
        <v>0</v>
      </c>
      <c r="U454" s="16"/>
    </row>
    <row r="455" spans="1:21" ht="15.75" customHeight="1">
      <c r="A455" s="8"/>
      <c r="C455" s="25" t="s">
        <v>617</v>
      </c>
      <c r="D455" s="17" t="s">
        <v>618</v>
      </c>
      <c r="E455" s="11">
        <v>42919</v>
      </c>
      <c r="F455" s="11">
        <v>43084</v>
      </c>
      <c r="G455" s="12" t="s">
        <v>20</v>
      </c>
      <c r="H455" s="17"/>
      <c r="I455" s="12" t="s">
        <v>17</v>
      </c>
      <c r="J455" s="10"/>
      <c r="K455" s="14">
        <v>0</v>
      </c>
      <c r="U455" s="16"/>
    </row>
    <row r="456" spans="1:21" ht="15.75" customHeight="1">
      <c r="A456" s="8"/>
      <c r="C456" s="25" t="s">
        <v>619</v>
      </c>
      <c r="D456" s="17" t="s">
        <v>620</v>
      </c>
      <c r="E456" s="11">
        <v>42919</v>
      </c>
      <c r="F456" s="11">
        <v>43084</v>
      </c>
      <c r="G456" s="12" t="s">
        <v>20</v>
      </c>
      <c r="H456" s="17"/>
      <c r="I456" s="12" t="s">
        <v>17</v>
      </c>
      <c r="J456" s="10"/>
      <c r="K456" s="14">
        <v>0</v>
      </c>
      <c r="U456" s="16"/>
    </row>
    <row r="457" spans="1:21" ht="15.75" customHeight="1">
      <c r="A457" s="8"/>
      <c r="C457" s="25" t="s">
        <v>621</v>
      </c>
      <c r="D457" s="17" t="s">
        <v>622</v>
      </c>
      <c r="E457" s="11">
        <v>42919</v>
      </c>
      <c r="F457" s="11">
        <v>43084</v>
      </c>
      <c r="G457" s="12" t="s">
        <v>20</v>
      </c>
      <c r="H457" s="17"/>
      <c r="I457" s="12" t="s">
        <v>17</v>
      </c>
      <c r="J457" s="10"/>
      <c r="K457" s="14">
        <v>0</v>
      </c>
      <c r="U457" s="16"/>
    </row>
    <row r="458" spans="1:21" ht="15.75" customHeight="1">
      <c r="A458" s="8"/>
      <c r="C458" s="30"/>
      <c r="D458" s="20"/>
      <c r="E458" s="20"/>
      <c r="F458" s="20"/>
      <c r="G458" s="20"/>
      <c r="H458" s="55" t="s">
        <v>42</v>
      </c>
      <c r="I458" s="56"/>
      <c r="J458" s="57"/>
      <c r="K458" s="19">
        <f>AVERAGE(K446:K457)</f>
        <v>0</v>
      </c>
      <c r="U458" s="16"/>
    </row>
    <row r="459" spans="1:21" ht="15.75" customHeight="1">
      <c r="A459" s="8"/>
      <c r="C459" s="30"/>
      <c r="U459" s="16"/>
    </row>
    <row r="460" spans="1:21" ht="15.75" customHeight="1">
      <c r="A460" s="62">
        <v>32</v>
      </c>
      <c r="B460" s="58" t="s">
        <v>623</v>
      </c>
      <c r="C460" s="47"/>
      <c r="D460" s="48"/>
      <c r="E460" s="64" t="s">
        <v>6</v>
      </c>
      <c r="F460" s="65"/>
      <c r="G460" s="64" t="s">
        <v>7</v>
      </c>
      <c r="H460" s="65"/>
      <c r="I460" s="64" t="s">
        <v>8</v>
      </c>
      <c r="J460" s="66"/>
      <c r="K460" s="65"/>
      <c r="U460" s="16"/>
    </row>
    <row r="461" spans="1:21" ht="15.75" customHeight="1">
      <c r="A461" s="63"/>
      <c r="B461" s="49"/>
      <c r="C461" s="50"/>
      <c r="D461" s="51"/>
      <c r="E461" s="6" t="s">
        <v>10</v>
      </c>
      <c r="F461" s="6" t="s">
        <v>11</v>
      </c>
      <c r="G461" s="7" t="s">
        <v>12</v>
      </c>
      <c r="H461" s="7" t="s">
        <v>13</v>
      </c>
      <c r="I461" s="7" t="s">
        <v>14</v>
      </c>
      <c r="J461" s="7" t="s">
        <v>15</v>
      </c>
      <c r="K461" s="7" t="s">
        <v>16</v>
      </c>
      <c r="U461" s="16"/>
    </row>
    <row r="462" spans="1:21" ht="15.75" customHeight="1">
      <c r="A462" s="8"/>
      <c r="C462" s="9" t="s">
        <v>624</v>
      </c>
      <c r="D462" s="10" t="s">
        <v>625</v>
      </c>
      <c r="E462" s="11">
        <v>42919</v>
      </c>
      <c r="F462" s="11">
        <v>43084</v>
      </c>
      <c r="G462" s="12" t="s">
        <v>20</v>
      </c>
      <c r="H462" s="10"/>
      <c r="I462" s="12" t="s">
        <v>17</v>
      </c>
      <c r="J462" s="10"/>
      <c r="K462" s="14">
        <v>0</v>
      </c>
      <c r="U462" s="16"/>
    </row>
    <row r="463" spans="1:21" ht="15.75" customHeight="1">
      <c r="A463" s="8"/>
      <c r="C463" s="25" t="s">
        <v>626</v>
      </c>
      <c r="D463" s="17" t="s">
        <v>115</v>
      </c>
      <c r="E463" s="11">
        <v>42919</v>
      </c>
      <c r="F463" s="11">
        <v>43084</v>
      </c>
      <c r="G463" s="12" t="s">
        <v>20</v>
      </c>
      <c r="H463" s="17"/>
      <c r="I463" s="12" t="s">
        <v>17</v>
      </c>
      <c r="J463" s="10"/>
      <c r="K463" s="14">
        <v>0</v>
      </c>
      <c r="U463" s="16"/>
    </row>
    <row r="464" spans="1:21" ht="15.75" customHeight="1">
      <c r="A464" s="8"/>
      <c r="C464" s="25" t="s">
        <v>627</v>
      </c>
      <c r="D464" s="17" t="s">
        <v>117</v>
      </c>
      <c r="E464" s="11">
        <v>42919</v>
      </c>
      <c r="F464" s="11">
        <v>43084</v>
      </c>
      <c r="G464" s="12" t="s">
        <v>20</v>
      </c>
      <c r="H464" s="17"/>
      <c r="I464" s="12" t="s">
        <v>17</v>
      </c>
      <c r="J464" s="10"/>
      <c r="K464" s="14">
        <v>0</v>
      </c>
      <c r="U464" s="16"/>
    </row>
    <row r="465" spans="1:21" ht="15.75" customHeight="1">
      <c r="A465" s="8"/>
      <c r="C465" s="25" t="s">
        <v>628</v>
      </c>
      <c r="D465" s="17" t="s">
        <v>565</v>
      </c>
      <c r="E465" s="11">
        <v>42919</v>
      </c>
      <c r="F465" s="11">
        <v>43084</v>
      </c>
      <c r="G465" s="12" t="s">
        <v>20</v>
      </c>
      <c r="H465" s="17"/>
      <c r="I465" s="12" t="s">
        <v>17</v>
      </c>
      <c r="J465" s="10"/>
      <c r="K465" s="14">
        <v>0</v>
      </c>
      <c r="U465" s="16"/>
    </row>
    <row r="466" spans="1:21" ht="15.75" customHeight="1">
      <c r="A466" s="8"/>
      <c r="C466" s="25" t="s">
        <v>629</v>
      </c>
      <c r="D466" s="17" t="s">
        <v>630</v>
      </c>
      <c r="E466" s="11">
        <v>42919</v>
      </c>
      <c r="F466" s="11">
        <v>43084</v>
      </c>
      <c r="G466" s="12" t="s">
        <v>20</v>
      </c>
      <c r="H466" s="17"/>
      <c r="I466" s="12" t="s">
        <v>17</v>
      </c>
      <c r="J466" s="10"/>
      <c r="K466" s="14">
        <v>0</v>
      </c>
      <c r="U466" s="16"/>
    </row>
    <row r="467" spans="1:21" ht="15.75" customHeight="1">
      <c r="A467" s="8"/>
      <c r="C467" s="25" t="s">
        <v>631</v>
      </c>
      <c r="D467" s="17" t="s">
        <v>632</v>
      </c>
      <c r="E467" s="11">
        <v>42919</v>
      </c>
      <c r="F467" s="11">
        <v>43084</v>
      </c>
      <c r="G467" s="12" t="s">
        <v>20</v>
      </c>
      <c r="H467" s="17"/>
      <c r="I467" s="12" t="s">
        <v>17</v>
      </c>
      <c r="J467" s="10"/>
      <c r="K467" s="14">
        <v>0</v>
      </c>
      <c r="U467" s="16"/>
    </row>
    <row r="468" spans="1:21" ht="15.75" customHeight="1">
      <c r="A468" s="8"/>
      <c r="C468" s="25" t="s">
        <v>633</v>
      </c>
      <c r="D468" s="17" t="s">
        <v>634</v>
      </c>
      <c r="E468" s="11">
        <v>42919</v>
      </c>
      <c r="F468" s="11">
        <v>43084</v>
      </c>
      <c r="G468" s="12" t="s">
        <v>20</v>
      </c>
      <c r="H468" s="17"/>
      <c r="I468" s="12" t="s">
        <v>17</v>
      </c>
      <c r="J468" s="10"/>
      <c r="K468" s="14">
        <v>0</v>
      </c>
      <c r="U468" s="16"/>
    </row>
    <row r="469" spans="1:21" ht="15.75" customHeight="1">
      <c r="A469" s="8"/>
      <c r="C469" s="25" t="s">
        <v>635</v>
      </c>
      <c r="D469" s="17" t="s">
        <v>636</v>
      </c>
      <c r="E469" s="11">
        <v>42919</v>
      </c>
      <c r="F469" s="11">
        <v>43084</v>
      </c>
      <c r="G469" s="12" t="s">
        <v>20</v>
      </c>
      <c r="H469" s="17"/>
      <c r="I469" s="12" t="s">
        <v>17</v>
      </c>
      <c r="J469" s="10"/>
      <c r="K469" s="14">
        <v>0</v>
      </c>
      <c r="U469" s="16"/>
    </row>
    <row r="470" spans="1:21" ht="15.75" customHeight="1">
      <c r="A470" s="8"/>
      <c r="C470" s="25" t="s">
        <v>637</v>
      </c>
      <c r="D470" s="17" t="s">
        <v>638</v>
      </c>
      <c r="E470" s="11">
        <v>42919</v>
      </c>
      <c r="F470" s="11">
        <v>43084</v>
      </c>
      <c r="G470" s="12" t="s">
        <v>20</v>
      </c>
      <c r="H470" s="17"/>
      <c r="I470" s="12" t="s">
        <v>17</v>
      </c>
      <c r="J470" s="10"/>
      <c r="K470" s="14">
        <v>0</v>
      </c>
      <c r="U470" s="16"/>
    </row>
    <row r="471" spans="1:21" ht="15.75" customHeight="1">
      <c r="A471" s="8"/>
      <c r="C471" s="25" t="s">
        <v>639</v>
      </c>
      <c r="D471" s="17" t="s">
        <v>640</v>
      </c>
      <c r="E471" s="11">
        <v>42919</v>
      </c>
      <c r="F471" s="11">
        <v>43084</v>
      </c>
      <c r="G471" s="12" t="s">
        <v>20</v>
      </c>
      <c r="H471" s="17"/>
      <c r="I471" s="12" t="s">
        <v>17</v>
      </c>
      <c r="J471" s="10"/>
      <c r="K471" s="14">
        <v>0</v>
      </c>
      <c r="U471" s="16"/>
    </row>
    <row r="472" spans="1:21" ht="15.75" customHeight="1">
      <c r="A472" s="8"/>
      <c r="C472" s="30"/>
      <c r="D472" s="20"/>
      <c r="E472" s="20"/>
      <c r="F472" s="20"/>
      <c r="G472" s="20"/>
      <c r="H472" s="55" t="s">
        <v>42</v>
      </c>
      <c r="I472" s="56"/>
      <c r="J472" s="57"/>
      <c r="K472" s="19">
        <f>AVERAGE(K462:K471)</f>
        <v>0</v>
      </c>
      <c r="U472" s="16"/>
    </row>
    <row r="473" spans="1:21" ht="15.75" customHeight="1">
      <c r="A473" s="8"/>
      <c r="C473" s="30"/>
      <c r="U473" s="16"/>
    </row>
    <row r="474" spans="1:21" ht="15.75" customHeight="1">
      <c r="A474" s="62">
        <v>33</v>
      </c>
      <c r="B474" s="46" t="s">
        <v>641</v>
      </c>
      <c r="C474" s="47"/>
      <c r="D474" s="48"/>
      <c r="E474" s="64" t="s">
        <v>6</v>
      </c>
      <c r="F474" s="65"/>
      <c r="G474" s="64" t="s">
        <v>7</v>
      </c>
      <c r="H474" s="65"/>
      <c r="I474" s="64" t="s">
        <v>8</v>
      </c>
      <c r="J474" s="66"/>
      <c r="K474" s="65"/>
      <c r="U474" s="16"/>
    </row>
    <row r="475" spans="1:21" ht="15.75" customHeight="1">
      <c r="A475" s="63"/>
      <c r="B475" s="49"/>
      <c r="C475" s="50"/>
      <c r="D475" s="51"/>
      <c r="E475" s="6" t="s">
        <v>10</v>
      </c>
      <c r="F475" s="6" t="s">
        <v>11</v>
      </c>
      <c r="G475" s="7" t="s">
        <v>12</v>
      </c>
      <c r="H475" s="7" t="s">
        <v>13</v>
      </c>
      <c r="I475" s="7" t="s">
        <v>14</v>
      </c>
      <c r="J475" s="7" t="s">
        <v>15</v>
      </c>
      <c r="K475" s="7" t="s">
        <v>16</v>
      </c>
      <c r="U475" s="16"/>
    </row>
    <row r="476" spans="1:21" ht="15.75" customHeight="1">
      <c r="A476" s="8"/>
      <c r="C476" s="9" t="s">
        <v>642</v>
      </c>
      <c r="D476" s="10" t="s">
        <v>643</v>
      </c>
      <c r="E476" s="11">
        <v>42919</v>
      </c>
      <c r="F476" s="11">
        <v>43084</v>
      </c>
      <c r="G476" s="12" t="s">
        <v>20</v>
      </c>
      <c r="H476" s="10"/>
      <c r="I476" s="28" t="s">
        <v>17</v>
      </c>
      <c r="J476" s="34"/>
      <c r="K476" s="14">
        <v>0</v>
      </c>
      <c r="U476" s="16"/>
    </row>
    <row r="477" spans="1:21" ht="15.75" customHeight="1">
      <c r="A477" s="8"/>
      <c r="C477" s="25" t="s">
        <v>644</v>
      </c>
      <c r="D477" s="17" t="s">
        <v>115</v>
      </c>
      <c r="E477" s="11">
        <v>42919</v>
      </c>
      <c r="F477" s="11">
        <v>43084</v>
      </c>
      <c r="G477" s="12" t="s">
        <v>20</v>
      </c>
      <c r="H477" s="17"/>
      <c r="I477" s="28" t="s">
        <v>17</v>
      </c>
      <c r="J477" s="34"/>
      <c r="K477" s="14">
        <v>0</v>
      </c>
      <c r="U477" s="16"/>
    </row>
    <row r="478" spans="1:21" ht="15.75" customHeight="1">
      <c r="A478" s="8"/>
      <c r="C478" s="25" t="s">
        <v>645</v>
      </c>
      <c r="D478" s="17" t="s">
        <v>117</v>
      </c>
      <c r="E478" s="11">
        <v>42919</v>
      </c>
      <c r="F478" s="11">
        <v>43084</v>
      </c>
      <c r="G478" s="12" t="s">
        <v>20</v>
      </c>
      <c r="H478" s="17"/>
      <c r="I478" s="28" t="s">
        <v>17</v>
      </c>
      <c r="J478" s="34"/>
      <c r="K478" s="14">
        <v>0</v>
      </c>
      <c r="U478" s="16"/>
    </row>
    <row r="479" spans="1:21" ht="15.75" customHeight="1">
      <c r="A479" s="8"/>
      <c r="C479" s="25" t="s">
        <v>646</v>
      </c>
      <c r="D479" s="17" t="s">
        <v>565</v>
      </c>
      <c r="E479" s="11">
        <v>42919</v>
      </c>
      <c r="F479" s="11">
        <v>43084</v>
      </c>
      <c r="G479" s="12" t="s">
        <v>20</v>
      </c>
      <c r="H479" s="17"/>
      <c r="I479" s="28" t="s">
        <v>17</v>
      </c>
      <c r="J479" s="34"/>
      <c r="K479" s="14">
        <v>0</v>
      </c>
      <c r="U479" s="16"/>
    </row>
    <row r="480" spans="1:21" ht="15.75" customHeight="1">
      <c r="A480" s="8"/>
      <c r="C480" s="25" t="s">
        <v>647</v>
      </c>
      <c r="D480" s="17" t="s">
        <v>648</v>
      </c>
      <c r="E480" s="11">
        <v>42919</v>
      </c>
      <c r="F480" s="11">
        <v>43084</v>
      </c>
      <c r="G480" s="12" t="s">
        <v>20</v>
      </c>
      <c r="H480" s="17"/>
      <c r="I480" s="28" t="s">
        <v>17</v>
      </c>
      <c r="J480" s="34"/>
      <c r="K480" s="14">
        <v>0</v>
      </c>
      <c r="U480" s="16"/>
    </row>
    <row r="481" spans="1:21" ht="15.75" customHeight="1">
      <c r="A481" s="8"/>
      <c r="C481" s="25" t="s">
        <v>649</v>
      </c>
      <c r="D481" s="17" t="s">
        <v>650</v>
      </c>
      <c r="E481" s="11">
        <v>42919</v>
      </c>
      <c r="F481" s="11">
        <v>43084</v>
      </c>
      <c r="G481" s="12" t="s">
        <v>20</v>
      </c>
      <c r="H481" s="17"/>
      <c r="I481" s="28" t="s">
        <v>17</v>
      </c>
      <c r="J481" s="34"/>
      <c r="K481" s="14">
        <v>0</v>
      </c>
      <c r="U481" s="16"/>
    </row>
    <row r="482" spans="1:21" ht="15.75" customHeight="1">
      <c r="A482" s="8"/>
      <c r="C482" s="25" t="s">
        <v>651</v>
      </c>
      <c r="D482" s="17" t="s">
        <v>620</v>
      </c>
      <c r="E482" s="11">
        <v>42919</v>
      </c>
      <c r="F482" s="11">
        <v>43084</v>
      </c>
      <c r="G482" s="12" t="s">
        <v>20</v>
      </c>
      <c r="H482" s="17"/>
      <c r="I482" s="28" t="s">
        <v>17</v>
      </c>
      <c r="J482" s="34"/>
      <c r="K482" s="14">
        <v>0</v>
      </c>
      <c r="U482" s="16"/>
    </row>
    <row r="483" spans="1:21" ht="15.75" customHeight="1">
      <c r="A483" s="8"/>
      <c r="C483" s="25" t="s">
        <v>652</v>
      </c>
      <c r="D483" s="17" t="s">
        <v>653</v>
      </c>
      <c r="E483" s="11">
        <v>42919</v>
      </c>
      <c r="F483" s="11">
        <v>43084</v>
      </c>
      <c r="G483" s="12" t="s">
        <v>20</v>
      </c>
      <c r="H483" s="17"/>
      <c r="I483" s="28" t="s">
        <v>17</v>
      </c>
      <c r="J483" s="34"/>
      <c r="K483" s="14">
        <v>0</v>
      </c>
      <c r="U483" s="16"/>
    </row>
    <row r="484" spans="1:21" ht="15.75" customHeight="1">
      <c r="A484" s="8"/>
      <c r="C484" s="26" t="s">
        <v>654</v>
      </c>
      <c r="D484" s="27" t="s">
        <v>655</v>
      </c>
      <c r="E484" s="11">
        <v>42919</v>
      </c>
      <c r="F484" s="11">
        <v>43084</v>
      </c>
      <c r="G484" s="12" t="s">
        <v>20</v>
      </c>
      <c r="H484" s="35"/>
      <c r="I484" s="28" t="s">
        <v>17</v>
      </c>
      <c r="J484" s="34"/>
      <c r="K484" s="14">
        <v>0</v>
      </c>
      <c r="U484" s="16"/>
    </row>
    <row r="485" spans="1:21" ht="15.75" customHeight="1">
      <c r="A485" s="8"/>
      <c r="C485" s="25" t="s">
        <v>656</v>
      </c>
      <c r="D485" s="17" t="s">
        <v>657</v>
      </c>
      <c r="E485" s="11">
        <v>42919</v>
      </c>
      <c r="F485" s="11">
        <v>43084</v>
      </c>
      <c r="G485" s="12" t="s">
        <v>20</v>
      </c>
      <c r="H485" s="17"/>
      <c r="I485" s="28" t="s">
        <v>17</v>
      </c>
      <c r="J485" s="34"/>
      <c r="K485" s="14">
        <v>0</v>
      </c>
      <c r="U485" s="16"/>
    </row>
    <row r="486" spans="1:21" ht="15.75" customHeight="1">
      <c r="A486" s="8"/>
      <c r="C486" s="25" t="s">
        <v>658</v>
      </c>
      <c r="D486" s="17" t="s">
        <v>659</v>
      </c>
      <c r="E486" s="11">
        <v>42919</v>
      </c>
      <c r="F486" s="11">
        <v>43084</v>
      </c>
      <c r="G486" s="12" t="s">
        <v>20</v>
      </c>
      <c r="H486" s="17"/>
      <c r="I486" s="28" t="s">
        <v>17</v>
      </c>
      <c r="J486" s="34"/>
      <c r="K486" s="14">
        <v>0</v>
      </c>
      <c r="U486" s="16"/>
    </row>
    <row r="487" spans="1:21" ht="15.75" customHeight="1">
      <c r="A487" s="8"/>
      <c r="C487" s="30"/>
      <c r="D487" s="20"/>
      <c r="E487" s="20"/>
      <c r="F487" s="20"/>
      <c r="G487" s="20"/>
      <c r="H487" s="55" t="s">
        <v>42</v>
      </c>
      <c r="I487" s="56"/>
      <c r="J487" s="57"/>
      <c r="K487" s="19">
        <f>AVERAGE(K476:K486)</f>
        <v>0</v>
      </c>
      <c r="U487" s="16"/>
    </row>
    <row r="488" spans="1:21" ht="15.75" customHeight="1">
      <c r="A488" s="8"/>
      <c r="C488" s="30"/>
      <c r="U488" s="16"/>
    </row>
    <row r="489" spans="1:21" ht="15.75" customHeight="1">
      <c r="A489" s="62">
        <v>34</v>
      </c>
      <c r="B489" s="58" t="s">
        <v>660</v>
      </c>
      <c r="C489" s="47"/>
      <c r="D489" s="48"/>
      <c r="E489" s="64" t="s">
        <v>6</v>
      </c>
      <c r="F489" s="65"/>
      <c r="G489" s="64" t="s">
        <v>7</v>
      </c>
      <c r="H489" s="65"/>
      <c r="I489" s="64" t="s">
        <v>8</v>
      </c>
      <c r="J489" s="66"/>
      <c r="K489" s="65"/>
      <c r="U489" s="16"/>
    </row>
    <row r="490" spans="1:21" ht="15.75" customHeight="1">
      <c r="A490" s="63"/>
      <c r="B490" s="49"/>
      <c r="C490" s="50"/>
      <c r="D490" s="51"/>
      <c r="E490" s="6" t="s">
        <v>10</v>
      </c>
      <c r="F490" s="6" t="s">
        <v>11</v>
      </c>
      <c r="G490" s="7" t="s">
        <v>12</v>
      </c>
      <c r="H490" s="7" t="s">
        <v>13</v>
      </c>
      <c r="I490" s="7" t="s">
        <v>14</v>
      </c>
      <c r="J490" s="7" t="s">
        <v>15</v>
      </c>
      <c r="K490" s="7" t="s">
        <v>16</v>
      </c>
      <c r="U490" s="16"/>
    </row>
    <row r="491" spans="1:21" ht="15.75" customHeight="1">
      <c r="A491" s="8"/>
      <c r="C491" s="9" t="s">
        <v>661</v>
      </c>
      <c r="D491" s="10" t="s">
        <v>662</v>
      </c>
      <c r="E491" s="11">
        <v>42919</v>
      </c>
      <c r="F491" s="11">
        <v>43084</v>
      </c>
      <c r="G491" s="12" t="s">
        <v>20</v>
      </c>
      <c r="H491" s="10"/>
      <c r="I491" s="28" t="s">
        <v>17</v>
      </c>
      <c r="J491" s="34"/>
      <c r="K491" s="14">
        <v>0</v>
      </c>
      <c r="U491" s="16"/>
    </row>
    <row r="492" spans="1:21" ht="15.75" customHeight="1">
      <c r="A492" s="8"/>
      <c r="C492" s="25" t="s">
        <v>663</v>
      </c>
      <c r="D492" s="17" t="s">
        <v>664</v>
      </c>
      <c r="E492" s="11">
        <v>42919</v>
      </c>
      <c r="F492" s="11">
        <v>43084</v>
      </c>
      <c r="G492" s="12" t="s">
        <v>20</v>
      </c>
      <c r="H492" s="17"/>
      <c r="I492" s="28" t="s">
        <v>17</v>
      </c>
      <c r="J492" s="34"/>
      <c r="K492" s="14">
        <v>0</v>
      </c>
      <c r="U492" s="16"/>
    </row>
    <row r="493" spans="1:21" ht="15.75" customHeight="1">
      <c r="A493" s="8"/>
      <c r="C493" s="25" t="s">
        <v>665</v>
      </c>
      <c r="D493" s="17" t="s">
        <v>666</v>
      </c>
      <c r="E493" s="11">
        <v>42919</v>
      </c>
      <c r="F493" s="11">
        <v>43084</v>
      </c>
      <c r="G493" s="12" t="s">
        <v>20</v>
      </c>
      <c r="H493" s="17"/>
      <c r="I493" s="28" t="s">
        <v>17</v>
      </c>
      <c r="J493" s="34"/>
      <c r="K493" s="14">
        <v>0</v>
      </c>
      <c r="U493" s="16"/>
    </row>
    <row r="494" spans="1:21" ht="15.75" customHeight="1">
      <c r="A494" s="8"/>
      <c r="C494" s="25" t="s">
        <v>667</v>
      </c>
      <c r="D494" s="17" t="s">
        <v>668</v>
      </c>
      <c r="E494" s="11">
        <v>42919</v>
      </c>
      <c r="F494" s="11">
        <v>43084</v>
      </c>
      <c r="G494" s="12" t="s">
        <v>20</v>
      </c>
      <c r="H494" s="17"/>
      <c r="I494" s="28" t="s">
        <v>17</v>
      </c>
      <c r="J494" s="34"/>
      <c r="K494" s="14">
        <v>0</v>
      </c>
      <c r="U494" s="16"/>
    </row>
    <row r="495" spans="1:21" ht="15.75" customHeight="1">
      <c r="A495" s="8"/>
      <c r="C495" s="26" t="s">
        <v>669</v>
      </c>
      <c r="D495" s="27" t="s">
        <v>670</v>
      </c>
      <c r="E495" s="11">
        <v>42919</v>
      </c>
      <c r="F495" s="11">
        <v>43084</v>
      </c>
      <c r="G495" s="12" t="s">
        <v>20</v>
      </c>
      <c r="H495" s="35"/>
      <c r="I495" s="28" t="s">
        <v>17</v>
      </c>
      <c r="J495" s="34"/>
      <c r="K495" s="14">
        <v>0</v>
      </c>
      <c r="U495" s="16"/>
    </row>
    <row r="496" spans="1:21" ht="15.75" customHeight="1">
      <c r="A496" s="8"/>
      <c r="C496" s="25" t="s">
        <v>671</v>
      </c>
      <c r="D496" s="17" t="s">
        <v>672</v>
      </c>
      <c r="E496" s="11">
        <v>42919</v>
      </c>
      <c r="F496" s="11">
        <v>43084</v>
      </c>
      <c r="G496" s="12" t="s">
        <v>20</v>
      </c>
      <c r="H496" s="17"/>
      <c r="I496" s="28" t="s">
        <v>17</v>
      </c>
      <c r="J496" s="34"/>
      <c r="K496" s="14">
        <v>0</v>
      </c>
      <c r="U496" s="16"/>
    </row>
    <row r="497" spans="1:21" ht="15.75" customHeight="1">
      <c r="A497" s="8"/>
      <c r="C497" s="25" t="s">
        <v>673</v>
      </c>
      <c r="D497" s="17" t="s">
        <v>674</v>
      </c>
      <c r="E497" s="11">
        <v>42919</v>
      </c>
      <c r="F497" s="11">
        <v>43084</v>
      </c>
      <c r="G497" s="12" t="s">
        <v>20</v>
      </c>
      <c r="H497" s="17"/>
      <c r="I497" s="28" t="s">
        <v>17</v>
      </c>
      <c r="J497" s="34"/>
      <c r="K497" s="14">
        <v>0</v>
      </c>
      <c r="U497" s="16"/>
    </row>
    <row r="498" spans="1:21" ht="15.75" customHeight="1">
      <c r="A498" s="8"/>
      <c r="C498" s="25" t="s">
        <v>675</v>
      </c>
      <c r="D498" s="17" t="s">
        <v>676</v>
      </c>
      <c r="E498" s="11">
        <v>42919</v>
      </c>
      <c r="F498" s="11">
        <v>43084</v>
      </c>
      <c r="G498" s="12" t="s">
        <v>20</v>
      </c>
      <c r="H498" s="17"/>
      <c r="I498" s="28" t="s">
        <v>17</v>
      </c>
      <c r="J498" s="34"/>
      <c r="K498" s="14">
        <v>0</v>
      </c>
      <c r="U498" s="16"/>
    </row>
    <row r="499" spans="1:21" ht="15.75" customHeight="1">
      <c r="A499" s="8"/>
      <c r="C499" s="26" t="s">
        <v>677</v>
      </c>
      <c r="D499" s="27" t="s">
        <v>678</v>
      </c>
      <c r="E499" s="11">
        <v>42919</v>
      </c>
      <c r="F499" s="11">
        <v>43084</v>
      </c>
      <c r="G499" s="12" t="s">
        <v>20</v>
      </c>
      <c r="H499" s="35"/>
      <c r="I499" s="28" t="s">
        <v>17</v>
      </c>
      <c r="J499" s="34"/>
      <c r="K499" s="14">
        <v>0</v>
      </c>
      <c r="U499" s="16"/>
    </row>
    <row r="500" spans="1:21" ht="15.75" customHeight="1">
      <c r="A500" s="8"/>
      <c r="C500" s="25" t="s">
        <v>679</v>
      </c>
      <c r="D500" s="17" t="s">
        <v>680</v>
      </c>
      <c r="E500" s="11">
        <v>42919</v>
      </c>
      <c r="F500" s="11">
        <v>43084</v>
      </c>
      <c r="G500" s="12" t="s">
        <v>20</v>
      </c>
      <c r="H500" s="17"/>
      <c r="I500" s="28" t="s">
        <v>17</v>
      </c>
      <c r="J500" s="34"/>
      <c r="K500" s="14">
        <v>0</v>
      </c>
      <c r="U500" s="16"/>
    </row>
    <row r="501" spans="1:21" ht="15.75" customHeight="1">
      <c r="A501" s="8"/>
      <c r="C501" s="25" t="s">
        <v>681</v>
      </c>
      <c r="D501" s="17" t="s">
        <v>682</v>
      </c>
      <c r="E501" s="11">
        <v>42919</v>
      </c>
      <c r="F501" s="11">
        <v>43084</v>
      </c>
      <c r="G501" s="12" t="s">
        <v>20</v>
      </c>
      <c r="H501" s="17"/>
      <c r="I501" s="28" t="s">
        <v>17</v>
      </c>
      <c r="J501" s="34"/>
      <c r="K501" s="14">
        <v>0</v>
      </c>
      <c r="U501" s="16"/>
    </row>
    <row r="502" spans="1:21" ht="15.75" customHeight="1">
      <c r="A502" s="8"/>
      <c r="C502" s="25" t="s">
        <v>683</v>
      </c>
      <c r="D502" s="17" t="s">
        <v>684</v>
      </c>
      <c r="E502" s="11">
        <v>42919</v>
      </c>
      <c r="F502" s="11">
        <v>43084</v>
      </c>
      <c r="G502" s="12" t="s">
        <v>20</v>
      </c>
      <c r="H502" s="17"/>
      <c r="I502" s="28" t="s">
        <v>17</v>
      </c>
      <c r="J502" s="34"/>
      <c r="K502" s="14">
        <v>0</v>
      </c>
      <c r="U502" s="16"/>
    </row>
    <row r="503" spans="1:21" ht="15.75" customHeight="1">
      <c r="A503" s="8"/>
      <c r="C503" s="25" t="s">
        <v>685</v>
      </c>
      <c r="D503" s="17" t="s">
        <v>686</v>
      </c>
      <c r="E503" s="11">
        <v>42919</v>
      </c>
      <c r="F503" s="11">
        <v>43084</v>
      </c>
      <c r="G503" s="12" t="s">
        <v>20</v>
      </c>
      <c r="H503" s="17"/>
      <c r="I503" s="28" t="s">
        <v>17</v>
      </c>
      <c r="J503" s="34"/>
      <c r="K503" s="14">
        <v>0</v>
      </c>
      <c r="U503" s="16"/>
    </row>
    <row r="504" spans="1:21" ht="15.75" customHeight="1">
      <c r="A504" s="8"/>
      <c r="C504" s="30"/>
      <c r="D504" s="20"/>
      <c r="E504" s="20"/>
      <c r="F504" s="20"/>
      <c r="G504" s="20"/>
      <c r="H504" s="55" t="s">
        <v>42</v>
      </c>
      <c r="I504" s="56"/>
      <c r="J504" s="57"/>
      <c r="K504" s="19">
        <f>AVERAGE(K491:K503)</f>
        <v>0</v>
      </c>
      <c r="U504" s="16"/>
    </row>
    <row r="505" spans="1:21" ht="15.75" customHeight="1">
      <c r="A505" s="8"/>
      <c r="C505" s="30"/>
      <c r="U505" s="16"/>
    </row>
    <row r="506" spans="1:21" ht="15.75" customHeight="1">
      <c r="A506" s="62">
        <v>35</v>
      </c>
      <c r="B506" s="46" t="s">
        <v>687</v>
      </c>
      <c r="C506" s="47"/>
      <c r="D506" s="48"/>
      <c r="E506" s="64" t="s">
        <v>6</v>
      </c>
      <c r="F506" s="65"/>
      <c r="G506" s="64" t="s">
        <v>7</v>
      </c>
      <c r="H506" s="65"/>
      <c r="I506" s="64" t="s">
        <v>8</v>
      </c>
      <c r="J506" s="66"/>
      <c r="K506" s="65"/>
      <c r="U506" s="16"/>
    </row>
    <row r="507" spans="1:21" ht="15.75" customHeight="1">
      <c r="A507" s="63"/>
      <c r="B507" s="49"/>
      <c r="C507" s="50"/>
      <c r="D507" s="51"/>
      <c r="E507" s="6" t="s">
        <v>10</v>
      </c>
      <c r="F507" s="6" t="s">
        <v>11</v>
      </c>
      <c r="G507" s="7" t="s">
        <v>12</v>
      </c>
      <c r="H507" s="7" t="s">
        <v>13</v>
      </c>
      <c r="I507" s="7" t="s">
        <v>14</v>
      </c>
      <c r="J507" s="7" t="s">
        <v>15</v>
      </c>
      <c r="K507" s="7" t="s">
        <v>16</v>
      </c>
      <c r="U507" s="16"/>
    </row>
    <row r="508" spans="1:21" ht="15.75" customHeight="1">
      <c r="A508" s="8"/>
      <c r="C508" s="9" t="s">
        <v>688</v>
      </c>
      <c r="D508" s="10" t="s">
        <v>689</v>
      </c>
      <c r="E508" s="11">
        <v>42919</v>
      </c>
      <c r="F508" s="11">
        <v>43084</v>
      </c>
      <c r="G508" s="12" t="s">
        <v>20</v>
      </c>
      <c r="H508" s="10"/>
      <c r="I508" s="28" t="s">
        <v>17</v>
      </c>
      <c r="J508" s="34"/>
      <c r="K508" s="14">
        <v>0</v>
      </c>
      <c r="U508" s="16"/>
    </row>
    <row r="509" spans="1:21" ht="15.75" customHeight="1">
      <c r="A509" s="8"/>
      <c r="C509" s="25" t="s">
        <v>690</v>
      </c>
      <c r="D509" s="17" t="s">
        <v>664</v>
      </c>
      <c r="E509" s="11">
        <v>42919</v>
      </c>
      <c r="F509" s="11">
        <v>43084</v>
      </c>
      <c r="G509" s="12" t="s">
        <v>20</v>
      </c>
      <c r="H509" s="17"/>
      <c r="I509" s="28" t="s">
        <v>17</v>
      </c>
      <c r="J509" s="34"/>
      <c r="K509" s="14">
        <v>0</v>
      </c>
      <c r="U509" s="16"/>
    </row>
    <row r="510" spans="1:21" ht="15.75" customHeight="1">
      <c r="A510" s="8"/>
      <c r="C510" s="25" t="s">
        <v>691</v>
      </c>
      <c r="D510" s="17" t="s">
        <v>666</v>
      </c>
      <c r="E510" s="11">
        <v>42919</v>
      </c>
      <c r="F510" s="11">
        <v>43084</v>
      </c>
      <c r="G510" s="12" t="s">
        <v>20</v>
      </c>
      <c r="H510" s="17"/>
      <c r="I510" s="28" t="s">
        <v>17</v>
      </c>
      <c r="J510" s="34"/>
      <c r="K510" s="14">
        <v>0</v>
      </c>
      <c r="U510" s="16"/>
    </row>
    <row r="511" spans="1:21" ht="15.75" customHeight="1">
      <c r="A511" s="8"/>
      <c r="C511" s="25" t="s">
        <v>692</v>
      </c>
      <c r="D511" s="17" t="s">
        <v>668</v>
      </c>
      <c r="E511" s="11">
        <v>42919</v>
      </c>
      <c r="F511" s="11">
        <v>43084</v>
      </c>
      <c r="G511" s="12" t="s">
        <v>20</v>
      </c>
      <c r="H511" s="17"/>
      <c r="I511" s="28" t="s">
        <v>17</v>
      </c>
      <c r="J511" s="34"/>
      <c r="K511" s="14">
        <v>0</v>
      </c>
      <c r="U511" s="16"/>
    </row>
    <row r="512" spans="1:21" ht="15.75" customHeight="1">
      <c r="A512" s="8"/>
      <c r="C512" s="25" t="s">
        <v>693</v>
      </c>
      <c r="D512" s="17" t="s">
        <v>694</v>
      </c>
      <c r="E512" s="11">
        <v>42919</v>
      </c>
      <c r="F512" s="11">
        <v>43084</v>
      </c>
      <c r="G512" s="12" t="s">
        <v>20</v>
      </c>
      <c r="H512" s="17"/>
      <c r="I512" s="28" t="s">
        <v>17</v>
      </c>
      <c r="J512" s="34"/>
      <c r="K512" s="14">
        <v>0</v>
      </c>
      <c r="U512" s="16"/>
    </row>
    <row r="513" spans="1:21" ht="15.75" customHeight="1">
      <c r="A513" s="8"/>
      <c r="C513" s="25" t="s">
        <v>695</v>
      </c>
      <c r="D513" s="17" t="s">
        <v>696</v>
      </c>
      <c r="E513" s="11">
        <v>42919</v>
      </c>
      <c r="F513" s="11">
        <v>43084</v>
      </c>
      <c r="G513" s="12" t="s">
        <v>20</v>
      </c>
      <c r="H513" s="17"/>
      <c r="I513" s="28" t="s">
        <v>17</v>
      </c>
      <c r="J513" s="34"/>
      <c r="K513" s="14">
        <v>0</v>
      </c>
      <c r="U513" s="16"/>
    </row>
    <row r="514" spans="1:21" ht="15.75" customHeight="1">
      <c r="A514" s="8"/>
      <c r="C514" s="26" t="s">
        <v>697</v>
      </c>
      <c r="D514" s="27" t="s">
        <v>698</v>
      </c>
      <c r="E514" s="11">
        <v>42919</v>
      </c>
      <c r="F514" s="11">
        <v>43084</v>
      </c>
      <c r="G514" s="12" t="s">
        <v>20</v>
      </c>
      <c r="H514" s="35"/>
      <c r="I514" s="28" t="s">
        <v>17</v>
      </c>
      <c r="J514" s="34"/>
      <c r="K514" s="14">
        <v>0</v>
      </c>
      <c r="U514" s="16"/>
    </row>
    <row r="515" spans="1:21" ht="15.75" customHeight="1">
      <c r="A515" s="8"/>
      <c r="C515" s="26" t="s">
        <v>699</v>
      </c>
      <c r="D515" s="27" t="s">
        <v>700</v>
      </c>
      <c r="E515" s="11">
        <v>42919</v>
      </c>
      <c r="F515" s="11">
        <v>43084</v>
      </c>
      <c r="G515" s="12" t="s">
        <v>20</v>
      </c>
      <c r="H515" s="35"/>
      <c r="I515" s="28" t="s">
        <v>17</v>
      </c>
      <c r="J515" s="34"/>
      <c r="K515" s="14">
        <v>0</v>
      </c>
      <c r="U515" s="16"/>
    </row>
    <row r="516" spans="1:21" ht="15.75" customHeight="1">
      <c r="A516" s="8"/>
      <c r="C516" s="25" t="s">
        <v>701</v>
      </c>
      <c r="D516" s="17" t="s">
        <v>702</v>
      </c>
      <c r="E516" s="11">
        <v>42919</v>
      </c>
      <c r="F516" s="11">
        <v>43084</v>
      </c>
      <c r="G516" s="12" t="s">
        <v>20</v>
      </c>
      <c r="H516" s="17"/>
      <c r="I516" s="28" t="s">
        <v>17</v>
      </c>
      <c r="J516" s="34"/>
      <c r="K516" s="14">
        <v>0</v>
      </c>
      <c r="U516" s="16"/>
    </row>
    <row r="517" spans="1:21" ht="15.75" customHeight="1">
      <c r="A517" s="8"/>
      <c r="C517" s="25" t="s">
        <v>703</v>
      </c>
      <c r="D517" s="17" t="s">
        <v>704</v>
      </c>
      <c r="E517" s="11">
        <v>42919</v>
      </c>
      <c r="F517" s="11">
        <v>43084</v>
      </c>
      <c r="G517" s="12" t="s">
        <v>20</v>
      </c>
      <c r="H517" s="17"/>
      <c r="I517" s="28" t="s">
        <v>17</v>
      </c>
      <c r="J517" s="34"/>
      <c r="K517" s="14">
        <v>0</v>
      </c>
      <c r="U517" s="16"/>
    </row>
    <row r="518" spans="1:21" ht="15.75" customHeight="1">
      <c r="A518" s="8"/>
      <c r="C518" s="25" t="s">
        <v>705</v>
      </c>
      <c r="D518" s="17" t="s">
        <v>706</v>
      </c>
      <c r="E518" s="11">
        <v>42919</v>
      </c>
      <c r="F518" s="11">
        <v>43084</v>
      </c>
      <c r="G518" s="12" t="s">
        <v>20</v>
      </c>
      <c r="H518" s="17"/>
      <c r="I518" s="28" t="s">
        <v>17</v>
      </c>
      <c r="J518" s="34"/>
      <c r="K518" s="14">
        <v>0</v>
      </c>
      <c r="U518" s="16"/>
    </row>
    <row r="519" spans="1:21" ht="15.75" customHeight="1">
      <c r="A519" s="8"/>
      <c r="C519" s="26" t="s">
        <v>707</v>
      </c>
      <c r="D519" s="27" t="s">
        <v>708</v>
      </c>
      <c r="E519" s="11">
        <v>42919</v>
      </c>
      <c r="F519" s="11">
        <v>43084</v>
      </c>
      <c r="G519" s="12" t="s">
        <v>20</v>
      </c>
      <c r="H519" s="35"/>
      <c r="I519" s="28" t="s">
        <v>17</v>
      </c>
      <c r="J519" s="34"/>
      <c r="K519" s="14">
        <v>0</v>
      </c>
      <c r="U519" s="16"/>
    </row>
    <row r="520" spans="1:21" ht="15.75" customHeight="1">
      <c r="A520" s="8"/>
      <c r="C520" s="25" t="s">
        <v>709</v>
      </c>
      <c r="D520" s="17" t="s">
        <v>710</v>
      </c>
      <c r="E520" s="11">
        <v>42919</v>
      </c>
      <c r="F520" s="11">
        <v>43084</v>
      </c>
      <c r="G520" s="12" t="s">
        <v>20</v>
      </c>
      <c r="H520" s="17"/>
      <c r="I520" s="28" t="s">
        <v>17</v>
      </c>
      <c r="J520" s="34"/>
      <c r="K520" s="14">
        <v>0</v>
      </c>
      <c r="U520" s="16"/>
    </row>
    <row r="521" spans="1:21" ht="15.75" customHeight="1">
      <c r="A521" s="8"/>
      <c r="C521" s="25" t="s">
        <v>711</v>
      </c>
      <c r="D521" s="17" t="s">
        <v>712</v>
      </c>
      <c r="E521" s="11">
        <v>42919</v>
      </c>
      <c r="F521" s="11">
        <v>43084</v>
      </c>
      <c r="G521" s="12" t="s">
        <v>20</v>
      </c>
      <c r="H521" s="17"/>
      <c r="I521" s="28" t="s">
        <v>17</v>
      </c>
      <c r="J521" s="34"/>
      <c r="K521" s="14">
        <v>0</v>
      </c>
      <c r="U521" s="16"/>
    </row>
    <row r="522" spans="1:21" ht="15.75" customHeight="1">
      <c r="A522" s="8"/>
      <c r="C522" s="25" t="s">
        <v>713</v>
      </c>
      <c r="D522" s="17" t="s">
        <v>714</v>
      </c>
      <c r="E522" s="11">
        <v>42919</v>
      </c>
      <c r="F522" s="11">
        <v>43084</v>
      </c>
      <c r="G522" s="12" t="s">
        <v>20</v>
      </c>
      <c r="H522" s="17"/>
      <c r="I522" s="28" t="s">
        <v>17</v>
      </c>
      <c r="J522" s="34"/>
      <c r="K522" s="14">
        <v>0</v>
      </c>
      <c r="U522" s="16"/>
    </row>
    <row r="523" spans="1:21" ht="15.75" customHeight="1">
      <c r="A523" s="8"/>
      <c r="C523" s="30"/>
      <c r="D523" s="20"/>
      <c r="E523" s="20"/>
      <c r="F523" s="20"/>
      <c r="G523" s="20"/>
      <c r="H523" s="55" t="s">
        <v>42</v>
      </c>
      <c r="I523" s="56"/>
      <c r="J523" s="57"/>
      <c r="K523" s="19">
        <f>AVERAGE(K508:K522)</f>
        <v>0</v>
      </c>
      <c r="U523" s="16"/>
    </row>
    <row r="524" spans="1:21" ht="15.75" customHeight="1">
      <c r="A524" s="8"/>
      <c r="C524" s="30"/>
      <c r="U524" s="16"/>
    </row>
    <row r="525" spans="1:21" ht="15.75" customHeight="1">
      <c r="A525" s="62">
        <v>36</v>
      </c>
      <c r="B525" s="46" t="s">
        <v>715</v>
      </c>
      <c r="C525" s="47"/>
      <c r="D525" s="48"/>
      <c r="E525" s="64" t="s">
        <v>6</v>
      </c>
      <c r="F525" s="65"/>
      <c r="G525" s="64" t="s">
        <v>7</v>
      </c>
      <c r="H525" s="65"/>
      <c r="I525" s="64" t="s">
        <v>8</v>
      </c>
      <c r="J525" s="66"/>
      <c r="K525" s="65"/>
      <c r="U525" s="16"/>
    </row>
    <row r="526" spans="1:21" ht="15.75" customHeight="1">
      <c r="A526" s="63"/>
      <c r="B526" s="49"/>
      <c r="C526" s="50"/>
      <c r="D526" s="51"/>
      <c r="E526" s="6" t="s">
        <v>10</v>
      </c>
      <c r="F526" s="6" t="s">
        <v>11</v>
      </c>
      <c r="G526" s="7" t="s">
        <v>12</v>
      </c>
      <c r="H526" s="7" t="s">
        <v>13</v>
      </c>
      <c r="I526" s="7" t="s">
        <v>14</v>
      </c>
      <c r="J526" s="7" t="s">
        <v>15</v>
      </c>
      <c r="K526" s="7" t="s">
        <v>16</v>
      </c>
      <c r="U526" s="16"/>
    </row>
    <row r="527" spans="1:21" ht="15.75" customHeight="1">
      <c r="A527" s="8"/>
      <c r="C527" s="9" t="s">
        <v>716</v>
      </c>
      <c r="D527" s="10" t="s">
        <v>717</v>
      </c>
      <c r="E527" s="11">
        <v>42919</v>
      </c>
      <c r="F527" s="11">
        <v>43084</v>
      </c>
      <c r="G527" s="12" t="s">
        <v>20</v>
      </c>
      <c r="H527" s="10"/>
      <c r="I527" s="28" t="s">
        <v>4</v>
      </c>
      <c r="J527" s="34"/>
      <c r="K527" s="14">
        <v>0.35</v>
      </c>
      <c r="U527" s="16"/>
    </row>
    <row r="528" spans="1:21" ht="15.75" customHeight="1">
      <c r="A528" s="8"/>
      <c r="C528" s="25" t="s">
        <v>718</v>
      </c>
      <c r="D528" s="17" t="s">
        <v>115</v>
      </c>
      <c r="E528" s="11">
        <v>42919</v>
      </c>
      <c r="F528" s="11">
        <v>43084</v>
      </c>
      <c r="G528" s="12" t="s">
        <v>20</v>
      </c>
      <c r="H528" s="17"/>
      <c r="I528" s="28" t="s">
        <v>4</v>
      </c>
      <c r="J528" s="34"/>
      <c r="K528" s="14">
        <v>0.35</v>
      </c>
      <c r="U528" s="16"/>
    </row>
    <row r="529" spans="1:21" ht="15.75" customHeight="1">
      <c r="A529" s="8"/>
      <c r="C529" s="25" t="s">
        <v>719</v>
      </c>
      <c r="D529" s="17" t="s">
        <v>117</v>
      </c>
      <c r="E529" s="11">
        <v>42919</v>
      </c>
      <c r="F529" s="11">
        <v>43084</v>
      </c>
      <c r="G529" s="12" t="s">
        <v>20</v>
      </c>
      <c r="H529" s="17"/>
      <c r="I529" s="28" t="s">
        <v>4</v>
      </c>
      <c r="J529" s="34"/>
      <c r="K529" s="14">
        <v>0.35</v>
      </c>
      <c r="U529" s="16"/>
    </row>
    <row r="530" spans="1:21" ht="15.75" customHeight="1">
      <c r="A530" s="8"/>
      <c r="C530" s="25" t="s">
        <v>720</v>
      </c>
      <c r="D530" s="17" t="s">
        <v>565</v>
      </c>
      <c r="E530" s="11">
        <v>42919</v>
      </c>
      <c r="F530" s="11">
        <v>43084</v>
      </c>
      <c r="G530" s="12" t="s">
        <v>20</v>
      </c>
      <c r="H530" s="17"/>
      <c r="I530" s="28" t="s">
        <v>4</v>
      </c>
      <c r="J530" s="34"/>
      <c r="K530" s="14">
        <v>0.35</v>
      </c>
      <c r="U530" s="16"/>
    </row>
    <row r="531" spans="1:21" ht="15.75" customHeight="1">
      <c r="A531" s="8"/>
      <c r="C531" s="25" t="s">
        <v>721</v>
      </c>
      <c r="D531" s="17" t="s">
        <v>722</v>
      </c>
      <c r="E531" s="11">
        <v>42919</v>
      </c>
      <c r="F531" s="11">
        <v>43084</v>
      </c>
      <c r="G531" s="12" t="s">
        <v>20</v>
      </c>
      <c r="H531" s="17"/>
      <c r="I531" s="28" t="s">
        <v>4</v>
      </c>
      <c r="J531" s="34"/>
      <c r="K531" s="14">
        <v>0.35</v>
      </c>
      <c r="U531" s="16"/>
    </row>
    <row r="532" spans="1:21" ht="15.75" customHeight="1">
      <c r="A532" s="8"/>
      <c r="C532" s="25" t="s">
        <v>723</v>
      </c>
      <c r="D532" s="17" t="s">
        <v>724</v>
      </c>
      <c r="E532" s="11">
        <v>42919</v>
      </c>
      <c r="F532" s="11">
        <v>43084</v>
      </c>
      <c r="G532" s="12" t="s">
        <v>20</v>
      </c>
      <c r="H532" s="17"/>
      <c r="I532" s="28" t="s">
        <v>4</v>
      </c>
      <c r="J532" s="34"/>
      <c r="K532" s="14">
        <v>0.35</v>
      </c>
      <c r="U532" s="16"/>
    </row>
    <row r="533" spans="1:21" ht="15.75" customHeight="1">
      <c r="A533" s="8"/>
      <c r="C533" s="30"/>
      <c r="D533" s="20"/>
      <c r="E533" s="20"/>
      <c r="F533" s="20"/>
      <c r="G533" s="20"/>
      <c r="H533" s="55" t="s">
        <v>42</v>
      </c>
      <c r="I533" s="56"/>
      <c r="J533" s="57"/>
      <c r="K533" s="19">
        <f>AVERAGE(K527:K532)</f>
        <v>0.35000000000000003</v>
      </c>
      <c r="U533" s="16"/>
    </row>
    <row r="534" spans="1:21" ht="15.75" customHeight="1">
      <c r="A534" s="8"/>
      <c r="C534" s="30"/>
      <c r="U534" s="16"/>
    </row>
    <row r="535" spans="1:21" ht="15.75" customHeight="1">
      <c r="A535" s="62">
        <v>37</v>
      </c>
      <c r="B535" s="46" t="s">
        <v>725</v>
      </c>
      <c r="C535" s="47"/>
      <c r="D535" s="48"/>
      <c r="E535" s="64" t="s">
        <v>6</v>
      </c>
      <c r="F535" s="65"/>
      <c r="G535" s="64" t="s">
        <v>7</v>
      </c>
      <c r="H535" s="65"/>
      <c r="I535" s="64" t="s">
        <v>8</v>
      </c>
      <c r="J535" s="66"/>
      <c r="K535" s="65"/>
      <c r="U535" s="16"/>
    </row>
    <row r="536" spans="1:21" ht="15.75" customHeight="1">
      <c r="A536" s="63"/>
      <c r="B536" s="49"/>
      <c r="C536" s="50"/>
      <c r="D536" s="51"/>
      <c r="E536" s="6" t="s">
        <v>10</v>
      </c>
      <c r="F536" s="6" t="s">
        <v>11</v>
      </c>
      <c r="G536" s="7" t="s">
        <v>12</v>
      </c>
      <c r="H536" s="7" t="s">
        <v>13</v>
      </c>
      <c r="I536" s="7" t="s">
        <v>14</v>
      </c>
      <c r="J536" s="7" t="s">
        <v>15</v>
      </c>
      <c r="K536" s="7" t="s">
        <v>16</v>
      </c>
      <c r="U536" s="16"/>
    </row>
    <row r="537" spans="1:21" ht="15.75" customHeight="1">
      <c r="A537" s="8"/>
      <c r="C537" s="9" t="s">
        <v>726</v>
      </c>
      <c r="D537" s="10" t="s">
        <v>727</v>
      </c>
      <c r="E537" s="11">
        <v>42919</v>
      </c>
      <c r="F537" s="11">
        <v>43084</v>
      </c>
      <c r="G537" s="12" t="s">
        <v>20</v>
      </c>
      <c r="H537" s="10"/>
      <c r="I537" s="28" t="s">
        <v>17</v>
      </c>
      <c r="J537" s="34"/>
      <c r="K537" s="14">
        <v>0</v>
      </c>
      <c r="U537" s="16"/>
    </row>
    <row r="538" spans="1:21" ht="15.75" customHeight="1">
      <c r="A538" s="8"/>
      <c r="C538" s="25" t="s">
        <v>728</v>
      </c>
      <c r="D538" s="17" t="s">
        <v>115</v>
      </c>
      <c r="E538" s="11">
        <v>42919</v>
      </c>
      <c r="F538" s="11">
        <v>43084</v>
      </c>
      <c r="G538" s="12" t="s">
        <v>20</v>
      </c>
      <c r="H538" s="17"/>
      <c r="I538" s="28" t="s">
        <v>17</v>
      </c>
      <c r="J538" s="34"/>
      <c r="K538" s="14">
        <v>0</v>
      </c>
      <c r="U538" s="16"/>
    </row>
    <row r="539" spans="1:21" ht="15.75" customHeight="1">
      <c r="A539" s="8"/>
      <c r="C539" s="25" t="s">
        <v>729</v>
      </c>
      <c r="D539" s="17" t="s">
        <v>117</v>
      </c>
      <c r="E539" s="11">
        <v>42919</v>
      </c>
      <c r="F539" s="11">
        <v>43084</v>
      </c>
      <c r="G539" s="12" t="s">
        <v>20</v>
      </c>
      <c r="H539" s="17"/>
      <c r="I539" s="28" t="s">
        <v>17</v>
      </c>
      <c r="J539" s="34"/>
      <c r="K539" s="14">
        <v>0</v>
      </c>
      <c r="U539" s="16"/>
    </row>
    <row r="540" spans="1:21" ht="15.75" customHeight="1">
      <c r="A540" s="8"/>
      <c r="C540" s="25" t="s">
        <v>730</v>
      </c>
      <c r="D540" s="17" t="s">
        <v>565</v>
      </c>
      <c r="E540" s="11">
        <v>42919</v>
      </c>
      <c r="F540" s="11">
        <v>43084</v>
      </c>
      <c r="G540" s="12" t="s">
        <v>20</v>
      </c>
      <c r="H540" s="17"/>
      <c r="I540" s="28" t="s">
        <v>17</v>
      </c>
      <c r="J540" s="34"/>
      <c r="K540" s="14">
        <v>0</v>
      </c>
      <c r="U540" s="16"/>
    </row>
    <row r="541" spans="1:21" ht="15.75" customHeight="1">
      <c r="A541" s="8"/>
      <c r="C541" s="25" t="s">
        <v>731</v>
      </c>
      <c r="D541" s="17" t="s">
        <v>732</v>
      </c>
      <c r="E541" s="11">
        <v>42919</v>
      </c>
      <c r="F541" s="11">
        <v>43084</v>
      </c>
      <c r="G541" s="12" t="s">
        <v>20</v>
      </c>
      <c r="H541" s="17"/>
      <c r="I541" s="28" t="s">
        <v>17</v>
      </c>
      <c r="J541" s="34"/>
      <c r="K541" s="14">
        <v>0</v>
      </c>
      <c r="U541" s="16"/>
    </row>
    <row r="542" spans="1:21" ht="15.75" customHeight="1">
      <c r="A542" s="8"/>
      <c r="C542" s="30"/>
      <c r="D542" s="20"/>
      <c r="E542" s="20"/>
      <c r="F542" s="20"/>
      <c r="G542" s="20"/>
      <c r="H542" s="55" t="s">
        <v>42</v>
      </c>
      <c r="I542" s="56"/>
      <c r="J542" s="57"/>
      <c r="K542" s="19">
        <f>AVERAGE(K537:K541)</f>
        <v>0</v>
      </c>
      <c r="U542" s="16"/>
    </row>
    <row r="543" spans="1:21" ht="15.75" customHeight="1">
      <c r="A543" s="8"/>
      <c r="C543" s="30"/>
      <c r="U543" s="16"/>
    </row>
    <row r="544" spans="1:21" ht="15.75" customHeight="1">
      <c r="A544" s="62">
        <v>38</v>
      </c>
      <c r="B544" s="46" t="s">
        <v>733</v>
      </c>
      <c r="C544" s="47"/>
      <c r="D544" s="48"/>
      <c r="E544" s="64" t="s">
        <v>6</v>
      </c>
      <c r="F544" s="65"/>
      <c r="G544" s="64" t="s">
        <v>7</v>
      </c>
      <c r="H544" s="65"/>
      <c r="I544" s="64" t="s">
        <v>8</v>
      </c>
      <c r="J544" s="66"/>
      <c r="K544" s="65"/>
      <c r="U544" s="16"/>
    </row>
    <row r="545" spans="1:21" ht="15.75" customHeight="1">
      <c r="A545" s="63"/>
      <c r="B545" s="49"/>
      <c r="C545" s="50"/>
      <c r="D545" s="51"/>
      <c r="E545" s="6" t="s">
        <v>10</v>
      </c>
      <c r="F545" s="6" t="s">
        <v>11</v>
      </c>
      <c r="G545" s="7" t="s">
        <v>12</v>
      </c>
      <c r="H545" s="7" t="s">
        <v>13</v>
      </c>
      <c r="I545" s="7" t="s">
        <v>14</v>
      </c>
      <c r="J545" s="7" t="s">
        <v>15</v>
      </c>
      <c r="K545" s="7" t="s">
        <v>16</v>
      </c>
      <c r="U545" s="16"/>
    </row>
    <row r="546" spans="1:21" ht="15.75" customHeight="1">
      <c r="A546" s="8"/>
      <c r="C546" s="9" t="s">
        <v>734</v>
      </c>
      <c r="D546" s="10" t="s">
        <v>735</v>
      </c>
      <c r="E546" s="11">
        <v>42919</v>
      </c>
      <c r="F546" s="11">
        <v>43084</v>
      </c>
      <c r="G546" s="12" t="s">
        <v>20</v>
      </c>
      <c r="H546" s="10"/>
      <c r="I546" s="28" t="s">
        <v>17</v>
      </c>
      <c r="J546" s="34"/>
      <c r="K546" s="14">
        <v>0</v>
      </c>
      <c r="U546" s="16"/>
    </row>
    <row r="547" spans="1:21" ht="15.75" customHeight="1">
      <c r="A547" s="8"/>
      <c r="C547" s="25" t="s">
        <v>736</v>
      </c>
      <c r="D547" s="17" t="s">
        <v>115</v>
      </c>
      <c r="E547" s="11">
        <v>42919</v>
      </c>
      <c r="F547" s="11">
        <v>43084</v>
      </c>
      <c r="G547" s="12" t="s">
        <v>20</v>
      </c>
      <c r="H547" s="17"/>
      <c r="I547" s="28" t="s">
        <v>17</v>
      </c>
      <c r="J547" s="34"/>
      <c r="K547" s="14">
        <v>0</v>
      </c>
      <c r="U547" s="16"/>
    </row>
    <row r="548" spans="1:21" ht="15.75" customHeight="1">
      <c r="A548" s="8"/>
      <c r="C548" s="25" t="s">
        <v>737</v>
      </c>
      <c r="D548" s="17" t="s">
        <v>117</v>
      </c>
      <c r="E548" s="11">
        <v>42919</v>
      </c>
      <c r="F548" s="11">
        <v>43084</v>
      </c>
      <c r="G548" s="12" t="s">
        <v>20</v>
      </c>
      <c r="H548" s="17"/>
      <c r="I548" s="28" t="s">
        <v>17</v>
      </c>
      <c r="J548" s="34"/>
      <c r="K548" s="14">
        <v>0</v>
      </c>
      <c r="U548" s="16"/>
    </row>
    <row r="549" spans="1:21" ht="15.75" customHeight="1">
      <c r="A549" s="8"/>
      <c r="C549" s="25" t="s">
        <v>738</v>
      </c>
      <c r="D549" s="17" t="s">
        <v>565</v>
      </c>
      <c r="E549" s="11">
        <v>42919</v>
      </c>
      <c r="F549" s="11">
        <v>43084</v>
      </c>
      <c r="G549" s="12" t="s">
        <v>20</v>
      </c>
      <c r="H549" s="17"/>
      <c r="I549" s="28" t="s">
        <v>17</v>
      </c>
      <c r="J549" s="34"/>
      <c r="K549" s="14">
        <v>0</v>
      </c>
      <c r="U549" s="16"/>
    </row>
    <row r="550" spans="1:21" ht="15.75" customHeight="1">
      <c r="A550" s="8"/>
      <c r="C550" s="25" t="s">
        <v>739</v>
      </c>
      <c r="D550" s="17" t="s">
        <v>740</v>
      </c>
      <c r="E550" s="11">
        <v>42919</v>
      </c>
      <c r="F550" s="11">
        <v>43084</v>
      </c>
      <c r="G550" s="12" t="s">
        <v>20</v>
      </c>
      <c r="H550" s="17"/>
      <c r="I550" s="28" t="s">
        <v>17</v>
      </c>
      <c r="J550" s="34"/>
      <c r="K550" s="14">
        <v>0</v>
      </c>
      <c r="U550" s="16"/>
    </row>
    <row r="551" spans="1:21" ht="15.75" customHeight="1">
      <c r="A551" s="8"/>
      <c r="C551" s="25" t="s">
        <v>741</v>
      </c>
      <c r="D551" s="17" t="s">
        <v>742</v>
      </c>
      <c r="E551" s="11">
        <v>42919</v>
      </c>
      <c r="F551" s="11">
        <v>43084</v>
      </c>
      <c r="G551" s="12" t="s">
        <v>20</v>
      </c>
      <c r="H551" s="17"/>
      <c r="I551" s="28" t="s">
        <v>17</v>
      </c>
      <c r="J551" s="34"/>
      <c r="K551" s="14">
        <v>0</v>
      </c>
      <c r="U551" s="16"/>
    </row>
    <row r="552" spans="1:21" ht="15.75" customHeight="1">
      <c r="A552" s="8"/>
      <c r="C552" s="25" t="s">
        <v>743</v>
      </c>
      <c r="D552" s="17" t="s">
        <v>744</v>
      </c>
      <c r="E552" s="11">
        <v>42919</v>
      </c>
      <c r="F552" s="11">
        <v>43084</v>
      </c>
      <c r="G552" s="12" t="s">
        <v>20</v>
      </c>
      <c r="H552" s="17"/>
      <c r="I552" s="28" t="s">
        <v>17</v>
      </c>
      <c r="J552" s="34"/>
      <c r="K552" s="14">
        <v>0</v>
      </c>
      <c r="U552" s="16"/>
    </row>
    <row r="553" spans="1:21" ht="15.75" customHeight="1">
      <c r="A553" s="8"/>
      <c r="C553" s="25" t="s">
        <v>745</v>
      </c>
      <c r="D553" s="17" t="s">
        <v>350</v>
      </c>
      <c r="E553" s="11">
        <v>42919</v>
      </c>
      <c r="F553" s="11">
        <v>43084</v>
      </c>
      <c r="G553" s="12" t="s">
        <v>20</v>
      </c>
      <c r="H553" s="17"/>
      <c r="I553" s="28" t="s">
        <v>17</v>
      </c>
      <c r="J553" s="34"/>
      <c r="K553" s="14">
        <v>0</v>
      </c>
      <c r="U553" s="16"/>
    </row>
    <row r="554" spans="1:21" ht="15.75" customHeight="1">
      <c r="A554" s="8"/>
      <c r="C554" s="25" t="s">
        <v>746</v>
      </c>
      <c r="D554" s="17" t="s">
        <v>747</v>
      </c>
      <c r="E554" s="11">
        <v>42919</v>
      </c>
      <c r="F554" s="11">
        <v>43084</v>
      </c>
      <c r="G554" s="12" t="s">
        <v>20</v>
      </c>
      <c r="H554" s="17"/>
      <c r="I554" s="28" t="s">
        <v>17</v>
      </c>
      <c r="J554" s="34"/>
      <c r="K554" s="14">
        <v>0</v>
      </c>
      <c r="U554" s="16"/>
    </row>
    <row r="555" spans="1:21" ht="15.75" customHeight="1">
      <c r="A555" s="8"/>
      <c r="C555" s="25" t="s">
        <v>748</v>
      </c>
      <c r="D555" s="17" t="s">
        <v>354</v>
      </c>
      <c r="E555" s="11">
        <v>42919</v>
      </c>
      <c r="F555" s="11">
        <v>43084</v>
      </c>
      <c r="G555" s="12" t="s">
        <v>20</v>
      </c>
      <c r="H555" s="17"/>
      <c r="I555" s="28" t="s">
        <v>17</v>
      </c>
      <c r="J555" s="34"/>
      <c r="K555" s="14">
        <v>0</v>
      </c>
      <c r="U555" s="16"/>
    </row>
    <row r="556" spans="1:21" ht="15.75" customHeight="1">
      <c r="A556" s="8"/>
      <c r="C556" s="25" t="s">
        <v>749</v>
      </c>
      <c r="D556" s="17" t="s">
        <v>750</v>
      </c>
      <c r="E556" s="11">
        <v>42919</v>
      </c>
      <c r="F556" s="11">
        <v>43084</v>
      </c>
      <c r="G556" s="12" t="s">
        <v>20</v>
      </c>
      <c r="H556" s="17"/>
      <c r="I556" s="28" t="s">
        <v>17</v>
      </c>
      <c r="J556" s="34"/>
      <c r="K556" s="14">
        <v>0</v>
      </c>
      <c r="U556" s="16"/>
    </row>
    <row r="557" spans="1:21" ht="15.75" customHeight="1">
      <c r="A557" s="8"/>
      <c r="C557" s="26" t="s">
        <v>751</v>
      </c>
      <c r="D557" s="27" t="s">
        <v>752</v>
      </c>
      <c r="E557" s="11">
        <v>42919</v>
      </c>
      <c r="F557" s="11">
        <v>43084</v>
      </c>
      <c r="G557" s="12" t="s">
        <v>20</v>
      </c>
      <c r="H557" s="35"/>
      <c r="I557" s="28" t="s">
        <v>17</v>
      </c>
      <c r="J557" s="34"/>
      <c r="K557" s="14">
        <v>0</v>
      </c>
      <c r="U557" s="16"/>
    </row>
    <row r="558" spans="1:21" ht="15.75" customHeight="1">
      <c r="A558" s="8"/>
      <c r="C558" s="25" t="s">
        <v>753</v>
      </c>
      <c r="D558" s="17" t="s">
        <v>754</v>
      </c>
      <c r="E558" s="11">
        <v>42919</v>
      </c>
      <c r="F558" s="11">
        <v>43084</v>
      </c>
      <c r="G558" s="12" t="s">
        <v>20</v>
      </c>
      <c r="H558" s="17"/>
      <c r="I558" s="28" t="s">
        <v>17</v>
      </c>
      <c r="J558" s="34"/>
      <c r="K558" s="14">
        <v>0</v>
      </c>
      <c r="U558" s="16"/>
    </row>
    <row r="559" spans="1:21" ht="15.75" customHeight="1">
      <c r="A559" s="8"/>
      <c r="C559" s="25" t="s">
        <v>755</v>
      </c>
      <c r="D559" s="17" t="s">
        <v>756</v>
      </c>
      <c r="E559" s="11">
        <v>42919</v>
      </c>
      <c r="F559" s="11">
        <v>43084</v>
      </c>
      <c r="G559" s="12" t="s">
        <v>20</v>
      </c>
      <c r="H559" s="17"/>
      <c r="I559" s="28" t="s">
        <v>17</v>
      </c>
      <c r="J559" s="34"/>
      <c r="K559" s="14">
        <v>0</v>
      </c>
      <c r="U559" s="16"/>
    </row>
    <row r="560" spans="1:21" ht="15.75" customHeight="1">
      <c r="A560" s="8"/>
      <c r="C560" s="25" t="s">
        <v>757</v>
      </c>
      <c r="D560" s="17" t="s">
        <v>366</v>
      </c>
      <c r="E560" s="11">
        <v>42919</v>
      </c>
      <c r="F560" s="11">
        <v>43084</v>
      </c>
      <c r="G560" s="12" t="s">
        <v>20</v>
      </c>
      <c r="H560" s="17"/>
      <c r="I560" s="28" t="s">
        <v>17</v>
      </c>
      <c r="J560" s="34"/>
      <c r="K560" s="14">
        <v>0</v>
      </c>
      <c r="U560" s="16"/>
    </row>
    <row r="561" spans="1:21" ht="15.75" customHeight="1">
      <c r="A561" s="8"/>
      <c r="C561" s="25" t="s">
        <v>758</v>
      </c>
      <c r="D561" s="17" t="s">
        <v>759</v>
      </c>
      <c r="E561" s="11">
        <v>42919</v>
      </c>
      <c r="F561" s="11">
        <v>43084</v>
      </c>
      <c r="G561" s="12" t="s">
        <v>20</v>
      </c>
      <c r="H561" s="17"/>
      <c r="I561" s="28" t="s">
        <v>17</v>
      </c>
      <c r="J561" s="34"/>
      <c r="K561" s="14">
        <v>0</v>
      </c>
      <c r="U561" s="16"/>
    </row>
    <row r="562" spans="1:21" ht="15.75" customHeight="1">
      <c r="A562" s="8"/>
      <c r="C562" s="26" t="s">
        <v>760</v>
      </c>
      <c r="D562" s="27" t="s">
        <v>761</v>
      </c>
      <c r="E562" s="11">
        <v>42919</v>
      </c>
      <c r="F562" s="11">
        <v>43084</v>
      </c>
      <c r="G562" s="12" t="s">
        <v>20</v>
      </c>
      <c r="H562" s="35"/>
      <c r="I562" s="28" t="s">
        <v>17</v>
      </c>
      <c r="J562" s="34"/>
      <c r="K562" s="14">
        <v>0</v>
      </c>
      <c r="U562" s="16"/>
    </row>
    <row r="563" spans="1:21" ht="15.75" customHeight="1">
      <c r="A563" s="8"/>
      <c r="C563" s="26" t="s">
        <v>762</v>
      </c>
      <c r="D563" s="27" t="s">
        <v>763</v>
      </c>
      <c r="E563" s="11">
        <v>42919</v>
      </c>
      <c r="F563" s="11">
        <v>43084</v>
      </c>
      <c r="G563" s="12" t="s">
        <v>20</v>
      </c>
      <c r="H563" s="35"/>
      <c r="I563" s="28" t="s">
        <v>17</v>
      </c>
      <c r="J563" s="34"/>
      <c r="K563" s="14">
        <v>0</v>
      </c>
      <c r="U563" s="16"/>
    </row>
    <row r="564" spans="1:21" ht="15.75" customHeight="1">
      <c r="A564" s="8"/>
      <c r="C564" s="25" t="s">
        <v>764</v>
      </c>
      <c r="D564" s="17" t="s">
        <v>372</v>
      </c>
      <c r="E564" s="11">
        <v>42919</v>
      </c>
      <c r="F564" s="11">
        <v>43084</v>
      </c>
      <c r="G564" s="12" t="s">
        <v>20</v>
      </c>
      <c r="H564" s="17"/>
      <c r="I564" s="28" t="s">
        <v>17</v>
      </c>
      <c r="J564" s="34"/>
      <c r="K564" s="14">
        <v>0</v>
      </c>
      <c r="U564" s="16"/>
    </row>
    <row r="565" spans="1:21" ht="15.75" customHeight="1">
      <c r="A565" s="8"/>
      <c r="C565" s="25" t="s">
        <v>765</v>
      </c>
      <c r="D565" s="17" t="s">
        <v>348</v>
      </c>
      <c r="E565" s="11">
        <v>42919</v>
      </c>
      <c r="F565" s="11">
        <v>43084</v>
      </c>
      <c r="G565" s="12" t="s">
        <v>20</v>
      </c>
      <c r="H565" s="17"/>
      <c r="I565" s="28" t="s">
        <v>17</v>
      </c>
      <c r="J565" s="34"/>
      <c r="K565" s="14">
        <v>0</v>
      </c>
      <c r="U565" s="16"/>
    </row>
    <row r="566" spans="1:21" ht="15.75" customHeight="1">
      <c r="A566" s="8"/>
      <c r="C566" s="25" t="s">
        <v>766</v>
      </c>
      <c r="D566" s="17" t="s">
        <v>767</v>
      </c>
      <c r="E566" s="11">
        <v>42919</v>
      </c>
      <c r="F566" s="11">
        <v>43084</v>
      </c>
      <c r="G566" s="12" t="s">
        <v>20</v>
      </c>
      <c r="H566" s="17"/>
      <c r="I566" s="28" t="s">
        <v>17</v>
      </c>
      <c r="J566" s="34"/>
      <c r="K566" s="14">
        <v>0</v>
      </c>
      <c r="U566" s="16"/>
    </row>
    <row r="567" spans="1:21" ht="15.75" customHeight="1">
      <c r="A567" s="8"/>
      <c r="C567" s="26" t="s">
        <v>768</v>
      </c>
      <c r="D567" s="27" t="s">
        <v>769</v>
      </c>
      <c r="E567" s="11">
        <v>42919</v>
      </c>
      <c r="F567" s="11">
        <v>43084</v>
      </c>
      <c r="G567" s="12" t="s">
        <v>20</v>
      </c>
      <c r="H567" s="35"/>
      <c r="I567" s="28" t="s">
        <v>17</v>
      </c>
      <c r="J567" s="34"/>
      <c r="K567" s="14">
        <v>0</v>
      </c>
      <c r="U567" s="16"/>
    </row>
    <row r="568" spans="1:21" ht="15.75" customHeight="1">
      <c r="A568" s="8"/>
      <c r="C568" s="26" t="s">
        <v>770</v>
      </c>
      <c r="D568" s="27" t="s">
        <v>771</v>
      </c>
      <c r="E568" s="11">
        <v>42919</v>
      </c>
      <c r="F568" s="11">
        <v>43084</v>
      </c>
      <c r="G568" s="12" t="s">
        <v>20</v>
      </c>
      <c r="H568" s="35"/>
      <c r="I568" s="28" t="s">
        <v>17</v>
      </c>
      <c r="J568" s="34"/>
      <c r="K568" s="14">
        <v>0</v>
      </c>
      <c r="U568" s="16"/>
    </row>
    <row r="569" spans="1:21" ht="15.75" customHeight="1">
      <c r="A569" s="8"/>
      <c r="C569" s="36"/>
      <c r="D569" s="37"/>
      <c r="E569" s="38"/>
      <c r="F569" s="38"/>
      <c r="G569" s="38"/>
      <c r="H569" s="55" t="s">
        <v>42</v>
      </c>
      <c r="I569" s="56"/>
      <c r="J569" s="57"/>
      <c r="K569" s="19">
        <f>AVERAGE(K546:K568)</f>
        <v>0</v>
      </c>
      <c r="U569" s="16"/>
    </row>
    <row r="570" spans="1:21" ht="15.75" customHeight="1">
      <c r="A570" s="8"/>
      <c r="C570" s="30"/>
      <c r="U570" s="16"/>
    </row>
    <row r="571" spans="1:21" ht="15.75" customHeight="1">
      <c r="A571" s="62">
        <v>39</v>
      </c>
      <c r="B571" s="46" t="s">
        <v>772</v>
      </c>
      <c r="C571" s="47"/>
      <c r="D571" s="48"/>
      <c r="E571" s="64" t="s">
        <v>6</v>
      </c>
      <c r="F571" s="65"/>
      <c r="G571" s="64" t="s">
        <v>7</v>
      </c>
      <c r="H571" s="65"/>
      <c r="I571" s="64" t="s">
        <v>8</v>
      </c>
      <c r="J571" s="66"/>
      <c r="K571" s="65"/>
      <c r="U571" s="16"/>
    </row>
    <row r="572" spans="1:21" ht="15.75" customHeight="1">
      <c r="A572" s="63"/>
      <c r="B572" s="49"/>
      <c r="C572" s="50"/>
      <c r="D572" s="51"/>
      <c r="E572" s="6" t="s">
        <v>10</v>
      </c>
      <c r="F572" s="6" t="s">
        <v>11</v>
      </c>
      <c r="G572" s="7" t="s">
        <v>12</v>
      </c>
      <c r="H572" s="7" t="s">
        <v>13</v>
      </c>
      <c r="I572" s="7" t="s">
        <v>14</v>
      </c>
      <c r="J572" s="7" t="s">
        <v>15</v>
      </c>
      <c r="K572" s="7" t="s">
        <v>16</v>
      </c>
      <c r="U572" s="16"/>
    </row>
    <row r="573" spans="1:21" ht="15.75" customHeight="1">
      <c r="A573" s="8"/>
      <c r="C573" s="9" t="s">
        <v>773</v>
      </c>
      <c r="D573" s="10" t="s">
        <v>774</v>
      </c>
      <c r="E573" s="11">
        <v>42919</v>
      </c>
      <c r="F573" s="11">
        <v>43084</v>
      </c>
      <c r="G573" s="12" t="s">
        <v>20</v>
      </c>
      <c r="H573" s="10"/>
      <c r="I573" s="28" t="s">
        <v>4</v>
      </c>
      <c r="J573" s="34"/>
      <c r="K573" s="14">
        <v>0.83</v>
      </c>
      <c r="U573" s="16"/>
    </row>
    <row r="574" spans="1:21" ht="15.75" customHeight="1">
      <c r="A574" s="8"/>
      <c r="C574" s="25" t="s">
        <v>775</v>
      </c>
      <c r="D574" s="17" t="s">
        <v>115</v>
      </c>
      <c r="E574" s="11">
        <v>42919</v>
      </c>
      <c r="F574" s="11">
        <v>43084</v>
      </c>
      <c r="G574" s="12" t="s">
        <v>20</v>
      </c>
      <c r="H574" s="17"/>
      <c r="I574" s="28" t="s">
        <v>4</v>
      </c>
      <c r="J574" s="34"/>
      <c r="K574" s="14">
        <v>0.83</v>
      </c>
      <c r="U574" s="16"/>
    </row>
    <row r="575" spans="1:21" ht="15.75" customHeight="1">
      <c r="A575" s="8"/>
      <c r="C575" s="25" t="s">
        <v>776</v>
      </c>
      <c r="D575" s="17" t="s">
        <v>117</v>
      </c>
      <c r="E575" s="11">
        <v>42919</v>
      </c>
      <c r="F575" s="11">
        <v>43084</v>
      </c>
      <c r="G575" s="12" t="s">
        <v>20</v>
      </c>
      <c r="H575" s="17"/>
      <c r="I575" s="28" t="s">
        <v>4</v>
      </c>
      <c r="J575" s="34"/>
      <c r="K575" s="14">
        <v>0.83</v>
      </c>
      <c r="U575" s="16"/>
    </row>
    <row r="576" spans="1:21" ht="15.75" customHeight="1">
      <c r="A576" s="8"/>
      <c r="C576" s="25" t="s">
        <v>777</v>
      </c>
      <c r="D576" s="17" t="s">
        <v>778</v>
      </c>
      <c r="E576" s="11">
        <v>42919</v>
      </c>
      <c r="F576" s="11">
        <v>43084</v>
      </c>
      <c r="G576" s="12" t="s">
        <v>20</v>
      </c>
      <c r="H576" s="17"/>
      <c r="I576" s="28" t="s">
        <v>4</v>
      </c>
      <c r="J576" s="34"/>
      <c r="K576" s="14">
        <v>0.83</v>
      </c>
      <c r="U576" s="16"/>
    </row>
    <row r="577" spans="1:21" ht="15.75" customHeight="1">
      <c r="A577" s="8"/>
      <c r="C577" s="25" t="s">
        <v>779</v>
      </c>
      <c r="D577" s="17" t="s">
        <v>509</v>
      </c>
      <c r="E577" s="11">
        <v>42919</v>
      </c>
      <c r="F577" s="11">
        <v>43084</v>
      </c>
      <c r="G577" s="12" t="s">
        <v>20</v>
      </c>
      <c r="H577" s="17"/>
      <c r="I577" s="28" t="s">
        <v>4</v>
      </c>
      <c r="J577" s="34"/>
      <c r="K577" s="14">
        <v>0.83</v>
      </c>
      <c r="U577" s="16"/>
    </row>
    <row r="578" spans="1:21" ht="15.75" customHeight="1">
      <c r="A578" s="8"/>
      <c r="C578" s="25" t="s">
        <v>780</v>
      </c>
      <c r="D578" s="17" t="s">
        <v>511</v>
      </c>
      <c r="E578" s="11">
        <v>42919</v>
      </c>
      <c r="F578" s="11">
        <v>43084</v>
      </c>
      <c r="G578" s="12" t="s">
        <v>20</v>
      </c>
      <c r="H578" s="17"/>
      <c r="I578" s="28" t="s">
        <v>4</v>
      </c>
      <c r="J578" s="34"/>
      <c r="K578" s="14">
        <v>0.83</v>
      </c>
      <c r="U578" s="16"/>
    </row>
    <row r="579" spans="1:21" ht="15.75" customHeight="1">
      <c r="A579" s="8"/>
      <c r="C579" s="25" t="s">
        <v>781</v>
      </c>
      <c r="D579" s="17" t="s">
        <v>513</v>
      </c>
      <c r="E579" s="11">
        <v>42919</v>
      </c>
      <c r="F579" s="11">
        <v>43084</v>
      </c>
      <c r="G579" s="12" t="s">
        <v>20</v>
      </c>
      <c r="H579" s="17"/>
      <c r="I579" s="28" t="s">
        <v>4</v>
      </c>
      <c r="J579" s="34"/>
      <c r="K579" s="14">
        <v>0.83</v>
      </c>
      <c r="U579" s="16"/>
    </row>
    <row r="580" spans="1:21" ht="15.75" customHeight="1">
      <c r="A580" s="8"/>
      <c r="C580" s="25" t="s">
        <v>782</v>
      </c>
      <c r="D580" s="17" t="s">
        <v>515</v>
      </c>
      <c r="E580" s="11">
        <v>42919</v>
      </c>
      <c r="F580" s="11">
        <v>43084</v>
      </c>
      <c r="G580" s="12" t="s">
        <v>20</v>
      </c>
      <c r="H580" s="17"/>
      <c r="I580" s="28" t="s">
        <v>4</v>
      </c>
      <c r="J580" s="34"/>
      <c r="K580" s="14">
        <v>0.83</v>
      </c>
      <c r="U580" s="16"/>
    </row>
    <row r="581" spans="1:21" ht="15.75" customHeight="1">
      <c r="A581" s="8"/>
      <c r="C581" s="25" t="s">
        <v>783</v>
      </c>
      <c r="D581" s="17" t="s">
        <v>517</v>
      </c>
      <c r="E581" s="11">
        <v>42919</v>
      </c>
      <c r="F581" s="11">
        <v>43084</v>
      </c>
      <c r="G581" s="12" t="s">
        <v>20</v>
      </c>
      <c r="H581" s="17"/>
      <c r="I581" s="28" t="s">
        <v>4</v>
      </c>
      <c r="J581" s="34"/>
      <c r="K581" s="14">
        <v>0.83</v>
      </c>
      <c r="U581" s="16"/>
    </row>
    <row r="582" spans="1:21" ht="15.75" customHeight="1">
      <c r="A582" s="8"/>
      <c r="C582" s="25" t="s">
        <v>784</v>
      </c>
      <c r="D582" s="17" t="s">
        <v>519</v>
      </c>
      <c r="E582" s="11">
        <v>42919</v>
      </c>
      <c r="F582" s="11">
        <v>43084</v>
      </c>
      <c r="G582" s="12" t="s">
        <v>20</v>
      </c>
      <c r="H582" s="17"/>
      <c r="I582" s="28" t="s">
        <v>4</v>
      </c>
      <c r="J582" s="34"/>
      <c r="K582" s="14">
        <v>0.83</v>
      </c>
      <c r="U582" s="16"/>
    </row>
    <row r="583" spans="1:21" ht="15.75" customHeight="1">
      <c r="A583" s="8"/>
      <c r="C583" s="25" t="s">
        <v>785</v>
      </c>
      <c r="D583" s="17" t="s">
        <v>521</v>
      </c>
      <c r="E583" s="11">
        <v>42919</v>
      </c>
      <c r="F583" s="11">
        <v>43084</v>
      </c>
      <c r="G583" s="12" t="s">
        <v>20</v>
      </c>
      <c r="H583" s="17"/>
      <c r="I583" s="28" t="s">
        <v>4</v>
      </c>
      <c r="J583" s="34"/>
      <c r="K583" s="14">
        <v>0.83</v>
      </c>
      <c r="U583" s="16"/>
    </row>
    <row r="584" spans="1:21" ht="15.75" customHeight="1">
      <c r="A584" s="8"/>
      <c r="C584" s="25" t="s">
        <v>786</v>
      </c>
      <c r="D584" s="17" t="s">
        <v>523</v>
      </c>
      <c r="E584" s="11">
        <v>42919</v>
      </c>
      <c r="F584" s="11">
        <v>43084</v>
      </c>
      <c r="G584" s="12" t="s">
        <v>20</v>
      </c>
      <c r="H584" s="17"/>
      <c r="I584" s="28" t="s">
        <v>4</v>
      </c>
      <c r="J584" s="34"/>
      <c r="K584" s="14">
        <v>0.83</v>
      </c>
      <c r="U584" s="16"/>
    </row>
    <row r="585" spans="1:21" ht="15.75" customHeight="1">
      <c r="A585" s="8"/>
      <c r="C585" s="25" t="s">
        <v>787</v>
      </c>
      <c r="D585" s="17" t="s">
        <v>525</v>
      </c>
      <c r="E585" s="11">
        <v>42919</v>
      </c>
      <c r="F585" s="11">
        <v>43084</v>
      </c>
      <c r="G585" s="12" t="s">
        <v>20</v>
      </c>
      <c r="H585" s="17"/>
      <c r="I585" s="28" t="s">
        <v>4</v>
      </c>
      <c r="J585" s="34"/>
      <c r="K585" s="14">
        <v>0.83</v>
      </c>
      <c r="U585" s="16"/>
    </row>
    <row r="586" spans="1:21" ht="15.75" customHeight="1">
      <c r="A586" s="8"/>
      <c r="C586" s="25" t="s">
        <v>788</v>
      </c>
      <c r="D586" s="17" t="s">
        <v>533</v>
      </c>
      <c r="E586" s="11">
        <v>42919</v>
      </c>
      <c r="F586" s="11">
        <v>43084</v>
      </c>
      <c r="G586" s="12" t="s">
        <v>20</v>
      </c>
      <c r="H586" s="17"/>
      <c r="I586" s="28" t="s">
        <v>4</v>
      </c>
      <c r="J586" s="34"/>
      <c r="K586" s="14">
        <v>0.83</v>
      </c>
      <c r="U586" s="16"/>
    </row>
    <row r="587" spans="1:21" ht="15.75" customHeight="1">
      <c r="A587" s="8"/>
      <c r="C587" s="25" t="s">
        <v>789</v>
      </c>
      <c r="D587" s="17" t="s">
        <v>535</v>
      </c>
      <c r="E587" s="11">
        <v>42919</v>
      </c>
      <c r="F587" s="11">
        <v>43084</v>
      </c>
      <c r="G587" s="12" t="s">
        <v>20</v>
      </c>
      <c r="H587" s="17"/>
      <c r="I587" s="28" t="s">
        <v>4</v>
      </c>
      <c r="J587" s="34"/>
      <c r="K587" s="14">
        <v>0.83</v>
      </c>
      <c r="U587" s="16"/>
    </row>
    <row r="588" spans="1:21" ht="15.75" customHeight="1">
      <c r="A588" s="8"/>
      <c r="C588" s="25" t="s">
        <v>790</v>
      </c>
      <c r="D588" s="17" t="s">
        <v>558</v>
      </c>
      <c r="E588" s="11">
        <v>42919</v>
      </c>
      <c r="F588" s="11">
        <v>43084</v>
      </c>
      <c r="G588" s="12" t="s">
        <v>20</v>
      </c>
      <c r="H588" s="17"/>
      <c r="I588" s="28" t="s">
        <v>4</v>
      </c>
      <c r="J588" s="34"/>
      <c r="K588" s="14">
        <v>0.83</v>
      </c>
      <c r="U588" s="16"/>
    </row>
    <row r="589" spans="1:21" ht="15.75" customHeight="1">
      <c r="A589" s="8"/>
      <c r="C589" s="25" t="s">
        <v>791</v>
      </c>
      <c r="D589" s="17" t="s">
        <v>792</v>
      </c>
      <c r="E589" s="11">
        <v>42919</v>
      </c>
      <c r="F589" s="11">
        <v>43084</v>
      </c>
      <c r="G589" s="12" t="s">
        <v>20</v>
      </c>
      <c r="H589" s="17"/>
      <c r="I589" s="28" t="s">
        <v>4</v>
      </c>
      <c r="J589" s="34"/>
      <c r="K589" s="14">
        <v>0.83</v>
      </c>
      <c r="U589" s="16"/>
    </row>
    <row r="590" spans="1:21" ht="15.75" customHeight="1">
      <c r="A590" s="8"/>
      <c r="C590" s="25" t="s">
        <v>793</v>
      </c>
      <c r="D590" s="17" t="s">
        <v>794</v>
      </c>
      <c r="E590" s="11">
        <v>42919</v>
      </c>
      <c r="F590" s="11">
        <v>43084</v>
      </c>
      <c r="G590" s="12" t="s">
        <v>20</v>
      </c>
      <c r="H590" s="17"/>
      <c r="I590" s="28" t="s">
        <v>4</v>
      </c>
      <c r="J590" s="34"/>
      <c r="K590" s="14">
        <v>0.83</v>
      </c>
      <c r="U590" s="16"/>
    </row>
    <row r="591" spans="1:21" ht="15.75" customHeight="1">
      <c r="A591" s="8"/>
      <c r="C591" s="25" t="s">
        <v>795</v>
      </c>
      <c r="D591" s="17" t="s">
        <v>796</v>
      </c>
      <c r="E591" s="11">
        <v>42919</v>
      </c>
      <c r="F591" s="11">
        <v>43084</v>
      </c>
      <c r="G591" s="12" t="s">
        <v>20</v>
      </c>
      <c r="H591" s="17"/>
      <c r="I591" s="28" t="s">
        <v>4</v>
      </c>
      <c r="J591" s="34"/>
      <c r="K591" s="14">
        <v>0.83</v>
      </c>
      <c r="U591" s="16"/>
    </row>
    <row r="592" spans="1:21" ht="15.75" customHeight="1">
      <c r="A592" s="8"/>
      <c r="C592" s="25" t="s">
        <v>797</v>
      </c>
      <c r="D592" s="17" t="s">
        <v>581</v>
      </c>
      <c r="E592" s="11">
        <v>42919</v>
      </c>
      <c r="F592" s="11">
        <v>43084</v>
      </c>
      <c r="G592" s="12" t="s">
        <v>20</v>
      </c>
      <c r="H592" s="17"/>
      <c r="I592" s="28" t="s">
        <v>4</v>
      </c>
      <c r="J592" s="34"/>
      <c r="K592" s="14">
        <v>0.83</v>
      </c>
      <c r="U592" s="16"/>
    </row>
    <row r="593" spans="1:21" ht="15.75" customHeight="1">
      <c r="A593" s="8"/>
      <c r="C593" s="25" t="s">
        <v>798</v>
      </c>
      <c r="D593" s="17" t="s">
        <v>799</v>
      </c>
      <c r="E593" s="11">
        <v>42919</v>
      </c>
      <c r="F593" s="11">
        <v>43084</v>
      </c>
      <c r="G593" s="12" t="s">
        <v>20</v>
      </c>
      <c r="H593" s="17"/>
      <c r="I593" s="28" t="s">
        <v>4</v>
      </c>
      <c r="J593" s="34"/>
      <c r="K593" s="14">
        <v>0.83</v>
      </c>
      <c r="U593" s="16"/>
    </row>
    <row r="594" spans="1:21" ht="15.75" customHeight="1">
      <c r="A594" s="8"/>
      <c r="C594" s="25" t="s">
        <v>800</v>
      </c>
      <c r="D594" s="17" t="s">
        <v>801</v>
      </c>
      <c r="E594" s="11">
        <v>42919</v>
      </c>
      <c r="F594" s="11">
        <v>43084</v>
      </c>
      <c r="G594" s="12" t="s">
        <v>20</v>
      </c>
      <c r="H594" s="17"/>
      <c r="I594" s="28" t="s">
        <v>4</v>
      </c>
      <c r="J594" s="34"/>
      <c r="K594" s="14">
        <v>0.83</v>
      </c>
      <c r="U594" s="16"/>
    </row>
    <row r="595" spans="1:21" ht="15.75" customHeight="1">
      <c r="A595" s="8"/>
      <c r="C595" s="26" t="s">
        <v>802</v>
      </c>
      <c r="D595" s="27" t="s">
        <v>803</v>
      </c>
      <c r="E595" s="11">
        <v>42919</v>
      </c>
      <c r="F595" s="11">
        <v>43084</v>
      </c>
      <c r="G595" s="12" t="s">
        <v>20</v>
      </c>
      <c r="H595" s="35"/>
      <c r="I595" s="28" t="s">
        <v>4</v>
      </c>
      <c r="J595" s="34"/>
      <c r="K595" s="14">
        <v>0.83</v>
      </c>
      <c r="U595" s="16"/>
    </row>
    <row r="596" spans="1:21" ht="15.75" customHeight="1">
      <c r="A596" s="8"/>
      <c r="C596" s="25" t="s">
        <v>804</v>
      </c>
      <c r="D596" s="17" t="s">
        <v>805</v>
      </c>
      <c r="E596" s="11">
        <v>42919</v>
      </c>
      <c r="F596" s="11">
        <v>43084</v>
      </c>
      <c r="G596" s="12" t="s">
        <v>20</v>
      </c>
      <c r="H596" s="17"/>
      <c r="I596" s="28" t="s">
        <v>4</v>
      </c>
      <c r="J596" s="34"/>
      <c r="K596" s="14">
        <v>0.83</v>
      </c>
      <c r="U596" s="16"/>
    </row>
    <row r="597" spans="1:21" ht="15.75" customHeight="1">
      <c r="A597" s="8"/>
      <c r="C597" s="25" t="s">
        <v>806</v>
      </c>
      <c r="D597" s="17" t="s">
        <v>807</v>
      </c>
      <c r="E597" s="11">
        <v>42919</v>
      </c>
      <c r="F597" s="11">
        <v>43084</v>
      </c>
      <c r="G597" s="12" t="s">
        <v>20</v>
      </c>
      <c r="H597" s="17"/>
      <c r="I597" s="28" t="s">
        <v>4</v>
      </c>
      <c r="J597" s="34"/>
      <c r="K597" s="14">
        <v>0.83</v>
      </c>
      <c r="U597" s="16"/>
    </row>
    <row r="598" spans="1:21" ht="15.75" customHeight="1">
      <c r="A598" s="8"/>
      <c r="C598" s="25" t="s">
        <v>808</v>
      </c>
      <c r="D598" s="17" t="s">
        <v>809</v>
      </c>
      <c r="E598" s="11">
        <v>42919</v>
      </c>
      <c r="F598" s="11">
        <v>43084</v>
      </c>
      <c r="G598" s="12" t="s">
        <v>20</v>
      </c>
      <c r="H598" s="17"/>
      <c r="I598" s="28" t="s">
        <v>4</v>
      </c>
      <c r="J598" s="34"/>
      <c r="K598" s="14">
        <v>0.83</v>
      </c>
      <c r="U598" s="16"/>
    </row>
    <row r="599" spans="1:21" ht="15.75" customHeight="1">
      <c r="A599" s="8"/>
      <c r="C599" s="25" t="s">
        <v>810</v>
      </c>
      <c r="D599" s="17" t="s">
        <v>811</v>
      </c>
      <c r="E599" s="11">
        <v>42919</v>
      </c>
      <c r="F599" s="11">
        <v>43084</v>
      </c>
      <c r="G599" s="12" t="s">
        <v>20</v>
      </c>
      <c r="H599" s="17"/>
      <c r="I599" s="28" t="s">
        <v>4</v>
      </c>
      <c r="J599" s="34"/>
      <c r="K599" s="14">
        <v>0.83</v>
      </c>
      <c r="U599" s="16"/>
    </row>
    <row r="600" spans="1:21" ht="15.75" customHeight="1">
      <c r="A600" s="8"/>
      <c r="C600" s="30"/>
      <c r="D600" s="20"/>
      <c r="E600" s="20"/>
      <c r="F600" s="20"/>
      <c r="G600" s="20"/>
      <c r="H600" s="55" t="s">
        <v>42</v>
      </c>
      <c r="I600" s="56"/>
      <c r="J600" s="57"/>
      <c r="K600" s="19">
        <f>AVERAGE(K573:K599)</f>
        <v>0.82999999999999952</v>
      </c>
      <c r="U600" s="16"/>
    </row>
    <row r="601" spans="1:21" ht="15.75" customHeight="1">
      <c r="A601" s="8"/>
      <c r="C601" s="30"/>
      <c r="U601" s="16"/>
    </row>
    <row r="602" spans="1:21" ht="15.75" customHeight="1">
      <c r="A602" s="62">
        <v>40</v>
      </c>
      <c r="B602" s="58" t="s">
        <v>812</v>
      </c>
      <c r="C602" s="47"/>
      <c r="D602" s="48"/>
      <c r="E602" s="64" t="s">
        <v>6</v>
      </c>
      <c r="F602" s="65"/>
      <c r="G602" s="64" t="s">
        <v>7</v>
      </c>
      <c r="H602" s="65"/>
      <c r="I602" s="64" t="s">
        <v>8</v>
      </c>
      <c r="J602" s="66"/>
      <c r="K602" s="65"/>
      <c r="U602" s="16"/>
    </row>
    <row r="603" spans="1:21" ht="15.75" customHeight="1">
      <c r="A603" s="63"/>
      <c r="B603" s="49"/>
      <c r="C603" s="50"/>
      <c r="D603" s="51"/>
      <c r="E603" s="6" t="s">
        <v>10</v>
      </c>
      <c r="F603" s="6" t="s">
        <v>11</v>
      </c>
      <c r="G603" s="7" t="s">
        <v>12</v>
      </c>
      <c r="H603" s="7" t="s">
        <v>13</v>
      </c>
      <c r="I603" s="7" t="s">
        <v>14</v>
      </c>
      <c r="J603" s="7" t="s">
        <v>15</v>
      </c>
      <c r="K603" s="7" t="s">
        <v>16</v>
      </c>
      <c r="U603" s="16"/>
    </row>
    <row r="604" spans="1:21" ht="15.75" customHeight="1">
      <c r="A604" s="8"/>
      <c r="C604" s="9" t="s">
        <v>813</v>
      </c>
      <c r="D604" s="10" t="s">
        <v>814</v>
      </c>
      <c r="E604" s="11">
        <v>42919</v>
      </c>
      <c r="F604" s="11">
        <v>43084</v>
      </c>
      <c r="G604" s="12" t="s">
        <v>20</v>
      </c>
      <c r="H604" s="10"/>
      <c r="I604" s="28" t="s">
        <v>17</v>
      </c>
      <c r="J604" s="34"/>
      <c r="K604" s="14">
        <v>0</v>
      </c>
      <c r="U604" s="16"/>
    </row>
    <row r="605" spans="1:21" ht="15.75" customHeight="1">
      <c r="A605" s="8"/>
      <c r="C605" s="25" t="s">
        <v>815</v>
      </c>
      <c r="D605" s="17" t="s">
        <v>115</v>
      </c>
      <c r="E605" s="11">
        <v>42919</v>
      </c>
      <c r="F605" s="11">
        <v>43084</v>
      </c>
      <c r="G605" s="12" t="s">
        <v>20</v>
      </c>
      <c r="H605" s="17"/>
      <c r="I605" s="28" t="s">
        <v>17</v>
      </c>
      <c r="J605" s="34"/>
      <c r="K605" s="14">
        <v>0</v>
      </c>
      <c r="U605" s="16"/>
    </row>
    <row r="606" spans="1:21" ht="15.75" customHeight="1">
      <c r="A606" s="8"/>
      <c r="C606" s="25" t="s">
        <v>816</v>
      </c>
      <c r="D606" s="17" t="s">
        <v>117</v>
      </c>
      <c r="E606" s="11">
        <v>42919</v>
      </c>
      <c r="F606" s="11">
        <v>43084</v>
      </c>
      <c r="G606" s="12" t="s">
        <v>20</v>
      </c>
      <c r="H606" s="17"/>
      <c r="I606" s="28" t="s">
        <v>17</v>
      </c>
      <c r="J606" s="34"/>
      <c r="K606" s="14">
        <v>0</v>
      </c>
      <c r="U606" s="16"/>
    </row>
    <row r="607" spans="1:21" ht="15.75" customHeight="1">
      <c r="A607" s="8"/>
      <c r="C607" s="25" t="s">
        <v>817</v>
      </c>
      <c r="D607" s="17" t="s">
        <v>818</v>
      </c>
      <c r="E607" s="11">
        <v>42919</v>
      </c>
      <c r="F607" s="11">
        <v>43084</v>
      </c>
      <c r="G607" s="12" t="s">
        <v>20</v>
      </c>
      <c r="H607" s="17"/>
      <c r="I607" s="28" t="s">
        <v>17</v>
      </c>
      <c r="J607" s="34"/>
      <c r="K607" s="14">
        <v>0</v>
      </c>
      <c r="U607" s="16"/>
    </row>
    <row r="608" spans="1:21" ht="15.75" customHeight="1">
      <c r="A608" s="8"/>
      <c r="C608" s="25" t="s">
        <v>819</v>
      </c>
      <c r="D608" s="17" t="s">
        <v>820</v>
      </c>
      <c r="E608" s="11">
        <v>42919</v>
      </c>
      <c r="F608" s="11">
        <v>43084</v>
      </c>
      <c r="G608" s="12" t="s">
        <v>20</v>
      </c>
      <c r="H608" s="17"/>
      <c r="I608" s="28" t="s">
        <v>17</v>
      </c>
      <c r="J608" s="34"/>
      <c r="K608" s="14">
        <v>0</v>
      </c>
      <c r="U608" s="16"/>
    </row>
    <row r="609" spans="1:21" ht="15.75" customHeight="1">
      <c r="A609" s="8"/>
      <c r="C609" s="25" t="s">
        <v>821</v>
      </c>
      <c r="D609" s="17" t="s">
        <v>794</v>
      </c>
      <c r="E609" s="11">
        <v>42919</v>
      </c>
      <c r="F609" s="11">
        <v>43084</v>
      </c>
      <c r="G609" s="12" t="s">
        <v>20</v>
      </c>
      <c r="H609" s="17"/>
      <c r="I609" s="28" t="s">
        <v>17</v>
      </c>
      <c r="J609" s="34"/>
      <c r="K609" s="14">
        <v>0</v>
      </c>
      <c r="U609" s="16"/>
    </row>
    <row r="610" spans="1:21" ht="15.75" customHeight="1">
      <c r="A610" s="8"/>
      <c r="C610" s="25" t="s">
        <v>822</v>
      </c>
      <c r="D610" s="17" t="s">
        <v>796</v>
      </c>
      <c r="E610" s="11">
        <v>42919</v>
      </c>
      <c r="F610" s="11">
        <v>43084</v>
      </c>
      <c r="G610" s="12" t="s">
        <v>20</v>
      </c>
      <c r="H610" s="17"/>
      <c r="I610" s="28" t="s">
        <v>17</v>
      </c>
      <c r="J610" s="34"/>
      <c r="K610" s="14">
        <v>0</v>
      </c>
      <c r="U610" s="16"/>
    </row>
    <row r="611" spans="1:21" ht="15.75" customHeight="1">
      <c r="A611" s="8"/>
      <c r="C611" s="25" t="s">
        <v>823</v>
      </c>
      <c r="D611" s="17" t="s">
        <v>581</v>
      </c>
      <c r="E611" s="11">
        <v>42919</v>
      </c>
      <c r="F611" s="11">
        <v>43084</v>
      </c>
      <c r="G611" s="12" t="s">
        <v>20</v>
      </c>
      <c r="H611" s="17"/>
      <c r="I611" s="28" t="s">
        <v>17</v>
      </c>
      <c r="J611" s="34"/>
      <c r="K611" s="14">
        <v>0</v>
      </c>
      <c r="U611" s="16"/>
    </row>
    <row r="612" spans="1:21" ht="15.75" customHeight="1">
      <c r="A612" s="8"/>
      <c r="C612" s="25" t="s">
        <v>824</v>
      </c>
      <c r="D612" s="17" t="s">
        <v>825</v>
      </c>
      <c r="E612" s="11">
        <v>42919</v>
      </c>
      <c r="F612" s="11">
        <v>43084</v>
      </c>
      <c r="G612" s="12" t="s">
        <v>20</v>
      </c>
      <c r="H612" s="17"/>
      <c r="I612" s="28" t="s">
        <v>17</v>
      </c>
      <c r="J612" s="34"/>
      <c r="K612" s="14">
        <v>0</v>
      </c>
      <c r="U612" s="16"/>
    </row>
    <row r="613" spans="1:21" ht="15.75" customHeight="1">
      <c r="A613" s="8"/>
      <c r="C613" s="25" t="s">
        <v>826</v>
      </c>
      <c r="D613" s="17" t="s">
        <v>807</v>
      </c>
      <c r="E613" s="11">
        <v>42919</v>
      </c>
      <c r="F613" s="11">
        <v>43084</v>
      </c>
      <c r="G613" s="12" t="s">
        <v>20</v>
      </c>
      <c r="H613" s="17"/>
      <c r="I613" s="28" t="s">
        <v>17</v>
      </c>
      <c r="J613" s="34"/>
      <c r="K613" s="14">
        <v>0</v>
      </c>
      <c r="U613" s="16"/>
    </row>
    <row r="614" spans="1:21" ht="15.75" customHeight="1">
      <c r="A614" s="8"/>
      <c r="C614" s="25" t="s">
        <v>827</v>
      </c>
      <c r="D614" s="17" t="s">
        <v>809</v>
      </c>
      <c r="E614" s="11">
        <v>42919</v>
      </c>
      <c r="F614" s="11">
        <v>43084</v>
      </c>
      <c r="G614" s="12" t="s">
        <v>20</v>
      </c>
      <c r="H614" s="17"/>
      <c r="I614" s="28" t="s">
        <v>17</v>
      </c>
      <c r="J614" s="34"/>
      <c r="K614" s="14">
        <v>0</v>
      </c>
      <c r="U614" s="16"/>
    </row>
    <row r="615" spans="1:21" ht="15.75" customHeight="1">
      <c r="A615" s="8"/>
      <c r="C615" s="25" t="s">
        <v>828</v>
      </c>
      <c r="D615" s="17" t="s">
        <v>811</v>
      </c>
      <c r="E615" s="11">
        <v>42919</v>
      </c>
      <c r="F615" s="11">
        <v>43084</v>
      </c>
      <c r="G615" s="12" t="s">
        <v>20</v>
      </c>
      <c r="H615" s="17"/>
      <c r="I615" s="28" t="s">
        <v>17</v>
      </c>
      <c r="J615" s="34"/>
      <c r="K615" s="14">
        <v>0</v>
      </c>
      <c r="U615" s="16"/>
    </row>
    <row r="616" spans="1:21" ht="15.75" customHeight="1">
      <c r="A616" s="8"/>
      <c r="C616" s="30"/>
      <c r="D616" s="20"/>
      <c r="E616" s="20"/>
      <c r="F616" s="20"/>
      <c r="G616" s="20"/>
      <c r="H616" s="55" t="s">
        <v>42</v>
      </c>
      <c r="I616" s="56"/>
      <c r="J616" s="57"/>
      <c r="K616" s="19">
        <f>AVERAGE(K604:K615)</f>
        <v>0</v>
      </c>
      <c r="U616" s="16"/>
    </row>
    <row r="617" spans="1:21" ht="15.75" customHeight="1">
      <c r="A617" s="8"/>
      <c r="C617" s="30"/>
      <c r="U617" s="16"/>
    </row>
    <row r="618" spans="1:21" ht="15.75" customHeight="1">
      <c r="A618" s="62">
        <v>41</v>
      </c>
      <c r="B618" s="46" t="s">
        <v>829</v>
      </c>
      <c r="C618" s="47"/>
      <c r="D618" s="48"/>
      <c r="E618" s="64" t="s">
        <v>6</v>
      </c>
      <c r="F618" s="65"/>
      <c r="G618" s="64" t="s">
        <v>7</v>
      </c>
      <c r="H618" s="65"/>
      <c r="I618" s="64" t="s">
        <v>8</v>
      </c>
      <c r="J618" s="66"/>
      <c r="K618" s="65"/>
      <c r="U618" s="16"/>
    </row>
    <row r="619" spans="1:21" ht="15.75" customHeight="1">
      <c r="A619" s="63"/>
      <c r="B619" s="49"/>
      <c r="C619" s="50"/>
      <c r="D619" s="51"/>
      <c r="E619" s="6" t="s">
        <v>10</v>
      </c>
      <c r="F619" s="6" t="s">
        <v>11</v>
      </c>
      <c r="G619" s="7" t="s">
        <v>12</v>
      </c>
      <c r="H619" s="7" t="s">
        <v>13</v>
      </c>
      <c r="I619" s="7" t="s">
        <v>14</v>
      </c>
      <c r="J619" s="7" t="s">
        <v>15</v>
      </c>
      <c r="K619" s="7" t="s">
        <v>16</v>
      </c>
      <c r="U619" s="16"/>
    </row>
    <row r="620" spans="1:21" ht="15.75" customHeight="1">
      <c r="A620" s="8"/>
      <c r="C620" s="9" t="s">
        <v>830</v>
      </c>
      <c r="D620" s="10" t="s">
        <v>831</v>
      </c>
      <c r="E620" s="11">
        <v>42919</v>
      </c>
      <c r="F620" s="11">
        <v>43084</v>
      </c>
      <c r="G620" s="12" t="s">
        <v>20</v>
      </c>
      <c r="H620" s="10"/>
      <c r="I620" s="28" t="s">
        <v>17</v>
      </c>
      <c r="J620" s="34"/>
      <c r="K620" s="14">
        <v>0</v>
      </c>
      <c r="U620" s="16"/>
    </row>
    <row r="621" spans="1:21" ht="15.75" customHeight="1">
      <c r="A621" s="8"/>
      <c r="C621" s="25" t="s">
        <v>832</v>
      </c>
      <c r="D621" s="17" t="s">
        <v>115</v>
      </c>
      <c r="E621" s="11">
        <v>42919</v>
      </c>
      <c r="F621" s="11">
        <v>43084</v>
      </c>
      <c r="G621" s="12" t="s">
        <v>20</v>
      </c>
      <c r="H621" s="17"/>
      <c r="I621" s="28" t="s">
        <v>17</v>
      </c>
      <c r="J621" s="34"/>
      <c r="K621" s="14">
        <v>0</v>
      </c>
      <c r="U621" s="16"/>
    </row>
    <row r="622" spans="1:21" ht="15.75" customHeight="1">
      <c r="A622" s="8"/>
      <c r="C622" s="25" t="s">
        <v>833</v>
      </c>
      <c r="D622" s="17" t="s">
        <v>117</v>
      </c>
      <c r="E622" s="11">
        <v>42919</v>
      </c>
      <c r="F622" s="11">
        <v>43084</v>
      </c>
      <c r="G622" s="12" t="s">
        <v>20</v>
      </c>
      <c r="H622" s="17"/>
      <c r="I622" s="28" t="s">
        <v>17</v>
      </c>
      <c r="J622" s="34"/>
      <c r="K622" s="14">
        <v>0</v>
      </c>
      <c r="U622" s="16"/>
    </row>
    <row r="623" spans="1:21" ht="15.75" customHeight="1">
      <c r="A623" s="8"/>
      <c r="C623" s="25" t="s">
        <v>834</v>
      </c>
      <c r="D623" s="17" t="s">
        <v>835</v>
      </c>
      <c r="E623" s="11">
        <v>42919</v>
      </c>
      <c r="F623" s="11">
        <v>43084</v>
      </c>
      <c r="G623" s="12" t="s">
        <v>20</v>
      </c>
      <c r="H623" s="17"/>
      <c r="I623" s="28" t="s">
        <v>17</v>
      </c>
      <c r="J623" s="34"/>
      <c r="K623" s="14">
        <v>0</v>
      </c>
      <c r="U623" s="16"/>
    </row>
    <row r="624" spans="1:21" ht="15.75" customHeight="1">
      <c r="A624" s="8"/>
      <c r="C624" s="25" t="s">
        <v>836</v>
      </c>
      <c r="D624" s="17" t="s">
        <v>837</v>
      </c>
      <c r="E624" s="11">
        <v>42919</v>
      </c>
      <c r="F624" s="11">
        <v>43084</v>
      </c>
      <c r="G624" s="12" t="s">
        <v>20</v>
      </c>
      <c r="H624" s="17"/>
      <c r="I624" s="28" t="s">
        <v>17</v>
      </c>
      <c r="J624" s="34"/>
      <c r="K624" s="14">
        <v>0</v>
      </c>
      <c r="U624" s="16"/>
    </row>
    <row r="625" spans="1:21" ht="15.75" customHeight="1">
      <c r="A625" s="8"/>
      <c r="C625" s="25" t="s">
        <v>838</v>
      </c>
      <c r="D625" s="17" t="s">
        <v>839</v>
      </c>
      <c r="E625" s="11">
        <v>42919</v>
      </c>
      <c r="F625" s="11">
        <v>43084</v>
      </c>
      <c r="G625" s="12" t="s">
        <v>20</v>
      </c>
      <c r="H625" s="17"/>
      <c r="I625" s="28" t="s">
        <v>17</v>
      </c>
      <c r="J625" s="34"/>
      <c r="K625" s="14">
        <v>0</v>
      </c>
      <c r="U625" s="16"/>
    </row>
    <row r="626" spans="1:21" ht="15.75" customHeight="1">
      <c r="A626" s="8"/>
      <c r="C626" s="25" t="s">
        <v>840</v>
      </c>
      <c r="D626" s="17" t="s">
        <v>841</v>
      </c>
      <c r="E626" s="11">
        <v>42919</v>
      </c>
      <c r="F626" s="11">
        <v>43084</v>
      </c>
      <c r="G626" s="12" t="s">
        <v>20</v>
      </c>
      <c r="H626" s="17"/>
      <c r="I626" s="28" t="s">
        <v>17</v>
      </c>
      <c r="J626" s="34"/>
      <c r="K626" s="14">
        <v>0</v>
      </c>
      <c r="U626" s="16"/>
    </row>
    <row r="627" spans="1:21" ht="15.75" customHeight="1">
      <c r="A627" s="8"/>
      <c r="C627" s="25" t="s">
        <v>842</v>
      </c>
      <c r="D627" s="17" t="s">
        <v>354</v>
      </c>
      <c r="E627" s="11">
        <v>42919</v>
      </c>
      <c r="F627" s="11">
        <v>43084</v>
      </c>
      <c r="G627" s="12" t="s">
        <v>20</v>
      </c>
      <c r="H627" s="17"/>
      <c r="I627" s="28" t="s">
        <v>17</v>
      </c>
      <c r="J627" s="34"/>
      <c r="K627" s="14">
        <v>0</v>
      </c>
      <c r="U627" s="16"/>
    </row>
    <row r="628" spans="1:21" ht="15.75" customHeight="1">
      <c r="A628" s="8"/>
      <c r="C628" s="26" t="s">
        <v>843</v>
      </c>
      <c r="D628" s="27" t="s">
        <v>844</v>
      </c>
      <c r="E628" s="11">
        <v>42919</v>
      </c>
      <c r="F628" s="11">
        <v>43084</v>
      </c>
      <c r="G628" s="12" t="s">
        <v>20</v>
      </c>
      <c r="H628" s="35"/>
      <c r="I628" s="28" t="s">
        <v>17</v>
      </c>
      <c r="J628" s="34"/>
      <c r="K628" s="14">
        <v>0</v>
      </c>
      <c r="U628" s="16"/>
    </row>
    <row r="629" spans="1:21" ht="15.75" customHeight="1">
      <c r="A629" s="8"/>
      <c r="C629" s="25" t="s">
        <v>845</v>
      </c>
      <c r="D629" s="17" t="s">
        <v>846</v>
      </c>
      <c r="E629" s="11">
        <v>42919</v>
      </c>
      <c r="F629" s="11">
        <v>43084</v>
      </c>
      <c r="G629" s="12" t="s">
        <v>20</v>
      </c>
      <c r="H629" s="17"/>
      <c r="I629" s="28" t="s">
        <v>17</v>
      </c>
      <c r="J629" s="34"/>
      <c r="K629" s="14">
        <v>0</v>
      </c>
      <c r="U629" s="16"/>
    </row>
    <row r="630" spans="1:21" ht="15.75" customHeight="1">
      <c r="A630" s="8"/>
      <c r="C630" s="25" t="s">
        <v>847</v>
      </c>
      <c r="D630" s="17" t="s">
        <v>756</v>
      </c>
      <c r="E630" s="11">
        <v>42919</v>
      </c>
      <c r="F630" s="11">
        <v>43084</v>
      </c>
      <c r="G630" s="12" t="s">
        <v>20</v>
      </c>
      <c r="H630" s="17"/>
      <c r="I630" s="28" t="s">
        <v>17</v>
      </c>
      <c r="J630" s="34"/>
      <c r="K630" s="14">
        <v>0</v>
      </c>
      <c r="U630" s="16"/>
    </row>
    <row r="631" spans="1:21" ht="15.75" customHeight="1">
      <c r="A631" s="8"/>
      <c r="C631" s="25" t="s">
        <v>848</v>
      </c>
      <c r="D631" s="17" t="s">
        <v>366</v>
      </c>
      <c r="E631" s="11">
        <v>42919</v>
      </c>
      <c r="F631" s="11">
        <v>43084</v>
      </c>
      <c r="G631" s="12" t="s">
        <v>20</v>
      </c>
      <c r="H631" s="17"/>
      <c r="I631" s="28" t="s">
        <v>17</v>
      </c>
      <c r="J631" s="34"/>
      <c r="K631" s="14">
        <v>0</v>
      </c>
      <c r="U631" s="16"/>
    </row>
    <row r="632" spans="1:21" ht="15.75" customHeight="1">
      <c r="A632" s="8"/>
      <c r="C632" s="25" t="s">
        <v>849</v>
      </c>
      <c r="D632" s="17" t="s">
        <v>759</v>
      </c>
      <c r="E632" s="11">
        <v>42919</v>
      </c>
      <c r="F632" s="11">
        <v>43084</v>
      </c>
      <c r="G632" s="12" t="s">
        <v>20</v>
      </c>
      <c r="H632" s="17"/>
      <c r="I632" s="28" t="s">
        <v>17</v>
      </c>
      <c r="J632" s="34"/>
      <c r="K632" s="14">
        <v>0</v>
      </c>
      <c r="U632" s="16"/>
    </row>
    <row r="633" spans="1:21" ht="15.75" customHeight="1">
      <c r="A633" s="8"/>
      <c r="C633" s="25" t="s">
        <v>850</v>
      </c>
      <c r="D633" s="17" t="s">
        <v>348</v>
      </c>
      <c r="E633" s="11">
        <v>42919</v>
      </c>
      <c r="F633" s="11">
        <v>43084</v>
      </c>
      <c r="G633" s="12" t="s">
        <v>20</v>
      </c>
      <c r="H633" s="17"/>
      <c r="I633" s="28" t="s">
        <v>17</v>
      </c>
      <c r="J633" s="34"/>
      <c r="K633" s="14">
        <v>0</v>
      </c>
      <c r="U633" s="16"/>
    </row>
    <row r="634" spans="1:21" ht="15.75" customHeight="1">
      <c r="A634" s="8"/>
      <c r="C634" s="25" t="s">
        <v>851</v>
      </c>
      <c r="D634" s="17" t="s">
        <v>767</v>
      </c>
      <c r="E634" s="11">
        <v>42919</v>
      </c>
      <c r="F634" s="11">
        <v>43084</v>
      </c>
      <c r="G634" s="12" t="s">
        <v>20</v>
      </c>
      <c r="H634" s="17"/>
      <c r="I634" s="28" t="s">
        <v>17</v>
      </c>
      <c r="J634" s="34"/>
      <c r="K634" s="14">
        <v>0</v>
      </c>
      <c r="U634" s="16"/>
    </row>
    <row r="635" spans="1:21" ht="15.75" customHeight="1">
      <c r="A635" s="8"/>
      <c r="C635" s="26" t="s">
        <v>852</v>
      </c>
      <c r="D635" s="27" t="s">
        <v>769</v>
      </c>
      <c r="E635" s="11">
        <v>42919</v>
      </c>
      <c r="F635" s="11">
        <v>43084</v>
      </c>
      <c r="G635" s="12" t="s">
        <v>20</v>
      </c>
      <c r="H635" s="35"/>
      <c r="I635" s="28" t="s">
        <v>17</v>
      </c>
      <c r="J635" s="34"/>
      <c r="K635" s="14">
        <v>0</v>
      </c>
      <c r="U635" s="16"/>
    </row>
    <row r="636" spans="1:21" ht="15.75" customHeight="1">
      <c r="A636" s="8"/>
      <c r="C636" s="26" t="s">
        <v>853</v>
      </c>
      <c r="D636" s="27" t="s">
        <v>771</v>
      </c>
      <c r="E636" s="11">
        <v>42919</v>
      </c>
      <c r="F636" s="11">
        <v>43084</v>
      </c>
      <c r="G636" s="12" t="s">
        <v>20</v>
      </c>
      <c r="H636" s="35"/>
      <c r="I636" s="28" t="s">
        <v>17</v>
      </c>
      <c r="J636" s="34"/>
      <c r="K636" s="14">
        <v>0</v>
      </c>
      <c r="U636" s="16"/>
    </row>
    <row r="637" spans="1:21" ht="15.75" customHeight="1">
      <c r="A637" s="8"/>
      <c r="C637" s="36"/>
      <c r="D637" s="37"/>
      <c r="E637" s="38"/>
      <c r="F637" s="38"/>
      <c r="G637" s="38"/>
      <c r="H637" s="55" t="s">
        <v>42</v>
      </c>
      <c r="I637" s="56"/>
      <c r="J637" s="57"/>
      <c r="K637" s="19">
        <f>AVERAGE(K620:K636)</f>
        <v>0</v>
      </c>
      <c r="U637" s="16"/>
    </row>
    <row r="638" spans="1:21" ht="15.75" customHeight="1">
      <c r="A638" s="8"/>
      <c r="C638" s="30"/>
      <c r="U638" s="16"/>
    </row>
    <row r="639" spans="1:21" ht="15.75" customHeight="1">
      <c r="A639" s="62">
        <v>42</v>
      </c>
      <c r="B639" s="46" t="s">
        <v>854</v>
      </c>
      <c r="C639" s="47"/>
      <c r="D639" s="48"/>
      <c r="E639" s="64" t="s">
        <v>6</v>
      </c>
      <c r="F639" s="65"/>
      <c r="G639" s="64" t="s">
        <v>7</v>
      </c>
      <c r="H639" s="65"/>
      <c r="I639" s="64" t="s">
        <v>8</v>
      </c>
      <c r="J639" s="66"/>
      <c r="K639" s="65"/>
      <c r="U639" s="16"/>
    </row>
    <row r="640" spans="1:21" ht="15.75" customHeight="1">
      <c r="A640" s="63"/>
      <c r="B640" s="49"/>
      <c r="C640" s="50"/>
      <c r="D640" s="51"/>
      <c r="E640" s="6" t="s">
        <v>10</v>
      </c>
      <c r="F640" s="6" t="s">
        <v>11</v>
      </c>
      <c r="G640" s="7" t="s">
        <v>12</v>
      </c>
      <c r="H640" s="7" t="s">
        <v>13</v>
      </c>
      <c r="I640" s="7" t="s">
        <v>14</v>
      </c>
      <c r="J640" s="7" t="s">
        <v>15</v>
      </c>
      <c r="K640" s="7" t="s">
        <v>16</v>
      </c>
      <c r="U640" s="16"/>
    </row>
    <row r="641" spans="1:21" ht="15.75" customHeight="1">
      <c r="A641" s="8"/>
      <c r="C641" s="9" t="s">
        <v>855</v>
      </c>
      <c r="D641" s="10" t="s">
        <v>856</v>
      </c>
      <c r="E641" s="11">
        <v>42919</v>
      </c>
      <c r="F641" s="11">
        <v>43084</v>
      </c>
      <c r="G641" s="12" t="s">
        <v>20</v>
      </c>
      <c r="H641" s="10"/>
      <c r="I641" s="28" t="s">
        <v>17</v>
      </c>
      <c r="J641" s="34"/>
      <c r="K641" s="14">
        <v>0</v>
      </c>
      <c r="U641" s="16"/>
    </row>
    <row r="642" spans="1:21" ht="15.75" customHeight="1">
      <c r="A642" s="8"/>
      <c r="C642" s="25" t="s">
        <v>857</v>
      </c>
      <c r="D642" s="17" t="s">
        <v>115</v>
      </c>
      <c r="E642" s="11">
        <v>42919</v>
      </c>
      <c r="F642" s="11">
        <v>43084</v>
      </c>
      <c r="G642" s="12" t="s">
        <v>20</v>
      </c>
      <c r="H642" s="17"/>
      <c r="I642" s="28" t="s">
        <v>17</v>
      </c>
      <c r="J642" s="34"/>
      <c r="K642" s="14">
        <v>0</v>
      </c>
      <c r="U642" s="16"/>
    </row>
    <row r="643" spans="1:21" ht="15.75" customHeight="1">
      <c r="A643" s="8"/>
      <c r="C643" s="25" t="s">
        <v>858</v>
      </c>
      <c r="D643" s="17" t="s">
        <v>117</v>
      </c>
      <c r="E643" s="11">
        <v>42919</v>
      </c>
      <c r="F643" s="11">
        <v>43084</v>
      </c>
      <c r="G643" s="12" t="s">
        <v>20</v>
      </c>
      <c r="H643" s="17"/>
      <c r="I643" s="28" t="s">
        <v>17</v>
      </c>
      <c r="J643" s="34"/>
      <c r="K643" s="14">
        <v>0</v>
      </c>
      <c r="U643" s="16"/>
    </row>
    <row r="644" spans="1:21" ht="15.75" customHeight="1">
      <c r="A644" s="8"/>
      <c r="C644" s="25" t="s">
        <v>859</v>
      </c>
      <c r="D644" s="17" t="s">
        <v>860</v>
      </c>
      <c r="E644" s="11">
        <v>42919</v>
      </c>
      <c r="F644" s="11">
        <v>43084</v>
      </c>
      <c r="G644" s="12" t="s">
        <v>20</v>
      </c>
      <c r="H644" s="17"/>
      <c r="I644" s="28" t="s">
        <v>17</v>
      </c>
      <c r="J644" s="34"/>
      <c r="K644" s="14">
        <v>0</v>
      </c>
      <c r="U644" s="16"/>
    </row>
    <row r="645" spans="1:21" ht="15.75" customHeight="1">
      <c r="A645" s="8"/>
      <c r="C645" s="25" t="s">
        <v>861</v>
      </c>
      <c r="D645" s="17" t="s">
        <v>862</v>
      </c>
      <c r="E645" s="11">
        <v>42919</v>
      </c>
      <c r="F645" s="11">
        <v>43084</v>
      </c>
      <c r="G645" s="12" t="s">
        <v>20</v>
      </c>
      <c r="H645" s="17"/>
      <c r="I645" s="28" t="s">
        <v>17</v>
      </c>
      <c r="J645" s="34"/>
      <c r="K645" s="14">
        <v>0</v>
      </c>
      <c r="U645" s="16"/>
    </row>
    <row r="646" spans="1:21" ht="15.75" customHeight="1">
      <c r="A646" s="8"/>
      <c r="C646" s="25" t="s">
        <v>863</v>
      </c>
      <c r="D646" s="17" t="s">
        <v>864</v>
      </c>
      <c r="E646" s="11">
        <v>42919</v>
      </c>
      <c r="F646" s="11">
        <v>43084</v>
      </c>
      <c r="G646" s="12" t="s">
        <v>20</v>
      </c>
      <c r="H646" s="17"/>
      <c r="I646" s="28" t="s">
        <v>17</v>
      </c>
      <c r="J646" s="34"/>
      <c r="K646" s="14">
        <v>0</v>
      </c>
      <c r="U646" s="16"/>
    </row>
    <row r="647" spans="1:21" ht="15.75" customHeight="1">
      <c r="A647" s="8"/>
      <c r="C647" s="25" t="s">
        <v>865</v>
      </c>
      <c r="D647" s="17" t="s">
        <v>525</v>
      </c>
      <c r="E647" s="11">
        <v>42919</v>
      </c>
      <c r="F647" s="11">
        <v>43084</v>
      </c>
      <c r="G647" s="12" t="s">
        <v>20</v>
      </c>
      <c r="H647" s="17"/>
      <c r="I647" s="28" t="s">
        <v>17</v>
      </c>
      <c r="J647" s="34"/>
      <c r="K647" s="14">
        <v>0</v>
      </c>
      <c r="U647" s="16"/>
    </row>
    <row r="648" spans="1:21" ht="15.75" customHeight="1">
      <c r="A648" s="8"/>
      <c r="C648" s="25" t="s">
        <v>866</v>
      </c>
      <c r="D648" s="17" t="s">
        <v>867</v>
      </c>
      <c r="E648" s="11">
        <v>42919</v>
      </c>
      <c r="F648" s="11">
        <v>43084</v>
      </c>
      <c r="G648" s="12" t="s">
        <v>20</v>
      </c>
      <c r="H648" s="17"/>
      <c r="I648" s="28" t="s">
        <v>17</v>
      </c>
      <c r="J648" s="34"/>
      <c r="K648" s="14">
        <v>0</v>
      </c>
      <c r="U648" s="16"/>
    </row>
    <row r="649" spans="1:21" ht="15.75" customHeight="1">
      <c r="A649" s="8"/>
      <c r="C649" s="25" t="s">
        <v>868</v>
      </c>
      <c r="D649" s="17" t="s">
        <v>869</v>
      </c>
      <c r="E649" s="11">
        <v>42919</v>
      </c>
      <c r="F649" s="11">
        <v>43084</v>
      </c>
      <c r="G649" s="12" t="s">
        <v>20</v>
      </c>
      <c r="H649" s="17"/>
      <c r="I649" s="28" t="s">
        <v>17</v>
      </c>
      <c r="J649" s="34"/>
      <c r="K649" s="14">
        <v>0</v>
      </c>
      <c r="U649" s="16"/>
    </row>
    <row r="650" spans="1:21" ht="15.75" customHeight="1">
      <c r="A650" s="8"/>
      <c r="C650" s="25" t="s">
        <v>870</v>
      </c>
      <c r="D650" s="17" t="s">
        <v>871</v>
      </c>
      <c r="E650" s="11">
        <v>42919</v>
      </c>
      <c r="F650" s="11">
        <v>43084</v>
      </c>
      <c r="G650" s="12" t="s">
        <v>20</v>
      </c>
      <c r="H650" s="17"/>
      <c r="I650" s="28" t="s">
        <v>17</v>
      </c>
      <c r="J650" s="34"/>
      <c r="K650" s="14">
        <v>0</v>
      </c>
      <c r="U650" s="16"/>
    </row>
    <row r="651" spans="1:21" ht="15.75" customHeight="1">
      <c r="A651" s="8"/>
      <c r="C651" s="25" t="s">
        <v>872</v>
      </c>
      <c r="D651" s="17" t="s">
        <v>873</v>
      </c>
      <c r="E651" s="11">
        <v>42919</v>
      </c>
      <c r="F651" s="11">
        <v>43084</v>
      </c>
      <c r="G651" s="12" t="s">
        <v>20</v>
      </c>
      <c r="H651" s="17"/>
      <c r="I651" s="28" t="s">
        <v>17</v>
      </c>
      <c r="J651" s="34"/>
      <c r="K651" s="14">
        <v>0</v>
      </c>
      <c r="U651" s="16"/>
    </row>
    <row r="652" spans="1:21" ht="15.75" customHeight="1">
      <c r="A652" s="8"/>
      <c r="C652" s="25" t="s">
        <v>874</v>
      </c>
      <c r="D652" s="17" t="s">
        <v>875</v>
      </c>
      <c r="E652" s="11">
        <v>42919</v>
      </c>
      <c r="F652" s="11">
        <v>43084</v>
      </c>
      <c r="G652" s="12" t="s">
        <v>20</v>
      </c>
      <c r="H652" s="17"/>
      <c r="I652" s="28" t="s">
        <v>17</v>
      </c>
      <c r="J652" s="34"/>
      <c r="K652" s="14">
        <v>0</v>
      </c>
      <c r="U652" s="16"/>
    </row>
    <row r="653" spans="1:21" ht="15.75" customHeight="1">
      <c r="A653" s="8"/>
      <c r="C653" s="30"/>
      <c r="D653" s="20"/>
      <c r="E653" s="20"/>
      <c r="F653" s="20"/>
      <c r="G653" s="20"/>
      <c r="H653" s="55" t="s">
        <v>42</v>
      </c>
      <c r="I653" s="56"/>
      <c r="J653" s="57"/>
      <c r="K653" s="19">
        <f>AVERAGE(K641:K652)</f>
        <v>0</v>
      </c>
      <c r="U653" s="16"/>
    </row>
    <row r="654" spans="1:21" ht="15.75" customHeight="1">
      <c r="A654" s="8"/>
      <c r="C654" s="30"/>
      <c r="U654" s="16"/>
    </row>
    <row r="655" spans="1:21" ht="15.75" customHeight="1">
      <c r="A655" s="62">
        <v>43</v>
      </c>
      <c r="B655" s="46" t="s">
        <v>876</v>
      </c>
      <c r="C655" s="47"/>
      <c r="D655" s="48"/>
      <c r="E655" s="64" t="s">
        <v>6</v>
      </c>
      <c r="F655" s="65"/>
      <c r="G655" s="64" t="s">
        <v>7</v>
      </c>
      <c r="H655" s="65"/>
      <c r="I655" s="64" t="s">
        <v>8</v>
      </c>
      <c r="J655" s="66"/>
      <c r="K655" s="65"/>
      <c r="U655" s="16"/>
    </row>
    <row r="656" spans="1:21" ht="15.75" customHeight="1">
      <c r="A656" s="63"/>
      <c r="B656" s="49"/>
      <c r="C656" s="50"/>
      <c r="D656" s="51"/>
      <c r="E656" s="6" t="s">
        <v>10</v>
      </c>
      <c r="F656" s="6" t="s">
        <v>11</v>
      </c>
      <c r="G656" s="7" t="s">
        <v>12</v>
      </c>
      <c r="H656" s="7" t="s">
        <v>13</v>
      </c>
      <c r="I656" s="7" t="s">
        <v>14</v>
      </c>
      <c r="J656" s="7" t="s">
        <v>15</v>
      </c>
      <c r="K656" s="7" t="s">
        <v>16</v>
      </c>
      <c r="U656" s="16"/>
    </row>
    <row r="657" spans="1:21" ht="15.75" customHeight="1">
      <c r="A657" s="8"/>
      <c r="C657" s="9" t="s">
        <v>877</v>
      </c>
      <c r="D657" s="10" t="s">
        <v>878</v>
      </c>
      <c r="E657" s="11">
        <v>42919</v>
      </c>
      <c r="F657" s="11">
        <v>43084</v>
      </c>
      <c r="G657" s="12" t="s">
        <v>20</v>
      </c>
      <c r="H657" s="10"/>
      <c r="I657" s="28" t="s">
        <v>1</v>
      </c>
      <c r="J657" s="31">
        <v>43067</v>
      </c>
      <c r="K657" s="14">
        <v>1</v>
      </c>
      <c r="U657" s="16"/>
    </row>
    <row r="658" spans="1:21" ht="15.75" customHeight="1">
      <c r="A658" s="8"/>
      <c r="C658" s="25" t="s">
        <v>879</v>
      </c>
      <c r="D658" s="17" t="s">
        <v>390</v>
      </c>
      <c r="E658" s="11">
        <v>42919</v>
      </c>
      <c r="F658" s="11">
        <v>43084</v>
      </c>
      <c r="G658" s="12" t="s">
        <v>20</v>
      </c>
      <c r="H658" s="17"/>
      <c r="I658" s="28" t="s">
        <v>1</v>
      </c>
      <c r="J658" s="31">
        <v>43067</v>
      </c>
      <c r="K658" s="14">
        <v>1</v>
      </c>
      <c r="U658" s="16"/>
    </row>
    <row r="659" spans="1:21" ht="15.75" customHeight="1">
      <c r="A659" s="8"/>
      <c r="C659" s="25" t="s">
        <v>880</v>
      </c>
      <c r="D659" s="17" t="s">
        <v>117</v>
      </c>
      <c r="E659" s="11">
        <v>42919</v>
      </c>
      <c r="F659" s="11">
        <v>43084</v>
      </c>
      <c r="G659" s="12" t="s">
        <v>20</v>
      </c>
      <c r="H659" s="17"/>
      <c r="I659" s="28" t="s">
        <v>1</v>
      </c>
      <c r="J659" s="31">
        <v>43067</v>
      </c>
      <c r="K659" s="14">
        <v>1</v>
      </c>
      <c r="U659" s="16"/>
    </row>
    <row r="660" spans="1:21" ht="15.75" customHeight="1">
      <c r="A660" s="8"/>
      <c r="C660" s="25" t="s">
        <v>881</v>
      </c>
      <c r="D660" s="17" t="s">
        <v>882</v>
      </c>
      <c r="E660" s="11">
        <v>42919</v>
      </c>
      <c r="F660" s="11">
        <v>43084</v>
      </c>
      <c r="G660" s="12" t="s">
        <v>20</v>
      </c>
      <c r="H660" s="17"/>
      <c r="I660" s="28" t="s">
        <v>1</v>
      </c>
      <c r="J660" s="31">
        <v>43067</v>
      </c>
      <c r="K660" s="14">
        <v>1</v>
      </c>
      <c r="U660" s="16"/>
    </row>
    <row r="661" spans="1:21" ht="15.75" customHeight="1">
      <c r="A661" s="8"/>
      <c r="C661" s="26" t="s">
        <v>883</v>
      </c>
      <c r="D661" s="27" t="s">
        <v>884</v>
      </c>
      <c r="E661" s="11">
        <v>42919</v>
      </c>
      <c r="F661" s="11">
        <v>43084</v>
      </c>
      <c r="G661" s="12" t="s">
        <v>20</v>
      </c>
      <c r="H661" s="35"/>
      <c r="I661" s="28" t="s">
        <v>1</v>
      </c>
      <c r="J661" s="31">
        <v>43067</v>
      </c>
      <c r="K661" s="14">
        <v>1</v>
      </c>
      <c r="U661" s="16"/>
    </row>
    <row r="662" spans="1:21" ht="15.75" customHeight="1">
      <c r="A662" s="8"/>
      <c r="C662" s="26" t="s">
        <v>885</v>
      </c>
      <c r="D662" s="27" t="s">
        <v>886</v>
      </c>
      <c r="E662" s="11">
        <v>42919</v>
      </c>
      <c r="F662" s="11">
        <v>43084</v>
      </c>
      <c r="G662" s="12" t="s">
        <v>20</v>
      </c>
      <c r="H662" s="35"/>
      <c r="I662" s="28" t="s">
        <v>1</v>
      </c>
      <c r="J662" s="31">
        <v>43067</v>
      </c>
      <c r="K662" s="14">
        <v>1</v>
      </c>
      <c r="U662" s="16"/>
    </row>
    <row r="663" spans="1:21" ht="15.75" customHeight="1">
      <c r="A663" s="8"/>
      <c r="C663" s="36"/>
      <c r="D663" s="37"/>
      <c r="E663" s="38"/>
      <c r="F663" s="38"/>
      <c r="G663" s="38"/>
      <c r="H663" s="55" t="s">
        <v>42</v>
      </c>
      <c r="I663" s="56"/>
      <c r="J663" s="57"/>
      <c r="K663" s="19">
        <f>AVERAGE(K657:K662)</f>
        <v>1</v>
      </c>
      <c r="U663" s="16"/>
    </row>
    <row r="664" spans="1:21" ht="15.75" customHeight="1">
      <c r="A664" s="8"/>
      <c r="C664" s="30"/>
      <c r="U664" s="16"/>
    </row>
    <row r="665" spans="1:21" ht="15.75" customHeight="1">
      <c r="A665" s="62">
        <v>44</v>
      </c>
      <c r="B665" s="46" t="s">
        <v>887</v>
      </c>
      <c r="C665" s="47"/>
      <c r="D665" s="48"/>
      <c r="E665" s="64" t="s">
        <v>6</v>
      </c>
      <c r="F665" s="65"/>
      <c r="G665" s="64" t="s">
        <v>7</v>
      </c>
      <c r="H665" s="65"/>
      <c r="I665" s="64" t="s">
        <v>8</v>
      </c>
      <c r="J665" s="66"/>
      <c r="K665" s="65"/>
      <c r="U665" s="16"/>
    </row>
    <row r="666" spans="1:21" ht="15.75" customHeight="1">
      <c r="A666" s="63"/>
      <c r="B666" s="49"/>
      <c r="C666" s="50"/>
      <c r="D666" s="51"/>
      <c r="E666" s="6" t="s">
        <v>10</v>
      </c>
      <c r="F666" s="6" t="s">
        <v>11</v>
      </c>
      <c r="G666" s="7" t="s">
        <v>12</v>
      </c>
      <c r="H666" s="7" t="s">
        <v>13</v>
      </c>
      <c r="I666" s="7" t="s">
        <v>14</v>
      </c>
      <c r="J666" s="7" t="s">
        <v>15</v>
      </c>
      <c r="K666" s="7" t="s">
        <v>16</v>
      </c>
      <c r="U666" s="16"/>
    </row>
    <row r="667" spans="1:21" ht="15.75" customHeight="1">
      <c r="A667" s="8"/>
      <c r="C667" s="9" t="s">
        <v>888</v>
      </c>
      <c r="D667" s="10" t="s">
        <v>889</v>
      </c>
      <c r="E667" s="11">
        <v>42919</v>
      </c>
      <c r="F667" s="11">
        <v>43084</v>
      </c>
      <c r="G667" s="12" t="s">
        <v>20</v>
      </c>
      <c r="H667" s="10"/>
      <c r="I667" s="28" t="s">
        <v>17</v>
      </c>
      <c r="J667" s="34"/>
      <c r="K667" s="14">
        <v>0</v>
      </c>
      <c r="U667" s="16"/>
    </row>
    <row r="668" spans="1:21" ht="15.75" customHeight="1">
      <c r="A668" s="8"/>
      <c r="C668" s="25" t="s">
        <v>890</v>
      </c>
      <c r="D668" s="17" t="s">
        <v>891</v>
      </c>
      <c r="E668" s="11">
        <v>42919</v>
      </c>
      <c r="F668" s="11">
        <v>43084</v>
      </c>
      <c r="G668" s="12" t="s">
        <v>20</v>
      </c>
      <c r="H668" s="17"/>
      <c r="I668" s="28" t="s">
        <v>17</v>
      </c>
      <c r="J668" s="34"/>
      <c r="K668" s="14">
        <v>0</v>
      </c>
      <c r="U668" s="16"/>
    </row>
    <row r="669" spans="1:21" ht="15.75" customHeight="1">
      <c r="A669" s="8"/>
      <c r="C669" s="25" t="s">
        <v>892</v>
      </c>
      <c r="D669" s="17" t="s">
        <v>117</v>
      </c>
      <c r="E669" s="11">
        <v>42919</v>
      </c>
      <c r="F669" s="11">
        <v>43084</v>
      </c>
      <c r="G669" s="12" t="s">
        <v>20</v>
      </c>
      <c r="H669" s="17"/>
      <c r="I669" s="28" t="s">
        <v>17</v>
      </c>
      <c r="J669" s="34"/>
      <c r="K669" s="14">
        <v>0</v>
      </c>
      <c r="U669" s="16"/>
    </row>
    <row r="670" spans="1:21" ht="15.75" customHeight="1">
      <c r="A670" s="8"/>
      <c r="C670" s="25" t="s">
        <v>893</v>
      </c>
      <c r="D670" s="17" t="s">
        <v>393</v>
      </c>
      <c r="E670" s="11">
        <v>42919</v>
      </c>
      <c r="F670" s="11">
        <v>43084</v>
      </c>
      <c r="G670" s="12" t="s">
        <v>20</v>
      </c>
      <c r="H670" s="17"/>
      <c r="I670" s="28" t="s">
        <v>17</v>
      </c>
      <c r="J670" s="34"/>
      <c r="K670" s="14">
        <v>0</v>
      </c>
      <c r="U670" s="16"/>
    </row>
    <row r="671" spans="1:21" ht="15.75" customHeight="1">
      <c r="A671" s="8"/>
      <c r="C671" s="25" t="s">
        <v>894</v>
      </c>
      <c r="D671" s="17" t="s">
        <v>895</v>
      </c>
      <c r="E671" s="11">
        <v>42919</v>
      </c>
      <c r="F671" s="11">
        <v>43084</v>
      </c>
      <c r="G671" s="12" t="s">
        <v>20</v>
      </c>
      <c r="H671" s="17"/>
      <c r="I671" s="28" t="s">
        <v>17</v>
      </c>
      <c r="J671" s="34"/>
      <c r="K671" s="14">
        <v>0</v>
      </c>
      <c r="U671" s="16"/>
    </row>
    <row r="672" spans="1:21" ht="15.75" customHeight="1">
      <c r="A672" s="8"/>
      <c r="C672" s="25" t="s">
        <v>896</v>
      </c>
      <c r="D672" s="17" t="s">
        <v>897</v>
      </c>
      <c r="E672" s="11">
        <v>42919</v>
      </c>
      <c r="F672" s="11">
        <v>43084</v>
      </c>
      <c r="G672" s="12" t="s">
        <v>20</v>
      </c>
      <c r="H672" s="17"/>
      <c r="I672" s="28" t="s">
        <v>17</v>
      </c>
      <c r="J672" s="34"/>
      <c r="K672" s="14">
        <v>0</v>
      </c>
      <c r="U672" s="16"/>
    </row>
    <row r="673" spans="1:21" ht="15.75" customHeight="1">
      <c r="A673" s="8"/>
      <c r="C673" s="25" t="s">
        <v>898</v>
      </c>
      <c r="D673" s="17" t="s">
        <v>899</v>
      </c>
      <c r="E673" s="11">
        <v>42919</v>
      </c>
      <c r="F673" s="11">
        <v>43084</v>
      </c>
      <c r="G673" s="12" t="s">
        <v>20</v>
      </c>
      <c r="H673" s="17"/>
      <c r="I673" s="28" t="s">
        <v>17</v>
      </c>
      <c r="J673" s="34"/>
      <c r="K673" s="14">
        <v>0</v>
      </c>
      <c r="U673" s="16"/>
    </row>
    <row r="674" spans="1:21" ht="15.75" customHeight="1">
      <c r="A674" s="8"/>
      <c r="C674" s="25" t="s">
        <v>900</v>
      </c>
      <c r="D674" s="17" t="s">
        <v>901</v>
      </c>
      <c r="E674" s="11">
        <v>42919</v>
      </c>
      <c r="F674" s="11">
        <v>43084</v>
      </c>
      <c r="G674" s="12" t="s">
        <v>20</v>
      </c>
      <c r="H674" s="17"/>
      <c r="I674" s="28" t="s">
        <v>17</v>
      </c>
      <c r="J674" s="34"/>
      <c r="K674" s="14">
        <v>0</v>
      </c>
      <c r="U674" s="16"/>
    </row>
    <row r="675" spans="1:21" ht="15.75" customHeight="1">
      <c r="A675" s="8"/>
      <c r="C675" s="26" t="s">
        <v>902</v>
      </c>
      <c r="D675" s="27" t="s">
        <v>903</v>
      </c>
      <c r="E675" s="11">
        <v>42919</v>
      </c>
      <c r="F675" s="11">
        <v>43084</v>
      </c>
      <c r="G675" s="12" t="s">
        <v>20</v>
      </c>
      <c r="H675" s="35"/>
      <c r="I675" s="28" t="s">
        <v>17</v>
      </c>
      <c r="J675" s="34"/>
      <c r="K675" s="14">
        <v>0</v>
      </c>
      <c r="U675" s="16"/>
    </row>
    <row r="676" spans="1:21" ht="15.75" customHeight="1">
      <c r="A676" s="8"/>
      <c r="C676" s="25" t="s">
        <v>904</v>
      </c>
      <c r="D676" s="17" t="s">
        <v>905</v>
      </c>
      <c r="E676" s="11">
        <v>42919</v>
      </c>
      <c r="F676" s="11">
        <v>43084</v>
      </c>
      <c r="G676" s="12" t="s">
        <v>20</v>
      </c>
      <c r="H676" s="17"/>
      <c r="I676" s="28" t="s">
        <v>17</v>
      </c>
      <c r="J676" s="34"/>
      <c r="K676" s="14">
        <v>0</v>
      </c>
      <c r="U676" s="16"/>
    </row>
    <row r="677" spans="1:21" ht="15.75" customHeight="1">
      <c r="A677" s="8"/>
      <c r="C677" s="25" t="s">
        <v>906</v>
      </c>
      <c r="D677" s="17" t="s">
        <v>907</v>
      </c>
      <c r="E677" s="11">
        <v>42919</v>
      </c>
      <c r="F677" s="11">
        <v>43084</v>
      </c>
      <c r="G677" s="12" t="s">
        <v>20</v>
      </c>
      <c r="H677" s="17"/>
      <c r="I677" s="28" t="s">
        <v>17</v>
      </c>
      <c r="J677" s="34"/>
      <c r="K677" s="14">
        <v>0</v>
      </c>
      <c r="U677" s="16"/>
    </row>
    <row r="678" spans="1:21" ht="15.75" customHeight="1">
      <c r="A678" s="8"/>
      <c r="C678" s="30"/>
      <c r="D678" s="20"/>
      <c r="E678" s="20"/>
      <c r="F678" s="20"/>
      <c r="G678" s="20"/>
      <c r="H678" s="55" t="s">
        <v>42</v>
      </c>
      <c r="I678" s="56"/>
      <c r="J678" s="57"/>
      <c r="K678" s="19">
        <f>AVERAGE(K667:K677)</f>
        <v>0</v>
      </c>
      <c r="U678" s="16"/>
    </row>
    <row r="679" spans="1:21" ht="15.75" customHeight="1">
      <c r="A679" s="8"/>
      <c r="C679" s="30"/>
      <c r="U679" s="16"/>
    </row>
    <row r="680" spans="1:21" ht="15.75" customHeight="1">
      <c r="A680" s="62">
        <v>45</v>
      </c>
      <c r="B680" s="46" t="s">
        <v>908</v>
      </c>
      <c r="C680" s="47"/>
      <c r="D680" s="48"/>
      <c r="E680" s="64" t="s">
        <v>6</v>
      </c>
      <c r="F680" s="65"/>
      <c r="G680" s="64" t="s">
        <v>7</v>
      </c>
      <c r="H680" s="65"/>
      <c r="I680" s="64" t="s">
        <v>8</v>
      </c>
      <c r="J680" s="66"/>
      <c r="K680" s="65"/>
      <c r="U680" s="16"/>
    </row>
    <row r="681" spans="1:21" ht="15.75" customHeight="1">
      <c r="A681" s="63"/>
      <c r="B681" s="49"/>
      <c r="C681" s="50"/>
      <c r="D681" s="51"/>
      <c r="E681" s="6" t="s">
        <v>10</v>
      </c>
      <c r="F681" s="6" t="s">
        <v>11</v>
      </c>
      <c r="G681" s="7" t="s">
        <v>12</v>
      </c>
      <c r="H681" s="7" t="s">
        <v>13</v>
      </c>
      <c r="I681" s="7" t="s">
        <v>14</v>
      </c>
      <c r="J681" s="7" t="s">
        <v>15</v>
      </c>
      <c r="K681" s="7" t="s">
        <v>16</v>
      </c>
      <c r="U681" s="16"/>
    </row>
    <row r="682" spans="1:21" ht="15.75" customHeight="1">
      <c r="A682" s="8"/>
      <c r="C682" s="9" t="s">
        <v>909</v>
      </c>
      <c r="D682" s="10" t="s">
        <v>910</v>
      </c>
      <c r="E682" s="11">
        <v>42919</v>
      </c>
      <c r="F682" s="11">
        <v>43084</v>
      </c>
      <c r="G682" s="12" t="s">
        <v>20</v>
      </c>
      <c r="H682" s="10"/>
      <c r="I682" s="28" t="s">
        <v>17</v>
      </c>
      <c r="J682" s="34"/>
      <c r="K682" s="14">
        <v>0</v>
      </c>
      <c r="U682" s="16"/>
    </row>
    <row r="683" spans="1:21" ht="15.75" customHeight="1">
      <c r="A683" s="8"/>
      <c r="C683" s="25" t="s">
        <v>911</v>
      </c>
      <c r="D683" s="17" t="s">
        <v>891</v>
      </c>
      <c r="E683" s="11">
        <v>42919</v>
      </c>
      <c r="F683" s="11">
        <v>43084</v>
      </c>
      <c r="G683" s="12" t="s">
        <v>20</v>
      </c>
      <c r="H683" s="17"/>
      <c r="I683" s="28" t="s">
        <v>17</v>
      </c>
      <c r="J683" s="34"/>
      <c r="K683" s="14">
        <v>0</v>
      </c>
      <c r="U683" s="16"/>
    </row>
    <row r="684" spans="1:21" ht="15.75" customHeight="1">
      <c r="A684" s="8"/>
      <c r="C684" s="25" t="s">
        <v>912</v>
      </c>
      <c r="D684" s="17" t="s">
        <v>117</v>
      </c>
      <c r="E684" s="11">
        <v>42919</v>
      </c>
      <c r="F684" s="11">
        <v>43084</v>
      </c>
      <c r="G684" s="12" t="s">
        <v>20</v>
      </c>
      <c r="H684" s="17"/>
      <c r="I684" s="28" t="s">
        <v>17</v>
      </c>
      <c r="J684" s="34"/>
      <c r="K684" s="14">
        <v>0</v>
      </c>
      <c r="U684" s="16"/>
    </row>
    <row r="685" spans="1:21" ht="15.75" customHeight="1">
      <c r="A685" s="8"/>
      <c r="C685" s="25" t="s">
        <v>913</v>
      </c>
      <c r="D685" s="17" t="s">
        <v>393</v>
      </c>
      <c r="E685" s="11">
        <v>42919</v>
      </c>
      <c r="F685" s="11">
        <v>43084</v>
      </c>
      <c r="G685" s="12" t="s">
        <v>20</v>
      </c>
      <c r="H685" s="17"/>
      <c r="I685" s="28" t="s">
        <v>17</v>
      </c>
      <c r="J685" s="34"/>
      <c r="K685" s="14">
        <v>0</v>
      </c>
      <c r="U685" s="16"/>
    </row>
    <row r="686" spans="1:21" ht="15.75" customHeight="1">
      <c r="A686" s="8"/>
      <c r="C686" s="25" t="s">
        <v>914</v>
      </c>
      <c r="D686" s="17" t="s">
        <v>915</v>
      </c>
      <c r="E686" s="11">
        <v>42919</v>
      </c>
      <c r="F686" s="11">
        <v>43084</v>
      </c>
      <c r="G686" s="12" t="s">
        <v>20</v>
      </c>
      <c r="H686" s="17"/>
      <c r="I686" s="28" t="s">
        <v>17</v>
      </c>
      <c r="J686" s="34"/>
      <c r="K686" s="14">
        <v>0</v>
      </c>
      <c r="U686" s="16"/>
    </row>
    <row r="687" spans="1:21" ht="15.75" customHeight="1">
      <c r="A687" s="8"/>
      <c r="C687" s="25" t="s">
        <v>916</v>
      </c>
      <c r="D687" s="17" t="s">
        <v>917</v>
      </c>
      <c r="E687" s="11">
        <v>42919</v>
      </c>
      <c r="F687" s="11">
        <v>43084</v>
      </c>
      <c r="G687" s="12" t="s">
        <v>20</v>
      </c>
      <c r="H687" s="17"/>
      <c r="I687" s="28" t="s">
        <v>17</v>
      </c>
      <c r="J687" s="34"/>
      <c r="K687" s="14">
        <v>0</v>
      </c>
      <c r="U687" s="16"/>
    </row>
    <row r="688" spans="1:21" ht="15.75" customHeight="1">
      <c r="A688" s="8"/>
      <c r="C688" s="25" t="s">
        <v>918</v>
      </c>
      <c r="D688" s="17" t="s">
        <v>919</v>
      </c>
      <c r="E688" s="11">
        <v>42919</v>
      </c>
      <c r="F688" s="11">
        <v>43084</v>
      </c>
      <c r="G688" s="12" t="s">
        <v>20</v>
      </c>
      <c r="H688" s="17"/>
      <c r="I688" s="28" t="s">
        <v>17</v>
      </c>
      <c r="J688" s="34"/>
      <c r="K688" s="14">
        <v>0</v>
      </c>
      <c r="U688" s="16"/>
    </row>
    <row r="689" spans="1:21" ht="15.75" customHeight="1">
      <c r="A689" s="8"/>
      <c r="C689" s="26" t="s">
        <v>920</v>
      </c>
      <c r="D689" s="27" t="s">
        <v>921</v>
      </c>
      <c r="E689" s="11">
        <v>42919</v>
      </c>
      <c r="F689" s="11">
        <v>43084</v>
      </c>
      <c r="G689" s="12" t="s">
        <v>20</v>
      </c>
      <c r="H689" s="35"/>
      <c r="I689" s="28" t="s">
        <v>17</v>
      </c>
      <c r="J689" s="34"/>
      <c r="K689" s="14">
        <v>0</v>
      </c>
      <c r="U689" s="16"/>
    </row>
    <row r="690" spans="1:21" ht="15.75" customHeight="1">
      <c r="A690" s="8"/>
      <c r="C690" s="25" t="s">
        <v>922</v>
      </c>
      <c r="D690" s="17" t="s">
        <v>923</v>
      </c>
      <c r="E690" s="11">
        <v>42919</v>
      </c>
      <c r="F690" s="11">
        <v>43084</v>
      </c>
      <c r="G690" s="12" t="s">
        <v>20</v>
      </c>
      <c r="H690" s="17"/>
      <c r="I690" s="28" t="s">
        <v>17</v>
      </c>
      <c r="J690" s="34"/>
      <c r="K690" s="14">
        <v>0</v>
      </c>
      <c r="U690" s="16"/>
    </row>
    <row r="691" spans="1:21" ht="15.75" customHeight="1">
      <c r="A691" s="8"/>
      <c r="C691" s="25" t="s">
        <v>924</v>
      </c>
      <c r="D691" s="17" t="s">
        <v>925</v>
      </c>
      <c r="E691" s="11">
        <v>42919</v>
      </c>
      <c r="F691" s="11">
        <v>43084</v>
      </c>
      <c r="G691" s="12" t="s">
        <v>20</v>
      </c>
      <c r="H691" s="17"/>
      <c r="I691" s="28" t="s">
        <v>17</v>
      </c>
      <c r="J691" s="34"/>
      <c r="K691" s="14">
        <v>0</v>
      </c>
      <c r="U691" s="16"/>
    </row>
    <row r="692" spans="1:21" ht="15.75" customHeight="1">
      <c r="A692" s="8"/>
      <c r="C692" s="30"/>
      <c r="D692" s="20"/>
      <c r="E692" s="20"/>
      <c r="F692" s="20"/>
      <c r="G692" s="20"/>
      <c r="H692" s="55" t="s">
        <v>42</v>
      </c>
      <c r="I692" s="56"/>
      <c r="J692" s="57"/>
      <c r="K692" s="19">
        <f>AVERAGE(K682:K691)</f>
        <v>0</v>
      </c>
      <c r="U692" s="16"/>
    </row>
    <row r="693" spans="1:21" ht="15.75" customHeight="1">
      <c r="A693" s="8"/>
      <c r="C693" s="30"/>
      <c r="U693" s="16"/>
    </row>
    <row r="694" spans="1:21" ht="15.75" customHeight="1">
      <c r="A694" s="62">
        <v>46</v>
      </c>
      <c r="B694" s="58" t="s">
        <v>926</v>
      </c>
      <c r="C694" s="47"/>
      <c r="D694" s="48"/>
      <c r="E694" s="64" t="s">
        <v>6</v>
      </c>
      <c r="F694" s="65"/>
      <c r="G694" s="64" t="s">
        <v>7</v>
      </c>
      <c r="H694" s="65"/>
      <c r="I694" s="64" t="s">
        <v>8</v>
      </c>
      <c r="J694" s="66"/>
      <c r="K694" s="65"/>
      <c r="U694" s="16"/>
    </row>
    <row r="695" spans="1:21" ht="15.75" customHeight="1">
      <c r="A695" s="63"/>
      <c r="B695" s="49"/>
      <c r="C695" s="50"/>
      <c r="D695" s="51"/>
      <c r="E695" s="6" t="s">
        <v>10</v>
      </c>
      <c r="F695" s="6" t="s">
        <v>11</v>
      </c>
      <c r="G695" s="7" t="s">
        <v>12</v>
      </c>
      <c r="H695" s="7" t="s">
        <v>13</v>
      </c>
      <c r="I695" s="7" t="s">
        <v>14</v>
      </c>
      <c r="J695" s="7" t="s">
        <v>15</v>
      </c>
      <c r="K695" s="7" t="s">
        <v>16</v>
      </c>
      <c r="U695" s="16"/>
    </row>
    <row r="696" spans="1:21" ht="15.75" customHeight="1">
      <c r="A696" s="8"/>
      <c r="C696" s="9" t="s">
        <v>927</v>
      </c>
      <c r="D696" s="10" t="s">
        <v>928</v>
      </c>
      <c r="E696" s="11">
        <v>42919</v>
      </c>
      <c r="F696" s="11">
        <v>43084</v>
      </c>
      <c r="G696" s="12" t="s">
        <v>20</v>
      </c>
      <c r="H696" s="10"/>
      <c r="I696" s="28" t="s">
        <v>17</v>
      </c>
      <c r="J696" s="34"/>
      <c r="K696" s="14">
        <v>0</v>
      </c>
      <c r="U696" s="16"/>
    </row>
    <row r="697" spans="1:21" ht="15.75" customHeight="1">
      <c r="A697" s="8"/>
      <c r="C697" s="25" t="s">
        <v>929</v>
      </c>
      <c r="D697" s="17" t="s">
        <v>891</v>
      </c>
      <c r="E697" s="11">
        <v>42919</v>
      </c>
      <c r="F697" s="11">
        <v>43084</v>
      </c>
      <c r="G697" s="12" t="s">
        <v>20</v>
      </c>
      <c r="H697" s="17"/>
      <c r="I697" s="28" t="s">
        <v>17</v>
      </c>
      <c r="J697" s="34"/>
      <c r="K697" s="14">
        <v>0</v>
      </c>
      <c r="U697" s="16"/>
    </row>
    <row r="698" spans="1:21" ht="15.75" customHeight="1">
      <c r="A698" s="8"/>
      <c r="C698" s="25" t="s">
        <v>930</v>
      </c>
      <c r="D698" s="17" t="s">
        <v>117</v>
      </c>
      <c r="E698" s="11">
        <v>42919</v>
      </c>
      <c r="F698" s="11">
        <v>43084</v>
      </c>
      <c r="G698" s="12" t="s">
        <v>20</v>
      </c>
      <c r="H698" s="17"/>
      <c r="I698" s="28" t="s">
        <v>17</v>
      </c>
      <c r="J698" s="34"/>
      <c r="K698" s="14">
        <v>0</v>
      </c>
      <c r="U698" s="16"/>
    </row>
    <row r="699" spans="1:21" ht="15.75" customHeight="1">
      <c r="A699" s="8"/>
      <c r="C699" s="25" t="s">
        <v>931</v>
      </c>
      <c r="D699" s="17" t="s">
        <v>932</v>
      </c>
      <c r="E699" s="11">
        <v>42919</v>
      </c>
      <c r="F699" s="11">
        <v>43084</v>
      </c>
      <c r="G699" s="12" t="s">
        <v>20</v>
      </c>
      <c r="H699" s="17"/>
      <c r="I699" s="28" t="s">
        <v>17</v>
      </c>
      <c r="J699" s="34"/>
      <c r="K699" s="14">
        <v>0</v>
      </c>
      <c r="U699" s="16"/>
    </row>
    <row r="700" spans="1:21" ht="15.75" customHeight="1">
      <c r="A700" s="8"/>
      <c r="C700" s="25" t="s">
        <v>933</v>
      </c>
      <c r="D700" s="17" t="s">
        <v>934</v>
      </c>
      <c r="E700" s="11">
        <v>42919</v>
      </c>
      <c r="F700" s="11">
        <v>43084</v>
      </c>
      <c r="G700" s="12" t="s">
        <v>20</v>
      </c>
      <c r="H700" s="17"/>
      <c r="I700" s="28" t="s">
        <v>17</v>
      </c>
      <c r="J700" s="34"/>
      <c r="K700" s="14">
        <v>0</v>
      </c>
      <c r="U700" s="16"/>
    </row>
    <row r="701" spans="1:21" ht="15.75" customHeight="1">
      <c r="A701" s="8"/>
      <c r="C701" s="25" t="s">
        <v>935</v>
      </c>
      <c r="D701" s="17" t="s">
        <v>936</v>
      </c>
      <c r="E701" s="11">
        <v>42919</v>
      </c>
      <c r="F701" s="11">
        <v>43084</v>
      </c>
      <c r="G701" s="12" t="s">
        <v>20</v>
      </c>
      <c r="H701" s="17"/>
      <c r="I701" s="28" t="s">
        <v>17</v>
      </c>
      <c r="J701" s="34"/>
      <c r="K701" s="14">
        <v>0</v>
      </c>
      <c r="U701" s="16"/>
    </row>
    <row r="702" spans="1:21" ht="15.75" customHeight="1">
      <c r="A702" s="8"/>
      <c r="C702" s="25" t="s">
        <v>937</v>
      </c>
      <c r="D702" s="17" t="s">
        <v>938</v>
      </c>
      <c r="E702" s="11">
        <v>42919</v>
      </c>
      <c r="F702" s="11">
        <v>43084</v>
      </c>
      <c r="G702" s="12" t="s">
        <v>20</v>
      </c>
      <c r="H702" s="17"/>
      <c r="I702" s="28" t="s">
        <v>17</v>
      </c>
      <c r="J702" s="34"/>
      <c r="K702" s="14">
        <v>0</v>
      </c>
      <c r="U702" s="16"/>
    </row>
    <row r="703" spans="1:21" ht="15.75" customHeight="1">
      <c r="A703" s="8"/>
      <c r="C703" s="25" t="s">
        <v>939</v>
      </c>
      <c r="D703" s="17" t="s">
        <v>940</v>
      </c>
      <c r="E703" s="11">
        <v>42919</v>
      </c>
      <c r="F703" s="11">
        <v>43084</v>
      </c>
      <c r="G703" s="12" t="s">
        <v>20</v>
      </c>
      <c r="H703" s="17"/>
      <c r="I703" s="28" t="s">
        <v>17</v>
      </c>
      <c r="J703" s="34"/>
      <c r="K703" s="14">
        <v>0</v>
      </c>
      <c r="U703" s="16"/>
    </row>
    <row r="704" spans="1:21" ht="15.75" customHeight="1">
      <c r="A704" s="8"/>
      <c r="C704" s="25" t="s">
        <v>941</v>
      </c>
      <c r="D704" s="17" t="s">
        <v>942</v>
      </c>
      <c r="E704" s="11">
        <v>42919</v>
      </c>
      <c r="F704" s="11">
        <v>43084</v>
      </c>
      <c r="G704" s="12" t="s">
        <v>20</v>
      </c>
      <c r="H704" s="17"/>
      <c r="I704" s="28" t="s">
        <v>17</v>
      </c>
      <c r="J704" s="34"/>
      <c r="K704" s="14">
        <v>0</v>
      </c>
      <c r="U704" s="16"/>
    </row>
    <row r="705" spans="1:21" ht="15.75" customHeight="1">
      <c r="A705" s="8"/>
      <c r="C705" s="25" t="s">
        <v>943</v>
      </c>
      <c r="D705" s="17" t="s">
        <v>944</v>
      </c>
      <c r="E705" s="11">
        <v>42919</v>
      </c>
      <c r="F705" s="11">
        <v>43084</v>
      </c>
      <c r="G705" s="12" t="s">
        <v>20</v>
      </c>
      <c r="H705" s="17"/>
      <c r="I705" s="28" t="s">
        <v>17</v>
      </c>
      <c r="J705" s="34"/>
      <c r="K705" s="14">
        <v>0</v>
      </c>
      <c r="U705" s="16"/>
    </row>
    <row r="706" spans="1:21" ht="15.75" customHeight="1">
      <c r="A706" s="8"/>
      <c r="C706" s="25" t="s">
        <v>945</v>
      </c>
      <c r="D706" s="17" t="s">
        <v>946</v>
      </c>
      <c r="E706" s="11">
        <v>42919</v>
      </c>
      <c r="F706" s="11">
        <v>43084</v>
      </c>
      <c r="G706" s="12" t="s">
        <v>20</v>
      </c>
      <c r="H706" s="17"/>
      <c r="I706" s="28" t="s">
        <v>17</v>
      </c>
      <c r="J706" s="34"/>
      <c r="K706" s="14">
        <v>0</v>
      </c>
      <c r="U706" s="16"/>
    </row>
    <row r="707" spans="1:21" ht="15.75" customHeight="1">
      <c r="A707" s="8"/>
      <c r="C707" s="25" t="s">
        <v>947</v>
      </c>
      <c r="D707" s="17" t="s">
        <v>948</v>
      </c>
      <c r="E707" s="11">
        <v>42919</v>
      </c>
      <c r="F707" s="11">
        <v>43084</v>
      </c>
      <c r="G707" s="12" t="s">
        <v>20</v>
      </c>
      <c r="H707" s="17"/>
      <c r="I707" s="28" t="s">
        <v>17</v>
      </c>
      <c r="J707" s="34"/>
      <c r="K707" s="14">
        <v>0</v>
      </c>
      <c r="U707" s="16"/>
    </row>
    <row r="708" spans="1:21" ht="15.75" customHeight="1">
      <c r="A708" s="8"/>
      <c r="C708" s="25" t="s">
        <v>949</v>
      </c>
      <c r="D708" s="17" t="s">
        <v>950</v>
      </c>
      <c r="E708" s="11">
        <v>42919</v>
      </c>
      <c r="F708" s="11">
        <v>43084</v>
      </c>
      <c r="G708" s="12" t="s">
        <v>20</v>
      </c>
      <c r="H708" s="17"/>
      <c r="I708" s="28" t="s">
        <v>17</v>
      </c>
      <c r="J708" s="34"/>
      <c r="K708" s="14">
        <v>0</v>
      </c>
      <c r="U708" s="16"/>
    </row>
    <row r="709" spans="1:21" ht="15.75" customHeight="1">
      <c r="A709" s="8"/>
      <c r="C709" s="25" t="s">
        <v>951</v>
      </c>
      <c r="D709" s="17" t="s">
        <v>226</v>
      </c>
      <c r="E709" s="11">
        <v>42919</v>
      </c>
      <c r="F709" s="11">
        <v>43084</v>
      </c>
      <c r="G709" s="12" t="s">
        <v>20</v>
      </c>
      <c r="H709" s="17"/>
      <c r="I709" s="28" t="s">
        <v>17</v>
      </c>
      <c r="J709" s="34"/>
      <c r="K709" s="14">
        <v>0</v>
      </c>
      <c r="U709" s="16"/>
    </row>
    <row r="710" spans="1:21" ht="15.75" customHeight="1">
      <c r="A710" s="8"/>
      <c r="C710" s="25" t="s">
        <v>952</v>
      </c>
      <c r="D710" s="17" t="s">
        <v>953</v>
      </c>
      <c r="E710" s="11">
        <v>42919</v>
      </c>
      <c r="F710" s="11">
        <v>43084</v>
      </c>
      <c r="G710" s="12" t="s">
        <v>20</v>
      </c>
      <c r="H710" s="17"/>
      <c r="I710" s="28" t="s">
        <v>17</v>
      </c>
      <c r="J710" s="34"/>
      <c r="K710" s="14">
        <v>0</v>
      </c>
      <c r="U710" s="16"/>
    </row>
    <row r="711" spans="1:21" ht="15.75" customHeight="1">
      <c r="A711" s="8"/>
      <c r="C711" s="25" t="s">
        <v>954</v>
      </c>
      <c r="D711" s="17" t="s">
        <v>955</v>
      </c>
      <c r="E711" s="11">
        <v>42919</v>
      </c>
      <c r="F711" s="11">
        <v>43084</v>
      </c>
      <c r="G711" s="12" t="s">
        <v>20</v>
      </c>
      <c r="H711" s="17"/>
      <c r="I711" s="28" t="s">
        <v>17</v>
      </c>
      <c r="J711" s="34"/>
      <c r="K711" s="14">
        <v>0</v>
      </c>
      <c r="U711" s="16"/>
    </row>
    <row r="712" spans="1:21" ht="15.75" customHeight="1">
      <c r="A712" s="8"/>
      <c r="C712" s="25" t="s">
        <v>956</v>
      </c>
      <c r="D712" s="17" t="s">
        <v>957</v>
      </c>
      <c r="E712" s="11">
        <v>42919</v>
      </c>
      <c r="F712" s="11">
        <v>43084</v>
      </c>
      <c r="G712" s="12" t="s">
        <v>20</v>
      </c>
      <c r="H712" s="17"/>
      <c r="I712" s="28" t="s">
        <v>17</v>
      </c>
      <c r="J712" s="34"/>
      <c r="K712" s="14">
        <v>0</v>
      </c>
      <c r="U712" s="16"/>
    </row>
    <row r="713" spans="1:21" ht="15.75" customHeight="1">
      <c r="A713" s="8"/>
      <c r="C713" s="25" t="s">
        <v>958</v>
      </c>
      <c r="D713" s="17" t="s">
        <v>959</v>
      </c>
      <c r="E713" s="11">
        <v>42919</v>
      </c>
      <c r="F713" s="11">
        <v>43084</v>
      </c>
      <c r="G713" s="12" t="s">
        <v>20</v>
      </c>
      <c r="H713" s="17"/>
      <c r="I713" s="28" t="s">
        <v>17</v>
      </c>
      <c r="J713" s="34"/>
      <c r="K713" s="14">
        <v>0</v>
      </c>
      <c r="U713" s="16"/>
    </row>
    <row r="714" spans="1:21" ht="15.75" customHeight="1">
      <c r="A714" s="8"/>
      <c r="C714" s="25" t="s">
        <v>960</v>
      </c>
      <c r="D714" s="17" t="s">
        <v>961</v>
      </c>
      <c r="E714" s="11">
        <v>42919</v>
      </c>
      <c r="F714" s="11">
        <v>43084</v>
      </c>
      <c r="G714" s="12" t="s">
        <v>20</v>
      </c>
      <c r="H714" s="17"/>
      <c r="I714" s="28" t="s">
        <v>17</v>
      </c>
      <c r="J714" s="34"/>
      <c r="K714" s="14">
        <v>0</v>
      </c>
      <c r="U714" s="16"/>
    </row>
    <row r="715" spans="1:21" ht="15.75" customHeight="1">
      <c r="A715" s="8"/>
      <c r="C715" s="25" t="s">
        <v>962</v>
      </c>
      <c r="D715" s="17" t="s">
        <v>963</v>
      </c>
      <c r="E715" s="11">
        <v>42919</v>
      </c>
      <c r="F715" s="11">
        <v>43084</v>
      </c>
      <c r="G715" s="12" t="s">
        <v>20</v>
      </c>
      <c r="H715" s="17"/>
      <c r="I715" s="28" t="s">
        <v>17</v>
      </c>
      <c r="J715" s="34"/>
      <c r="K715" s="14">
        <v>0</v>
      </c>
      <c r="U715" s="16"/>
    </row>
    <row r="716" spans="1:21" ht="15.75" customHeight="1">
      <c r="A716" s="8"/>
      <c r="C716" s="25" t="s">
        <v>964</v>
      </c>
      <c r="D716" s="17" t="s">
        <v>965</v>
      </c>
      <c r="E716" s="11">
        <v>42919</v>
      </c>
      <c r="F716" s="11">
        <v>43084</v>
      </c>
      <c r="G716" s="12" t="s">
        <v>20</v>
      </c>
      <c r="H716" s="17"/>
      <c r="I716" s="28" t="s">
        <v>17</v>
      </c>
      <c r="J716" s="34"/>
      <c r="K716" s="14">
        <v>0</v>
      </c>
      <c r="U716" s="16"/>
    </row>
    <row r="717" spans="1:21" ht="15.75" customHeight="1">
      <c r="A717" s="8"/>
      <c r="C717" s="25" t="s">
        <v>966</v>
      </c>
      <c r="D717" s="17" t="s">
        <v>967</v>
      </c>
      <c r="E717" s="11">
        <v>42919</v>
      </c>
      <c r="F717" s="11">
        <v>43084</v>
      </c>
      <c r="G717" s="12" t="s">
        <v>20</v>
      </c>
      <c r="H717" s="17"/>
      <c r="I717" s="28" t="s">
        <v>17</v>
      </c>
      <c r="J717" s="34"/>
      <c r="K717" s="14">
        <v>0</v>
      </c>
      <c r="U717" s="16"/>
    </row>
    <row r="718" spans="1:21" ht="15.75" customHeight="1">
      <c r="A718" s="8"/>
      <c r="C718" s="25" t="s">
        <v>968</v>
      </c>
      <c r="D718" s="17" t="s">
        <v>969</v>
      </c>
      <c r="E718" s="11">
        <v>42919</v>
      </c>
      <c r="F718" s="11">
        <v>43084</v>
      </c>
      <c r="G718" s="12" t="s">
        <v>20</v>
      </c>
      <c r="H718" s="17"/>
      <c r="I718" s="28" t="s">
        <v>17</v>
      </c>
      <c r="J718" s="34"/>
      <c r="K718" s="14">
        <v>0</v>
      </c>
      <c r="U718" s="16"/>
    </row>
    <row r="719" spans="1:21" ht="15.75" customHeight="1">
      <c r="A719" s="8"/>
      <c r="C719" s="30"/>
      <c r="D719" s="20"/>
      <c r="E719" s="20"/>
      <c r="F719" s="20"/>
      <c r="G719" s="20"/>
      <c r="H719" s="55" t="s">
        <v>42</v>
      </c>
      <c r="I719" s="56"/>
      <c r="J719" s="57"/>
      <c r="K719" s="19">
        <f>AVERAGE(K696:K718)</f>
        <v>0</v>
      </c>
      <c r="U719" s="16"/>
    </row>
    <row r="720" spans="1:21" ht="15.75" customHeight="1">
      <c r="A720" s="8"/>
      <c r="C720" s="30"/>
      <c r="U720" s="16"/>
    </row>
    <row r="721" spans="1:21" ht="15.75" customHeight="1">
      <c r="A721" s="62">
        <v>47</v>
      </c>
      <c r="B721" s="46" t="s">
        <v>970</v>
      </c>
      <c r="C721" s="47"/>
      <c r="D721" s="48"/>
      <c r="E721" s="64" t="s">
        <v>6</v>
      </c>
      <c r="F721" s="65"/>
      <c r="G721" s="64" t="s">
        <v>7</v>
      </c>
      <c r="H721" s="65"/>
      <c r="I721" s="64" t="s">
        <v>8</v>
      </c>
      <c r="J721" s="66"/>
      <c r="K721" s="65"/>
      <c r="U721" s="16"/>
    </row>
    <row r="722" spans="1:21" ht="15.75" customHeight="1">
      <c r="A722" s="63"/>
      <c r="B722" s="49"/>
      <c r="C722" s="50"/>
      <c r="D722" s="51"/>
      <c r="E722" s="6" t="s">
        <v>10</v>
      </c>
      <c r="F722" s="6" t="s">
        <v>11</v>
      </c>
      <c r="G722" s="7" t="s">
        <v>12</v>
      </c>
      <c r="H722" s="7" t="s">
        <v>13</v>
      </c>
      <c r="I722" s="7" t="s">
        <v>14</v>
      </c>
      <c r="J722" s="7" t="s">
        <v>15</v>
      </c>
      <c r="K722" s="7" t="s">
        <v>16</v>
      </c>
      <c r="U722" s="16"/>
    </row>
    <row r="723" spans="1:21" ht="15.75" customHeight="1">
      <c r="A723" s="8"/>
      <c r="C723" s="9" t="s">
        <v>971</v>
      </c>
      <c r="D723" s="10" t="s">
        <v>972</v>
      </c>
      <c r="E723" s="11">
        <v>42919</v>
      </c>
      <c r="F723" s="11">
        <v>43084</v>
      </c>
      <c r="G723" s="12" t="s">
        <v>20</v>
      </c>
      <c r="H723" s="10"/>
      <c r="I723" s="28" t="s">
        <v>17</v>
      </c>
      <c r="J723" s="34"/>
      <c r="K723" s="14">
        <v>0</v>
      </c>
      <c r="U723" s="16"/>
    </row>
    <row r="724" spans="1:21" ht="15.75" customHeight="1">
      <c r="A724" s="8"/>
      <c r="C724" s="25" t="s">
        <v>973</v>
      </c>
      <c r="D724" s="17" t="s">
        <v>891</v>
      </c>
      <c r="E724" s="11">
        <v>42919</v>
      </c>
      <c r="F724" s="11">
        <v>43084</v>
      </c>
      <c r="G724" s="12" t="s">
        <v>20</v>
      </c>
      <c r="H724" s="17"/>
      <c r="I724" s="28" t="s">
        <v>17</v>
      </c>
      <c r="J724" s="34"/>
      <c r="K724" s="14">
        <v>0</v>
      </c>
      <c r="U724" s="16"/>
    </row>
    <row r="725" spans="1:21" ht="15.75" customHeight="1">
      <c r="A725" s="8"/>
      <c r="C725" s="25" t="s">
        <v>974</v>
      </c>
      <c r="D725" s="17" t="s">
        <v>117</v>
      </c>
      <c r="E725" s="11">
        <v>42919</v>
      </c>
      <c r="F725" s="11">
        <v>43084</v>
      </c>
      <c r="G725" s="12" t="s">
        <v>20</v>
      </c>
      <c r="H725" s="17"/>
      <c r="I725" s="28" t="s">
        <v>17</v>
      </c>
      <c r="J725" s="34"/>
      <c r="K725" s="14">
        <v>0</v>
      </c>
      <c r="U725" s="16"/>
    </row>
    <row r="726" spans="1:21" ht="15.75" customHeight="1">
      <c r="A726" s="8"/>
      <c r="C726" s="25" t="s">
        <v>975</v>
      </c>
      <c r="D726" s="17" t="s">
        <v>917</v>
      </c>
      <c r="E726" s="11">
        <v>42919</v>
      </c>
      <c r="F726" s="11">
        <v>43084</v>
      </c>
      <c r="G726" s="12" t="s">
        <v>20</v>
      </c>
      <c r="H726" s="17"/>
      <c r="I726" s="28" t="s">
        <v>17</v>
      </c>
      <c r="J726" s="34"/>
      <c r="K726" s="14">
        <v>0</v>
      </c>
      <c r="U726" s="16"/>
    </row>
    <row r="727" spans="1:21" ht="15.75" customHeight="1">
      <c r="A727" s="8"/>
      <c r="C727" s="25" t="s">
        <v>976</v>
      </c>
      <c r="D727" s="17" t="s">
        <v>977</v>
      </c>
      <c r="E727" s="11">
        <v>42919</v>
      </c>
      <c r="F727" s="11">
        <v>43084</v>
      </c>
      <c r="G727" s="12" t="s">
        <v>20</v>
      </c>
      <c r="H727" s="17"/>
      <c r="I727" s="28" t="s">
        <v>17</v>
      </c>
      <c r="J727" s="34"/>
      <c r="K727" s="14">
        <v>0</v>
      </c>
      <c r="U727" s="16"/>
    </row>
    <row r="728" spans="1:21" ht="15.75" customHeight="1">
      <c r="A728" s="8"/>
      <c r="C728" s="30"/>
      <c r="H728" s="55" t="s">
        <v>42</v>
      </c>
      <c r="I728" s="56"/>
      <c r="J728" s="57"/>
      <c r="K728" s="19">
        <f>AVERAGE(K723:K727)</f>
        <v>0</v>
      </c>
      <c r="U728" s="16"/>
    </row>
    <row r="729" spans="1:21" ht="15.75" customHeight="1">
      <c r="A729" s="8"/>
      <c r="C729" s="30"/>
      <c r="U729" s="16"/>
    </row>
    <row r="730" spans="1:21" ht="15.75" customHeight="1">
      <c r="A730" s="8"/>
      <c r="C730" s="30"/>
      <c r="U730" s="16"/>
    </row>
    <row r="731" spans="1:21" ht="15.75" customHeight="1">
      <c r="A731" s="8"/>
      <c r="C731" s="30"/>
      <c r="U731" s="16"/>
    </row>
    <row r="732" spans="1:21" ht="15.75" customHeight="1">
      <c r="A732" s="8"/>
      <c r="C732" s="30"/>
      <c r="U732" s="16"/>
    </row>
    <row r="733" spans="1:21" ht="15.75" customHeight="1">
      <c r="A733" s="8"/>
      <c r="C733" s="30"/>
      <c r="U733" s="16"/>
    </row>
    <row r="734" spans="1:21" ht="15.75" customHeight="1">
      <c r="A734" s="8"/>
      <c r="C734" s="30"/>
      <c r="U734" s="16"/>
    </row>
    <row r="735" spans="1:21" ht="15.75" customHeight="1">
      <c r="A735" s="8"/>
      <c r="C735" s="30"/>
      <c r="U735" s="16"/>
    </row>
    <row r="736" spans="1:21" ht="15.75" customHeight="1">
      <c r="A736" s="8"/>
      <c r="C736" s="30"/>
      <c r="U736" s="16"/>
    </row>
    <row r="737" spans="1:21" ht="15.75" customHeight="1">
      <c r="A737" s="8"/>
      <c r="C737" s="30"/>
      <c r="U737" s="16"/>
    </row>
    <row r="738" spans="1:21" ht="15.75" customHeight="1">
      <c r="A738" s="8"/>
      <c r="C738" s="30"/>
      <c r="U738" s="16"/>
    </row>
    <row r="739" spans="1:21" ht="15.75" customHeight="1">
      <c r="A739" s="8"/>
      <c r="C739" s="30"/>
      <c r="U739" s="16"/>
    </row>
    <row r="740" spans="1:21" ht="15.75" customHeight="1">
      <c r="A740" s="8"/>
      <c r="C740" s="30"/>
      <c r="U740" s="16"/>
    </row>
    <row r="741" spans="1:21" ht="15.75" customHeight="1">
      <c r="A741" s="8"/>
      <c r="C741" s="30"/>
      <c r="U741" s="16"/>
    </row>
    <row r="742" spans="1:21" ht="15.75" customHeight="1">
      <c r="A742" s="8"/>
      <c r="C742" s="30"/>
      <c r="U742" s="16"/>
    </row>
    <row r="743" spans="1:21" ht="15.75" customHeight="1">
      <c r="A743" s="8"/>
      <c r="C743" s="30"/>
      <c r="U743" s="16"/>
    </row>
    <row r="744" spans="1:21" ht="15.75" customHeight="1">
      <c r="A744" s="8"/>
      <c r="C744" s="30"/>
      <c r="U744" s="16"/>
    </row>
    <row r="745" spans="1:21" ht="15.75" customHeight="1">
      <c r="A745" s="8"/>
      <c r="C745" s="30"/>
      <c r="U745" s="16"/>
    </row>
    <row r="746" spans="1:21" ht="15.75" customHeight="1">
      <c r="A746" s="8"/>
      <c r="C746" s="30"/>
      <c r="U746" s="16"/>
    </row>
    <row r="747" spans="1:21" ht="15.75" customHeight="1">
      <c r="A747" s="8"/>
      <c r="C747" s="30"/>
      <c r="U747" s="16"/>
    </row>
    <row r="748" spans="1:21" ht="15.75" customHeight="1">
      <c r="A748" s="8"/>
      <c r="C748" s="30"/>
      <c r="U748" s="16"/>
    </row>
    <row r="749" spans="1:21" ht="15.75" customHeight="1">
      <c r="A749" s="8"/>
      <c r="C749" s="30"/>
      <c r="U749" s="16"/>
    </row>
    <row r="750" spans="1:21" ht="15.75" customHeight="1">
      <c r="A750" s="8"/>
      <c r="C750" s="30"/>
      <c r="U750" s="16"/>
    </row>
    <row r="751" spans="1:21" ht="15.75" customHeight="1">
      <c r="A751" s="8"/>
      <c r="C751" s="30"/>
      <c r="U751" s="16"/>
    </row>
    <row r="752" spans="1:21" ht="15.75" customHeight="1">
      <c r="A752" s="8"/>
      <c r="C752" s="30"/>
      <c r="U752" s="16"/>
    </row>
    <row r="753" spans="1:21" ht="15.75" customHeight="1">
      <c r="A753" s="8"/>
      <c r="C753" s="30"/>
      <c r="U753" s="16"/>
    </row>
    <row r="754" spans="1:21" ht="15.75" customHeight="1">
      <c r="A754" s="8"/>
      <c r="C754" s="30"/>
      <c r="U754" s="16"/>
    </row>
    <row r="755" spans="1:21" ht="15.75" customHeight="1">
      <c r="A755" s="8"/>
      <c r="C755" s="30"/>
      <c r="U755" s="16"/>
    </row>
    <row r="756" spans="1:21" ht="15.75" customHeight="1">
      <c r="A756" s="8"/>
      <c r="C756" s="30"/>
      <c r="U756" s="16"/>
    </row>
    <row r="757" spans="1:21" ht="15.75" customHeight="1">
      <c r="A757" s="8"/>
      <c r="C757" s="30"/>
      <c r="U757" s="16"/>
    </row>
    <row r="758" spans="1:21" ht="15.75" customHeight="1">
      <c r="A758" s="8"/>
      <c r="C758" s="30"/>
      <c r="U758" s="16"/>
    </row>
    <row r="759" spans="1:21" ht="15.75" customHeight="1">
      <c r="A759" s="8"/>
      <c r="C759" s="30"/>
      <c r="U759" s="16"/>
    </row>
    <row r="760" spans="1:21" ht="15.75" customHeight="1">
      <c r="A760" s="8"/>
      <c r="C760" s="30"/>
      <c r="U760" s="16"/>
    </row>
    <row r="761" spans="1:21" ht="15.75" customHeight="1">
      <c r="A761" s="8"/>
      <c r="C761" s="30"/>
      <c r="U761" s="16"/>
    </row>
    <row r="762" spans="1:21" ht="15.75" customHeight="1">
      <c r="A762" s="8"/>
      <c r="C762" s="30"/>
      <c r="U762" s="16"/>
    </row>
    <row r="763" spans="1:21" ht="15.75" customHeight="1">
      <c r="A763" s="8"/>
      <c r="C763" s="30"/>
      <c r="U763" s="16"/>
    </row>
    <row r="764" spans="1:21" ht="15.75" customHeight="1">
      <c r="A764" s="8"/>
      <c r="C764" s="30"/>
      <c r="U764" s="16"/>
    </row>
    <row r="765" spans="1:21" ht="15.75" customHeight="1">
      <c r="A765" s="8"/>
      <c r="C765" s="30"/>
      <c r="U765" s="16"/>
    </row>
    <row r="766" spans="1:21" ht="15.75" customHeight="1">
      <c r="A766" s="8"/>
      <c r="C766" s="30"/>
      <c r="U766" s="16"/>
    </row>
    <row r="767" spans="1:21" ht="15.75" customHeight="1">
      <c r="A767" s="8"/>
      <c r="C767" s="30"/>
      <c r="U767" s="16"/>
    </row>
    <row r="768" spans="1:21" ht="15.75" customHeight="1">
      <c r="A768" s="8"/>
      <c r="C768" s="30"/>
      <c r="U768" s="16"/>
    </row>
    <row r="769" spans="1:21" ht="15.75" customHeight="1">
      <c r="A769" s="8"/>
      <c r="C769" s="30"/>
      <c r="U769" s="16"/>
    </row>
    <row r="770" spans="1:21" ht="15.75" customHeight="1">
      <c r="A770" s="8"/>
      <c r="C770" s="30"/>
      <c r="U770" s="16"/>
    </row>
    <row r="771" spans="1:21" ht="15.75" customHeight="1">
      <c r="A771" s="8"/>
      <c r="C771" s="30"/>
      <c r="U771" s="16"/>
    </row>
    <row r="772" spans="1:21" ht="15.75" customHeight="1">
      <c r="A772" s="8"/>
      <c r="C772" s="30"/>
      <c r="U772" s="16"/>
    </row>
    <row r="773" spans="1:21" ht="15.75" customHeight="1">
      <c r="A773" s="8"/>
      <c r="C773" s="30"/>
      <c r="U773" s="16"/>
    </row>
    <row r="774" spans="1:21" ht="15.75" customHeight="1">
      <c r="A774" s="8"/>
      <c r="C774" s="30"/>
      <c r="U774" s="16"/>
    </row>
    <row r="775" spans="1:21" ht="15.75" customHeight="1">
      <c r="A775" s="8"/>
      <c r="C775" s="30"/>
      <c r="U775" s="16"/>
    </row>
    <row r="776" spans="1:21" ht="15.75" customHeight="1">
      <c r="A776" s="8"/>
      <c r="C776" s="30"/>
      <c r="U776" s="16"/>
    </row>
    <row r="777" spans="1:21" ht="15.75" customHeight="1">
      <c r="A777" s="8"/>
      <c r="C777" s="30"/>
      <c r="U777" s="16"/>
    </row>
    <row r="778" spans="1:21" ht="15.75" customHeight="1">
      <c r="A778" s="8"/>
      <c r="C778" s="30"/>
      <c r="U778" s="16"/>
    </row>
    <row r="779" spans="1:21" ht="15.75" customHeight="1">
      <c r="A779" s="8"/>
      <c r="C779" s="30"/>
      <c r="U779" s="16"/>
    </row>
    <row r="780" spans="1:21" ht="15.75" customHeight="1">
      <c r="A780" s="8"/>
      <c r="C780" s="30"/>
      <c r="U780" s="16"/>
    </row>
    <row r="781" spans="1:21" ht="15.75" customHeight="1">
      <c r="A781" s="8"/>
      <c r="C781" s="30"/>
      <c r="U781" s="16"/>
    </row>
    <row r="782" spans="1:21" ht="15.75" customHeight="1">
      <c r="A782" s="8"/>
      <c r="C782" s="30"/>
      <c r="U782" s="16"/>
    </row>
    <row r="783" spans="1:21" ht="15.75" customHeight="1">
      <c r="A783" s="8"/>
      <c r="C783" s="30"/>
      <c r="U783" s="16"/>
    </row>
    <row r="784" spans="1:21" ht="15.75" customHeight="1">
      <c r="A784" s="8"/>
      <c r="C784" s="30"/>
      <c r="U784" s="16"/>
    </row>
    <row r="785" spans="1:21" ht="15.75" customHeight="1">
      <c r="A785" s="8"/>
      <c r="C785" s="30"/>
      <c r="U785" s="16"/>
    </row>
    <row r="786" spans="1:21" ht="15.75" customHeight="1">
      <c r="A786" s="8"/>
      <c r="C786" s="30"/>
      <c r="U786" s="16"/>
    </row>
    <row r="787" spans="1:21" ht="15.75" customHeight="1">
      <c r="A787" s="8"/>
      <c r="C787" s="30"/>
      <c r="U787" s="16"/>
    </row>
    <row r="788" spans="1:21" ht="15.75" customHeight="1">
      <c r="A788" s="8"/>
      <c r="C788" s="30"/>
      <c r="U788" s="16"/>
    </row>
    <row r="789" spans="1:21" ht="15.75" customHeight="1">
      <c r="A789" s="8"/>
      <c r="C789" s="30"/>
      <c r="U789" s="16"/>
    </row>
    <row r="790" spans="1:21" ht="15.75" customHeight="1">
      <c r="A790" s="8"/>
      <c r="C790" s="30"/>
      <c r="U790" s="16"/>
    </row>
    <row r="791" spans="1:21" ht="15.75" customHeight="1">
      <c r="A791" s="8"/>
      <c r="C791" s="30"/>
      <c r="U791" s="16"/>
    </row>
    <row r="792" spans="1:21" ht="15.75" customHeight="1">
      <c r="A792" s="8"/>
      <c r="C792" s="30"/>
      <c r="U792" s="16"/>
    </row>
    <row r="793" spans="1:21" ht="15.75" customHeight="1">
      <c r="A793" s="8"/>
      <c r="C793" s="30"/>
      <c r="U793" s="16"/>
    </row>
    <row r="794" spans="1:21" ht="15.75" customHeight="1">
      <c r="A794" s="8"/>
      <c r="C794" s="30"/>
      <c r="U794" s="16"/>
    </row>
    <row r="795" spans="1:21" ht="15.75" customHeight="1">
      <c r="A795" s="8"/>
      <c r="C795" s="30"/>
      <c r="U795" s="16"/>
    </row>
    <row r="796" spans="1:21" ht="15.75" customHeight="1">
      <c r="A796" s="8"/>
      <c r="C796" s="30"/>
      <c r="U796" s="16"/>
    </row>
    <row r="797" spans="1:21" ht="15.75" customHeight="1">
      <c r="A797" s="8"/>
      <c r="C797" s="30"/>
      <c r="U797" s="16"/>
    </row>
    <row r="798" spans="1:21" ht="15.75" customHeight="1">
      <c r="A798" s="8"/>
      <c r="C798" s="30"/>
      <c r="U798" s="16"/>
    </row>
    <row r="799" spans="1:21" ht="15.75" customHeight="1">
      <c r="A799" s="8"/>
      <c r="C799" s="30"/>
      <c r="U799" s="16"/>
    </row>
    <row r="800" spans="1:21" ht="15.75" customHeight="1">
      <c r="A800" s="8"/>
      <c r="C800" s="30"/>
      <c r="U800" s="16"/>
    </row>
    <row r="801" spans="1:21" ht="15.75" customHeight="1">
      <c r="A801" s="8"/>
      <c r="C801" s="30"/>
      <c r="U801" s="16"/>
    </row>
    <row r="802" spans="1:21" ht="15.75" customHeight="1">
      <c r="A802" s="8"/>
      <c r="C802" s="30"/>
      <c r="U802" s="16"/>
    </row>
    <row r="803" spans="1:21" ht="15.75" customHeight="1">
      <c r="A803" s="8"/>
      <c r="C803" s="30"/>
      <c r="U803" s="16"/>
    </row>
    <row r="804" spans="1:21" ht="15.75" customHeight="1">
      <c r="A804" s="8"/>
      <c r="C804" s="30"/>
      <c r="U804" s="16"/>
    </row>
    <row r="805" spans="1:21" ht="15.75" customHeight="1">
      <c r="A805" s="8"/>
      <c r="C805" s="30"/>
      <c r="U805" s="16"/>
    </row>
    <row r="806" spans="1:21" ht="15.75" customHeight="1">
      <c r="A806" s="8"/>
      <c r="C806" s="30"/>
      <c r="U806" s="16"/>
    </row>
    <row r="807" spans="1:21" ht="15.75" customHeight="1">
      <c r="A807" s="8"/>
      <c r="C807" s="30"/>
      <c r="U807" s="16"/>
    </row>
    <row r="808" spans="1:21" ht="15.75" customHeight="1">
      <c r="A808" s="8"/>
      <c r="C808" s="30"/>
      <c r="U808" s="16"/>
    </row>
    <row r="809" spans="1:21" ht="15.75" customHeight="1">
      <c r="A809" s="8"/>
      <c r="C809" s="30"/>
      <c r="U809" s="16"/>
    </row>
    <row r="810" spans="1:21" ht="15.75" customHeight="1">
      <c r="A810" s="8"/>
      <c r="C810" s="30"/>
      <c r="U810" s="16"/>
    </row>
    <row r="811" spans="1:21" ht="15.75" customHeight="1">
      <c r="A811" s="8"/>
      <c r="C811" s="30"/>
      <c r="U811" s="16"/>
    </row>
    <row r="812" spans="1:21" ht="15.75" customHeight="1">
      <c r="A812" s="8"/>
      <c r="C812" s="30"/>
      <c r="U812" s="16"/>
    </row>
    <row r="813" spans="1:21" ht="15.75" customHeight="1">
      <c r="A813" s="8"/>
      <c r="C813" s="30"/>
      <c r="U813" s="16"/>
    </row>
    <row r="814" spans="1:21" ht="15.75" customHeight="1">
      <c r="A814" s="8"/>
      <c r="C814" s="30"/>
      <c r="U814" s="16"/>
    </row>
    <row r="815" spans="1:21" ht="15.75" customHeight="1">
      <c r="A815" s="8"/>
      <c r="C815" s="30"/>
      <c r="U815" s="16"/>
    </row>
    <row r="816" spans="1:21" ht="15.75" customHeight="1">
      <c r="A816" s="8"/>
      <c r="C816" s="30"/>
      <c r="U816" s="16"/>
    </row>
    <row r="817" spans="1:21" ht="15.75" customHeight="1">
      <c r="A817" s="8"/>
      <c r="C817" s="30"/>
      <c r="U817" s="16"/>
    </row>
    <row r="818" spans="1:21" ht="15.75" customHeight="1">
      <c r="A818" s="8"/>
      <c r="C818" s="30"/>
      <c r="U818" s="16"/>
    </row>
    <row r="819" spans="1:21" ht="15.75" customHeight="1">
      <c r="A819" s="8"/>
      <c r="C819" s="30"/>
      <c r="U819" s="16"/>
    </row>
    <row r="820" spans="1:21" ht="15.75" customHeight="1">
      <c r="A820" s="8"/>
      <c r="C820" s="30"/>
      <c r="U820" s="16"/>
    </row>
    <row r="821" spans="1:21" ht="15.75" customHeight="1">
      <c r="A821" s="8"/>
      <c r="C821" s="30"/>
      <c r="U821" s="16"/>
    </row>
    <row r="822" spans="1:21" ht="15.75" customHeight="1">
      <c r="A822" s="8"/>
      <c r="C822" s="30"/>
      <c r="U822" s="16"/>
    </row>
    <row r="823" spans="1:21" ht="15.75" customHeight="1">
      <c r="A823" s="8"/>
      <c r="C823" s="30"/>
      <c r="U823" s="16"/>
    </row>
    <row r="824" spans="1:21" ht="15.75" customHeight="1">
      <c r="A824" s="8"/>
      <c r="C824" s="30"/>
      <c r="U824" s="16"/>
    </row>
    <row r="825" spans="1:21" ht="15.75" customHeight="1">
      <c r="A825" s="8"/>
      <c r="C825" s="30"/>
      <c r="U825" s="16"/>
    </row>
    <row r="826" spans="1:21" ht="15.75" customHeight="1">
      <c r="A826" s="8"/>
      <c r="C826" s="30"/>
      <c r="U826" s="16"/>
    </row>
    <row r="827" spans="1:21" ht="15.75" customHeight="1">
      <c r="A827" s="8"/>
      <c r="C827" s="30"/>
      <c r="U827" s="16"/>
    </row>
    <row r="828" spans="1:21" ht="15.75" customHeight="1">
      <c r="A828" s="8"/>
      <c r="C828" s="30"/>
      <c r="U828" s="16"/>
    </row>
    <row r="829" spans="1:21" ht="15.75" customHeight="1">
      <c r="A829" s="8"/>
      <c r="C829" s="30"/>
      <c r="U829" s="16"/>
    </row>
    <row r="830" spans="1:21" ht="15.75" customHeight="1">
      <c r="A830" s="8"/>
      <c r="C830" s="30"/>
      <c r="U830" s="16"/>
    </row>
    <row r="831" spans="1:21" ht="15.75" customHeight="1">
      <c r="A831" s="8"/>
      <c r="C831" s="30"/>
      <c r="U831" s="16"/>
    </row>
    <row r="832" spans="1:21" ht="15.75" customHeight="1">
      <c r="A832" s="8"/>
      <c r="C832" s="30"/>
      <c r="U832" s="16"/>
    </row>
    <row r="833" spans="1:21" ht="15.75" customHeight="1">
      <c r="A833" s="8"/>
      <c r="C833" s="30"/>
      <c r="U833" s="16"/>
    </row>
    <row r="834" spans="1:21" ht="15.75" customHeight="1">
      <c r="A834" s="8"/>
      <c r="C834" s="30"/>
      <c r="U834" s="16"/>
    </row>
    <row r="835" spans="1:21" ht="15.75" customHeight="1">
      <c r="A835" s="8"/>
      <c r="C835" s="30"/>
      <c r="U835" s="16"/>
    </row>
    <row r="836" spans="1:21" ht="15.75" customHeight="1">
      <c r="A836" s="8"/>
      <c r="C836" s="30"/>
      <c r="U836" s="16"/>
    </row>
    <row r="837" spans="1:21" ht="15.75" customHeight="1">
      <c r="A837" s="8"/>
      <c r="C837" s="30"/>
      <c r="U837" s="16"/>
    </row>
    <row r="838" spans="1:21" ht="15.75" customHeight="1">
      <c r="A838" s="8"/>
      <c r="C838" s="30"/>
      <c r="U838" s="16"/>
    </row>
    <row r="839" spans="1:21" ht="15.75" customHeight="1">
      <c r="A839" s="8"/>
      <c r="C839" s="30"/>
      <c r="U839" s="16"/>
    </row>
    <row r="840" spans="1:21" ht="15.75" customHeight="1">
      <c r="A840" s="8"/>
      <c r="C840" s="30"/>
      <c r="U840" s="16"/>
    </row>
    <row r="841" spans="1:21" ht="15.75" customHeight="1">
      <c r="A841" s="8"/>
      <c r="C841" s="30"/>
      <c r="U841" s="16"/>
    </row>
    <row r="842" spans="1:21" ht="15.75" customHeight="1">
      <c r="A842" s="8"/>
      <c r="C842" s="30"/>
      <c r="U842" s="16"/>
    </row>
    <row r="843" spans="1:21" ht="15.75" customHeight="1">
      <c r="A843" s="8"/>
      <c r="C843" s="30"/>
      <c r="U843" s="16"/>
    </row>
    <row r="844" spans="1:21" ht="15.75" customHeight="1">
      <c r="A844" s="8"/>
      <c r="C844" s="30"/>
      <c r="U844" s="16"/>
    </row>
    <row r="845" spans="1:21" ht="15.75" customHeight="1">
      <c r="A845" s="8"/>
      <c r="C845" s="30"/>
      <c r="U845" s="16"/>
    </row>
    <row r="846" spans="1:21" ht="15.75" customHeight="1">
      <c r="A846" s="8"/>
      <c r="C846" s="30"/>
      <c r="U846" s="16"/>
    </row>
    <row r="847" spans="1:21" ht="15.75" customHeight="1">
      <c r="A847" s="8"/>
      <c r="C847" s="30"/>
      <c r="U847" s="16"/>
    </row>
    <row r="848" spans="1:21" ht="15.75" customHeight="1">
      <c r="A848" s="8"/>
      <c r="C848" s="30"/>
      <c r="U848" s="16"/>
    </row>
    <row r="849" spans="1:21" ht="15.75" customHeight="1">
      <c r="A849" s="8"/>
      <c r="C849" s="30"/>
      <c r="U849" s="16"/>
    </row>
    <row r="850" spans="1:21" ht="15.75" customHeight="1">
      <c r="A850" s="8"/>
      <c r="C850" s="30"/>
      <c r="U850" s="16"/>
    </row>
    <row r="851" spans="1:21" ht="15.75" customHeight="1">
      <c r="A851" s="8"/>
      <c r="C851" s="30"/>
      <c r="U851" s="16"/>
    </row>
    <row r="852" spans="1:21" ht="15.75" customHeight="1">
      <c r="A852" s="8"/>
      <c r="C852" s="30"/>
      <c r="U852" s="16"/>
    </row>
    <row r="853" spans="1:21" ht="15.75" customHeight="1">
      <c r="A853" s="8"/>
      <c r="C853" s="30"/>
      <c r="U853" s="16"/>
    </row>
    <row r="854" spans="1:21" ht="15.75" customHeight="1">
      <c r="A854" s="8"/>
      <c r="C854" s="30"/>
      <c r="U854" s="16"/>
    </row>
    <row r="855" spans="1:21" ht="15.75" customHeight="1">
      <c r="A855" s="8"/>
      <c r="C855" s="30"/>
      <c r="U855" s="16"/>
    </row>
    <row r="856" spans="1:21" ht="15.75" customHeight="1">
      <c r="A856" s="8"/>
      <c r="C856" s="30"/>
      <c r="U856" s="16"/>
    </row>
    <row r="857" spans="1:21" ht="15.75" customHeight="1">
      <c r="A857" s="8"/>
      <c r="C857" s="30"/>
      <c r="U857" s="16"/>
    </row>
    <row r="858" spans="1:21" ht="15.75" customHeight="1">
      <c r="A858" s="8"/>
      <c r="C858" s="30"/>
      <c r="U858" s="16"/>
    </row>
    <row r="859" spans="1:21" ht="15.75" customHeight="1">
      <c r="A859" s="8"/>
      <c r="C859" s="30"/>
      <c r="U859" s="16"/>
    </row>
    <row r="860" spans="1:21" ht="15.75" customHeight="1">
      <c r="A860" s="8"/>
      <c r="C860" s="30"/>
      <c r="U860" s="16"/>
    </row>
    <row r="861" spans="1:21" ht="15.75" customHeight="1">
      <c r="A861" s="8"/>
      <c r="C861" s="30"/>
      <c r="U861" s="16"/>
    </row>
    <row r="862" spans="1:21" ht="15.75" customHeight="1">
      <c r="A862" s="8"/>
      <c r="C862" s="30"/>
      <c r="U862" s="16"/>
    </row>
    <row r="863" spans="1:21" ht="15.75" customHeight="1">
      <c r="A863" s="8"/>
      <c r="C863" s="30"/>
      <c r="U863" s="16"/>
    </row>
    <row r="864" spans="1:21" ht="15.75" customHeight="1">
      <c r="A864" s="8"/>
      <c r="C864" s="30"/>
      <c r="U864" s="16"/>
    </row>
    <row r="865" spans="1:21" ht="15.75" customHeight="1">
      <c r="A865" s="8"/>
      <c r="C865" s="30"/>
      <c r="U865" s="16"/>
    </row>
    <row r="866" spans="1:21" ht="15.75" customHeight="1">
      <c r="A866" s="8"/>
      <c r="C866" s="30"/>
      <c r="U866" s="16"/>
    </row>
    <row r="867" spans="1:21" ht="15.75" customHeight="1">
      <c r="A867" s="8"/>
      <c r="C867" s="30"/>
      <c r="U867" s="16"/>
    </row>
    <row r="868" spans="1:21" ht="15.75" customHeight="1">
      <c r="A868" s="8"/>
      <c r="C868" s="30"/>
      <c r="U868" s="16"/>
    </row>
    <row r="869" spans="1:21" ht="15.75" customHeight="1">
      <c r="A869" s="8"/>
      <c r="C869" s="30"/>
      <c r="U869" s="16"/>
    </row>
    <row r="870" spans="1:21" ht="15.75" customHeight="1">
      <c r="A870" s="8"/>
      <c r="C870" s="30"/>
      <c r="U870" s="16"/>
    </row>
    <row r="871" spans="1:21" ht="15.75" customHeight="1">
      <c r="A871" s="8"/>
      <c r="C871" s="30"/>
      <c r="U871" s="16"/>
    </row>
    <row r="872" spans="1:21" ht="15.75" customHeight="1">
      <c r="A872" s="8"/>
      <c r="C872" s="30"/>
      <c r="U872" s="16"/>
    </row>
    <row r="873" spans="1:21" ht="15.75" customHeight="1">
      <c r="A873" s="8"/>
      <c r="C873" s="30"/>
      <c r="U873" s="16"/>
    </row>
    <row r="874" spans="1:21" ht="15.75" customHeight="1">
      <c r="A874" s="8"/>
      <c r="C874" s="30"/>
      <c r="U874" s="16"/>
    </row>
    <row r="875" spans="1:21" ht="15.75" customHeight="1">
      <c r="A875" s="8"/>
      <c r="C875" s="30"/>
      <c r="U875" s="16"/>
    </row>
    <row r="876" spans="1:21" ht="15.75" customHeight="1">
      <c r="A876" s="8"/>
      <c r="C876" s="30"/>
      <c r="U876" s="16"/>
    </row>
    <row r="877" spans="1:21" ht="15.75" customHeight="1">
      <c r="A877" s="8"/>
      <c r="C877" s="30"/>
      <c r="U877" s="16"/>
    </row>
    <row r="878" spans="1:21" ht="15.75" customHeight="1">
      <c r="A878" s="8"/>
      <c r="C878" s="30"/>
      <c r="U878" s="16"/>
    </row>
    <row r="879" spans="1:21" ht="15.75" customHeight="1">
      <c r="A879" s="8"/>
      <c r="C879" s="30"/>
      <c r="U879" s="16"/>
    </row>
    <row r="880" spans="1:21" ht="15.75" customHeight="1">
      <c r="A880" s="8"/>
      <c r="C880" s="30"/>
      <c r="U880" s="16"/>
    </row>
    <row r="881" spans="1:21" ht="15.75" customHeight="1">
      <c r="A881" s="8"/>
      <c r="C881" s="30"/>
      <c r="U881" s="16"/>
    </row>
    <row r="882" spans="1:21" ht="15.75" customHeight="1">
      <c r="A882" s="8"/>
      <c r="C882" s="30"/>
      <c r="U882" s="16"/>
    </row>
    <row r="883" spans="1:21" ht="15.75" customHeight="1">
      <c r="A883" s="8"/>
      <c r="C883" s="30"/>
      <c r="U883" s="16"/>
    </row>
    <row r="884" spans="1:21" ht="15.75" customHeight="1">
      <c r="A884" s="8"/>
      <c r="C884" s="30"/>
      <c r="U884" s="16"/>
    </row>
    <row r="885" spans="1:21" ht="15.75" customHeight="1">
      <c r="A885" s="8"/>
      <c r="C885" s="30"/>
      <c r="U885" s="16"/>
    </row>
    <row r="886" spans="1:21" ht="15.75" customHeight="1">
      <c r="A886" s="8"/>
      <c r="C886" s="30"/>
      <c r="U886" s="16"/>
    </row>
    <row r="887" spans="1:21" ht="15.75" customHeight="1">
      <c r="A887" s="8"/>
      <c r="C887" s="30"/>
      <c r="U887" s="16"/>
    </row>
    <row r="888" spans="1:21" ht="15.75" customHeight="1">
      <c r="A888" s="8"/>
      <c r="C888" s="30"/>
      <c r="U888" s="16"/>
    </row>
    <row r="889" spans="1:21" ht="15.75" customHeight="1">
      <c r="A889" s="8"/>
      <c r="C889" s="30"/>
      <c r="U889" s="16"/>
    </row>
    <row r="890" spans="1:21" ht="15.75" customHeight="1">
      <c r="A890" s="8"/>
      <c r="C890" s="30"/>
      <c r="U890" s="16"/>
    </row>
    <row r="891" spans="1:21" ht="15.75" customHeight="1">
      <c r="A891" s="8"/>
      <c r="C891" s="30"/>
      <c r="U891" s="16"/>
    </row>
    <row r="892" spans="1:21" ht="15.75" customHeight="1">
      <c r="A892" s="8"/>
      <c r="C892" s="30"/>
      <c r="U892" s="16"/>
    </row>
    <row r="893" spans="1:21" ht="15.75" customHeight="1">
      <c r="A893" s="8"/>
      <c r="C893" s="30"/>
      <c r="U893" s="16"/>
    </row>
    <row r="894" spans="1:21" ht="15.75" customHeight="1">
      <c r="A894" s="8"/>
      <c r="C894" s="30"/>
      <c r="U894" s="16"/>
    </row>
    <row r="895" spans="1:21" ht="15.75" customHeight="1">
      <c r="A895" s="8"/>
      <c r="C895" s="30"/>
      <c r="U895" s="16"/>
    </row>
    <row r="896" spans="1:21" ht="15.75" customHeight="1">
      <c r="A896" s="8"/>
      <c r="C896" s="30"/>
      <c r="U896" s="16"/>
    </row>
    <row r="897" spans="1:21" ht="15.75" customHeight="1">
      <c r="A897" s="8"/>
      <c r="C897" s="30"/>
      <c r="U897" s="16"/>
    </row>
    <row r="898" spans="1:21" ht="15.75" customHeight="1">
      <c r="A898" s="8"/>
      <c r="C898" s="30"/>
      <c r="U898" s="16"/>
    </row>
    <row r="899" spans="1:21" ht="15.75" customHeight="1">
      <c r="A899" s="8"/>
      <c r="C899" s="30"/>
      <c r="U899" s="16"/>
    </row>
    <row r="900" spans="1:21" ht="15.75" customHeight="1">
      <c r="A900" s="8"/>
      <c r="C900" s="30"/>
      <c r="U900" s="16"/>
    </row>
    <row r="901" spans="1:21" ht="15.75" customHeight="1">
      <c r="A901" s="8"/>
      <c r="C901" s="30"/>
      <c r="U901" s="16"/>
    </row>
    <row r="902" spans="1:21" ht="15.75" customHeight="1">
      <c r="A902" s="8"/>
      <c r="C902" s="30"/>
      <c r="U902" s="16"/>
    </row>
    <row r="903" spans="1:21" ht="15.75" customHeight="1">
      <c r="A903" s="8"/>
      <c r="C903" s="30"/>
      <c r="U903" s="16"/>
    </row>
    <row r="904" spans="1:21" ht="15.75" customHeight="1">
      <c r="A904" s="8"/>
      <c r="C904" s="30"/>
      <c r="U904" s="16"/>
    </row>
    <row r="905" spans="1:21" ht="15.75" customHeight="1">
      <c r="A905" s="8"/>
      <c r="C905" s="30"/>
      <c r="U905" s="16"/>
    </row>
    <row r="906" spans="1:21" ht="15.75" customHeight="1">
      <c r="A906" s="8"/>
      <c r="C906" s="30"/>
      <c r="U906" s="16"/>
    </row>
    <row r="907" spans="1:21" ht="15.75" customHeight="1">
      <c r="A907" s="8"/>
      <c r="C907" s="30"/>
      <c r="U907" s="16"/>
    </row>
    <row r="908" spans="1:21" ht="15.75" customHeight="1">
      <c r="A908" s="8"/>
      <c r="C908" s="30"/>
      <c r="U908" s="16"/>
    </row>
    <row r="909" spans="1:21" ht="15.75" customHeight="1">
      <c r="A909" s="8"/>
      <c r="C909" s="30"/>
      <c r="U909" s="16"/>
    </row>
    <row r="910" spans="1:21" ht="15.75" customHeight="1">
      <c r="A910" s="8"/>
      <c r="C910" s="30"/>
      <c r="U910" s="16"/>
    </row>
    <row r="911" spans="1:21" ht="15.75" customHeight="1">
      <c r="A911" s="8"/>
      <c r="C911" s="30"/>
      <c r="U911" s="16"/>
    </row>
    <row r="912" spans="1:21" ht="15.75" customHeight="1">
      <c r="A912" s="8"/>
      <c r="C912" s="30"/>
      <c r="U912" s="16"/>
    </row>
    <row r="913" spans="1:21" ht="15.75" customHeight="1">
      <c r="A913" s="8"/>
      <c r="C913" s="30"/>
      <c r="U913" s="16"/>
    </row>
    <row r="914" spans="1:21" ht="15.75" customHeight="1">
      <c r="A914" s="8"/>
      <c r="C914" s="30"/>
      <c r="U914" s="16"/>
    </row>
    <row r="915" spans="1:21" ht="15.75" customHeight="1">
      <c r="A915" s="8"/>
      <c r="C915" s="30"/>
      <c r="U915" s="16"/>
    </row>
    <row r="916" spans="1:21" ht="15.75" customHeight="1">
      <c r="A916" s="8"/>
      <c r="C916" s="30"/>
      <c r="U916" s="16"/>
    </row>
    <row r="917" spans="1:21" ht="15.75" customHeight="1">
      <c r="A917" s="8"/>
      <c r="C917" s="30"/>
      <c r="U917" s="16"/>
    </row>
    <row r="918" spans="1:21" ht="15.75" customHeight="1">
      <c r="A918" s="8"/>
      <c r="C918" s="30"/>
      <c r="U918" s="16"/>
    </row>
    <row r="919" spans="1:21" ht="15.75" customHeight="1">
      <c r="A919" s="8"/>
      <c r="C919" s="30"/>
      <c r="U919" s="16"/>
    </row>
    <row r="920" spans="1:21" ht="15.75" customHeight="1">
      <c r="A920" s="8"/>
      <c r="C920" s="30"/>
      <c r="U920" s="16"/>
    </row>
    <row r="921" spans="1:21" ht="15.75" customHeight="1">
      <c r="A921" s="8"/>
      <c r="C921" s="30"/>
      <c r="U921" s="16"/>
    </row>
    <row r="922" spans="1:21" ht="15.75" customHeight="1">
      <c r="A922" s="8"/>
      <c r="C922" s="30"/>
      <c r="U922" s="16"/>
    </row>
    <row r="923" spans="1:21" ht="15.75" customHeight="1">
      <c r="A923" s="8"/>
      <c r="C923" s="30"/>
      <c r="U923" s="16"/>
    </row>
    <row r="924" spans="1:21" ht="15.75" customHeight="1">
      <c r="A924" s="8"/>
      <c r="C924" s="30"/>
      <c r="U924" s="16"/>
    </row>
    <row r="925" spans="1:21" ht="15.75" customHeight="1">
      <c r="A925" s="8"/>
      <c r="C925" s="30"/>
      <c r="U925" s="16"/>
    </row>
    <row r="926" spans="1:21" ht="15.75" customHeight="1">
      <c r="A926" s="8"/>
      <c r="C926" s="30"/>
      <c r="U926" s="16"/>
    </row>
    <row r="927" spans="1:21" ht="15.75" customHeight="1">
      <c r="A927" s="8"/>
      <c r="C927" s="30"/>
      <c r="U927" s="16"/>
    </row>
    <row r="928" spans="1:21" ht="15.75" customHeight="1">
      <c r="A928" s="8"/>
      <c r="C928" s="30"/>
      <c r="U928" s="16"/>
    </row>
  </sheetData>
  <mergeCells count="286">
    <mergeCell ref="A721:A722"/>
    <mergeCell ref="B721:D722"/>
    <mergeCell ref="E721:F721"/>
    <mergeCell ref="G721:H721"/>
    <mergeCell ref="I721:K721"/>
    <mergeCell ref="H728:J728"/>
    <mergeCell ref="H719:J719"/>
    <mergeCell ref="I525:K525"/>
    <mergeCell ref="H523:J523"/>
    <mergeCell ref="A525:A526"/>
    <mergeCell ref="B525:D526"/>
    <mergeCell ref="E525:F525"/>
    <mergeCell ref="G525:H525"/>
    <mergeCell ref="A506:A507"/>
    <mergeCell ref="B506:D507"/>
    <mergeCell ref="I506:K506"/>
    <mergeCell ref="I474:K474"/>
    <mergeCell ref="H472:J472"/>
    <mergeCell ref="A474:A475"/>
    <mergeCell ref="B474:D475"/>
    <mergeCell ref="E474:F474"/>
    <mergeCell ref="G474:H474"/>
    <mergeCell ref="A460:A461"/>
    <mergeCell ref="B460:D461"/>
    <mergeCell ref="I460:K460"/>
    <mergeCell ref="A40:A41"/>
    <mergeCell ref="A58:A59"/>
    <mergeCell ref="A277:A278"/>
    <mergeCell ref="A267:A268"/>
    <mergeCell ref="A122:A123"/>
    <mergeCell ref="A180:A181"/>
    <mergeCell ref="A166:A167"/>
    <mergeCell ref="A80:A81"/>
    <mergeCell ref="A154:A155"/>
    <mergeCell ref="I321:K321"/>
    <mergeCell ref="H319:J319"/>
    <mergeCell ref="H293:J293"/>
    <mergeCell ref="A321:A322"/>
    <mergeCell ref="B321:D322"/>
    <mergeCell ref="E321:F321"/>
    <mergeCell ref="G321:H321"/>
    <mergeCell ref="A308:A309"/>
    <mergeCell ref="B308:D309"/>
    <mergeCell ref="I308:K308"/>
    <mergeCell ref="A337:A338"/>
    <mergeCell ref="B337:D338"/>
    <mergeCell ref="I337:K337"/>
    <mergeCell ref="E337:F337"/>
    <mergeCell ref="G337:H337"/>
    <mergeCell ref="A328:A329"/>
    <mergeCell ref="B328:D329"/>
    <mergeCell ref="E328:F328"/>
    <mergeCell ref="G328:H328"/>
    <mergeCell ref="I328:K328"/>
    <mergeCell ref="G360:H360"/>
    <mergeCell ref="A352:A353"/>
    <mergeCell ref="B352:D353"/>
    <mergeCell ref="E352:F352"/>
    <mergeCell ref="G352:H352"/>
    <mergeCell ref="I352:K352"/>
    <mergeCell ref="A345:A346"/>
    <mergeCell ref="B345:D346"/>
    <mergeCell ref="E345:F345"/>
    <mergeCell ref="G345:H345"/>
    <mergeCell ref="I345:K345"/>
    <mergeCell ref="I602:K602"/>
    <mergeCell ref="H600:J600"/>
    <mergeCell ref="G665:H665"/>
    <mergeCell ref="H663:J663"/>
    <mergeCell ref="E665:F665"/>
    <mergeCell ref="A655:A656"/>
    <mergeCell ref="B655:D656"/>
    <mergeCell ref="E655:F655"/>
    <mergeCell ref="G655:H655"/>
    <mergeCell ref="I655:K655"/>
    <mergeCell ref="H653:J653"/>
    <mergeCell ref="B680:D681"/>
    <mergeCell ref="E680:F680"/>
    <mergeCell ref="G680:H680"/>
    <mergeCell ref="I680:K680"/>
    <mergeCell ref="A665:A666"/>
    <mergeCell ref="B665:D666"/>
    <mergeCell ref="I665:K665"/>
    <mergeCell ref="H678:J678"/>
    <mergeCell ref="B694:D695"/>
    <mergeCell ref="E694:F694"/>
    <mergeCell ref="G694:H694"/>
    <mergeCell ref="I694:K694"/>
    <mergeCell ref="A694:A695"/>
    <mergeCell ref="H692:J692"/>
    <mergeCell ref="A680:A681"/>
    <mergeCell ref="E308:F308"/>
    <mergeCell ref="G308:H308"/>
    <mergeCell ref="A295:A296"/>
    <mergeCell ref="B295:D296"/>
    <mergeCell ref="E295:F295"/>
    <mergeCell ref="G295:H295"/>
    <mergeCell ref="I295:K295"/>
    <mergeCell ref="H306:J306"/>
    <mergeCell ref="I639:K639"/>
    <mergeCell ref="H637:J637"/>
    <mergeCell ref="A639:A640"/>
    <mergeCell ref="B639:D640"/>
    <mergeCell ref="E639:F639"/>
    <mergeCell ref="G639:H639"/>
    <mergeCell ref="A618:A619"/>
    <mergeCell ref="B618:D619"/>
    <mergeCell ref="I618:K618"/>
    <mergeCell ref="G618:H618"/>
    <mergeCell ref="H616:J616"/>
    <mergeCell ref="E618:F618"/>
    <mergeCell ref="A602:A603"/>
    <mergeCell ref="B602:D603"/>
    <mergeCell ref="E602:F602"/>
    <mergeCell ref="G602:H602"/>
    <mergeCell ref="H542:J542"/>
    <mergeCell ref="E544:F544"/>
    <mergeCell ref="A535:A536"/>
    <mergeCell ref="B535:D536"/>
    <mergeCell ref="E535:F535"/>
    <mergeCell ref="G535:H535"/>
    <mergeCell ref="I535:K535"/>
    <mergeCell ref="H533:J533"/>
    <mergeCell ref="H326:J326"/>
    <mergeCell ref="H335:J335"/>
    <mergeCell ref="H343:J343"/>
    <mergeCell ref="H350:J350"/>
    <mergeCell ref="H358:J358"/>
    <mergeCell ref="H365:J365"/>
    <mergeCell ref="H373:J373"/>
    <mergeCell ref="A367:A368"/>
    <mergeCell ref="B367:D368"/>
    <mergeCell ref="E367:F367"/>
    <mergeCell ref="G367:H367"/>
    <mergeCell ref="I367:K367"/>
    <mergeCell ref="A360:A361"/>
    <mergeCell ref="B360:D361"/>
    <mergeCell ref="I360:K360"/>
    <mergeCell ref="E360:F360"/>
    <mergeCell ref="G506:H506"/>
    <mergeCell ref="H504:J504"/>
    <mergeCell ref="E506:F506"/>
    <mergeCell ref="A489:A490"/>
    <mergeCell ref="B489:D490"/>
    <mergeCell ref="E489:F489"/>
    <mergeCell ref="G489:H489"/>
    <mergeCell ref="I489:K489"/>
    <mergeCell ref="H487:J487"/>
    <mergeCell ref="G460:H460"/>
    <mergeCell ref="H458:J458"/>
    <mergeCell ref="E460:F460"/>
    <mergeCell ref="A444:A445"/>
    <mergeCell ref="B444:D445"/>
    <mergeCell ref="E444:F444"/>
    <mergeCell ref="G444:H444"/>
    <mergeCell ref="I444:K444"/>
    <mergeCell ref="H442:J442"/>
    <mergeCell ref="I571:K571"/>
    <mergeCell ref="H569:J569"/>
    <mergeCell ref="A571:A572"/>
    <mergeCell ref="B571:D572"/>
    <mergeCell ref="E571:F571"/>
    <mergeCell ref="G571:H571"/>
    <mergeCell ref="A544:A545"/>
    <mergeCell ref="B544:D545"/>
    <mergeCell ref="I544:K544"/>
    <mergeCell ref="G544:H544"/>
    <mergeCell ref="E397:F397"/>
    <mergeCell ref="G397:H397"/>
    <mergeCell ref="A375:A376"/>
    <mergeCell ref="B375:D376"/>
    <mergeCell ref="E375:F375"/>
    <mergeCell ref="G375:H375"/>
    <mergeCell ref="I375:K375"/>
    <mergeCell ref="H395:J395"/>
    <mergeCell ref="I419:K419"/>
    <mergeCell ref="H417:J417"/>
    <mergeCell ref="A419:A420"/>
    <mergeCell ref="B419:D420"/>
    <mergeCell ref="E419:F419"/>
    <mergeCell ref="G419:H419"/>
    <mergeCell ref="A397:A398"/>
    <mergeCell ref="B397:D398"/>
    <mergeCell ref="I397:K397"/>
    <mergeCell ref="A104:A105"/>
    <mergeCell ref="B104:D105"/>
    <mergeCell ref="I217:K217"/>
    <mergeCell ref="H226:J226"/>
    <mergeCell ref="G205:H205"/>
    <mergeCell ref="I205:K205"/>
    <mergeCell ref="G193:H193"/>
    <mergeCell ref="I193:K193"/>
    <mergeCell ref="H191:J191"/>
    <mergeCell ref="H203:J203"/>
    <mergeCell ref="A140:A141"/>
    <mergeCell ref="B140:D141"/>
    <mergeCell ref="G58:H58"/>
    <mergeCell ref="I58:K58"/>
    <mergeCell ref="I18:K18"/>
    <mergeCell ref="G122:H122"/>
    <mergeCell ref="G140:H140"/>
    <mergeCell ref="I80:K80"/>
    <mergeCell ref="H102:J102"/>
    <mergeCell ref="B122:D123"/>
    <mergeCell ref="B180:D181"/>
    <mergeCell ref="B166:D167"/>
    <mergeCell ref="E80:F80"/>
    <mergeCell ref="G80:H80"/>
    <mergeCell ref="B154:D155"/>
    <mergeCell ref="I140:K140"/>
    <mergeCell ref="I104:K104"/>
    <mergeCell ref="I122:K122"/>
    <mergeCell ref="E217:F217"/>
    <mergeCell ref="G217:H217"/>
    <mergeCell ref="E104:F104"/>
    <mergeCell ref="G104:H104"/>
    <mergeCell ref="I180:K180"/>
    <mergeCell ref="H215:J215"/>
    <mergeCell ref="H178:J178"/>
    <mergeCell ref="E180:F180"/>
    <mergeCell ref="G180:H180"/>
    <mergeCell ref="G166:H166"/>
    <mergeCell ref="I166:K166"/>
    <mergeCell ref="G154:H154"/>
    <mergeCell ref="I154:K154"/>
    <mergeCell ref="E205:F205"/>
    <mergeCell ref="E193:F193"/>
    <mergeCell ref="A217:A218"/>
    <mergeCell ref="B217:D218"/>
    <mergeCell ref="I253:K253"/>
    <mergeCell ref="I228:K228"/>
    <mergeCell ref="E122:F122"/>
    <mergeCell ref="E166:F166"/>
    <mergeCell ref="E154:F154"/>
    <mergeCell ref="E140:F140"/>
    <mergeCell ref="H120:J120"/>
    <mergeCell ref="H138:J138"/>
    <mergeCell ref="H152:J152"/>
    <mergeCell ref="H164:J164"/>
    <mergeCell ref="A253:A254"/>
    <mergeCell ref="B253:D254"/>
    <mergeCell ref="A205:A206"/>
    <mergeCell ref="B205:D206"/>
    <mergeCell ref="A193:A194"/>
    <mergeCell ref="B193:D194"/>
    <mergeCell ref="E253:F253"/>
    <mergeCell ref="G253:H253"/>
    <mergeCell ref="H251:J251"/>
    <mergeCell ref="H265:J265"/>
    <mergeCell ref="A228:A229"/>
    <mergeCell ref="B228:D229"/>
    <mergeCell ref="E228:F228"/>
    <mergeCell ref="G228:H228"/>
    <mergeCell ref="I277:K277"/>
    <mergeCell ref="H275:J275"/>
    <mergeCell ref="B277:D278"/>
    <mergeCell ref="E277:F277"/>
    <mergeCell ref="G277:H277"/>
    <mergeCell ref="B267:D268"/>
    <mergeCell ref="E267:F267"/>
    <mergeCell ref="G267:H267"/>
    <mergeCell ref="I267:K267"/>
    <mergeCell ref="B3:D4"/>
    <mergeCell ref="A2:D2"/>
    <mergeCell ref="B58:D59"/>
    <mergeCell ref="H56:J56"/>
    <mergeCell ref="B80:D81"/>
    <mergeCell ref="B40:D41"/>
    <mergeCell ref="B1:K1"/>
    <mergeCell ref="A18:A19"/>
    <mergeCell ref="B18:D19"/>
    <mergeCell ref="A3:A4"/>
    <mergeCell ref="H38:J38"/>
    <mergeCell ref="H78:J78"/>
    <mergeCell ref="E2:F2"/>
    <mergeCell ref="I3:K3"/>
    <mergeCell ref="E3:F3"/>
    <mergeCell ref="G3:H3"/>
    <mergeCell ref="H2:I2"/>
    <mergeCell ref="E18:F18"/>
    <mergeCell ref="G18:H18"/>
    <mergeCell ref="H16:J16"/>
    <mergeCell ref="E40:F40"/>
    <mergeCell ref="G40:H40"/>
    <mergeCell ref="I40:K40"/>
    <mergeCell ref="E58:F58"/>
  </mergeCells>
  <conditionalFormatting sqref="I5:I15">
    <cfRule type="containsText" dxfId="283" priority="1" operator="containsText" text="atrasado">
      <formula>NOT(ISERROR(SEARCH(("atrasado"),(I5))))</formula>
    </cfRule>
  </conditionalFormatting>
  <conditionalFormatting sqref="I5:I15">
    <cfRule type="containsText" dxfId="282" priority="2" operator="containsText" text="em andamento">
      <formula>NOT(ISERROR(SEARCH(("em andamento"),(I5))))</formula>
    </cfRule>
  </conditionalFormatting>
  <conditionalFormatting sqref="I5:I15">
    <cfRule type="containsText" dxfId="281" priority="3" operator="containsText" text="Não iniciado">
      <formula>NOT(ISERROR(SEARCH(("Não iniciado"),(I5))))</formula>
    </cfRule>
  </conditionalFormatting>
  <conditionalFormatting sqref="I5:I15">
    <cfRule type="containsText" dxfId="280" priority="4" operator="containsText" text="concluído">
      <formula>NOT(ISERROR(SEARCH(("concluído"),(I5))))</formula>
    </cfRule>
  </conditionalFormatting>
  <conditionalFormatting sqref="I20:I27 I29:I30 I32 I34:I37">
    <cfRule type="containsText" dxfId="279" priority="5" operator="containsText" text="atrasado">
      <formula>NOT(ISERROR(SEARCH(("atrasado"),(I20))))</formula>
    </cfRule>
  </conditionalFormatting>
  <conditionalFormatting sqref="I20:I27 I29:I30 I32 I34:I37">
    <cfRule type="containsText" dxfId="278" priority="6" operator="containsText" text="em andamento">
      <formula>NOT(ISERROR(SEARCH(("em andamento"),(I20))))</formula>
    </cfRule>
  </conditionalFormatting>
  <conditionalFormatting sqref="I20:I27 I29:I30 I32 I34:I37">
    <cfRule type="containsText" dxfId="277" priority="7" operator="containsText" text="Não iniciado">
      <formula>NOT(ISERROR(SEARCH(("Não iniciado"),(I20))))</formula>
    </cfRule>
  </conditionalFormatting>
  <conditionalFormatting sqref="I20:I27 I29:I30 I32 I34:I37">
    <cfRule type="containsText" dxfId="276" priority="8" operator="containsText" text="concluído">
      <formula>NOT(ISERROR(SEARCH(("concluído"),(I20))))</formula>
    </cfRule>
  </conditionalFormatting>
  <conditionalFormatting sqref="I60:I67 I71:I77">
    <cfRule type="containsText" dxfId="275" priority="9" operator="containsText" text="atrasado">
      <formula>NOT(ISERROR(SEARCH(("atrasado"),(I60))))</formula>
    </cfRule>
  </conditionalFormatting>
  <conditionalFormatting sqref="I60:I67 I71:I77">
    <cfRule type="containsText" dxfId="274" priority="10" operator="containsText" text="em andamento">
      <formula>NOT(ISERROR(SEARCH(("em andamento"),(I60))))</formula>
    </cfRule>
  </conditionalFormatting>
  <conditionalFormatting sqref="I60:I67 I71:I77">
    <cfRule type="containsText" dxfId="273" priority="11" operator="containsText" text="Não iniciado">
      <formula>NOT(ISERROR(SEARCH(("Não iniciado"),(I60))))</formula>
    </cfRule>
  </conditionalFormatting>
  <conditionalFormatting sqref="I60:I67 I71:I77">
    <cfRule type="containsText" dxfId="272" priority="12" operator="containsText" text="concluído">
      <formula>NOT(ISERROR(SEARCH(("concluído"),(I60))))</formula>
    </cfRule>
  </conditionalFormatting>
  <conditionalFormatting sqref="I82">
    <cfRule type="containsText" dxfId="271" priority="13" operator="containsText" text="atrasado">
      <formula>NOT(ISERROR(SEARCH(("atrasado"),(I82))))</formula>
    </cfRule>
  </conditionalFormatting>
  <conditionalFormatting sqref="I82">
    <cfRule type="containsText" dxfId="270" priority="14" operator="containsText" text="em andamento">
      <formula>NOT(ISERROR(SEARCH(("em andamento"),(I82))))</formula>
    </cfRule>
  </conditionalFormatting>
  <conditionalFormatting sqref="I82">
    <cfRule type="containsText" dxfId="269" priority="15" operator="containsText" text="Não iniciado">
      <formula>NOT(ISERROR(SEARCH(("Não iniciado"),(I82))))</formula>
    </cfRule>
  </conditionalFormatting>
  <conditionalFormatting sqref="I82">
    <cfRule type="containsText" dxfId="268" priority="16" operator="containsText" text="concluído">
      <formula>NOT(ISERROR(SEARCH(("concluído"),(I82))))</formula>
    </cfRule>
  </conditionalFormatting>
  <conditionalFormatting sqref="I106">
    <cfRule type="containsText" dxfId="267" priority="17" operator="containsText" text="atrasado">
      <formula>NOT(ISERROR(SEARCH(("atrasado"),(I106))))</formula>
    </cfRule>
  </conditionalFormatting>
  <conditionalFormatting sqref="I106">
    <cfRule type="containsText" dxfId="266" priority="18" operator="containsText" text="em andamento">
      <formula>NOT(ISERROR(SEARCH(("em andamento"),(I106))))</formula>
    </cfRule>
  </conditionalFormatting>
  <conditionalFormatting sqref="I106">
    <cfRule type="containsText" dxfId="265" priority="19" operator="containsText" text="Não iniciado">
      <formula>NOT(ISERROR(SEARCH(("Não iniciado"),(I106))))</formula>
    </cfRule>
  </conditionalFormatting>
  <conditionalFormatting sqref="I106">
    <cfRule type="containsText" dxfId="264" priority="20" operator="containsText" text="concluído">
      <formula>NOT(ISERROR(SEARCH(("concluído"),(I106))))</formula>
    </cfRule>
  </conditionalFormatting>
  <conditionalFormatting sqref="I142:I151">
    <cfRule type="containsText" dxfId="263" priority="21" operator="containsText" text="atrasado">
      <formula>NOT(ISERROR(SEARCH(("atrasado"),(I142))))</formula>
    </cfRule>
  </conditionalFormatting>
  <conditionalFormatting sqref="I142:I151">
    <cfRule type="containsText" dxfId="262" priority="22" operator="containsText" text="em andamento">
      <formula>NOT(ISERROR(SEARCH(("em andamento"),(I142))))</formula>
    </cfRule>
  </conditionalFormatting>
  <conditionalFormatting sqref="I142:I151">
    <cfRule type="containsText" dxfId="261" priority="23" operator="containsText" text="Não iniciado">
      <formula>NOT(ISERROR(SEARCH(("Não iniciado"),(I142))))</formula>
    </cfRule>
  </conditionalFormatting>
  <conditionalFormatting sqref="I142:I151">
    <cfRule type="containsText" dxfId="260" priority="24" operator="containsText" text="concluído">
      <formula>NOT(ISERROR(SEARCH(("concluído"),(I142))))</formula>
    </cfRule>
  </conditionalFormatting>
  <conditionalFormatting sqref="I156:I163">
    <cfRule type="containsText" dxfId="259" priority="25" operator="containsText" text="atrasado">
      <formula>NOT(ISERROR(SEARCH(("atrasado"),(I156))))</formula>
    </cfRule>
  </conditionalFormatting>
  <conditionalFormatting sqref="I156:I163">
    <cfRule type="containsText" dxfId="258" priority="26" operator="containsText" text="em andamento">
      <formula>NOT(ISERROR(SEARCH(("em andamento"),(I156))))</formula>
    </cfRule>
  </conditionalFormatting>
  <conditionalFormatting sqref="I156:I163">
    <cfRule type="containsText" dxfId="257" priority="27" operator="containsText" text="Não iniciado">
      <formula>NOT(ISERROR(SEARCH(("Não iniciado"),(I156))))</formula>
    </cfRule>
  </conditionalFormatting>
  <conditionalFormatting sqref="I156:I163">
    <cfRule type="containsText" dxfId="256" priority="28" operator="containsText" text="concluído">
      <formula>NOT(ISERROR(SEARCH(("concluído"),(I156))))</formula>
    </cfRule>
  </conditionalFormatting>
  <conditionalFormatting sqref="I182:I190">
    <cfRule type="containsText" dxfId="255" priority="29" operator="containsText" text="atrasado">
      <formula>NOT(ISERROR(SEARCH(("atrasado"),(I182))))</formula>
    </cfRule>
  </conditionalFormatting>
  <conditionalFormatting sqref="I182:I190">
    <cfRule type="containsText" dxfId="254" priority="30" operator="containsText" text="em andamento">
      <formula>NOT(ISERROR(SEARCH(("em andamento"),(I182))))</formula>
    </cfRule>
  </conditionalFormatting>
  <conditionalFormatting sqref="I182:I190">
    <cfRule type="containsText" dxfId="253" priority="31" operator="containsText" text="Não iniciado">
      <formula>NOT(ISERROR(SEARCH(("Não iniciado"),(I182))))</formula>
    </cfRule>
  </conditionalFormatting>
  <conditionalFormatting sqref="I182:I190">
    <cfRule type="containsText" dxfId="252" priority="32" operator="containsText" text="concluído">
      <formula>NOT(ISERROR(SEARCH(("concluído"),(I182))))</formula>
    </cfRule>
  </conditionalFormatting>
  <conditionalFormatting sqref="I195">
    <cfRule type="containsText" dxfId="251" priority="33" operator="containsText" text="atrasado">
      <formula>NOT(ISERROR(SEARCH(("atrasado"),(I195))))</formula>
    </cfRule>
  </conditionalFormatting>
  <conditionalFormatting sqref="I195">
    <cfRule type="containsText" dxfId="250" priority="34" operator="containsText" text="em andamento">
      <formula>NOT(ISERROR(SEARCH(("em andamento"),(I195))))</formula>
    </cfRule>
  </conditionalFormatting>
  <conditionalFormatting sqref="I195">
    <cfRule type="containsText" dxfId="249" priority="35" operator="containsText" text="Não iniciado">
      <formula>NOT(ISERROR(SEARCH(("Não iniciado"),(I195))))</formula>
    </cfRule>
  </conditionalFormatting>
  <conditionalFormatting sqref="I195">
    <cfRule type="containsText" dxfId="248" priority="36" operator="containsText" text="concluído">
      <formula>NOT(ISERROR(SEARCH(("concluído"),(I195))))</formula>
    </cfRule>
  </conditionalFormatting>
  <conditionalFormatting sqref="I207:I214">
    <cfRule type="containsText" dxfId="247" priority="37" operator="containsText" text="atrasado">
      <formula>NOT(ISERROR(SEARCH(("atrasado"),(I207))))</formula>
    </cfRule>
  </conditionalFormatting>
  <conditionalFormatting sqref="I207:I214">
    <cfRule type="containsText" dxfId="246" priority="38" operator="containsText" text="em andamento">
      <formula>NOT(ISERROR(SEARCH(("em andamento"),(I207))))</formula>
    </cfRule>
  </conditionalFormatting>
  <conditionalFormatting sqref="I207:I214">
    <cfRule type="containsText" dxfId="245" priority="39" operator="containsText" text="Não iniciado">
      <formula>NOT(ISERROR(SEARCH(("Não iniciado"),(I207))))</formula>
    </cfRule>
  </conditionalFormatting>
  <conditionalFormatting sqref="I207:I214">
    <cfRule type="containsText" dxfId="244" priority="40" operator="containsText" text="concluído">
      <formula>NOT(ISERROR(SEARCH(("concluído"),(I207))))</formula>
    </cfRule>
  </conditionalFormatting>
  <conditionalFormatting sqref="I377">
    <cfRule type="containsText" dxfId="243" priority="41" operator="containsText" text="atrasado">
      <formula>NOT(ISERROR(SEARCH(("atrasado"),(I377))))</formula>
    </cfRule>
  </conditionalFormatting>
  <conditionalFormatting sqref="I377">
    <cfRule type="containsText" dxfId="242" priority="42" operator="containsText" text="em andamento">
      <formula>NOT(ISERROR(SEARCH(("em andamento"),(I377))))</formula>
    </cfRule>
  </conditionalFormatting>
  <conditionalFormatting sqref="I377">
    <cfRule type="containsText" dxfId="241" priority="43" operator="containsText" text="Não iniciado">
      <formula>NOT(ISERROR(SEARCH(("Não iniciado"),(I377))))</formula>
    </cfRule>
  </conditionalFormatting>
  <conditionalFormatting sqref="I377">
    <cfRule type="containsText" dxfId="240" priority="44" operator="containsText" text="concluído">
      <formula>NOT(ISERROR(SEARCH(("concluído"),(I377))))</formula>
    </cfRule>
  </conditionalFormatting>
  <conditionalFormatting sqref="I399:I416">
    <cfRule type="containsText" dxfId="239" priority="45" operator="containsText" text="atrasado">
      <formula>NOT(ISERROR(SEARCH(("atrasado"),(I399))))</formula>
    </cfRule>
  </conditionalFormatting>
  <conditionalFormatting sqref="I399:I416">
    <cfRule type="containsText" dxfId="238" priority="46" operator="containsText" text="em andamento">
      <formula>NOT(ISERROR(SEARCH(("em andamento"),(I399))))</formula>
    </cfRule>
  </conditionalFormatting>
  <conditionalFormatting sqref="I399:I416">
    <cfRule type="containsText" dxfId="237" priority="47" operator="containsText" text="Não iniciado">
      <formula>NOT(ISERROR(SEARCH(("Não iniciado"),(I399))))</formula>
    </cfRule>
  </conditionalFormatting>
  <conditionalFormatting sqref="I399:I416">
    <cfRule type="containsText" dxfId="236" priority="48" operator="containsText" text="concluído">
      <formula>NOT(ISERROR(SEARCH(("concluído"),(I399))))</formula>
    </cfRule>
  </conditionalFormatting>
  <conditionalFormatting sqref="I421:I441">
    <cfRule type="containsText" dxfId="235" priority="49" operator="containsText" text="atrasado">
      <formula>NOT(ISERROR(SEARCH(("atrasado"),(I421))))</formula>
    </cfRule>
  </conditionalFormatting>
  <conditionalFormatting sqref="I421:I441">
    <cfRule type="containsText" dxfId="234" priority="50" operator="containsText" text="em andamento">
      <formula>NOT(ISERROR(SEARCH(("em andamento"),(I421))))</formula>
    </cfRule>
  </conditionalFormatting>
  <conditionalFormatting sqref="I421:I441">
    <cfRule type="containsText" dxfId="233" priority="51" operator="containsText" text="Não iniciado">
      <formula>NOT(ISERROR(SEARCH(("Não iniciado"),(I421))))</formula>
    </cfRule>
  </conditionalFormatting>
  <conditionalFormatting sqref="I421:I441">
    <cfRule type="containsText" dxfId="232" priority="52" operator="containsText" text="concluído">
      <formula>NOT(ISERROR(SEARCH(("concluído"),(I421))))</formula>
    </cfRule>
  </conditionalFormatting>
  <conditionalFormatting sqref="I446:I457">
    <cfRule type="containsText" dxfId="231" priority="53" operator="containsText" text="atrasado">
      <formula>NOT(ISERROR(SEARCH(("atrasado"),(I446))))</formula>
    </cfRule>
  </conditionalFormatting>
  <conditionalFormatting sqref="I446:I457">
    <cfRule type="containsText" dxfId="230" priority="54" operator="containsText" text="em andamento">
      <formula>NOT(ISERROR(SEARCH(("em andamento"),(I446))))</formula>
    </cfRule>
  </conditionalFormatting>
  <conditionalFormatting sqref="I446:I457">
    <cfRule type="containsText" dxfId="229" priority="55" operator="containsText" text="Não iniciado">
      <formula>NOT(ISERROR(SEARCH(("Não iniciado"),(I446))))</formula>
    </cfRule>
  </conditionalFormatting>
  <conditionalFormatting sqref="I446:I457">
    <cfRule type="containsText" dxfId="228" priority="56" operator="containsText" text="concluído">
      <formula>NOT(ISERROR(SEARCH(("concluído"),(I446))))</formula>
    </cfRule>
  </conditionalFormatting>
  <conditionalFormatting sqref="I462:I471">
    <cfRule type="containsText" dxfId="227" priority="57" operator="containsText" text="atrasado">
      <formula>NOT(ISERROR(SEARCH(("atrasado"),(I462))))</formula>
    </cfRule>
  </conditionalFormatting>
  <conditionalFormatting sqref="I462:I471">
    <cfRule type="containsText" dxfId="226" priority="58" operator="containsText" text="em andamento">
      <formula>NOT(ISERROR(SEARCH(("em andamento"),(I462))))</formula>
    </cfRule>
  </conditionalFormatting>
  <conditionalFormatting sqref="I462:I471">
    <cfRule type="containsText" dxfId="225" priority="59" operator="containsText" text="Não iniciado">
      <formula>NOT(ISERROR(SEARCH(("Não iniciado"),(I462))))</formula>
    </cfRule>
  </conditionalFormatting>
  <conditionalFormatting sqref="I462:I471">
    <cfRule type="containsText" dxfId="224" priority="60" operator="containsText" text="concluído">
      <formula>NOT(ISERROR(SEARCH(("concluído"),(I462))))</formula>
    </cfRule>
  </conditionalFormatting>
  <conditionalFormatting sqref="I476:I486">
    <cfRule type="containsText" dxfId="223" priority="61" operator="containsText" text="atrasado">
      <formula>NOT(ISERROR(SEARCH(("atrasado"),(I476))))</formula>
    </cfRule>
  </conditionalFormatting>
  <conditionalFormatting sqref="I476:I486">
    <cfRule type="containsText" dxfId="222" priority="62" operator="containsText" text="em andamento">
      <formula>NOT(ISERROR(SEARCH(("em andamento"),(I476))))</formula>
    </cfRule>
  </conditionalFormatting>
  <conditionalFormatting sqref="I476:I486">
    <cfRule type="containsText" dxfId="221" priority="63" operator="containsText" text="Não iniciado">
      <formula>NOT(ISERROR(SEARCH(("Não iniciado"),(I476))))</formula>
    </cfRule>
  </conditionalFormatting>
  <conditionalFormatting sqref="I476:I486">
    <cfRule type="containsText" dxfId="220" priority="64" operator="containsText" text="concluído">
      <formula>NOT(ISERROR(SEARCH(("concluído"),(I476))))</formula>
    </cfRule>
  </conditionalFormatting>
  <conditionalFormatting sqref="I491:I503">
    <cfRule type="containsText" dxfId="219" priority="65" operator="containsText" text="atrasado">
      <formula>NOT(ISERROR(SEARCH(("atrasado"),(I491))))</formula>
    </cfRule>
  </conditionalFormatting>
  <conditionalFormatting sqref="I491:I503">
    <cfRule type="containsText" dxfId="218" priority="66" operator="containsText" text="em andamento">
      <formula>NOT(ISERROR(SEARCH(("em andamento"),(I491))))</formula>
    </cfRule>
  </conditionalFormatting>
  <conditionalFormatting sqref="I491:I503">
    <cfRule type="containsText" dxfId="217" priority="67" operator="containsText" text="Não iniciado">
      <formula>NOT(ISERROR(SEARCH(("Não iniciado"),(I491))))</formula>
    </cfRule>
  </conditionalFormatting>
  <conditionalFormatting sqref="I491:I503">
    <cfRule type="containsText" dxfId="216" priority="68" operator="containsText" text="concluído">
      <formula>NOT(ISERROR(SEARCH(("concluído"),(I491))))</formula>
    </cfRule>
  </conditionalFormatting>
  <conditionalFormatting sqref="I508:I522">
    <cfRule type="containsText" dxfId="215" priority="69" operator="containsText" text="atrasado">
      <formula>NOT(ISERROR(SEARCH(("atrasado"),(I508))))</formula>
    </cfRule>
  </conditionalFormatting>
  <conditionalFormatting sqref="I508:I522">
    <cfRule type="containsText" dxfId="214" priority="70" operator="containsText" text="em andamento">
      <formula>NOT(ISERROR(SEARCH(("em andamento"),(I508))))</formula>
    </cfRule>
  </conditionalFormatting>
  <conditionalFormatting sqref="I508:I522">
    <cfRule type="containsText" dxfId="213" priority="71" operator="containsText" text="Não iniciado">
      <formula>NOT(ISERROR(SEARCH(("Não iniciado"),(I508))))</formula>
    </cfRule>
  </conditionalFormatting>
  <conditionalFormatting sqref="I508:I522">
    <cfRule type="containsText" dxfId="212" priority="72" operator="containsText" text="concluído">
      <formula>NOT(ISERROR(SEARCH(("concluído"),(I508))))</formula>
    </cfRule>
  </conditionalFormatting>
  <conditionalFormatting sqref="I527:I532">
    <cfRule type="containsText" dxfId="211" priority="73" operator="containsText" text="atrasado">
      <formula>NOT(ISERROR(SEARCH(("atrasado"),(I527))))</formula>
    </cfRule>
  </conditionalFormatting>
  <conditionalFormatting sqref="I527:I532">
    <cfRule type="containsText" dxfId="210" priority="74" operator="containsText" text="em andamento">
      <formula>NOT(ISERROR(SEARCH(("em andamento"),(I527))))</formula>
    </cfRule>
  </conditionalFormatting>
  <conditionalFormatting sqref="I527:I532">
    <cfRule type="containsText" dxfId="209" priority="75" operator="containsText" text="Não iniciado">
      <formula>NOT(ISERROR(SEARCH(("Não iniciado"),(I527))))</formula>
    </cfRule>
  </conditionalFormatting>
  <conditionalFormatting sqref="I527:I532">
    <cfRule type="containsText" dxfId="208" priority="76" operator="containsText" text="concluído">
      <formula>NOT(ISERROR(SEARCH(("concluído"),(I527))))</formula>
    </cfRule>
  </conditionalFormatting>
  <conditionalFormatting sqref="I537:I541">
    <cfRule type="containsText" dxfId="207" priority="77" operator="containsText" text="atrasado">
      <formula>NOT(ISERROR(SEARCH(("atrasado"),(I537))))</formula>
    </cfRule>
  </conditionalFormatting>
  <conditionalFormatting sqref="I537:I541">
    <cfRule type="containsText" dxfId="206" priority="78" operator="containsText" text="em andamento">
      <formula>NOT(ISERROR(SEARCH(("em andamento"),(I537))))</formula>
    </cfRule>
  </conditionalFormatting>
  <conditionalFormatting sqref="I537:I541">
    <cfRule type="containsText" dxfId="205" priority="79" operator="containsText" text="Não iniciado">
      <formula>NOT(ISERROR(SEARCH(("Não iniciado"),(I537))))</formula>
    </cfRule>
  </conditionalFormatting>
  <conditionalFormatting sqref="I537:I541">
    <cfRule type="containsText" dxfId="204" priority="80" operator="containsText" text="concluído">
      <formula>NOT(ISERROR(SEARCH(("concluído"),(I537))))</formula>
    </cfRule>
  </conditionalFormatting>
  <conditionalFormatting sqref="I546:I568">
    <cfRule type="containsText" dxfId="203" priority="81" operator="containsText" text="atrasado">
      <formula>NOT(ISERROR(SEARCH(("atrasado"),(I546))))</formula>
    </cfRule>
  </conditionalFormatting>
  <conditionalFormatting sqref="I546:I568">
    <cfRule type="containsText" dxfId="202" priority="82" operator="containsText" text="em andamento">
      <formula>NOT(ISERROR(SEARCH(("em andamento"),(I546))))</formula>
    </cfRule>
  </conditionalFormatting>
  <conditionalFormatting sqref="I546:I568">
    <cfRule type="containsText" dxfId="201" priority="83" operator="containsText" text="Não iniciado">
      <formula>NOT(ISERROR(SEARCH(("Não iniciado"),(I546))))</formula>
    </cfRule>
  </conditionalFormatting>
  <conditionalFormatting sqref="I546:I568">
    <cfRule type="containsText" dxfId="200" priority="84" operator="containsText" text="concluído">
      <formula>NOT(ISERROR(SEARCH(("concluído"),(I546))))</formula>
    </cfRule>
  </conditionalFormatting>
  <conditionalFormatting sqref="I573:I599">
    <cfRule type="containsText" dxfId="199" priority="85" operator="containsText" text="atrasado">
      <formula>NOT(ISERROR(SEARCH(("atrasado"),(I573))))</formula>
    </cfRule>
  </conditionalFormatting>
  <conditionalFormatting sqref="I573:I599">
    <cfRule type="containsText" dxfId="198" priority="86" operator="containsText" text="em andamento">
      <formula>NOT(ISERROR(SEARCH(("em andamento"),(I573))))</formula>
    </cfRule>
  </conditionalFormatting>
  <conditionalFormatting sqref="I573:I599">
    <cfRule type="containsText" dxfId="197" priority="87" operator="containsText" text="Não iniciado">
      <formula>NOT(ISERROR(SEARCH(("Não iniciado"),(I573))))</formula>
    </cfRule>
  </conditionalFormatting>
  <conditionalFormatting sqref="I573:I599">
    <cfRule type="containsText" dxfId="196" priority="88" operator="containsText" text="concluído">
      <formula>NOT(ISERROR(SEARCH(("concluído"),(I573))))</formula>
    </cfRule>
  </conditionalFormatting>
  <conditionalFormatting sqref="I604:I615">
    <cfRule type="containsText" dxfId="195" priority="89" operator="containsText" text="atrasado">
      <formula>NOT(ISERROR(SEARCH(("atrasado"),(I604))))</formula>
    </cfRule>
  </conditionalFormatting>
  <conditionalFormatting sqref="I604:I615">
    <cfRule type="containsText" dxfId="194" priority="90" operator="containsText" text="em andamento">
      <formula>NOT(ISERROR(SEARCH(("em andamento"),(I604))))</formula>
    </cfRule>
  </conditionalFormatting>
  <conditionalFormatting sqref="I604:I615">
    <cfRule type="containsText" dxfId="193" priority="91" operator="containsText" text="Não iniciado">
      <formula>NOT(ISERROR(SEARCH(("Não iniciado"),(I604))))</formula>
    </cfRule>
  </conditionalFormatting>
  <conditionalFormatting sqref="I604:I615">
    <cfRule type="containsText" dxfId="192" priority="92" operator="containsText" text="concluído">
      <formula>NOT(ISERROR(SEARCH(("concluído"),(I604))))</formula>
    </cfRule>
  </conditionalFormatting>
  <conditionalFormatting sqref="I620:I636">
    <cfRule type="containsText" dxfId="191" priority="93" operator="containsText" text="atrasado">
      <formula>NOT(ISERROR(SEARCH(("atrasado"),(I620))))</formula>
    </cfRule>
  </conditionalFormatting>
  <conditionalFormatting sqref="I620:I636">
    <cfRule type="containsText" dxfId="190" priority="94" operator="containsText" text="em andamento">
      <formula>NOT(ISERROR(SEARCH(("em andamento"),(I620))))</formula>
    </cfRule>
  </conditionalFormatting>
  <conditionalFormatting sqref="I620:I636">
    <cfRule type="containsText" dxfId="189" priority="95" operator="containsText" text="Não iniciado">
      <formula>NOT(ISERROR(SEARCH(("Não iniciado"),(I620))))</formula>
    </cfRule>
  </conditionalFormatting>
  <conditionalFormatting sqref="I620:I636">
    <cfRule type="containsText" dxfId="188" priority="96" operator="containsText" text="concluído">
      <formula>NOT(ISERROR(SEARCH(("concluído"),(I620))))</formula>
    </cfRule>
  </conditionalFormatting>
  <conditionalFormatting sqref="I641:I652">
    <cfRule type="containsText" dxfId="187" priority="97" operator="containsText" text="atrasado">
      <formula>NOT(ISERROR(SEARCH(("atrasado"),(I641))))</formula>
    </cfRule>
  </conditionalFormatting>
  <conditionalFormatting sqref="I641:I652">
    <cfRule type="containsText" dxfId="186" priority="98" operator="containsText" text="em andamento">
      <formula>NOT(ISERROR(SEARCH(("em andamento"),(I641))))</formula>
    </cfRule>
  </conditionalFormatting>
  <conditionalFormatting sqref="I641:I652">
    <cfRule type="containsText" dxfId="185" priority="99" operator="containsText" text="Não iniciado">
      <formula>NOT(ISERROR(SEARCH(("Não iniciado"),(I641))))</formula>
    </cfRule>
  </conditionalFormatting>
  <conditionalFormatting sqref="I641:I652">
    <cfRule type="containsText" dxfId="184" priority="100" operator="containsText" text="concluído">
      <formula>NOT(ISERROR(SEARCH(("concluído"),(I641))))</formula>
    </cfRule>
  </conditionalFormatting>
  <conditionalFormatting sqref="I657:I662">
    <cfRule type="containsText" dxfId="183" priority="101" operator="containsText" text="atrasado">
      <formula>NOT(ISERROR(SEARCH(("atrasado"),(I657))))</formula>
    </cfRule>
  </conditionalFormatting>
  <conditionalFormatting sqref="I657:I662">
    <cfRule type="containsText" dxfId="182" priority="102" operator="containsText" text="em andamento">
      <formula>NOT(ISERROR(SEARCH(("em andamento"),(I657))))</formula>
    </cfRule>
  </conditionalFormatting>
  <conditionalFormatting sqref="I657:I662">
    <cfRule type="containsText" dxfId="181" priority="103" operator="containsText" text="Não iniciado">
      <formula>NOT(ISERROR(SEARCH(("Não iniciado"),(I657))))</formula>
    </cfRule>
  </conditionalFormatting>
  <conditionalFormatting sqref="I657:I662">
    <cfRule type="containsText" dxfId="180" priority="104" operator="containsText" text="concluído">
      <formula>NOT(ISERROR(SEARCH(("concluído"),(I657))))</formula>
    </cfRule>
  </conditionalFormatting>
  <conditionalFormatting sqref="I667:I677">
    <cfRule type="containsText" dxfId="179" priority="105" operator="containsText" text="atrasado">
      <formula>NOT(ISERROR(SEARCH(("atrasado"),(I667))))</formula>
    </cfRule>
  </conditionalFormatting>
  <conditionalFormatting sqref="I667:I677">
    <cfRule type="containsText" dxfId="178" priority="106" operator="containsText" text="em andamento">
      <formula>NOT(ISERROR(SEARCH(("em andamento"),(I667))))</formula>
    </cfRule>
  </conditionalFormatting>
  <conditionalFormatting sqref="I667:I677">
    <cfRule type="containsText" dxfId="177" priority="107" operator="containsText" text="Não iniciado">
      <formula>NOT(ISERROR(SEARCH(("Não iniciado"),(I667))))</formula>
    </cfRule>
  </conditionalFormatting>
  <conditionalFormatting sqref="I667:I677">
    <cfRule type="containsText" dxfId="176" priority="108" operator="containsText" text="concluído">
      <formula>NOT(ISERROR(SEARCH(("concluído"),(I667))))</formula>
    </cfRule>
  </conditionalFormatting>
  <conditionalFormatting sqref="I682:I691">
    <cfRule type="containsText" dxfId="175" priority="109" operator="containsText" text="atrasado">
      <formula>NOT(ISERROR(SEARCH(("atrasado"),(I682))))</formula>
    </cfRule>
  </conditionalFormatting>
  <conditionalFormatting sqref="I682:I691">
    <cfRule type="containsText" dxfId="174" priority="110" operator="containsText" text="em andamento">
      <formula>NOT(ISERROR(SEARCH(("em andamento"),(I682))))</formula>
    </cfRule>
  </conditionalFormatting>
  <conditionalFormatting sqref="I682:I691">
    <cfRule type="containsText" dxfId="173" priority="111" operator="containsText" text="Não iniciado">
      <formula>NOT(ISERROR(SEARCH(("Não iniciado"),(I682))))</formula>
    </cfRule>
  </conditionalFormatting>
  <conditionalFormatting sqref="I682:I691">
    <cfRule type="containsText" dxfId="172" priority="112" operator="containsText" text="concluído">
      <formula>NOT(ISERROR(SEARCH(("concluído"),(I682))))</formula>
    </cfRule>
  </conditionalFormatting>
  <conditionalFormatting sqref="I696:I718">
    <cfRule type="containsText" dxfId="171" priority="113" operator="containsText" text="atrasado">
      <formula>NOT(ISERROR(SEARCH(("atrasado"),(I696))))</formula>
    </cfRule>
  </conditionalFormatting>
  <conditionalFormatting sqref="I696:I718">
    <cfRule type="containsText" dxfId="170" priority="114" operator="containsText" text="em andamento">
      <formula>NOT(ISERROR(SEARCH(("em andamento"),(I696))))</formula>
    </cfRule>
  </conditionalFormatting>
  <conditionalFormatting sqref="I696:I718">
    <cfRule type="containsText" dxfId="169" priority="115" operator="containsText" text="Não iniciado">
      <formula>NOT(ISERROR(SEARCH(("Não iniciado"),(I696))))</formula>
    </cfRule>
  </conditionalFormatting>
  <conditionalFormatting sqref="I696:I718">
    <cfRule type="containsText" dxfId="168" priority="116" operator="containsText" text="concluído">
      <formula>NOT(ISERROR(SEARCH(("concluído"),(I696))))</formula>
    </cfRule>
  </conditionalFormatting>
  <conditionalFormatting sqref="I723:I727">
    <cfRule type="containsText" dxfId="167" priority="117" operator="containsText" text="atrasado">
      <formula>NOT(ISERROR(SEARCH(("atrasado"),(I723))))</formula>
    </cfRule>
  </conditionalFormatting>
  <conditionalFormatting sqref="I723:I727">
    <cfRule type="containsText" dxfId="166" priority="118" operator="containsText" text="em andamento">
      <formula>NOT(ISERROR(SEARCH(("em andamento"),(I723))))</formula>
    </cfRule>
  </conditionalFormatting>
  <conditionalFormatting sqref="I723:I727">
    <cfRule type="containsText" dxfId="165" priority="119" operator="containsText" text="Não iniciado">
      <formula>NOT(ISERROR(SEARCH(("Não iniciado"),(I723))))</formula>
    </cfRule>
  </conditionalFormatting>
  <conditionalFormatting sqref="I723:I727">
    <cfRule type="containsText" dxfId="164" priority="120" operator="containsText" text="concluído">
      <formula>NOT(ISERROR(SEARCH(("concluído"),(I723))))</formula>
    </cfRule>
  </conditionalFormatting>
  <conditionalFormatting sqref="I107">
    <cfRule type="containsText" dxfId="163" priority="121" operator="containsText" text="atrasado">
      <formula>NOT(ISERROR(SEARCH(("atrasado"),(I107))))</formula>
    </cfRule>
  </conditionalFormatting>
  <conditionalFormatting sqref="I107">
    <cfRule type="containsText" dxfId="162" priority="122" operator="containsText" text="em andamento">
      <formula>NOT(ISERROR(SEARCH(("em andamento"),(I107))))</formula>
    </cfRule>
  </conditionalFormatting>
  <conditionalFormatting sqref="I107">
    <cfRule type="containsText" dxfId="161" priority="123" operator="containsText" text="Não iniciado">
      <formula>NOT(ISERROR(SEARCH(("Não iniciado"),(I107))))</formula>
    </cfRule>
  </conditionalFormatting>
  <conditionalFormatting sqref="I107">
    <cfRule type="containsText" dxfId="160" priority="124" operator="containsText" text="concluído">
      <formula>NOT(ISERROR(SEARCH(("concluído"),(I107))))</formula>
    </cfRule>
  </conditionalFormatting>
  <conditionalFormatting sqref="I108">
    <cfRule type="containsText" dxfId="159" priority="125" operator="containsText" text="atrasado">
      <formula>NOT(ISERROR(SEARCH(("atrasado"),(I108))))</formula>
    </cfRule>
  </conditionalFormatting>
  <conditionalFormatting sqref="I108">
    <cfRule type="containsText" dxfId="158" priority="126" operator="containsText" text="em andamento">
      <formula>NOT(ISERROR(SEARCH(("em andamento"),(I108))))</formula>
    </cfRule>
  </conditionalFormatting>
  <conditionalFormatting sqref="I108">
    <cfRule type="containsText" dxfId="157" priority="127" operator="containsText" text="Não iniciado">
      <formula>NOT(ISERROR(SEARCH(("Não iniciado"),(I108))))</formula>
    </cfRule>
  </conditionalFormatting>
  <conditionalFormatting sqref="I108">
    <cfRule type="containsText" dxfId="156" priority="128" operator="containsText" text="concluído">
      <formula>NOT(ISERROR(SEARCH(("concluído"),(I108))))</formula>
    </cfRule>
  </conditionalFormatting>
  <conditionalFormatting sqref="I110">
    <cfRule type="containsText" dxfId="155" priority="129" operator="containsText" text="atrasado">
      <formula>NOT(ISERROR(SEARCH(("atrasado"),(I110))))</formula>
    </cfRule>
  </conditionalFormatting>
  <conditionalFormatting sqref="I110">
    <cfRule type="containsText" dxfId="154" priority="130" operator="containsText" text="em andamento">
      <formula>NOT(ISERROR(SEARCH(("em andamento"),(I110))))</formula>
    </cfRule>
  </conditionalFormatting>
  <conditionalFormatting sqref="I110">
    <cfRule type="containsText" dxfId="153" priority="131" operator="containsText" text="Não iniciado">
      <formula>NOT(ISERROR(SEARCH(("Não iniciado"),(I110))))</formula>
    </cfRule>
  </conditionalFormatting>
  <conditionalFormatting sqref="I110">
    <cfRule type="containsText" dxfId="152" priority="132" operator="containsText" text="concluído">
      <formula>NOT(ISERROR(SEARCH(("concluído"),(I110))))</formula>
    </cfRule>
  </conditionalFormatting>
  <conditionalFormatting sqref="I111">
    <cfRule type="containsText" dxfId="151" priority="133" operator="containsText" text="atrasado">
      <formula>NOT(ISERROR(SEARCH(("atrasado"),(I111))))</formula>
    </cfRule>
  </conditionalFormatting>
  <conditionalFormatting sqref="I111">
    <cfRule type="containsText" dxfId="150" priority="134" operator="containsText" text="em andamento">
      <formula>NOT(ISERROR(SEARCH(("em andamento"),(I111))))</formula>
    </cfRule>
  </conditionalFormatting>
  <conditionalFormatting sqref="I111">
    <cfRule type="containsText" dxfId="149" priority="135" operator="containsText" text="Não iniciado">
      <formula>NOT(ISERROR(SEARCH(("Não iniciado"),(I111))))</formula>
    </cfRule>
  </conditionalFormatting>
  <conditionalFormatting sqref="I111">
    <cfRule type="containsText" dxfId="148" priority="136" operator="containsText" text="concluído">
      <formula>NOT(ISERROR(SEARCH(("concluído"),(I111))))</formula>
    </cfRule>
  </conditionalFormatting>
  <conditionalFormatting sqref="I112">
    <cfRule type="containsText" dxfId="147" priority="137" operator="containsText" text="atrasado">
      <formula>NOT(ISERROR(SEARCH(("atrasado"),(I112))))</formula>
    </cfRule>
  </conditionalFormatting>
  <conditionalFormatting sqref="I112">
    <cfRule type="containsText" dxfId="146" priority="138" operator="containsText" text="em andamento">
      <formula>NOT(ISERROR(SEARCH(("em andamento"),(I112))))</formula>
    </cfRule>
  </conditionalFormatting>
  <conditionalFormatting sqref="I112">
    <cfRule type="containsText" dxfId="145" priority="139" operator="containsText" text="Não iniciado">
      <formula>NOT(ISERROR(SEARCH(("Não iniciado"),(I112))))</formula>
    </cfRule>
  </conditionalFormatting>
  <conditionalFormatting sqref="I112">
    <cfRule type="containsText" dxfId="144" priority="140" operator="containsText" text="concluído">
      <formula>NOT(ISERROR(SEARCH(("concluído"),(I112))))</formula>
    </cfRule>
  </conditionalFormatting>
  <conditionalFormatting sqref="I113">
    <cfRule type="containsText" dxfId="143" priority="141" operator="containsText" text="atrasado">
      <formula>NOT(ISERROR(SEARCH(("atrasado"),(I113))))</formula>
    </cfRule>
  </conditionalFormatting>
  <conditionalFormatting sqref="I113">
    <cfRule type="containsText" dxfId="142" priority="142" operator="containsText" text="em andamento">
      <formula>NOT(ISERROR(SEARCH(("em andamento"),(I113))))</formula>
    </cfRule>
  </conditionalFormatting>
  <conditionalFormatting sqref="I113">
    <cfRule type="containsText" dxfId="141" priority="143" operator="containsText" text="Não iniciado">
      <formula>NOT(ISERROR(SEARCH(("Não iniciado"),(I113))))</formula>
    </cfRule>
  </conditionalFormatting>
  <conditionalFormatting sqref="I113">
    <cfRule type="containsText" dxfId="140" priority="144" operator="containsText" text="concluído">
      <formula>NOT(ISERROR(SEARCH(("concluído"),(I113))))</formula>
    </cfRule>
  </conditionalFormatting>
  <conditionalFormatting sqref="I114">
    <cfRule type="containsText" dxfId="139" priority="145" operator="containsText" text="atrasado">
      <formula>NOT(ISERROR(SEARCH(("atrasado"),(I114))))</formula>
    </cfRule>
  </conditionalFormatting>
  <conditionalFormatting sqref="I114">
    <cfRule type="containsText" dxfId="138" priority="146" operator="containsText" text="em andamento">
      <formula>NOT(ISERROR(SEARCH(("em andamento"),(I114))))</formula>
    </cfRule>
  </conditionalFormatting>
  <conditionalFormatting sqref="I114">
    <cfRule type="containsText" dxfId="137" priority="147" operator="containsText" text="Não iniciado">
      <formula>NOT(ISERROR(SEARCH(("Não iniciado"),(I114))))</formula>
    </cfRule>
  </conditionalFormatting>
  <conditionalFormatting sqref="I114">
    <cfRule type="containsText" dxfId="136" priority="148" operator="containsText" text="concluído">
      <formula>NOT(ISERROR(SEARCH(("concluído"),(I114))))</formula>
    </cfRule>
  </conditionalFormatting>
  <conditionalFormatting sqref="I115">
    <cfRule type="containsText" dxfId="135" priority="149" operator="containsText" text="atrasado">
      <formula>NOT(ISERROR(SEARCH(("atrasado"),(I115))))</formula>
    </cfRule>
  </conditionalFormatting>
  <conditionalFormatting sqref="I115">
    <cfRule type="containsText" dxfId="134" priority="150" operator="containsText" text="em andamento">
      <formula>NOT(ISERROR(SEARCH(("em andamento"),(I115))))</formula>
    </cfRule>
  </conditionalFormatting>
  <conditionalFormatting sqref="I115">
    <cfRule type="containsText" dxfId="133" priority="151" operator="containsText" text="Não iniciado">
      <formula>NOT(ISERROR(SEARCH(("Não iniciado"),(I115))))</formula>
    </cfRule>
  </conditionalFormatting>
  <conditionalFormatting sqref="I115">
    <cfRule type="containsText" dxfId="132" priority="152" operator="containsText" text="concluído">
      <formula>NOT(ISERROR(SEARCH(("concluído"),(I115))))</formula>
    </cfRule>
  </conditionalFormatting>
  <conditionalFormatting sqref="I116">
    <cfRule type="containsText" dxfId="131" priority="153" operator="containsText" text="atrasado">
      <formula>NOT(ISERROR(SEARCH(("atrasado"),(I116))))</formula>
    </cfRule>
  </conditionalFormatting>
  <conditionalFormatting sqref="I116">
    <cfRule type="containsText" dxfId="130" priority="154" operator="containsText" text="em andamento">
      <formula>NOT(ISERROR(SEARCH(("em andamento"),(I116))))</formula>
    </cfRule>
  </conditionalFormatting>
  <conditionalFormatting sqref="I116">
    <cfRule type="containsText" dxfId="129" priority="155" operator="containsText" text="Não iniciado">
      <formula>NOT(ISERROR(SEARCH(("Não iniciado"),(I116))))</formula>
    </cfRule>
  </conditionalFormatting>
  <conditionalFormatting sqref="I116">
    <cfRule type="containsText" dxfId="128" priority="156" operator="containsText" text="concluído">
      <formula>NOT(ISERROR(SEARCH(("concluído"),(I116))))</formula>
    </cfRule>
  </conditionalFormatting>
  <conditionalFormatting sqref="I117">
    <cfRule type="containsText" dxfId="127" priority="157" operator="containsText" text="atrasado">
      <formula>NOT(ISERROR(SEARCH(("atrasado"),(I117))))</formula>
    </cfRule>
  </conditionalFormatting>
  <conditionalFormatting sqref="I117">
    <cfRule type="containsText" dxfId="126" priority="158" operator="containsText" text="em andamento">
      <formula>NOT(ISERROR(SEARCH(("em andamento"),(I117))))</formula>
    </cfRule>
  </conditionalFormatting>
  <conditionalFormatting sqref="I117">
    <cfRule type="containsText" dxfId="125" priority="159" operator="containsText" text="Não iniciado">
      <formula>NOT(ISERROR(SEARCH(("Não iniciado"),(I117))))</formula>
    </cfRule>
  </conditionalFormatting>
  <conditionalFormatting sqref="I117">
    <cfRule type="containsText" dxfId="124" priority="160" operator="containsText" text="concluído">
      <formula>NOT(ISERROR(SEARCH(("concluído"),(I117))))</formula>
    </cfRule>
  </conditionalFormatting>
  <conditionalFormatting sqref="I118">
    <cfRule type="containsText" dxfId="123" priority="161" operator="containsText" text="atrasado">
      <formula>NOT(ISERROR(SEARCH(("atrasado"),(I118))))</formula>
    </cfRule>
  </conditionalFormatting>
  <conditionalFormatting sqref="I118">
    <cfRule type="containsText" dxfId="122" priority="162" operator="containsText" text="em andamento">
      <formula>NOT(ISERROR(SEARCH(("em andamento"),(I118))))</formula>
    </cfRule>
  </conditionalFormatting>
  <conditionalFormatting sqref="I118">
    <cfRule type="containsText" dxfId="121" priority="163" operator="containsText" text="Não iniciado">
      <formula>NOT(ISERROR(SEARCH(("Não iniciado"),(I118))))</formula>
    </cfRule>
  </conditionalFormatting>
  <conditionalFormatting sqref="I118">
    <cfRule type="containsText" dxfId="120" priority="164" operator="containsText" text="concluído">
      <formula>NOT(ISERROR(SEARCH(("concluído"),(I118))))</formula>
    </cfRule>
  </conditionalFormatting>
  <conditionalFormatting sqref="I119">
    <cfRule type="containsText" dxfId="119" priority="165" operator="containsText" text="atrasado">
      <formula>NOT(ISERROR(SEARCH(("atrasado"),(I119))))</formula>
    </cfRule>
  </conditionalFormatting>
  <conditionalFormatting sqref="I119">
    <cfRule type="containsText" dxfId="118" priority="166" operator="containsText" text="em andamento">
      <formula>NOT(ISERROR(SEARCH(("em andamento"),(I119))))</formula>
    </cfRule>
  </conditionalFormatting>
  <conditionalFormatting sqref="I119">
    <cfRule type="containsText" dxfId="117" priority="167" operator="containsText" text="Não iniciado">
      <formula>NOT(ISERROR(SEARCH(("Não iniciado"),(I119))))</formula>
    </cfRule>
  </conditionalFormatting>
  <conditionalFormatting sqref="I119">
    <cfRule type="containsText" dxfId="116" priority="168" operator="containsText" text="concluído">
      <formula>NOT(ISERROR(SEARCH(("concluído"),(I119))))</formula>
    </cfRule>
  </conditionalFormatting>
  <conditionalFormatting sqref="I109">
    <cfRule type="containsText" dxfId="115" priority="169" operator="containsText" text="atrasado">
      <formula>NOT(ISERROR(SEARCH(("atrasado"),(I109))))</formula>
    </cfRule>
  </conditionalFormatting>
  <conditionalFormatting sqref="I109">
    <cfRule type="containsText" dxfId="114" priority="170" operator="containsText" text="em andamento">
      <formula>NOT(ISERROR(SEARCH(("em andamento"),(I109))))</formula>
    </cfRule>
  </conditionalFormatting>
  <conditionalFormatting sqref="I109">
    <cfRule type="containsText" dxfId="113" priority="171" operator="containsText" text="Não iniciado">
      <formula>NOT(ISERROR(SEARCH(("Não iniciado"),(I109))))</formula>
    </cfRule>
  </conditionalFormatting>
  <conditionalFormatting sqref="I109">
    <cfRule type="containsText" dxfId="112" priority="172" operator="containsText" text="concluído">
      <formula>NOT(ISERROR(SEARCH(("concluído"),(I109))))</formula>
    </cfRule>
  </conditionalFormatting>
  <conditionalFormatting sqref="I168:I177">
    <cfRule type="containsText" dxfId="111" priority="173" operator="containsText" text="atrasado">
      <formula>NOT(ISERROR(SEARCH(("atrasado"),(I168))))</formula>
    </cfRule>
  </conditionalFormatting>
  <conditionalFormatting sqref="I168:I177">
    <cfRule type="containsText" dxfId="110" priority="174" operator="containsText" text="em andamento">
      <formula>NOT(ISERROR(SEARCH(("em andamento"),(I168))))</formula>
    </cfRule>
  </conditionalFormatting>
  <conditionalFormatting sqref="I168:I177">
    <cfRule type="containsText" dxfId="109" priority="175" operator="containsText" text="Não iniciado">
      <formula>NOT(ISERROR(SEARCH(("Não iniciado"),(I168))))</formula>
    </cfRule>
  </conditionalFormatting>
  <conditionalFormatting sqref="I168:I177">
    <cfRule type="containsText" dxfId="108" priority="176" operator="containsText" text="concluído">
      <formula>NOT(ISERROR(SEARCH(("concluído"),(I168))))</formula>
    </cfRule>
  </conditionalFormatting>
  <conditionalFormatting sqref="I219:I225">
    <cfRule type="containsText" dxfId="107" priority="177" operator="containsText" text="atrasado">
      <formula>NOT(ISERROR(SEARCH(("atrasado"),(I219))))</formula>
    </cfRule>
  </conditionalFormatting>
  <conditionalFormatting sqref="I219:I225">
    <cfRule type="containsText" dxfId="106" priority="178" operator="containsText" text="em andamento">
      <formula>NOT(ISERROR(SEARCH(("em andamento"),(I219))))</formula>
    </cfRule>
  </conditionalFormatting>
  <conditionalFormatting sqref="I219:I225">
    <cfRule type="containsText" dxfId="105" priority="179" operator="containsText" text="Não iniciado">
      <formula>NOT(ISERROR(SEARCH(("Não iniciado"),(I219))))</formula>
    </cfRule>
  </conditionalFormatting>
  <conditionalFormatting sqref="I219:I225">
    <cfRule type="containsText" dxfId="104" priority="180" operator="containsText" text="concluído">
      <formula>NOT(ISERROR(SEARCH(("concluído"),(I219))))</formula>
    </cfRule>
  </conditionalFormatting>
  <conditionalFormatting sqref="I68">
    <cfRule type="containsText" dxfId="103" priority="181" operator="containsText" text="atrasado">
      <formula>NOT(ISERROR(SEARCH(("atrasado"),(I68))))</formula>
    </cfRule>
  </conditionalFormatting>
  <conditionalFormatting sqref="I68">
    <cfRule type="containsText" dxfId="102" priority="182" operator="containsText" text="em andamento">
      <formula>NOT(ISERROR(SEARCH(("em andamento"),(I68))))</formula>
    </cfRule>
  </conditionalFormatting>
  <conditionalFormatting sqref="I68">
    <cfRule type="containsText" dxfId="101" priority="183" operator="containsText" text="Não iniciado">
      <formula>NOT(ISERROR(SEARCH(("Não iniciado"),(I68))))</formula>
    </cfRule>
  </conditionalFormatting>
  <conditionalFormatting sqref="I68">
    <cfRule type="containsText" dxfId="100" priority="184" operator="containsText" text="concluído">
      <formula>NOT(ISERROR(SEARCH(("concluído"),(I68))))</formula>
    </cfRule>
  </conditionalFormatting>
  <conditionalFormatting sqref="I69">
    <cfRule type="containsText" dxfId="99" priority="185" operator="containsText" text="atrasado">
      <formula>NOT(ISERROR(SEARCH(("atrasado"),(I69))))</formula>
    </cfRule>
  </conditionalFormatting>
  <conditionalFormatting sqref="I69">
    <cfRule type="containsText" dxfId="98" priority="186" operator="containsText" text="em andamento">
      <formula>NOT(ISERROR(SEARCH(("em andamento"),(I69))))</formula>
    </cfRule>
  </conditionalFormatting>
  <conditionalFormatting sqref="I69">
    <cfRule type="containsText" dxfId="97" priority="187" operator="containsText" text="Não iniciado">
      <formula>NOT(ISERROR(SEARCH(("Não iniciado"),(I69))))</formula>
    </cfRule>
  </conditionalFormatting>
  <conditionalFormatting sqref="I69">
    <cfRule type="containsText" dxfId="96" priority="188" operator="containsText" text="concluído">
      <formula>NOT(ISERROR(SEARCH(("concluído"),(I69))))</formula>
    </cfRule>
  </conditionalFormatting>
  <conditionalFormatting sqref="I70">
    <cfRule type="containsText" dxfId="95" priority="189" operator="containsText" text="atrasado">
      <formula>NOT(ISERROR(SEARCH(("atrasado"),(I70))))</formula>
    </cfRule>
  </conditionalFormatting>
  <conditionalFormatting sqref="I70">
    <cfRule type="containsText" dxfId="94" priority="190" operator="containsText" text="em andamento">
      <formula>NOT(ISERROR(SEARCH(("em andamento"),(I70))))</formula>
    </cfRule>
  </conditionalFormatting>
  <conditionalFormatting sqref="I70">
    <cfRule type="containsText" dxfId="93" priority="191" operator="containsText" text="Não iniciado">
      <formula>NOT(ISERROR(SEARCH(("Não iniciado"),(I70))))</formula>
    </cfRule>
  </conditionalFormatting>
  <conditionalFormatting sqref="I70">
    <cfRule type="containsText" dxfId="92" priority="192" operator="containsText" text="concluído">
      <formula>NOT(ISERROR(SEARCH(("concluído"),(I70))))</formula>
    </cfRule>
  </conditionalFormatting>
  <conditionalFormatting sqref="I28">
    <cfRule type="containsText" dxfId="91" priority="193" operator="containsText" text="atrasado">
      <formula>NOT(ISERROR(SEARCH(("atrasado"),(I28))))</formula>
    </cfRule>
  </conditionalFormatting>
  <conditionalFormatting sqref="I28">
    <cfRule type="containsText" dxfId="90" priority="194" operator="containsText" text="em andamento">
      <formula>NOT(ISERROR(SEARCH(("em andamento"),(I28))))</formula>
    </cfRule>
  </conditionalFormatting>
  <conditionalFormatting sqref="I28">
    <cfRule type="containsText" dxfId="89" priority="195" operator="containsText" text="Não iniciado">
      <formula>NOT(ISERROR(SEARCH(("Não iniciado"),(I28))))</formula>
    </cfRule>
  </conditionalFormatting>
  <conditionalFormatting sqref="I28">
    <cfRule type="containsText" dxfId="88" priority="196" operator="containsText" text="concluído">
      <formula>NOT(ISERROR(SEARCH(("concluído"),(I28))))</formula>
    </cfRule>
  </conditionalFormatting>
  <conditionalFormatting sqref="I31">
    <cfRule type="containsText" dxfId="87" priority="197" operator="containsText" text="atrasado">
      <formula>NOT(ISERROR(SEARCH(("atrasado"),(I31))))</formula>
    </cfRule>
  </conditionalFormatting>
  <conditionalFormatting sqref="I31">
    <cfRule type="containsText" dxfId="86" priority="198" operator="containsText" text="em andamento">
      <formula>NOT(ISERROR(SEARCH(("em andamento"),(I31))))</formula>
    </cfRule>
  </conditionalFormatting>
  <conditionalFormatting sqref="I31">
    <cfRule type="containsText" dxfId="85" priority="199" operator="containsText" text="Não iniciado">
      <formula>NOT(ISERROR(SEARCH(("Não iniciado"),(I31))))</formula>
    </cfRule>
  </conditionalFormatting>
  <conditionalFormatting sqref="I31">
    <cfRule type="containsText" dxfId="84" priority="200" operator="containsText" text="concluído">
      <formula>NOT(ISERROR(SEARCH(("concluído"),(I31))))</formula>
    </cfRule>
  </conditionalFormatting>
  <conditionalFormatting sqref="I33">
    <cfRule type="containsText" dxfId="83" priority="201" operator="containsText" text="atrasado">
      <formula>NOT(ISERROR(SEARCH(("atrasado"),(I33))))</formula>
    </cfRule>
  </conditionalFormatting>
  <conditionalFormatting sqref="I33">
    <cfRule type="containsText" dxfId="82" priority="202" operator="containsText" text="em andamento">
      <formula>NOT(ISERROR(SEARCH(("em andamento"),(I33))))</formula>
    </cfRule>
  </conditionalFormatting>
  <conditionalFormatting sqref="I33">
    <cfRule type="containsText" dxfId="81" priority="203" operator="containsText" text="Não iniciado">
      <formula>NOT(ISERROR(SEARCH(("Não iniciado"),(I33))))</formula>
    </cfRule>
  </conditionalFormatting>
  <conditionalFormatting sqref="I33">
    <cfRule type="containsText" dxfId="80" priority="204" operator="containsText" text="concluído">
      <formula>NOT(ISERROR(SEARCH(("concluído"),(I33))))</formula>
    </cfRule>
  </conditionalFormatting>
  <conditionalFormatting sqref="I83:I101">
    <cfRule type="containsText" dxfId="79" priority="205" operator="containsText" text="atrasado">
      <formula>NOT(ISERROR(SEARCH(("atrasado"),(I83))))</formula>
    </cfRule>
  </conditionalFormatting>
  <conditionalFormatting sqref="I83:I101">
    <cfRule type="containsText" dxfId="78" priority="206" operator="containsText" text="em andamento">
      <formula>NOT(ISERROR(SEARCH(("em andamento"),(I83))))</formula>
    </cfRule>
  </conditionalFormatting>
  <conditionalFormatting sqref="I83:I101">
    <cfRule type="containsText" dxfId="77" priority="207" operator="containsText" text="Não iniciado">
      <formula>NOT(ISERROR(SEARCH(("Não iniciado"),(I83))))</formula>
    </cfRule>
  </conditionalFormatting>
  <conditionalFormatting sqref="I83:I101">
    <cfRule type="containsText" dxfId="76" priority="208" operator="containsText" text="concluído">
      <formula>NOT(ISERROR(SEARCH(("concluído"),(I83))))</formula>
    </cfRule>
  </conditionalFormatting>
  <conditionalFormatting sqref="I124">
    <cfRule type="containsText" dxfId="75" priority="209" operator="containsText" text="atrasado">
      <formula>NOT(ISERROR(SEARCH(("atrasado"),(I124))))</formula>
    </cfRule>
  </conditionalFormatting>
  <conditionalFormatting sqref="I124">
    <cfRule type="containsText" dxfId="74" priority="210" operator="containsText" text="em andamento">
      <formula>NOT(ISERROR(SEARCH(("em andamento"),(I124))))</formula>
    </cfRule>
  </conditionalFormatting>
  <conditionalFormatting sqref="I124">
    <cfRule type="containsText" dxfId="73" priority="211" operator="containsText" text="Não iniciado">
      <formula>NOT(ISERROR(SEARCH(("Não iniciado"),(I124))))</formula>
    </cfRule>
  </conditionalFormatting>
  <conditionalFormatting sqref="I124">
    <cfRule type="containsText" dxfId="72" priority="212" operator="containsText" text="concluído">
      <formula>NOT(ISERROR(SEARCH(("concluído"),(I124))))</formula>
    </cfRule>
  </conditionalFormatting>
  <conditionalFormatting sqref="I125:I137">
    <cfRule type="containsText" dxfId="71" priority="213" operator="containsText" text="atrasado">
      <formula>NOT(ISERROR(SEARCH(("atrasado"),(I125))))</formula>
    </cfRule>
  </conditionalFormatting>
  <conditionalFormatting sqref="I125:I137">
    <cfRule type="containsText" dxfId="70" priority="214" operator="containsText" text="em andamento">
      <formula>NOT(ISERROR(SEARCH(("em andamento"),(I125))))</formula>
    </cfRule>
  </conditionalFormatting>
  <conditionalFormatting sqref="I125:I137">
    <cfRule type="containsText" dxfId="69" priority="215" operator="containsText" text="Não iniciado">
      <formula>NOT(ISERROR(SEARCH(("Não iniciado"),(I125))))</formula>
    </cfRule>
  </conditionalFormatting>
  <conditionalFormatting sqref="I125:I137">
    <cfRule type="containsText" dxfId="68" priority="216" operator="containsText" text="concluído">
      <formula>NOT(ISERROR(SEARCH(("concluído"),(I125))))</formula>
    </cfRule>
  </conditionalFormatting>
  <conditionalFormatting sqref="I196:I202">
    <cfRule type="containsText" dxfId="67" priority="217" operator="containsText" text="atrasado">
      <formula>NOT(ISERROR(SEARCH(("atrasado"),(I196))))</formula>
    </cfRule>
  </conditionalFormatting>
  <conditionalFormatting sqref="I196:I202">
    <cfRule type="containsText" dxfId="66" priority="218" operator="containsText" text="em andamento">
      <formula>NOT(ISERROR(SEARCH(("em andamento"),(I196))))</formula>
    </cfRule>
  </conditionalFormatting>
  <conditionalFormatting sqref="I196:I202">
    <cfRule type="containsText" dxfId="65" priority="219" operator="containsText" text="Não iniciado">
      <formula>NOT(ISERROR(SEARCH(("Não iniciado"),(I196))))</formula>
    </cfRule>
  </conditionalFormatting>
  <conditionalFormatting sqref="I196:I202">
    <cfRule type="containsText" dxfId="64" priority="220" operator="containsText" text="concluído">
      <formula>NOT(ISERROR(SEARCH(("concluído"),(I196))))</formula>
    </cfRule>
  </conditionalFormatting>
  <conditionalFormatting sqref="I230:I231">
    <cfRule type="containsText" dxfId="63" priority="221" operator="containsText" text="atrasado">
      <formula>NOT(ISERROR(SEARCH(("atrasado"),(I230))))</formula>
    </cfRule>
  </conditionalFormatting>
  <conditionalFormatting sqref="I230:I231">
    <cfRule type="containsText" dxfId="62" priority="222" operator="containsText" text="em andamento">
      <formula>NOT(ISERROR(SEARCH(("em andamento"),(I230))))</formula>
    </cfRule>
  </conditionalFormatting>
  <conditionalFormatting sqref="I230:I231">
    <cfRule type="containsText" dxfId="61" priority="223" operator="containsText" text="Não iniciado">
      <formula>NOT(ISERROR(SEARCH(("Não iniciado"),(I230))))</formula>
    </cfRule>
  </conditionalFormatting>
  <conditionalFormatting sqref="I230:I231">
    <cfRule type="containsText" dxfId="60" priority="224" operator="containsText" text="concluído">
      <formula>NOT(ISERROR(SEARCH(("concluído"),(I230))))</formula>
    </cfRule>
  </conditionalFormatting>
  <conditionalFormatting sqref="I255:I264">
    <cfRule type="containsText" dxfId="59" priority="225" operator="containsText" text="atrasado">
      <formula>NOT(ISERROR(SEARCH(("atrasado"),(I255))))</formula>
    </cfRule>
  </conditionalFormatting>
  <conditionalFormatting sqref="I255:I264">
    <cfRule type="containsText" dxfId="58" priority="226" operator="containsText" text="em andamento">
      <formula>NOT(ISERROR(SEARCH(("em andamento"),(I255))))</formula>
    </cfRule>
  </conditionalFormatting>
  <conditionalFormatting sqref="I255:I264">
    <cfRule type="containsText" dxfId="57" priority="227" operator="containsText" text="Não iniciado">
      <formula>NOT(ISERROR(SEARCH(("Não iniciado"),(I255))))</formula>
    </cfRule>
  </conditionalFormatting>
  <conditionalFormatting sqref="I255:I264">
    <cfRule type="containsText" dxfId="56" priority="228" operator="containsText" text="concluído">
      <formula>NOT(ISERROR(SEARCH(("concluído"),(I255))))</formula>
    </cfRule>
  </conditionalFormatting>
  <conditionalFormatting sqref="I269:I274">
    <cfRule type="containsText" dxfId="55" priority="229" operator="containsText" text="atrasado">
      <formula>NOT(ISERROR(SEARCH(("atrasado"),(I269))))</formula>
    </cfRule>
  </conditionalFormatting>
  <conditionalFormatting sqref="I269:I274">
    <cfRule type="containsText" dxfId="54" priority="230" operator="containsText" text="em andamento">
      <formula>NOT(ISERROR(SEARCH(("em andamento"),(I269))))</formula>
    </cfRule>
  </conditionalFormatting>
  <conditionalFormatting sqref="I269:I274">
    <cfRule type="containsText" dxfId="53" priority="231" operator="containsText" text="Não iniciado">
      <formula>NOT(ISERROR(SEARCH(("Não iniciado"),(I269))))</formula>
    </cfRule>
  </conditionalFormatting>
  <conditionalFormatting sqref="I269:I274">
    <cfRule type="containsText" dxfId="52" priority="232" operator="containsText" text="concluído">
      <formula>NOT(ISERROR(SEARCH(("concluído"),(I269))))</formula>
    </cfRule>
  </conditionalFormatting>
  <conditionalFormatting sqref="I297:I305">
    <cfRule type="containsText" dxfId="51" priority="233" operator="containsText" text="atrasado">
      <formula>NOT(ISERROR(SEARCH(("atrasado"),(I297))))</formula>
    </cfRule>
  </conditionalFormatting>
  <conditionalFormatting sqref="I297:I305">
    <cfRule type="containsText" dxfId="50" priority="234" operator="containsText" text="em andamento">
      <formula>NOT(ISERROR(SEARCH(("em andamento"),(I297))))</formula>
    </cfRule>
  </conditionalFormatting>
  <conditionalFormatting sqref="I297:I305">
    <cfRule type="containsText" dxfId="49" priority="235" operator="containsText" text="Não iniciado">
      <formula>NOT(ISERROR(SEARCH(("Não iniciado"),(I297))))</formula>
    </cfRule>
  </conditionalFormatting>
  <conditionalFormatting sqref="I297:I305">
    <cfRule type="containsText" dxfId="48" priority="236" operator="containsText" text="concluído">
      <formula>NOT(ISERROR(SEARCH(("concluído"),(I297))))</formula>
    </cfRule>
  </conditionalFormatting>
  <conditionalFormatting sqref="I339:I342">
    <cfRule type="containsText" dxfId="47" priority="237" operator="containsText" text="atrasado">
      <formula>NOT(ISERROR(SEARCH(("atrasado"),(I339))))</formula>
    </cfRule>
  </conditionalFormatting>
  <conditionalFormatting sqref="I339:I342">
    <cfRule type="containsText" dxfId="46" priority="238" operator="containsText" text="em andamento">
      <formula>NOT(ISERROR(SEARCH(("em andamento"),(I339))))</formula>
    </cfRule>
  </conditionalFormatting>
  <conditionalFormatting sqref="I339:I342">
    <cfRule type="containsText" dxfId="45" priority="239" operator="containsText" text="Não iniciado">
      <formula>NOT(ISERROR(SEARCH(("Não iniciado"),(I339))))</formula>
    </cfRule>
  </conditionalFormatting>
  <conditionalFormatting sqref="I339:I342">
    <cfRule type="containsText" dxfId="44" priority="240" operator="containsText" text="concluído">
      <formula>NOT(ISERROR(SEARCH(("concluído"),(I339))))</formula>
    </cfRule>
  </conditionalFormatting>
  <conditionalFormatting sqref="I347:I349">
    <cfRule type="containsText" dxfId="43" priority="241" operator="containsText" text="atrasado">
      <formula>NOT(ISERROR(SEARCH(("atrasado"),(I347))))</formula>
    </cfRule>
  </conditionalFormatting>
  <conditionalFormatting sqref="I347:I349">
    <cfRule type="containsText" dxfId="42" priority="242" operator="containsText" text="em andamento">
      <formula>NOT(ISERROR(SEARCH(("em andamento"),(I347))))</formula>
    </cfRule>
  </conditionalFormatting>
  <conditionalFormatting sqref="I347:I349">
    <cfRule type="containsText" dxfId="41" priority="243" operator="containsText" text="Não iniciado">
      <formula>NOT(ISERROR(SEARCH(("Não iniciado"),(I347))))</formula>
    </cfRule>
  </conditionalFormatting>
  <conditionalFormatting sqref="I347:I349">
    <cfRule type="containsText" dxfId="40" priority="244" operator="containsText" text="concluído">
      <formula>NOT(ISERROR(SEARCH(("concluído"),(I347))))</formula>
    </cfRule>
  </conditionalFormatting>
  <conditionalFormatting sqref="I354:I357">
    <cfRule type="containsText" dxfId="39" priority="245" operator="containsText" text="atrasado">
      <formula>NOT(ISERROR(SEARCH(("atrasado"),(I354))))</formula>
    </cfRule>
  </conditionalFormatting>
  <conditionalFormatting sqref="I354:I357">
    <cfRule type="containsText" dxfId="38" priority="246" operator="containsText" text="em andamento">
      <formula>NOT(ISERROR(SEARCH(("em andamento"),(I354))))</formula>
    </cfRule>
  </conditionalFormatting>
  <conditionalFormatting sqref="I354:I357">
    <cfRule type="containsText" dxfId="37" priority="247" operator="containsText" text="Não iniciado">
      <formula>NOT(ISERROR(SEARCH(("Não iniciado"),(I354))))</formula>
    </cfRule>
  </conditionalFormatting>
  <conditionalFormatting sqref="I354:I357">
    <cfRule type="containsText" dxfId="36" priority="248" operator="containsText" text="concluído">
      <formula>NOT(ISERROR(SEARCH(("concluído"),(I354))))</formula>
    </cfRule>
  </conditionalFormatting>
  <conditionalFormatting sqref="I362:I364">
    <cfRule type="containsText" dxfId="35" priority="249" operator="containsText" text="atrasado">
      <formula>NOT(ISERROR(SEARCH(("atrasado"),(I362))))</formula>
    </cfRule>
  </conditionalFormatting>
  <conditionalFormatting sqref="I362:I364">
    <cfRule type="containsText" dxfId="34" priority="250" operator="containsText" text="em andamento">
      <formula>NOT(ISERROR(SEARCH(("em andamento"),(I362))))</formula>
    </cfRule>
  </conditionalFormatting>
  <conditionalFormatting sqref="I362:I364">
    <cfRule type="containsText" dxfId="33" priority="251" operator="containsText" text="Não iniciado">
      <formula>NOT(ISERROR(SEARCH(("Não iniciado"),(I362))))</formula>
    </cfRule>
  </conditionalFormatting>
  <conditionalFormatting sqref="I362:I364">
    <cfRule type="containsText" dxfId="32" priority="252" operator="containsText" text="concluído">
      <formula>NOT(ISERROR(SEARCH(("concluído"),(I362))))</formula>
    </cfRule>
  </conditionalFormatting>
  <conditionalFormatting sqref="I369:I372">
    <cfRule type="containsText" dxfId="31" priority="253" operator="containsText" text="atrasado">
      <formula>NOT(ISERROR(SEARCH(("atrasado"),(I369))))</formula>
    </cfRule>
  </conditionalFormatting>
  <conditionalFormatting sqref="I369:I372">
    <cfRule type="containsText" dxfId="30" priority="254" operator="containsText" text="em andamento">
      <formula>NOT(ISERROR(SEARCH(("em andamento"),(I369))))</formula>
    </cfRule>
  </conditionalFormatting>
  <conditionalFormatting sqref="I369:I372">
    <cfRule type="containsText" dxfId="29" priority="255" operator="containsText" text="Não iniciado">
      <formula>NOT(ISERROR(SEARCH(("Não iniciado"),(I369))))</formula>
    </cfRule>
  </conditionalFormatting>
  <conditionalFormatting sqref="I369:I372">
    <cfRule type="containsText" dxfId="28" priority="256" operator="containsText" text="concluído">
      <formula>NOT(ISERROR(SEARCH(("concluído"),(I369))))</formula>
    </cfRule>
  </conditionalFormatting>
  <conditionalFormatting sqref="I378:I394">
    <cfRule type="containsText" dxfId="27" priority="257" operator="containsText" text="atrasado">
      <formula>NOT(ISERROR(SEARCH(("atrasado"),(I378))))</formula>
    </cfRule>
  </conditionalFormatting>
  <conditionalFormatting sqref="I378:I394">
    <cfRule type="containsText" dxfId="26" priority="258" operator="containsText" text="em andamento">
      <formula>NOT(ISERROR(SEARCH(("em andamento"),(I378))))</formula>
    </cfRule>
  </conditionalFormatting>
  <conditionalFormatting sqref="I378:I394">
    <cfRule type="containsText" dxfId="25" priority="259" operator="containsText" text="Não iniciado">
      <formula>NOT(ISERROR(SEARCH(("Não iniciado"),(I378))))</formula>
    </cfRule>
  </conditionalFormatting>
  <conditionalFormatting sqref="I378:I394">
    <cfRule type="containsText" dxfId="24" priority="260" operator="containsText" text="concluído">
      <formula>NOT(ISERROR(SEARCH(("concluído"),(I378))))</formula>
    </cfRule>
  </conditionalFormatting>
  <conditionalFormatting sqref="I42:I55">
    <cfRule type="containsText" dxfId="23" priority="261" operator="containsText" text="atrasado">
      <formula>NOT(ISERROR(SEARCH(("atrasado"),(I42))))</formula>
    </cfRule>
  </conditionalFormatting>
  <conditionalFormatting sqref="I42:I55">
    <cfRule type="containsText" dxfId="22" priority="262" operator="containsText" text="em andamento">
      <formula>NOT(ISERROR(SEARCH(("em andamento"),(I42))))</formula>
    </cfRule>
  </conditionalFormatting>
  <conditionalFormatting sqref="I42:I55">
    <cfRule type="containsText" dxfId="21" priority="263" operator="containsText" text="Não iniciado">
      <formula>NOT(ISERROR(SEARCH(("Não iniciado"),(I42))))</formula>
    </cfRule>
  </conditionalFormatting>
  <conditionalFormatting sqref="I42:I55">
    <cfRule type="containsText" dxfId="20" priority="264" operator="containsText" text="concluído">
      <formula>NOT(ISERROR(SEARCH(("concluído"),(I42))))</formula>
    </cfRule>
  </conditionalFormatting>
  <conditionalFormatting sqref="I310:I318">
    <cfRule type="containsText" dxfId="19" priority="265" operator="containsText" text="atrasado">
      <formula>NOT(ISERROR(SEARCH(("atrasado"),(I310))))</formula>
    </cfRule>
  </conditionalFormatting>
  <conditionalFormatting sqref="I310:I318">
    <cfRule type="containsText" dxfId="18" priority="266" operator="containsText" text="em andamento">
      <formula>NOT(ISERROR(SEARCH(("em andamento"),(I310))))</formula>
    </cfRule>
  </conditionalFormatting>
  <conditionalFormatting sqref="I310:I318">
    <cfRule type="containsText" dxfId="17" priority="267" operator="containsText" text="Não iniciado">
      <formula>NOT(ISERROR(SEARCH(("Não iniciado"),(I310))))</formula>
    </cfRule>
  </conditionalFormatting>
  <conditionalFormatting sqref="I310:I318">
    <cfRule type="containsText" dxfId="16" priority="268" operator="containsText" text="concluído">
      <formula>NOT(ISERROR(SEARCH(("concluído"),(I310))))</formula>
    </cfRule>
  </conditionalFormatting>
  <conditionalFormatting sqref="I323:I325">
    <cfRule type="containsText" dxfId="15" priority="269" operator="containsText" text="atrasado">
      <formula>NOT(ISERROR(SEARCH(("atrasado"),(I323))))</formula>
    </cfRule>
  </conditionalFormatting>
  <conditionalFormatting sqref="I323:I325">
    <cfRule type="containsText" dxfId="14" priority="270" operator="containsText" text="em andamento">
      <formula>NOT(ISERROR(SEARCH(("em andamento"),(I323))))</formula>
    </cfRule>
  </conditionalFormatting>
  <conditionalFormatting sqref="I323:I325">
    <cfRule type="containsText" dxfId="13" priority="271" operator="containsText" text="Não iniciado">
      <formula>NOT(ISERROR(SEARCH(("Não iniciado"),(I323))))</formula>
    </cfRule>
  </conditionalFormatting>
  <conditionalFormatting sqref="I323:I325">
    <cfRule type="containsText" dxfId="12" priority="272" operator="containsText" text="concluído">
      <formula>NOT(ISERROR(SEARCH(("concluído"),(I323))))</formula>
    </cfRule>
  </conditionalFormatting>
  <conditionalFormatting sqref="I330:I334">
    <cfRule type="containsText" dxfId="11" priority="273" operator="containsText" text="atrasado">
      <formula>NOT(ISERROR(SEARCH(("atrasado"),(I330))))</formula>
    </cfRule>
  </conditionalFormatting>
  <conditionalFormatting sqref="I330:I334">
    <cfRule type="containsText" dxfId="10" priority="274" operator="containsText" text="em andamento">
      <formula>NOT(ISERROR(SEARCH(("em andamento"),(I330))))</formula>
    </cfRule>
  </conditionalFormatting>
  <conditionalFormatting sqref="I330:I334">
    <cfRule type="containsText" dxfId="9" priority="275" operator="containsText" text="Não iniciado">
      <formula>NOT(ISERROR(SEARCH(("Não iniciado"),(I330))))</formula>
    </cfRule>
  </conditionalFormatting>
  <conditionalFormatting sqref="I330:I334">
    <cfRule type="containsText" dxfId="8" priority="276" operator="containsText" text="concluído">
      <formula>NOT(ISERROR(SEARCH(("concluído"),(I330))))</formula>
    </cfRule>
  </conditionalFormatting>
  <conditionalFormatting sqref="I232:I250">
    <cfRule type="containsText" dxfId="7" priority="277" operator="containsText" text="atrasado">
      <formula>NOT(ISERROR(SEARCH(("atrasado"),(I232))))</formula>
    </cfRule>
  </conditionalFormatting>
  <conditionalFormatting sqref="I232:I250">
    <cfRule type="containsText" dxfId="6" priority="278" operator="containsText" text="em andamento">
      <formula>NOT(ISERROR(SEARCH(("em andamento"),(I232))))</formula>
    </cfRule>
  </conditionalFormatting>
  <conditionalFormatting sqref="I232:I250">
    <cfRule type="containsText" dxfId="5" priority="279" operator="containsText" text="Não iniciado">
      <formula>NOT(ISERROR(SEARCH(("Não iniciado"),(I232))))</formula>
    </cfRule>
  </conditionalFormatting>
  <conditionalFormatting sqref="I232:I250">
    <cfRule type="containsText" dxfId="4" priority="280" operator="containsText" text="concluído">
      <formula>NOT(ISERROR(SEARCH(("concluído"),(I232))))</formula>
    </cfRule>
  </conditionalFormatting>
  <conditionalFormatting sqref="I279:I292">
    <cfRule type="containsText" dxfId="3" priority="281" operator="containsText" text="atrasado">
      <formula>NOT(ISERROR(SEARCH(("atrasado"),(I279))))</formula>
    </cfRule>
  </conditionalFormatting>
  <conditionalFormatting sqref="I279:I292">
    <cfRule type="containsText" dxfId="2" priority="282" operator="containsText" text="em andamento">
      <formula>NOT(ISERROR(SEARCH(("em andamento"),(I279))))</formula>
    </cfRule>
  </conditionalFormatting>
  <conditionalFormatting sqref="I279:I292">
    <cfRule type="containsText" dxfId="1" priority="283" operator="containsText" text="Não iniciado">
      <formula>NOT(ISERROR(SEARCH(("Não iniciado"),(I279))))</formula>
    </cfRule>
  </conditionalFormatting>
  <conditionalFormatting sqref="I279:I292">
    <cfRule type="containsText" dxfId="0" priority="284" operator="containsText" text="concluído">
      <formula>NOT(ISERROR(SEARCH(("concluído"),(I279))))</formula>
    </cfRule>
  </conditionalFormatting>
  <dataValidations count="1">
    <dataValidation type="list" allowBlank="1" showErrorMessage="1" sqref="I5:I15 I20:I37 I42:I55 I60:I77 I82:I101 I106:I119 I124:I137 I142:I151 I156:I163 I168:I177 I182:I190 I195:I202 I207:I214 I219:I225 I230:I250 I255:I264 I269:I274 I279:I292 I297:I305 I310:I318 I323:I325 I330:I334 I339:I342 I347:I349 I354:I357 I362:I364 I369:I372 I377:I394 I399:I416 I421:I441 I446:I457 I462:I471 I476:I486 I491:I503 I508:I522 I527:I532 I537:I541 I546:I568 I573:I599 I604:I615 I620:I636 I641:I652 I657:I662 I667:I677 I682:I691 I696:I718 I723:I727">
      <formula1>listastatus</formula1>
    </dataValidation>
  </dataValidations>
  <pageMargins left="0.19685039370078741" right="0.19685039370078741" top="0.39370078740157483" bottom="0.39370078740157483" header="0" footer="0"/>
  <pageSetup paperSize="9" scale="44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0"/>
  <sheetViews>
    <sheetView topLeftCell="B1" workbookViewId="0"/>
  </sheetViews>
  <sheetFormatPr defaultColWidth="14.42578125" defaultRowHeight="15" customHeight="1"/>
  <cols>
    <col min="1" max="1" width="8.7109375" customWidth="1"/>
    <col min="2" max="2" width="93.5703125" customWidth="1"/>
    <col min="3" max="3" width="32.28515625" customWidth="1"/>
    <col min="4" max="18" width="8.7109375" customWidth="1"/>
  </cols>
  <sheetData>
    <row r="3" spans="1:4">
      <c r="A3" s="69" t="s">
        <v>978</v>
      </c>
      <c r="B3" s="70"/>
      <c r="C3" s="39" t="s">
        <v>979</v>
      </c>
      <c r="D3" s="39"/>
    </row>
    <row r="4" spans="1:4">
      <c r="A4" s="8">
        <v>1</v>
      </c>
      <c r="B4" t="s">
        <v>980</v>
      </c>
      <c r="C4" s="40">
        <v>1</v>
      </c>
    </row>
    <row r="5" spans="1:4">
      <c r="A5" s="8">
        <v>2</v>
      </c>
      <c r="B5" t="s">
        <v>981</v>
      </c>
      <c r="C5" s="40">
        <v>1</v>
      </c>
    </row>
    <row r="6" spans="1:4">
      <c r="A6" s="8">
        <v>3</v>
      </c>
      <c r="B6" t="str">
        <f>'Atividades detalhadas'!B3</f>
        <v>Qualificação Cadastral</v>
      </c>
      <c r="C6" s="40">
        <f>'Atividades detalhadas'!K16</f>
        <v>0.90909090909090906</v>
      </c>
    </row>
    <row r="7" spans="1:4">
      <c r="A7" s="8">
        <v>4</v>
      </c>
      <c r="B7" t="str">
        <f>'Atividades detalhadas'!B18</f>
        <v>Saneamento da Base - Análise de Impacto (Robô)</v>
      </c>
      <c r="C7" s="40">
        <f>'Atividades detalhadas'!K38</f>
        <v>1</v>
      </c>
    </row>
    <row r="8" spans="1:4">
      <c r="A8" s="8">
        <v>5</v>
      </c>
      <c r="B8" t="str">
        <f>'Atividades detalhadas'!B40</f>
        <v>Readequação dos Processos Internos</v>
      </c>
      <c r="C8" s="40">
        <f>'Atividades detalhadas'!K56</f>
        <v>0.98714285714285721</v>
      </c>
    </row>
    <row r="9" spans="1:4">
      <c r="A9" s="8">
        <v>6</v>
      </c>
      <c r="B9" t="s">
        <v>982</v>
      </c>
      <c r="C9" s="40">
        <f>AVERAGE(C12:C55)</f>
        <v>0.48769480519480518</v>
      </c>
    </row>
    <row r="10" spans="1:4" ht="31.5">
      <c r="A10" s="8">
        <v>7</v>
      </c>
      <c r="B10" s="41" t="s">
        <v>983</v>
      </c>
      <c r="C10" s="42">
        <f>AVERAGE(C4:C8,C12:C55)</f>
        <v>0.53785316724092247</v>
      </c>
    </row>
    <row r="11" spans="1:4" ht="31.5">
      <c r="A11" s="43"/>
      <c r="B11" s="44"/>
      <c r="C11" s="45"/>
    </row>
    <row r="12" spans="1:4">
      <c r="A12" s="8">
        <v>4</v>
      </c>
      <c r="B12" t="str">
        <f>'Atividades detalhadas'!B58</f>
        <v>Análise da tabela S1000 - Informações do Empregador/Contribuinte</v>
      </c>
      <c r="C12" s="40">
        <f>'Atividades detalhadas'!K78</f>
        <v>1</v>
      </c>
    </row>
    <row r="13" spans="1:4">
      <c r="A13" s="8">
        <v>5</v>
      </c>
      <c r="B13" t="str">
        <f>'Atividades detalhadas'!B80</f>
        <v>Análise da tabela S1005 - Tabela de Estabelecimentos, Obras ou Unidades de Órgãos Públicos</v>
      </c>
      <c r="C13" s="40">
        <f>'Atividades detalhadas'!K102</f>
        <v>1</v>
      </c>
    </row>
    <row r="14" spans="1:4">
      <c r="A14" s="8">
        <v>6</v>
      </c>
      <c r="B14" t="str">
        <f>'Atividades detalhadas'!B104</f>
        <v>Análise da tabela S1010 - Tabela de Rúbricas</v>
      </c>
      <c r="C14" s="40">
        <f>'Atividades detalhadas'!K120</f>
        <v>1</v>
      </c>
    </row>
    <row r="15" spans="1:4">
      <c r="A15" s="8">
        <v>7</v>
      </c>
      <c r="B15" t="str">
        <f>'Atividades detalhadas'!B122</f>
        <v>Análise da tabela S1020 - Lotações Tributárias</v>
      </c>
      <c r="C15" s="40">
        <f>'Atividades detalhadas'!K138</f>
        <v>0.57857142857142851</v>
      </c>
    </row>
    <row r="16" spans="1:4">
      <c r="A16" s="8">
        <v>8</v>
      </c>
      <c r="B16" t="str">
        <f>'Atividades detalhadas'!B140</f>
        <v>Análise da tabela S1030 - Tabela de Cargos/Empregos Públicos</v>
      </c>
      <c r="C16" s="40">
        <f>'Atividades detalhadas'!K152</f>
        <v>0.9</v>
      </c>
    </row>
    <row r="17" spans="1:3">
      <c r="A17" s="8">
        <v>9</v>
      </c>
      <c r="B17" t="str">
        <f>'Atividades detalhadas'!B154</f>
        <v>Análise da tabela S1035 - Tabela de Carreiras Públicas</v>
      </c>
      <c r="C17" s="40">
        <f>'Atividades detalhadas'!K164</f>
        <v>1</v>
      </c>
    </row>
    <row r="18" spans="1:3">
      <c r="A18" s="8">
        <v>10</v>
      </c>
      <c r="B18" t="str">
        <f>'Atividades detalhadas'!B166</f>
        <v>Análise da tabela S1040 - Tabela de Funções/Cargos em Comissão</v>
      </c>
      <c r="C18" s="40">
        <f>'Atividades detalhadas'!K178</f>
        <v>1</v>
      </c>
    </row>
    <row r="19" spans="1:3">
      <c r="A19" s="8">
        <v>11</v>
      </c>
      <c r="B19" t="str">
        <f>'Atividades detalhadas'!B180</f>
        <v>Análise da tabela S1050 - Tabela de Horários/Turnos de Trabalho</v>
      </c>
      <c r="C19" s="40">
        <f>'Atividades detalhadas'!K191</f>
        <v>1</v>
      </c>
    </row>
    <row r="20" spans="1:3">
      <c r="A20" s="8">
        <v>12</v>
      </c>
      <c r="B20" t="str">
        <f>'Atividades detalhadas'!B193</f>
        <v>Análise da tabela S1060 - Tabela de Ambientes de Trabalho</v>
      </c>
      <c r="C20" s="40">
        <f>'Atividades detalhadas'!K203</f>
        <v>1</v>
      </c>
    </row>
    <row r="21" spans="1:3" ht="15.75" customHeight="1">
      <c r="A21" s="8">
        <v>13</v>
      </c>
      <c r="B21" t="str">
        <f>'Atividades detalhadas'!B205</f>
        <v>Análise da tabela S1070 - Tabela de Processos Administrativos/Judiciais</v>
      </c>
      <c r="C21" s="40">
        <f>'Atividades detalhadas'!K215</f>
        <v>0</v>
      </c>
    </row>
    <row r="22" spans="1:3" ht="15.75" customHeight="1">
      <c r="A22" s="8">
        <v>14</v>
      </c>
      <c r="B22" t="str">
        <f>'Atividades detalhadas'!B217</f>
        <v>Análise da tabela S1080 - Tabela de Operadores Portuários</v>
      </c>
      <c r="C22" s="40">
        <f>'Atividades detalhadas'!K226</f>
        <v>1</v>
      </c>
    </row>
    <row r="23" spans="1:3" ht="15.75" customHeight="1">
      <c r="A23" s="8">
        <v>15</v>
      </c>
      <c r="B23" t="str">
        <f>'Atividades detalhadas'!B228</f>
        <v>Análise da tabela S1200 - Remuneração de trabalhador vinculado ao Regime Geral de Previd. Social</v>
      </c>
      <c r="C23" s="40">
        <f>'Atividades detalhadas'!K251</f>
        <v>1</v>
      </c>
    </row>
    <row r="24" spans="1:3" ht="15.75" customHeight="1">
      <c r="A24" s="8">
        <v>16</v>
      </c>
      <c r="B24" t="str">
        <f>'Atividades detalhadas'!B253</f>
        <v>Análise da tabela S1202 - Remuneração de servidor vinculado a Regime Próprio de Previd. Social</v>
      </c>
      <c r="C24" s="40">
        <f>'Atividades detalhadas'!K265</f>
        <v>1</v>
      </c>
    </row>
    <row r="25" spans="1:3" ht="15.75" customHeight="1">
      <c r="A25" s="8">
        <v>17</v>
      </c>
      <c r="B25" t="str">
        <f>'Atividades detalhadas'!B267</f>
        <v>Análise da tabela S1207 - Benefícios previdenciários - RPPS</v>
      </c>
      <c r="C25" s="40">
        <f>'Atividades detalhadas'!K275</f>
        <v>1</v>
      </c>
    </row>
    <row r="26" spans="1:3" ht="15.75" customHeight="1">
      <c r="A26" s="8">
        <v>18</v>
      </c>
      <c r="B26" t="str">
        <f>'Atividades detalhadas'!B277</f>
        <v>Análise da tabela S1210 - Pagamentos de Rendimentos do Trabalho</v>
      </c>
      <c r="C26" s="40">
        <f>'Atividades detalhadas'!K293</f>
        <v>1</v>
      </c>
    </row>
    <row r="27" spans="1:3" ht="15.75" customHeight="1">
      <c r="A27" s="8">
        <v>19</v>
      </c>
      <c r="B27" t="str">
        <f>'Atividades detalhadas'!B295</f>
        <v>Análise da tabela S1250 - Aquisição de Produção Rural</v>
      </c>
      <c r="C27" s="40">
        <f>'Atividades detalhadas'!K306</f>
        <v>1</v>
      </c>
    </row>
    <row r="28" spans="1:3" ht="15.75" customHeight="1">
      <c r="A28" s="8">
        <v>20</v>
      </c>
      <c r="B28" t="str">
        <f>'Atividades detalhadas'!B308</f>
        <v>Análise da tabela S1260 - Comercialização da Produção Rural Pessoa Física</v>
      </c>
      <c r="C28" s="40">
        <f>'Atividades detalhadas'!K319</f>
        <v>1</v>
      </c>
    </row>
    <row r="29" spans="1:3" ht="15.75" customHeight="1">
      <c r="A29" s="8">
        <v>21</v>
      </c>
      <c r="B29" t="str">
        <f>'Atividades detalhadas'!B321</f>
        <v>Análise da tabela S1270 - Contratação de Trabalhadores Avulsos Não Portuários</v>
      </c>
      <c r="C29" s="40">
        <f>'Atividades detalhadas'!K326</f>
        <v>1</v>
      </c>
    </row>
    <row r="30" spans="1:3" ht="15.75" customHeight="1">
      <c r="A30" s="8">
        <v>22</v>
      </c>
      <c r="B30" t="str">
        <f>'Atividades detalhadas'!B328</f>
        <v>Análise da tabela S1280 - Informações Complementares aos Eventos Periódicos</v>
      </c>
      <c r="C30" s="40">
        <f>'Atividades detalhadas'!K335</f>
        <v>1</v>
      </c>
    </row>
    <row r="31" spans="1:3" ht="15.75" customHeight="1">
      <c r="A31" s="8">
        <v>23</v>
      </c>
      <c r="B31" t="str">
        <f>'Atividades detalhadas'!B337</f>
        <v>Análise da tabela S1295 - Solicitação de Totalização para Pagamento em Contingência</v>
      </c>
      <c r="C31" s="40">
        <f>'Atividades detalhadas'!K343</f>
        <v>0</v>
      </c>
    </row>
    <row r="32" spans="1:3" ht="15.75" customHeight="1">
      <c r="A32" s="8">
        <v>24</v>
      </c>
      <c r="B32" t="str">
        <f>'Atividades detalhadas'!B345</f>
        <v>Análise da tabela S1298 - Reabertura dos Eventos Periódicos</v>
      </c>
      <c r="C32" s="40">
        <f>'Atividades detalhadas'!K350</f>
        <v>0</v>
      </c>
    </row>
    <row r="33" spans="1:3" ht="15.75" customHeight="1">
      <c r="A33" s="8">
        <v>25</v>
      </c>
      <c r="B33" t="str">
        <f>'Atividades detalhadas'!B352</f>
        <v>Análise da tabela S1299 - Fechamento dos Eventos Periódicos</v>
      </c>
      <c r="C33" s="40">
        <f>'Atividades detalhadas'!K358</f>
        <v>0</v>
      </c>
    </row>
    <row r="34" spans="1:3" ht="15.75" customHeight="1">
      <c r="A34" s="8">
        <v>26</v>
      </c>
      <c r="B34" t="str">
        <f>'Atividades detalhadas'!B360</f>
        <v>Análise da tabela S1300 - Contribuição Sindical Patronal</v>
      </c>
      <c r="C34" s="40">
        <f>'Atividades detalhadas'!K365</f>
        <v>0</v>
      </c>
    </row>
    <row r="35" spans="1:3" ht="15.75" customHeight="1">
      <c r="A35" s="8">
        <v>27</v>
      </c>
      <c r="B35" t="str">
        <f>'Atividades detalhadas'!B367</f>
        <v>Análise da tabela S2190 - Admissão de Trabalhador - Registro Preliminar</v>
      </c>
      <c r="C35" s="40">
        <f>'Atividades detalhadas'!K373</f>
        <v>1</v>
      </c>
    </row>
    <row r="36" spans="1:3" ht="15.75" customHeight="1">
      <c r="A36" s="8">
        <v>28</v>
      </c>
      <c r="B36" t="str">
        <f>'Atividades detalhadas'!B375</f>
        <v>Análise da tabela S2200 - Cadastramento Inicial do Vínculo e Admissão/Ingresso de Trabalhador</v>
      </c>
      <c r="C36" s="40">
        <f>'Atividades detalhadas'!K395</f>
        <v>0.80000000000000027</v>
      </c>
    </row>
    <row r="37" spans="1:3" ht="15.75" customHeight="1">
      <c r="A37" s="8">
        <v>29</v>
      </c>
      <c r="B37" t="str">
        <f>'Atividades detalhadas'!B397</f>
        <v>Análise da tabela S2205 - Alteração de Dados Cadastrais do Trabalhador</v>
      </c>
      <c r="C37" s="40">
        <f>'Atividades detalhadas'!K417</f>
        <v>0</v>
      </c>
    </row>
    <row r="38" spans="1:3" ht="15.75" customHeight="1">
      <c r="A38" s="8">
        <v>30</v>
      </c>
      <c r="B38" t="str">
        <f>'Atividades detalhadas'!B419</f>
        <v>Análise da tabela S2206 - Alteração de Contrato de Trabalho</v>
      </c>
      <c r="C38" s="40">
        <f>'Atividades detalhadas'!K442</f>
        <v>0</v>
      </c>
    </row>
    <row r="39" spans="1:3" ht="15.75" customHeight="1">
      <c r="A39" s="8">
        <v>31</v>
      </c>
      <c r="B39" t="str">
        <f>'Atividades detalhadas'!B444</f>
        <v>Análise da tabela S2210 - Comunicação de Acidente de Trabalho</v>
      </c>
      <c r="C39" s="40">
        <f>'Atividades detalhadas'!K458</f>
        <v>0</v>
      </c>
    </row>
    <row r="40" spans="1:3" ht="15.75" customHeight="1">
      <c r="A40" s="8">
        <v>32</v>
      </c>
      <c r="B40" t="str">
        <f>'Atividades detalhadas'!B460</f>
        <v>Análise da tabela S2220 - Monitoramento da Saúde do Trabalhador (A partir de Julho/2017)</v>
      </c>
      <c r="C40" s="40">
        <f>'Atividades detalhadas'!K472</f>
        <v>0</v>
      </c>
    </row>
    <row r="41" spans="1:3" ht="15.75" customHeight="1">
      <c r="A41" s="8">
        <v>33</v>
      </c>
      <c r="B41" t="str">
        <f>'Atividades detalhadas'!B474</f>
        <v>Análise da tabela S2230 - Afastamento Temporário</v>
      </c>
      <c r="C41" s="40">
        <f>'Atividades detalhadas'!K487</f>
        <v>0</v>
      </c>
    </row>
    <row r="42" spans="1:3" ht="15.75" customHeight="1">
      <c r="A42" s="8">
        <v>34</v>
      </c>
      <c r="B42" t="str">
        <f>'Atividades detalhadas'!B489</f>
        <v>Análise da tabela S2240 - Condições Ambientais do Trabalho - Fatores de Risco (A partir de Julho/2017)</v>
      </c>
      <c r="C42" s="40">
        <f>'Atividades detalhadas'!K504</f>
        <v>0</v>
      </c>
    </row>
    <row r="43" spans="1:3" ht="15.75" customHeight="1">
      <c r="A43" s="8">
        <v>35</v>
      </c>
      <c r="B43" t="str">
        <f>'Atividades detalhadas'!B506</f>
        <v>Análise da tabela S2241 - Insalubridade, Periculosidade e Aposentadoria Especial</v>
      </c>
      <c r="C43" s="40">
        <f>'Atividades detalhadas'!K523</f>
        <v>0</v>
      </c>
    </row>
    <row r="44" spans="1:3" ht="15.75" customHeight="1">
      <c r="A44" s="8">
        <v>36</v>
      </c>
      <c r="B44" t="str">
        <f>'Atividades detalhadas'!B525</f>
        <v>Análise da tabela S2250 - Aviso Prévio</v>
      </c>
      <c r="C44" s="40">
        <f>'Atividades detalhadas'!K533</f>
        <v>0.35000000000000003</v>
      </c>
    </row>
    <row r="45" spans="1:3" ht="15.75" customHeight="1">
      <c r="A45" s="8">
        <v>37</v>
      </c>
      <c r="B45" t="str">
        <f>'Atividades detalhadas'!B535</f>
        <v>Análise da tabela S2298 - Reintegração</v>
      </c>
      <c r="C45" s="40">
        <f>'Atividades detalhadas'!K542</f>
        <v>0</v>
      </c>
    </row>
    <row r="46" spans="1:3" ht="15.75" customHeight="1">
      <c r="A46" s="8">
        <v>38</v>
      </c>
      <c r="B46" t="str">
        <f>'Atividades detalhadas'!B544</f>
        <v>Análise da tabela S2299 - Desligamento</v>
      </c>
      <c r="C46" s="40">
        <f>'Atividades detalhadas'!K569</f>
        <v>0</v>
      </c>
    </row>
    <row r="47" spans="1:3" ht="15.75" customHeight="1">
      <c r="A47" s="8">
        <v>39</v>
      </c>
      <c r="B47" t="str">
        <f>'Atividades detalhadas'!B571</f>
        <v>Análise da tabela S2300 - Trabalhador Sem Vínculo de Emprego/Estatutário - Início</v>
      </c>
      <c r="C47" s="40">
        <f>'Atividades detalhadas'!K600</f>
        <v>0.82999999999999952</v>
      </c>
    </row>
    <row r="48" spans="1:3" ht="15.75" customHeight="1">
      <c r="A48" s="8">
        <v>40</v>
      </c>
      <c r="B48" t="str">
        <f>'Atividades detalhadas'!B602</f>
        <v>Análise da tabela S2306 - Trabalhador Sem Vínculo de Emprego/Estatutário - Alteração</v>
      </c>
      <c r="C48" s="40">
        <f>'Atividades detalhadas'!K616</f>
        <v>0</v>
      </c>
    </row>
    <row r="49" spans="1:3" ht="15.75" customHeight="1">
      <c r="A49" s="8">
        <v>41</v>
      </c>
      <c r="B49" t="str">
        <f>'Atividades detalhadas'!B618</f>
        <v>Análise da tabela S2399 - Trabalhador Sem Vínculo de Emprego/Estatutário - Término</v>
      </c>
      <c r="C49" s="40">
        <f>'Atividades detalhadas'!K637</f>
        <v>0</v>
      </c>
    </row>
    <row r="50" spans="1:3" ht="15.75" customHeight="1">
      <c r="A50" s="8">
        <v>42</v>
      </c>
      <c r="B50" t="str">
        <f>'Atividades detalhadas'!B639</f>
        <v>Análise da tabela S2400 - Cadastro de Benefícios Previdenciários - RPPS</v>
      </c>
      <c r="C50" s="40">
        <f>'Atividades detalhadas'!K653</f>
        <v>0</v>
      </c>
    </row>
    <row r="51" spans="1:3" ht="15.75" customHeight="1">
      <c r="A51" s="8">
        <v>43</v>
      </c>
      <c r="B51" t="str">
        <f>'Atividades detalhadas'!B655</f>
        <v>Análise da tabela S3000 - Exclusão de eventos</v>
      </c>
      <c r="C51" s="40">
        <f>'Atividades detalhadas'!K663</f>
        <v>1</v>
      </c>
    </row>
    <row r="52" spans="1:3" ht="15.75" customHeight="1">
      <c r="A52" s="8">
        <v>44</v>
      </c>
      <c r="B52" t="str">
        <f>'Atividades detalhadas'!B665</f>
        <v>Análise da tabela S5001 - Informações das contribuições sociais por trabalhador</v>
      </c>
      <c r="C52" s="40">
        <f>'Atividades detalhadas'!K678</f>
        <v>0</v>
      </c>
    </row>
    <row r="53" spans="1:3" ht="15.75" customHeight="1">
      <c r="A53" s="8">
        <v>45</v>
      </c>
      <c r="B53" t="str">
        <f>'Atividades detalhadas'!B680</f>
        <v>Análise da tabela S5002 - Imposto de Renda Retido na Fonte</v>
      </c>
      <c r="C53" s="40">
        <f>'Atividades detalhadas'!K692</f>
        <v>0</v>
      </c>
    </row>
    <row r="54" spans="1:3" ht="15.75" customHeight="1">
      <c r="A54" s="8">
        <v>46</v>
      </c>
      <c r="B54" t="str">
        <f>'Atividades detalhadas'!B694</f>
        <v>Análise da tabela S5011 - Informações das contribuições sociais consolidadas por contribuinte</v>
      </c>
      <c r="C54" s="40">
        <f>'Atividades detalhadas'!K719</f>
        <v>0</v>
      </c>
    </row>
    <row r="55" spans="1:3" ht="15.75" customHeight="1">
      <c r="A55" s="8">
        <v>47</v>
      </c>
      <c r="B55" t="str">
        <f>'Atividades detalhadas'!B721</f>
        <v>Análise da tabela S5012 - Informações do IRRF consolidadas por contribuinte</v>
      </c>
      <c r="C55" s="40">
        <f>'Atividades detalhadas'!K728</f>
        <v>0</v>
      </c>
    </row>
    <row r="56" spans="1:3" ht="15.75" customHeight="1"/>
    <row r="57" spans="1:3" ht="15.75" customHeight="1"/>
    <row r="58" spans="1:3" ht="15.75" customHeight="1"/>
    <row r="59" spans="1:3" ht="15.75" customHeight="1"/>
    <row r="60" spans="1:3" ht="15.75" customHeight="1"/>
    <row r="61" spans="1:3" ht="15.75" customHeight="1"/>
    <row r="62" spans="1:3" ht="15.75" customHeight="1"/>
    <row r="63" spans="1:3" ht="15.75" customHeight="1"/>
    <row r="64" spans="1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3:B3"/>
  </mergeCells>
  <pageMargins left="0.511811024" right="0.511811024" top="0.78740157499999996" bottom="0.78740157499999996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Atividades detalhadas</vt:lpstr>
      <vt:lpstr>Resumo e Grafico</vt:lpstr>
      <vt:lpstr>'Atividades detalhadas'!Concluído</vt:lpstr>
      <vt:lpstr>listastatus</vt:lpstr>
      <vt:lpstr>Status</vt:lpstr>
      <vt:lpstr>Statusesocial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Ricardo.Rodrigues</dc:creator>
  <cp:lastModifiedBy>Vander</cp:lastModifiedBy>
  <cp:lastPrinted>2018-01-11T12:01:00Z</cp:lastPrinted>
  <dcterms:created xsi:type="dcterms:W3CDTF">2017-08-14T14:39:17Z</dcterms:created>
  <dcterms:modified xsi:type="dcterms:W3CDTF">2018-05-18T20:14:17Z</dcterms:modified>
</cp:coreProperties>
</file>