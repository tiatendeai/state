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escritivo" sheetId="1" r:id="rId3"/>
    <sheet state="hidden" name="Respostas ao formulário 1" sheetId="2" r:id="rId4"/>
  </sheets>
  <definedNames/>
  <calcPr/>
</workbook>
</file>

<file path=xl/sharedStrings.xml><?xml version="1.0" encoding="utf-8"?>
<sst xmlns="http://schemas.openxmlformats.org/spreadsheetml/2006/main" count="971" uniqueCount="564">
  <si>
    <t>Carimbo de data/hora</t>
  </si>
  <si>
    <t>Pergunta sem título</t>
  </si>
  <si>
    <t xml:space="preserve"> RSCP - REFERENCIAL DE SERVIÇOS CONTÁBEIS E PARACONTÁBEIS</t>
  </si>
  <si>
    <t>Versão 1.e</t>
  </si>
  <si>
    <t>1 - ESCRITURAÇÃO CONTÁBIL E/OU LIVRO CAIXA</t>
  </si>
  <si>
    <t>Item</t>
  </si>
  <si>
    <t>Descrição</t>
  </si>
  <si>
    <t>Quantidade</t>
  </si>
  <si>
    <t>Valor Unit.</t>
  </si>
  <si>
    <t>Total</t>
  </si>
  <si>
    <t>1.3</t>
  </si>
  <si>
    <t xml:space="preserve">- Classificação e lançamento Contábil - Despesas </t>
  </si>
  <si>
    <t>0</t>
  </si>
  <si>
    <t>1.4</t>
  </si>
  <si>
    <t>- Classificação e Lançamento Contábil - Fiscal</t>
  </si>
  <si>
    <t>1.5</t>
  </si>
  <si>
    <t>- Classificação e Lançamento Contábil - Departamento de Pessoal</t>
  </si>
  <si>
    <t>1.6</t>
  </si>
  <si>
    <t>- Classificação e Lançamento Contábil - NFC-e</t>
  </si>
  <si>
    <t>1.7</t>
  </si>
  <si>
    <t>- Conciliação Bancária (Por Conta Bancária)</t>
  </si>
  <si>
    <t>1.8</t>
  </si>
  <si>
    <t xml:space="preserve">- Conciliação de Cartão de Crédito (Por bandeira) </t>
  </si>
  <si>
    <t>1.9</t>
  </si>
  <si>
    <t>- Conciliação de Aplicação Financeiras</t>
  </si>
  <si>
    <t>1.10</t>
  </si>
  <si>
    <t>- Elaboração de relatório de inconsistências</t>
  </si>
  <si>
    <t>1.11</t>
  </si>
  <si>
    <t>- Escrituração do Livro Diário;</t>
  </si>
  <si>
    <t>1.12</t>
  </si>
  <si>
    <t xml:space="preserve">- Escrituração do livro Razão; </t>
  </si>
  <si>
    <t>1.13</t>
  </si>
  <si>
    <t xml:space="preserve">- Escrituração do livro Lalur; </t>
  </si>
  <si>
    <t>1.14</t>
  </si>
  <si>
    <t xml:space="preserve">- Cálculo de Depreciação do Ativo Permanente; </t>
  </si>
  <si>
    <t>1.15</t>
  </si>
  <si>
    <t>- Elaboração de balancete mensal;</t>
  </si>
  <si>
    <t>1.16</t>
  </si>
  <si>
    <t>- Elaboração mensal de balanço patrimonial;</t>
  </si>
  <si>
    <t>1.17</t>
  </si>
  <si>
    <t>- Elaboração mensal de DRE - Demonstração de Resultado do Exercício</t>
  </si>
  <si>
    <t>1.18</t>
  </si>
  <si>
    <t>- Elaboração de balancete Trimestral;</t>
  </si>
  <si>
    <t>1.19</t>
  </si>
  <si>
    <t>- Elaboração Trimestral de balanço patrimonial;</t>
  </si>
  <si>
    <t>1.20</t>
  </si>
  <si>
    <t>- Elaboração Trimestral de DRE - Demonstração de Resultado do Exercício</t>
  </si>
  <si>
    <t>1.21</t>
  </si>
  <si>
    <t>- Classificação e lançamento Contábil de Receitas de Condomínios (Por boleto)</t>
  </si>
  <si>
    <t>2 - ESCRITURAÇÃO FISCAL</t>
  </si>
  <si>
    <t>2.1</t>
  </si>
  <si>
    <t xml:space="preserve">- Organização dos documentos Fiscais; </t>
  </si>
  <si>
    <t>2.2</t>
  </si>
  <si>
    <t xml:space="preserve">- Classificação e Escrituração dos documentos fiscais de aquisições, vendas, baixas por perda, bonificações e prestação de serviços; </t>
  </si>
  <si>
    <t>2.3</t>
  </si>
  <si>
    <t>- Classificação e Escrituração de NFC-e</t>
  </si>
  <si>
    <t>2.4</t>
  </si>
  <si>
    <t>- Emissão de relatório de inconsistências</t>
  </si>
  <si>
    <t>2.5</t>
  </si>
  <si>
    <t>- Apuração de ISS</t>
  </si>
  <si>
    <t>2.6</t>
  </si>
  <si>
    <t xml:space="preserve">- Apuração de ICMS </t>
  </si>
  <si>
    <t>2.7</t>
  </si>
  <si>
    <t>- Apuração do Simples Nacional</t>
  </si>
  <si>
    <t>2.8</t>
  </si>
  <si>
    <t>- Apuração do PIS</t>
  </si>
  <si>
    <t>2.9</t>
  </si>
  <si>
    <t>- Apuração da COFINS</t>
  </si>
  <si>
    <t>2.10</t>
  </si>
  <si>
    <t>- Apuração da CSLL</t>
  </si>
  <si>
    <t>2.11</t>
  </si>
  <si>
    <t>- Apuração do IRPJ</t>
  </si>
  <si>
    <t>2.12</t>
  </si>
  <si>
    <t xml:space="preserve">- Apuração de ICMS Diferencial de Alíquota (entrada), ICMS Substituição Tributária/Antecipação (Por documento Fiscal) </t>
  </si>
  <si>
    <t>2.13</t>
  </si>
  <si>
    <t>- Apuração de ICMS Diferencial de Alíquota (entrada), ICMS Substituição Tributária/Antecipação (Por iten analisado)</t>
  </si>
  <si>
    <t>2.14</t>
  </si>
  <si>
    <t>- Apuração e emissão de guia de IRRF Sobre Serviços Tomados</t>
  </si>
  <si>
    <t>2.15</t>
  </si>
  <si>
    <t>- Apuração e emissão de guia de Retenção de Contribuições Sobre Serviços Tomados (PIS/COFINS/CSLL)</t>
  </si>
  <si>
    <t>2.16</t>
  </si>
  <si>
    <t xml:space="preserve"> - Apuração e emissão de guia de ISS Retido s/Serviços Tomados</t>
  </si>
  <si>
    <t>2.17</t>
  </si>
  <si>
    <t>- Atendimento à Notificação do programa Nota Legal</t>
  </si>
  <si>
    <t>2.18</t>
  </si>
  <si>
    <t>- Entrega do Livro Fiscal Eletrônico/SPED Fiscal</t>
  </si>
  <si>
    <t>2.19</t>
  </si>
  <si>
    <t>- Elaboração e entrega de DCTF</t>
  </si>
  <si>
    <t>2.20</t>
  </si>
  <si>
    <t>- Elaboração e entrega de EFD Contribuições</t>
  </si>
  <si>
    <t>2.21</t>
  </si>
  <si>
    <t>- Elaboração e entrega de PGDAS</t>
  </si>
  <si>
    <t>2.22</t>
  </si>
  <si>
    <t>- Apuração de ICMS  (Lei 5.005)</t>
  </si>
  <si>
    <t>2.23</t>
  </si>
  <si>
    <t>- Apuração de ICMS ST Sobre vendas (Substituto Tributário)</t>
  </si>
  <si>
    <t>2.24</t>
  </si>
  <si>
    <t>- Configuração de parâmetros tributários em sistemas ERP ou emissor de DF-e (Por ítem)</t>
  </si>
  <si>
    <t>2.25</t>
  </si>
  <si>
    <t>- Análise de incidência de ICMS ST, ICMS AT, DIFAL e FCEP, nas compras fora do Estado (Por item)</t>
  </si>
  <si>
    <t>2.26</t>
  </si>
  <si>
    <t xml:space="preserve">- Armazenamento de documentos fiscais Eletrônicos (XML) -  Múltiplos de 3000 </t>
  </si>
  <si>
    <t>3 - DEPARTAMENTO DE PESSOAL</t>
  </si>
  <si>
    <t>3.1</t>
  </si>
  <si>
    <t>- Busca de documentos para registro de funcionários</t>
  </si>
  <si>
    <t>3.2</t>
  </si>
  <si>
    <t>- Registro de Funcionários (Por funcionário)</t>
  </si>
  <si>
    <t>3.3</t>
  </si>
  <si>
    <t>- Rescisão de contrato de trabalho de funcionários (Por funcionário)</t>
  </si>
  <si>
    <t>3.4</t>
  </si>
  <si>
    <t>- Simulação de Rescisão de Contrato de Trabalho de Funcionário (Por funcionário)</t>
  </si>
  <si>
    <t>3.5</t>
  </si>
  <si>
    <t>- Simulação de Cálculo de multa rescisória de FGTS (Por funcionário)</t>
  </si>
  <si>
    <t>3.6</t>
  </si>
  <si>
    <t>- Emissão de extrato de FGTS de funcionário (Por funcionário)</t>
  </si>
  <si>
    <t>3.7</t>
  </si>
  <si>
    <t>- Apuração de folha de ponto de funcionário (Por Funcionário)</t>
  </si>
  <si>
    <t>3.8</t>
  </si>
  <si>
    <t>- Elaboração/emissão/envio de folha de pagamento (Por funcionário)</t>
  </si>
  <si>
    <t>3.9</t>
  </si>
  <si>
    <t>- Elaboração e emissão da folha de pagamento (pro-Labore e Autônomo)</t>
  </si>
  <si>
    <t>3.10</t>
  </si>
  <si>
    <t>- Elaboração e emissão de documento de férias (Por funcionário)</t>
  </si>
  <si>
    <t>3.11</t>
  </si>
  <si>
    <t>- Elaboração e emissão de holerites de pagamento (Por funcionário)</t>
  </si>
  <si>
    <t>3.12</t>
  </si>
  <si>
    <t>- Elaboração e emissão de holerites de pró-labore (por sócio)</t>
  </si>
  <si>
    <t>3.13</t>
  </si>
  <si>
    <t>- Elaboração e emissão de R.P.A (Recibo de Pagamento Autônomo)</t>
  </si>
  <si>
    <t>3.14</t>
  </si>
  <si>
    <t>- Apuração e emissão de guia de FGTS</t>
  </si>
  <si>
    <t>3.15</t>
  </si>
  <si>
    <t>- Apuração e emissão de guia de Previdência Social (GPS)</t>
  </si>
  <si>
    <t>3.16</t>
  </si>
  <si>
    <t>- Apuração e Emissão de guia de Contribuição Sindical</t>
  </si>
  <si>
    <t>3.17</t>
  </si>
  <si>
    <t>- Apuração e emissão de guia de IRRF</t>
  </si>
  <si>
    <t>3.18</t>
  </si>
  <si>
    <t>- Emissão de guia de Contribuição Assistencial</t>
  </si>
  <si>
    <t>3.19</t>
  </si>
  <si>
    <t>- Emissão de guia de Mensalidade Sindical</t>
  </si>
  <si>
    <t>3.20</t>
  </si>
  <si>
    <t>- Elaboração Sefip/Gefip</t>
  </si>
  <si>
    <t>3.21</t>
  </si>
  <si>
    <t>- Elaboração e entrega de CAGED - Cadastro Geral de Empresados e Desempregados</t>
  </si>
  <si>
    <t>3.22</t>
  </si>
  <si>
    <t>- Homologação de TRCT em sindicato (Por funcionário)</t>
  </si>
  <si>
    <t>3.23</t>
  </si>
  <si>
    <t>- Controle mensal de férias a vencer</t>
  </si>
  <si>
    <t>3.24</t>
  </si>
  <si>
    <t>- Revisão de cálculos de Rescisão de Contrato de Trabalho (Por funcionário)</t>
  </si>
  <si>
    <t>3.25</t>
  </si>
  <si>
    <t>- Revisão de cálculos de Férias/Salários (Por funcionário e por período)</t>
  </si>
  <si>
    <t>4 -  Constituição/Alteração de Sociedade e EIRELI</t>
  </si>
  <si>
    <t>4.1</t>
  </si>
  <si>
    <t>- Consulta de viabilidade</t>
  </si>
  <si>
    <t>4.2</t>
  </si>
  <si>
    <t xml:space="preserve">- Planejamento tributário </t>
  </si>
  <si>
    <t>4.3</t>
  </si>
  <si>
    <t>- Elaboração de Contrato Social/Alteração</t>
  </si>
  <si>
    <t>4.4</t>
  </si>
  <si>
    <t>- Elaboração e transmissão de dados RFB/RLE</t>
  </si>
  <si>
    <t>4.5</t>
  </si>
  <si>
    <t>- Elaboração e transmissão de dados JCDF/RLE</t>
  </si>
  <si>
    <t>4.6</t>
  </si>
  <si>
    <t>- Elaboração e transmissão de dados SEFAZ/RLE</t>
  </si>
  <si>
    <t>4.7</t>
  </si>
  <si>
    <t>- Registro e acompanhamento junto a JCDF ou Cartório</t>
  </si>
  <si>
    <t>4.8</t>
  </si>
  <si>
    <t>- Enquadramento no Simples Nacional</t>
  </si>
  <si>
    <t>4.9</t>
  </si>
  <si>
    <t>- Elaboração/Encaminhamento de Procuração Eletrônica (RFB)</t>
  </si>
  <si>
    <t>4.10</t>
  </si>
  <si>
    <t>- Elaboração/Encaminhamento de Procuração Eletrônica (GDF)</t>
  </si>
  <si>
    <t>4.11</t>
  </si>
  <si>
    <t>- Elaboração/Entrega de SEFIP Sem Movimento</t>
  </si>
  <si>
    <t>4.12</t>
  </si>
  <si>
    <t>- Elaboração de Previsão de Faturamento</t>
  </si>
  <si>
    <t>4.13</t>
  </si>
  <si>
    <t>- Elaboração de Balanço de Abertura</t>
  </si>
  <si>
    <t>4.14</t>
  </si>
  <si>
    <t>- Cadastramento junto a AGEFIS</t>
  </si>
  <si>
    <t>4.15</t>
  </si>
  <si>
    <t>- Elaboração de processo de Licença de Funcionamento via RLE</t>
  </si>
  <si>
    <t>4.16</t>
  </si>
  <si>
    <t>- Serviço de reconhecimento de firma em cartório</t>
  </si>
  <si>
    <t>4.17</t>
  </si>
  <si>
    <t>- Registro junto ao órgão de Classe</t>
  </si>
  <si>
    <t>4.18</t>
  </si>
  <si>
    <t>- Registro junto ao CNES</t>
  </si>
  <si>
    <t>5 - CONSTITUIÇÃO/ALTERAÇÃO DE SOCIEDADE POR AÇÕES</t>
  </si>
  <si>
    <t>5.1</t>
  </si>
  <si>
    <t>5.2</t>
  </si>
  <si>
    <t>- Elaboração do Estatuto Social / Alteração</t>
  </si>
  <si>
    <t>5.3</t>
  </si>
  <si>
    <t xml:space="preserve">- Elaboração do Ata da Diretoria </t>
  </si>
  <si>
    <t>5.4</t>
  </si>
  <si>
    <t>- Elaboração e transmissão de DBE</t>
  </si>
  <si>
    <t>5.5</t>
  </si>
  <si>
    <t>- Elaboração de FCN</t>
  </si>
  <si>
    <t>5.6</t>
  </si>
  <si>
    <t>- Elaboração de FAC</t>
  </si>
  <si>
    <t>5.7</t>
  </si>
  <si>
    <t>5.8</t>
  </si>
  <si>
    <t>5.9</t>
  </si>
  <si>
    <t>5.10</t>
  </si>
  <si>
    <t>5.11</t>
  </si>
  <si>
    <t>5.12</t>
  </si>
  <si>
    <t>5.13</t>
  </si>
  <si>
    <t>5.14</t>
  </si>
  <si>
    <t>- Requerimento de Licença de Funcionamento via RLE</t>
  </si>
  <si>
    <t>5.15</t>
  </si>
  <si>
    <t>5.16</t>
  </si>
  <si>
    <t>- Registro junto ao Órgão de Classe</t>
  </si>
  <si>
    <t>5.17</t>
  </si>
  <si>
    <t>6 - CONSTITUIÇÃO/ALTERAÇÃO DE EMPRESÁRIO INDIVIDUAL</t>
  </si>
  <si>
    <t>6.1</t>
  </si>
  <si>
    <t>6.2</t>
  </si>
  <si>
    <t>- Elaboração do Requerimento de Empresário Individual</t>
  </si>
  <si>
    <t>6.3</t>
  </si>
  <si>
    <t>6.4</t>
  </si>
  <si>
    <t>6.5</t>
  </si>
  <si>
    <t>6.6</t>
  </si>
  <si>
    <t>- Registro e junto a JCDF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</si>
  <si>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</si>
  <si>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</si>
  <si>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</si>
  <si>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</si>
  <si>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</si>
  <si>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</si>
  <si>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</si>
  <si>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</si>
  <si>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</si>
  <si>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</si>
  <si>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</si>
  <si>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</si>
  <si>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- Alterações de Contratos com Registro</t>
  </si>
  <si>
    <t>6.19</t>
  </si>
  <si>
    <t>- Alterações de Contratos sem Registro</t>
  </si>
  <si>
    <t>6.20</t>
  </si>
  <si>
    <t>- Aditivos de Firmas Individuais com Registro</t>
  </si>
  <si>
    <t>6.21</t>
  </si>
  <si>
    <t>- Aditivos de Firmas Individuais sem Registro</t>
  </si>
  <si>
    <t>6.22</t>
  </si>
  <si>
    <t>- Atas de Assembléias Gerais</t>
  </si>
  <si>
    <t>7 - DISTRATO SOCIAL</t>
  </si>
  <si>
    <t>7.1</t>
  </si>
  <si>
    <t>- Pesquisa Fiscal RFB</t>
  </si>
  <si>
    <t>7.2</t>
  </si>
  <si>
    <t>- Pesquisa Fiscal GDF</t>
  </si>
  <si>
    <t>7.3</t>
  </si>
  <si>
    <t>- Pesquisa Débitos AGEFIS</t>
  </si>
  <si>
    <t>7.4</t>
  </si>
  <si>
    <t>- Pesquisa Fiscal CEF (FGTS)</t>
  </si>
  <si>
    <t>7.5</t>
  </si>
  <si>
    <t>- Inutilização de Documentos Fiscais</t>
  </si>
  <si>
    <t>7.6</t>
  </si>
  <si>
    <t>- Baixa de Livros Fiscais (LUDFTOe etc)</t>
  </si>
  <si>
    <t>7.7</t>
  </si>
  <si>
    <t>- Elaboração do Distrato Social</t>
  </si>
  <si>
    <t>7.8</t>
  </si>
  <si>
    <t>- Elaboração do Requerimento de Baixa GDF</t>
  </si>
  <si>
    <t>7.9</t>
  </si>
  <si>
    <t>7.10</t>
  </si>
  <si>
    <t>7.11</t>
  </si>
  <si>
    <t>- Registro de Distrato e acompanhamento junto a JCDF</t>
  </si>
  <si>
    <t>7.12</t>
  </si>
  <si>
    <t>- Certidão Simplificada JCDF</t>
  </si>
  <si>
    <t>7.13</t>
  </si>
  <si>
    <t>- Baixa CNPJ</t>
  </si>
  <si>
    <t xml:space="preserve"> </t>
  </si>
  <si>
    <t>7.14</t>
  </si>
  <si>
    <t xml:space="preserve">- Pedido de Baixa GDF </t>
  </si>
  <si>
    <t>7.15</t>
  </si>
  <si>
    <t>- Acompanhamento do Pedido de Baixa Gdf pelo período decadencial de cinco anos</t>
  </si>
  <si>
    <t>7.16</t>
  </si>
  <si>
    <t>- Elaboraçao e entrega DSPJ/DEFIS Especial de baixa</t>
  </si>
  <si>
    <t>7.17</t>
  </si>
  <si>
    <t>- Baixa junto à CEF</t>
  </si>
  <si>
    <t>7.18</t>
  </si>
  <si>
    <t>- RAIS de Encerramento</t>
  </si>
  <si>
    <t>7.19</t>
  </si>
  <si>
    <t>- Registro Baixa junto ao Órgão de Classe</t>
  </si>
  <si>
    <t>7.20</t>
  </si>
  <si>
    <t>- Baixa AGEFIS</t>
  </si>
  <si>
    <t>8 - CANCELAMENTO DE FIRMA INDIVIDUAL</t>
  </si>
  <si>
    <t>8.1</t>
  </si>
  <si>
    <t>8.2</t>
  </si>
  <si>
    <t>8.3</t>
  </si>
  <si>
    <t>8.4</t>
  </si>
  <si>
    <t>8.5</t>
  </si>
  <si>
    <t>8.6</t>
  </si>
  <si>
    <t>8.7</t>
  </si>
  <si>
    <t>- Elaboração do Requerimento Individual (Baixa)</t>
  </si>
  <si>
    <t>8.8</t>
  </si>
  <si>
    <t>8.9</t>
  </si>
  <si>
    <t>8.10</t>
  </si>
  <si>
    <t>8.11</t>
  </si>
  <si>
    <t>- Registro Distrato junto a JCDF</t>
  </si>
  <si>
    <t>8.12</t>
  </si>
  <si>
    <t>-Certidão Simplificada JCDF</t>
  </si>
  <si>
    <t>8.13</t>
  </si>
  <si>
    <t>8.14</t>
  </si>
  <si>
    <t>8.15</t>
  </si>
  <si>
    <t>8.16</t>
  </si>
  <si>
    <t>- Elaboraçao e entrega Declaração PJ Especial de baixa</t>
  </si>
  <si>
    <t>8.17</t>
  </si>
  <si>
    <t>8.18</t>
  </si>
  <si>
    <t>9 - TRABALHOS DE PERÍCIAS JUDICIAIS E EXTRAJUDICIAIS</t>
  </si>
  <si>
    <t>9.1</t>
  </si>
  <si>
    <t>- Hora Técnica</t>
  </si>
  <si>
    <t>10 - TRABALHOS DE AUDITORIA</t>
  </si>
  <si>
    <t>10.1</t>
  </si>
  <si>
    <t>- Hora Técnica Sênior</t>
  </si>
  <si>
    <t>552,69</t>
  </si>
  <si>
    <t>10.2</t>
  </si>
  <si>
    <t>- Hora Técnica Auxiliar</t>
  </si>
  <si>
    <t>276,29</t>
  </si>
  <si>
    <t>11 - TRABALHOS DE CONSULTORIA, ASSESSORIA E PARECERES</t>
  </si>
  <si>
    <t>11.1</t>
  </si>
  <si>
    <t>11.2</t>
  </si>
  <si>
    <t>12 - SERVIÇOS EXTRAS</t>
  </si>
  <si>
    <t>12.1</t>
  </si>
  <si>
    <t>- Consulta (Verbal)</t>
  </si>
  <si>
    <t>12.2</t>
  </si>
  <si>
    <t>- Consulta (Por escrito)</t>
  </si>
  <si>
    <t>12.3</t>
  </si>
  <si>
    <t>- Dimob</t>
  </si>
  <si>
    <t>12.4</t>
  </si>
  <si>
    <t>- DCTF</t>
  </si>
  <si>
    <t>12.5</t>
  </si>
  <si>
    <t>- Livro Fiscal Eletrônico (Retificação)</t>
  </si>
  <si>
    <t>12.6</t>
  </si>
  <si>
    <t>- Dacon mensal</t>
  </si>
  <si>
    <t>12.7</t>
  </si>
  <si>
    <t>- Dimed</t>
  </si>
  <si>
    <t>12.8</t>
  </si>
  <si>
    <t>- Revisão de base de dados tributária (por ítem)</t>
  </si>
  <si>
    <t>12.9</t>
  </si>
  <si>
    <t>- Certidões Negativas (por certidão)</t>
  </si>
  <si>
    <t>12.10</t>
  </si>
  <si>
    <t>- Parcelamento de débitos de qualquer natureza</t>
  </si>
  <si>
    <t>12.11</t>
  </si>
  <si>
    <t>- Indíces para licitações</t>
  </si>
  <si>
    <t>12.12</t>
  </si>
  <si>
    <t>- Confecção de Cadastros</t>
  </si>
  <si>
    <t>12.13</t>
  </si>
  <si>
    <t>- Cadastro para licitações</t>
  </si>
  <si>
    <t>12.14</t>
  </si>
  <si>
    <t>- Emissão de Decore</t>
  </si>
  <si>
    <t>12.15</t>
  </si>
  <si>
    <t>- Elaboração/Entrega de Declaração para o COAF</t>
  </si>
  <si>
    <t>12.16</t>
  </si>
  <si>
    <t>- Elaboração/Entrega de Declaração para o SISCOSERV</t>
  </si>
  <si>
    <t>12.17</t>
  </si>
  <si>
    <t>- Censo IBGE</t>
  </si>
  <si>
    <t>12.18</t>
  </si>
  <si>
    <t>- Contrato de locação e outros</t>
  </si>
  <si>
    <t>12.19</t>
  </si>
  <si>
    <t>- Cálculo de ICMS Antecipado, ICMS Substituido ou ICMS DIFAL (por guia)</t>
  </si>
  <si>
    <t>12.20</t>
  </si>
  <si>
    <t>- Licença de funcionamento (estabelecimentos de saúde)</t>
  </si>
  <si>
    <t>12.21</t>
  </si>
  <si>
    <t>- Repositório de arquivos XML (Cada 100 documentos)</t>
  </si>
  <si>
    <t>12.22</t>
  </si>
  <si>
    <t>- Gerenciamento Eletrônico de Documentos - GED (até 400 documentos mês)</t>
  </si>
  <si>
    <t>12.23</t>
  </si>
  <si>
    <t>- Requerimento de benefícios junto ao INSS</t>
  </si>
  <si>
    <t>12.24</t>
  </si>
  <si>
    <t>- Caged</t>
  </si>
  <si>
    <t>12.25</t>
  </si>
  <si>
    <t>- Impressão Autenticação e registro de livros (por folha)</t>
  </si>
  <si>
    <t>12.26</t>
  </si>
  <si>
    <t>- Pesquisa situação fiscal PF e PJ (por orgão)</t>
  </si>
  <si>
    <t>12.27</t>
  </si>
  <si>
    <t>- Carta correção</t>
  </si>
  <si>
    <t>12.28</t>
  </si>
  <si>
    <t>- GIA Simples Nacional ICMS</t>
  </si>
  <si>
    <t>12.29</t>
  </si>
  <si>
    <t>- SPED Contribuições</t>
  </si>
  <si>
    <t>12.30</t>
  </si>
  <si>
    <t>- SPED Fiscal</t>
  </si>
  <si>
    <t>12.31</t>
  </si>
  <si>
    <t>- Emissão de guia de parcelamento (por guia)</t>
  </si>
  <si>
    <t>12.32</t>
  </si>
  <si>
    <t>- Atendimento a notificação do Nota Legal (por notificação)</t>
  </si>
  <si>
    <t>12.33</t>
  </si>
  <si>
    <t>- Emissão de Certidão Negativa de Débitos (Presencial)</t>
  </si>
  <si>
    <t>12.34</t>
  </si>
  <si>
    <t>- Parcelamento de débitos (Por Parcelamento)</t>
  </si>
  <si>
    <t>12.35</t>
  </si>
  <si>
    <t>- Acompanhamento de Parcelamento de débitos (Por Parcelamento)</t>
  </si>
  <si>
    <t>12.36</t>
  </si>
  <si>
    <t>- Seguro (Por cada R$ 1.000.000,00 Segurado)</t>
  </si>
  <si>
    <t>12.37</t>
  </si>
  <si>
    <t>- Malha Fiscal: Escrituração de Notas Fiscais de Entrada e/ou Saida (Por mês)</t>
  </si>
  <si>
    <t>12.38</t>
  </si>
  <si>
    <t>- Malha Fiscal: Conciliação de Notas Fiscais de Entrada e/ou de Saída (Por mês)</t>
  </si>
  <si>
    <t>12.39</t>
  </si>
  <si>
    <t>- Malha Fiscal: Emissão de Notas Fiscais referentes às diferenças apontadas (Por mês)</t>
  </si>
  <si>
    <t>12.40</t>
  </si>
  <si>
    <t>- Malha Fiscal: Correção de inconsistências (Por mês)</t>
  </si>
  <si>
    <t>12.41</t>
  </si>
  <si>
    <t>- Malha Fiscal: Emissão de guias de recolhimentos (Por guia)</t>
  </si>
  <si>
    <t>12.42</t>
  </si>
  <si>
    <t>- Malha Fiscal: Lançamentos contábeis referentes aos ajustes das operações</t>
  </si>
  <si>
    <t>12.43</t>
  </si>
  <si>
    <t>- Malha Fiscal: Retificação das Demonstrações Contábeis (Por exercício)</t>
  </si>
  <si>
    <t>12.44</t>
  </si>
  <si>
    <t>- Malha Fiscal: Retificação do PGDAS (Por mês)</t>
  </si>
  <si>
    <t>12.45</t>
  </si>
  <si>
    <t>- Malha Fiscal: Retificação de DCTF (Por declaração)</t>
  </si>
  <si>
    <t>12.46</t>
  </si>
  <si>
    <t>- Malha Fiscal: Retificação de ECD (Por declaração)</t>
  </si>
  <si>
    <t>12.47</t>
  </si>
  <si>
    <t>- Malha Fiscal: Retificação de ECF (Por declaração)</t>
  </si>
  <si>
    <t>12.48</t>
  </si>
  <si>
    <t>- Malha Fiscal: Retificação de DEFIS (Por declaração)</t>
  </si>
  <si>
    <t>12.49</t>
  </si>
  <si>
    <t>- Emissão de boletos de cobrança (Por boleto)</t>
  </si>
  <si>
    <t>12.50</t>
  </si>
  <si>
    <t>- Manutenção de cadastro no SICAF (Mensal)</t>
  </si>
  <si>
    <t>12.51</t>
  </si>
  <si>
    <t xml:space="preserve">- Elaboração/Entrega de SEFIP </t>
  </si>
  <si>
    <t>12.52</t>
  </si>
  <si>
    <t>- Elaboração/Entrega de SEFIP - Adicional por empregados (Por colaborador)</t>
  </si>
  <si>
    <t>12.53</t>
  </si>
  <si>
    <t>- Cadastro fiscal em prefeituras de outros estados</t>
  </si>
  <si>
    <t>13 - SERVIÇOS EXTRAS - ANUAIS</t>
  </si>
  <si>
    <t>13.1</t>
  </si>
  <si>
    <t>- Ata de Sócios</t>
  </si>
  <si>
    <t>13.2</t>
  </si>
  <si>
    <t>- Declaração de IRPF Simplificada</t>
  </si>
  <si>
    <t>13.3</t>
  </si>
  <si>
    <t>- Declaração de IRPF Completa</t>
  </si>
  <si>
    <t>13.4</t>
  </si>
  <si>
    <t>- Declaração de Renda PJ - Inativa</t>
  </si>
  <si>
    <t>13.5</t>
  </si>
  <si>
    <t>- Gia anual de ICMS</t>
  </si>
  <si>
    <t>13.6</t>
  </si>
  <si>
    <t>- Giam</t>
  </si>
  <si>
    <t>13.7</t>
  </si>
  <si>
    <t>- Rais positiva (Adicional por empregado)</t>
  </si>
  <si>
    <t>13.8</t>
  </si>
  <si>
    <t>- Elaboração e entrega de DIMOB</t>
  </si>
  <si>
    <t>13.9</t>
  </si>
  <si>
    <t>- Elaboração e entrega de DIMED</t>
  </si>
  <si>
    <t>13.10</t>
  </si>
  <si>
    <t>- Elaboração e entrega de COAF</t>
  </si>
  <si>
    <t>13.11</t>
  </si>
  <si>
    <t>- Apuração de Ganhos de Capital</t>
  </si>
  <si>
    <t>13.12</t>
  </si>
  <si>
    <t>- Rais</t>
  </si>
  <si>
    <t>13.13</t>
  </si>
  <si>
    <t>- DIRF</t>
  </si>
  <si>
    <t>13.14</t>
  </si>
  <si>
    <t>- Declaração de ITR</t>
  </si>
  <si>
    <t>13.15</t>
  </si>
  <si>
    <t>- SPED Contábil</t>
  </si>
  <si>
    <t>13.16</t>
  </si>
  <si>
    <t>- SPED ECF</t>
  </si>
  <si>
    <t>13.17</t>
  </si>
  <si>
    <t>- Retificação de LFE</t>
  </si>
  <si>
    <t>14 - SERVIÇOS EXTRAS - REGULARIZAÇÃO DE SITUAÇÃO</t>
  </si>
  <si>
    <t>14.1</t>
  </si>
  <si>
    <t>- Elaboração de Balanço Patrimonial Anual</t>
  </si>
  <si>
    <t>14.2</t>
  </si>
  <si>
    <t>- Elaboração de Balancete Anual</t>
  </si>
  <si>
    <t>14.3</t>
  </si>
  <si>
    <t>- Elaboração de Demonstração de Resultado do Exercício Anual</t>
  </si>
  <si>
    <t>14.4</t>
  </si>
  <si>
    <t>- Declaração de Renda PJ - Simples</t>
  </si>
  <si>
    <t>14.5</t>
  </si>
  <si>
    <t>14.6</t>
  </si>
  <si>
    <t>- Declaração de Renda PJ - Lucro presumido</t>
  </si>
  <si>
    <t>14.7</t>
  </si>
  <si>
    <t>- Declaração de Renda PJ - Lucro real</t>
  </si>
  <si>
    <t>14.8</t>
  </si>
  <si>
    <t>14.9</t>
  </si>
  <si>
    <t>14.10</t>
  </si>
  <si>
    <t>- RAIS Negativa</t>
  </si>
  <si>
    <t>14.11</t>
  </si>
  <si>
    <t>- Rais (Por funcionário)</t>
  </si>
  <si>
    <t>14.12</t>
  </si>
  <si>
    <t>- DIRF (Por fonte recebedora)</t>
  </si>
  <si>
    <t>14.13</t>
  </si>
  <si>
    <t>- Elaboração emissão/envio Folha de pagamento e Holerites de 13o. Salário 1a. Parcela (Por Funcionário)</t>
  </si>
  <si>
    <t>14.14</t>
  </si>
  <si>
    <t>- Elaboração emissão/envio Folha de pagamento e Holerites de 13o. Salário 2a. Parcela (Por Funcionário)</t>
  </si>
  <si>
    <t>14.15</t>
  </si>
  <si>
    <t>- Elaboração, protocolo e acompanhamento de Processo de Inscrição Estadual</t>
  </si>
  <si>
    <t>15 - SERVIÇOS AUXILIARES</t>
  </si>
  <si>
    <t>15.1</t>
  </si>
  <si>
    <t>- Busca e envio de documentos via motoboy</t>
  </si>
  <si>
    <t>15.2</t>
  </si>
  <si>
    <t>- Busca de malote de documentos</t>
  </si>
  <si>
    <t>15.3</t>
  </si>
  <si>
    <t>- Organização de documentos</t>
  </si>
  <si>
    <t>15.4</t>
  </si>
  <si>
    <t>- Serviços de reconhecimento de firma e/ou autenticação de documentos</t>
  </si>
  <si>
    <t>15.5</t>
  </si>
  <si>
    <t>15.6</t>
  </si>
  <si>
    <t>- Gestão de parcelamento de débitos</t>
  </si>
  <si>
    <t>15.7</t>
  </si>
  <si>
    <t>- Requerimento e emissão de certidão de débito (Presencial)</t>
  </si>
  <si>
    <t>15.8</t>
  </si>
  <si>
    <t>- Manutenção de SICAF (Mensal)</t>
  </si>
  <si>
    <t>16 - DECLARAÇÃO DE IMPOSTO DE RENDA PESSOA FÍSICA</t>
  </si>
  <si>
    <t>16.1</t>
  </si>
  <si>
    <t>- Fonte Pagadora (Principal)</t>
  </si>
  <si>
    <t>16.2</t>
  </si>
  <si>
    <t>- Fonte Pagadora Adicional (Por Fonte Pagadora, inclusive de dependentes)</t>
  </si>
  <si>
    <t>16.3</t>
  </si>
  <si>
    <t>- Rendimento de Aluguéis (Por Imóvel)</t>
  </si>
  <si>
    <t>16.4</t>
  </si>
  <si>
    <t>- Dependentes (Por dependente)</t>
  </si>
  <si>
    <t>16.5</t>
  </si>
  <si>
    <t>- Pagamentos e doações (Por CPF/CNPJ)</t>
  </si>
  <si>
    <t>16.6</t>
  </si>
  <si>
    <t>- Pagamentos efetuados (Por item)</t>
  </si>
  <si>
    <t>16.7</t>
  </si>
  <si>
    <t>- Bens e Direitos (Por item)</t>
  </si>
  <si>
    <t>16.8</t>
  </si>
  <si>
    <t>- Dívidas e Ônus (Por item)</t>
  </si>
  <si>
    <t>16.9</t>
  </si>
  <si>
    <t>- Apuração de ganho de capital (Por apuração)</t>
  </si>
  <si>
    <t>16.10</t>
  </si>
  <si>
    <t>- Apuração de Atividade Rural (Por mês)</t>
  </si>
  <si>
    <t>16.11</t>
  </si>
  <si>
    <t>- Apuração de Renda Variável - Ações (Por mês)</t>
  </si>
  <si>
    <t>16.12</t>
  </si>
  <si>
    <t>- Livro Caixa (Por mês)</t>
  </si>
  <si>
    <t>16.13</t>
  </si>
  <si>
    <t>- Análise e apuração de Ganho de Capital (Por operação)</t>
  </si>
  <si>
    <t>16.14</t>
  </si>
  <si>
    <t>- Envio de arquivos por e-mail (Declarção em PDF, Backup e Guias)</t>
  </si>
  <si>
    <t>16.15</t>
  </si>
  <si>
    <t>- Envio de arquivos em pendrive (Incluso)</t>
  </si>
  <si>
    <t>17 - SERVIÇOS ADMINISTRATIVOS E FINANCEIROS</t>
  </si>
  <si>
    <t>17.1</t>
  </si>
  <si>
    <t>- Organização de Documentos (Por documentos)</t>
  </si>
  <si>
    <t>17.2</t>
  </si>
  <si>
    <t>- Lançamentos de contas a pagar e a receber em sistema ERP (Por Lançamento)</t>
  </si>
  <si>
    <t>17.3</t>
  </si>
  <si>
    <t>- Cadastramento de contas a pagar e a receber em sistema Internet Banking (Por cadastramento)</t>
  </si>
  <si>
    <t>17.4</t>
  </si>
  <si>
    <t>- Baixa de Pagamento de contas a pagar e a receber em sistema ERP (Por baixa)</t>
  </si>
  <si>
    <t>17.5</t>
  </si>
  <si>
    <t>- Digitalização de documentos (Por documento)</t>
  </si>
  <si>
    <t>17.6</t>
  </si>
  <si>
    <t>- Emissão e envio de relatórios por e-mail (Por relatório)</t>
  </si>
  <si>
    <t>17.7</t>
  </si>
  <si>
    <t>- Emissão de documento fiscal (Por documento)</t>
  </si>
  <si>
    <t>17.8</t>
  </si>
  <si>
    <t>- Emissão de boleto bancário (Por boleto)</t>
  </si>
  <si>
    <t>17.9</t>
  </si>
  <si>
    <t>- Preenchimento de cadastros bancários</t>
  </si>
  <si>
    <t>Serviços a serem executados</t>
  </si>
  <si>
    <t>Desconto</t>
  </si>
  <si>
    <t>Serviços a serem executados (Com desconto)</t>
  </si>
  <si>
    <t>Impostos</t>
  </si>
  <si>
    <t>Observações:</t>
  </si>
  <si>
    <t>1- No momento temos 287 Tipos de Serviços catalogados e estamos em constante atualização.</t>
  </si>
  <si>
    <t>2- Os valores unitários são os praticados pela CPMarra, sendo que cada empresa, conforme a sua realidade, dever fazer a sua precificação.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</si>
</sst>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#,##0.00"/>
    <numFmt numFmtId="165" formatCode="d.m"/>
    <numFmt numFmtId="166" formatCode="#,##0.00;(#,##0.00)"/>
  </numFmts>
  <fonts count="13">
    <font>
      <sz val="10.0"/>
      <color rgb="FF000000"/>
      <name val="Arial"/>
    </font>
    <font/>
    <font>
      <b/>
      <i/>
      <sz val="14.0"/>
    </font>
    <font>
      <b/>
      <sz val="8.0"/>
      <color rgb="FF0000FF"/>
      <name val="Verdana"/>
    </font>
    <font>
      <sz val="8.0"/>
      <color rgb="FF000080"/>
      <name val="Verdana"/>
    </font>
    <font>
      <sz val="11.0"/>
      <color rgb="FF000000"/>
      <name val="Calibri"/>
    </font>
    <font>
      <b/>
      <sz val="8.0"/>
      <color rgb="FF000080"/>
      <name val="Verdana"/>
    </font>
    <font>
      <sz val="8.0"/>
      <name val="Verdana"/>
    </font>
    <font>
      <b/>
      <sz val="8.0"/>
      <color rgb="FF073763"/>
      <name val="Verdana"/>
    </font>
    <font>
      <sz val="8.0"/>
      <color rgb="FF073763"/>
      <name val="Verdana"/>
    </font>
    <font>
      <sz val="8.0"/>
      <color rgb="FF000000"/>
      <name val="Verdana"/>
    </font>
    <font>
      <sz val="8.0"/>
      <color rgb="FF0000FF"/>
      <name val="Verdana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left" readingOrder="0"/>
    </xf>
    <xf borderId="0" fillId="2" fontId="3" numFmtId="4" xfId="0" applyAlignment="1" applyFont="1" applyNumberFormat="1">
      <alignment horizontal="right" readingOrder="0"/>
    </xf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/>
    </xf>
    <xf borderId="1" fillId="2" fontId="4" numFmtId="164" xfId="0" applyAlignment="1" applyBorder="1" applyFont="1" applyNumberFormat="1">
      <alignment horizontal="right" readingOrder="0"/>
    </xf>
    <xf borderId="1" fillId="2" fontId="4" numFmtId="49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left" readingOrder="0" shrinkToFit="0" wrapText="1"/>
    </xf>
    <xf borderId="1" fillId="2" fontId="4" numFmtId="49" xfId="0" applyAlignment="1" applyBorder="1" applyFont="1" applyNumberFormat="1">
      <alignment horizontal="right" readingOrder="0" shrinkToFit="0" wrapText="1"/>
    </xf>
    <xf borderId="1" fillId="2" fontId="4" numFmtId="4" xfId="0" applyAlignment="1" applyBorder="1" applyFont="1" applyNumberFormat="1">
      <alignment horizontal="right" readingOrder="0" shrinkToFit="0" wrapText="1"/>
    </xf>
    <xf borderId="0" fillId="0" fontId="1" numFmtId="0" xfId="0" applyAlignment="1" applyFont="1">
      <alignment horizontal="right" readingOrder="0"/>
    </xf>
    <xf borderId="0" fillId="2" fontId="5" numFmtId="0" xfId="0" applyAlignment="1" applyFont="1">
      <alignment readingOrder="0" shrinkToFit="0" vertical="bottom" wrapText="0"/>
    </xf>
    <xf borderId="1" fillId="2" fontId="4" numFmtId="49" xfId="0" applyAlignment="1" applyBorder="1" applyFont="1" applyNumberFormat="1">
      <alignment horizontal="right" readingOrder="0"/>
    </xf>
    <xf borderId="1" fillId="2" fontId="4" numFmtId="4" xfId="0" applyAlignment="1" applyBorder="1" applyFont="1" applyNumberFormat="1">
      <alignment horizontal="right" readingOrder="0"/>
    </xf>
    <xf borderId="2" fillId="2" fontId="4" numFmtId="0" xfId="0" applyAlignment="1" applyBorder="1" applyFont="1">
      <alignment horizontal="left" readingOrder="0"/>
    </xf>
    <xf borderId="2" fillId="2" fontId="4" numFmtId="49" xfId="0" applyAlignment="1" applyBorder="1" applyFont="1" applyNumberFormat="1">
      <alignment horizontal="right" readingOrder="0"/>
    </xf>
    <xf borderId="2" fillId="2" fontId="4" numFmtId="4" xfId="0" applyAlignment="1" applyBorder="1" applyFont="1" applyNumberFormat="1">
      <alignment horizontal="right" readingOrder="0"/>
    </xf>
    <xf borderId="0" fillId="2" fontId="6" numFmtId="0" xfId="0" applyAlignment="1" applyFont="1">
      <alignment horizontal="left" readingOrder="0"/>
    </xf>
    <xf borderId="1" fillId="2" fontId="4" numFmtId="49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left" readingOrder="0" shrinkToFit="0" wrapText="1"/>
    </xf>
    <xf borderId="1" fillId="2" fontId="4" numFmtId="49" xfId="0" applyAlignment="1" applyBorder="1" applyFont="1" applyNumberFormat="1">
      <alignment horizontal="right" readingOrder="0" shrinkToFit="0" wrapText="1"/>
    </xf>
    <xf borderId="1" fillId="2" fontId="4" numFmtId="4" xfId="0" applyAlignment="1" applyBorder="1" applyFont="1" applyNumberFormat="1">
      <alignment horizontal="right" readingOrder="0" shrinkToFit="0" wrapText="1"/>
    </xf>
    <xf borderId="2" fillId="2" fontId="4" numFmtId="0" xfId="0" applyAlignment="1" applyBorder="1" applyFont="1">
      <alignment horizontal="left" readingOrder="0" shrinkToFit="0" wrapText="1"/>
    </xf>
    <xf borderId="2" fillId="2" fontId="4" numFmtId="49" xfId="0" applyAlignment="1" applyBorder="1" applyFont="1" applyNumberFormat="1">
      <alignment horizontal="right" readingOrder="0" shrinkToFit="0" wrapText="1"/>
    </xf>
    <xf borderId="2" fillId="2" fontId="4" numFmtId="4" xfId="0" applyAlignment="1" applyBorder="1" applyFont="1" applyNumberFormat="1">
      <alignment horizontal="right" readingOrder="0" shrinkToFit="0" wrapText="1"/>
    </xf>
    <xf borderId="2" fillId="2" fontId="4" numFmtId="49" xfId="0" applyAlignment="1" applyBorder="1" applyFont="1" applyNumberFormat="1">
      <alignment horizontal="right" readingOrder="0"/>
    </xf>
    <xf borderId="2" fillId="2" fontId="4" numFmtId="4" xfId="0" applyAlignment="1" applyBorder="1" applyFont="1" applyNumberFormat="1">
      <alignment horizontal="right" readingOrder="0"/>
    </xf>
    <xf borderId="0" fillId="0" fontId="7" numFmtId="0" xfId="0" applyFont="1"/>
    <xf borderId="2" fillId="2" fontId="4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2" fontId="8" numFmtId="49" xfId="0" applyAlignment="1" applyFont="1" applyNumberFormat="1">
      <alignment horizontal="left" readingOrder="0"/>
    </xf>
    <xf borderId="0" fillId="2" fontId="9" numFmtId="0" xfId="0" applyAlignment="1" applyFont="1">
      <alignment readingOrder="0" shrinkToFit="0" wrapText="1"/>
    </xf>
    <xf borderId="0" fillId="2" fontId="9" numFmtId="49" xfId="0" applyAlignment="1" applyFont="1" applyNumberFormat="1">
      <alignment horizontal="right" readingOrder="0"/>
    </xf>
    <xf borderId="0" fillId="2" fontId="9" numFmtId="0" xfId="0" applyAlignment="1" applyFont="1">
      <alignment horizontal="right" readingOrder="0"/>
    </xf>
    <xf borderId="0" fillId="2" fontId="9" numFmtId="4" xfId="0" applyAlignment="1" applyFont="1" applyNumberFormat="1">
      <alignment horizontal="right" readingOrder="0"/>
    </xf>
    <xf borderId="1" fillId="2" fontId="10" numFmtId="0" xfId="0" applyAlignment="1" applyBorder="1" applyFont="1">
      <alignment readingOrder="0" shrinkToFit="0" vertical="bottom" wrapText="0"/>
    </xf>
    <xf borderId="0" fillId="2" fontId="4" numFmtId="49" xfId="0" applyAlignment="1" applyFont="1" applyNumberFormat="1">
      <alignment horizontal="center" readingOrder="0"/>
    </xf>
    <xf borderId="0" fillId="2" fontId="4" numFmtId="0" xfId="0" applyAlignment="1" applyFont="1">
      <alignment horizontal="left" readingOrder="0"/>
    </xf>
    <xf borderId="0" fillId="2" fontId="4" numFmtId="49" xfId="0" applyAlignment="1" applyFont="1" applyNumberFormat="1">
      <alignment horizontal="right" readingOrder="0"/>
    </xf>
    <xf borderId="0" fillId="2" fontId="4" numFmtId="4" xfId="0" applyAlignment="1" applyFont="1" applyNumberFormat="1">
      <alignment horizontal="right" readingOrder="0"/>
    </xf>
    <xf borderId="0" fillId="2" fontId="3" numFmtId="49" xfId="0" applyAlignment="1" applyFont="1" applyNumberFormat="1">
      <alignment horizontal="left" readingOrder="0"/>
    </xf>
    <xf borderId="0" fillId="0" fontId="3" numFmtId="49" xfId="0" applyAlignment="1" applyFont="1" applyNumberFormat="1">
      <alignment horizontal="right" readingOrder="0"/>
    </xf>
    <xf borderId="0" fillId="0" fontId="3" numFmtId="4" xfId="0" applyAlignment="1" applyFont="1" applyNumberFormat="1">
      <alignment horizontal="right" readingOrder="0"/>
    </xf>
    <xf borderId="1" fillId="2" fontId="4" numFmtId="49" xfId="0" applyAlignment="1" applyBorder="1" applyFont="1" applyNumberFormat="1">
      <alignment horizontal="left" readingOrder="0"/>
    </xf>
    <xf borderId="1" fillId="0" fontId="7" numFmtId="49" xfId="0" applyAlignment="1" applyBorder="1" applyFont="1" applyNumberFormat="1">
      <alignment horizontal="right" readingOrder="0"/>
    </xf>
    <xf borderId="1" fillId="0" fontId="7" numFmtId="4" xfId="0" applyAlignment="1" applyBorder="1" applyFont="1" applyNumberFormat="1">
      <alignment horizontal="right" readingOrder="0"/>
    </xf>
    <xf borderId="1" fillId="0" fontId="7" numFmtId="4" xfId="0" applyAlignment="1" applyBorder="1" applyFont="1" applyNumberFormat="1">
      <alignment readingOrder="0"/>
    </xf>
    <xf borderId="0" fillId="2" fontId="4" numFmtId="49" xfId="0" applyAlignment="1" applyFont="1" applyNumberFormat="1">
      <alignment horizontal="left" readingOrder="0"/>
    </xf>
    <xf borderId="0" fillId="0" fontId="11" numFmtId="49" xfId="0" applyAlignment="1" applyFont="1" applyNumberFormat="1">
      <alignment horizontal="right" readingOrder="0"/>
    </xf>
    <xf borderId="0" fillId="0" fontId="11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2" fontId="6" numFmtId="49" xfId="0" applyAlignment="1" applyFont="1" applyNumberFormat="1">
      <alignment horizontal="left" readingOrder="0"/>
    </xf>
    <xf borderId="0" fillId="0" fontId="7" numFmtId="49" xfId="0" applyAlignment="1" applyFont="1" applyNumberFormat="1">
      <alignment horizontal="right" readingOrder="0"/>
    </xf>
    <xf borderId="0" fillId="0" fontId="7" numFmtId="4" xfId="0" applyAlignment="1" applyFont="1" applyNumberFormat="1">
      <alignment horizontal="right" readingOrder="0"/>
    </xf>
    <xf borderId="0" fillId="0" fontId="7" numFmtId="4" xfId="0" applyAlignment="1" applyFont="1" applyNumberFormat="1">
      <alignment readingOrder="0"/>
    </xf>
    <xf borderId="2" fillId="2" fontId="10" numFmtId="0" xfId="0" applyAlignment="1" applyBorder="1" applyFont="1">
      <alignment horizontal="left" readingOrder="0"/>
    </xf>
    <xf borderId="1" fillId="2" fontId="10" numFmtId="0" xfId="0" applyAlignment="1" applyBorder="1" applyFont="1">
      <alignment horizontal="left" readingOrder="0"/>
    </xf>
    <xf borderId="0" fillId="2" fontId="10" numFmtId="0" xfId="0" applyAlignment="1" applyFont="1">
      <alignment horizontal="left" readingOrder="0"/>
    </xf>
    <xf borderId="0" fillId="2" fontId="10" numFmtId="0" xfId="0" applyAlignment="1" applyFont="1">
      <alignment horizontal="right" readingOrder="0"/>
    </xf>
    <xf borderId="2" fillId="2" fontId="10" numFmtId="0" xfId="0" applyAlignment="1" applyBorder="1" applyFont="1">
      <alignment readingOrder="0" shrinkToFit="0" wrapText="1"/>
    </xf>
    <xf borderId="0" fillId="2" fontId="6" numFmtId="165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7" numFmtId="0" xfId="0" applyAlignment="1" applyBorder="1" applyFont="1">
      <alignment readingOrder="0"/>
    </xf>
    <xf borderId="1" fillId="0" fontId="7" numFmtId="166" xfId="0" applyAlignment="1" applyBorder="1" applyFont="1" applyNumberFormat="1">
      <alignment readingOrder="0"/>
    </xf>
    <xf borderId="0" fillId="2" fontId="4" numFmtId="164" xfId="0" applyAlignment="1" applyFont="1" applyNumberFormat="1">
      <alignment horizontal="right" readingOrder="0"/>
    </xf>
    <xf borderId="3" fillId="2" fontId="4" numFmtId="49" xfId="0" applyAlignment="1" applyBorder="1" applyFont="1" applyNumberFormat="1">
      <alignment horizontal="center" readingOrder="0" vertical="bottom"/>
    </xf>
    <xf borderId="3" fillId="2" fontId="4" numFmtId="0" xfId="0" applyAlignment="1" applyBorder="1" applyFont="1">
      <alignment horizontal="left" readingOrder="0" shrinkToFit="0" wrapText="1"/>
    </xf>
    <xf borderId="3" fillId="2" fontId="4" numFmtId="49" xfId="0" applyAlignment="1" applyBorder="1" applyFont="1" applyNumberFormat="1">
      <alignment horizontal="right" readingOrder="0" shrinkToFit="0" wrapText="1"/>
    </xf>
    <xf borderId="3" fillId="2" fontId="4" numFmtId="4" xfId="0" applyAlignment="1" applyBorder="1" applyFont="1" applyNumberFormat="1">
      <alignment horizontal="right" readingOrder="0" shrinkToFit="0" wrapText="1"/>
    </xf>
    <xf borderId="2" fillId="2" fontId="4" numFmtId="49" xfId="0" applyAlignment="1" applyBorder="1" applyFont="1" applyNumberFormat="1">
      <alignment horizontal="center" readingOrder="0" vertical="bottom"/>
    </xf>
    <xf borderId="2" fillId="2" fontId="4" numFmtId="4" xfId="0" applyAlignment="1" applyBorder="1" applyFont="1" applyNumberFormat="1">
      <alignment horizontal="right" readingOrder="0" shrinkToFit="0" wrapText="1"/>
    </xf>
    <xf borderId="0" fillId="2" fontId="4" numFmtId="49" xfId="0" applyAlignment="1" applyFont="1" applyNumberFormat="1">
      <alignment horizontal="center" readingOrder="0" vertical="bottom"/>
    </xf>
    <xf borderId="0" fillId="2" fontId="4" numFmtId="4" xfId="0" applyAlignment="1" applyFont="1" applyNumberFormat="1">
      <alignment horizontal="right" readingOrder="0" shrinkToFit="0" wrapText="1"/>
    </xf>
    <xf borderId="3" fillId="2" fontId="4" numFmtId="0" xfId="0" applyAlignment="1" applyBorder="1" applyFont="1">
      <alignment horizontal="left" readingOrder="0"/>
    </xf>
    <xf borderId="3" fillId="2" fontId="4" numFmtId="49" xfId="0" applyAlignment="1" applyBorder="1" applyFont="1" applyNumberFormat="1">
      <alignment horizontal="right" readingOrder="0"/>
    </xf>
    <xf borderId="3" fillId="2" fontId="4" numFmtId="4" xfId="0" applyAlignment="1" applyBorder="1" applyFont="1" applyNumberFormat="1">
      <alignment horizontal="right" readingOrder="0"/>
    </xf>
    <xf borderId="1" fillId="2" fontId="4" numFmtId="0" xfId="0" applyAlignment="1" applyBorder="1" applyFont="1">
      <alignment horizontal="left" readingOrder="0" vertical="bottom"/>
    </xf>
    <xf borderId="1" fillId="2" fontId="4" numFmtId="49" xfId="0" applyAlignment="1" applyBorder="1" applyFont="1" applyNumberFormat="1">
      <alignment horizontal="right" readingOrder="0" vertical="bottom"/>
    </xf>
    <xf borderId="1" fillId="2" fontId="4" numFmtId="4" xfId="0" applyAlignment="1" applyBorder="1" applyFont="1" applyNumberFormat="1">
      <alignment horizontal="right" readingOrder="0" vertical="bottom"/>
    </xf>
    <xf borderId="0" fillId="2" fontId="4" numFmtId="0" xfId="0" applyAlignment="1" applyFont="1">
      <alignment horizontal="left" vertical="bottom"/>
    </xf>
    <xf borderId="0" fillId="2" fontId="4" numFmtId="49" xfId="0" applyAlignment="1" applyFont="1" applyNumberFormat="1">
      <alignment horizontal="right" vertical="bottom"/>
    </xf>
    <xf borderId="0" fillId="2" fontId="4" numFmtId="4" xfId="0" applyAlignment="1" applyFont="1" applyNumberFormat="1">
      <alignment horizontal="right" vertical="bottom"/>
    </xf>
    <xf borderId="0" fillId="2" fontId="4" numFmtId="4" xfId="0" applyAlignment="1" applyFont="1" applyNumberFormat="1">
      <alignment horizontal="right" shrinkToFit="0" vertical="bottom" wrapText="1"/>
    </xf>
    <xf borderId="2" fillId="2" fontId="4" numFmtId="0" xfId="0" applyAlignment="1" applyBorder="1" applyFont="1">
      <alignment horizontal="left" vertical="bottom"/>
    </xf>
    <xf borderId="2" fillId="2" fontId="4" numFmtId="49" xfId="0" applyAlignment="1" applyBorder="1" applyFont="1" applyNumberFormat="1">
      <alignment horizontal="right" readingOrder="0" vertical="bottom"/>
    </xf>
    <xf borderId="2" fillId="2" fontId="4" numFmtId="4" xfId="0" applyAlignment="1" applyBorder="1" applyFont="1" applyNumberFormat="1">
      <alignment horizontal="right" vertical="bottom"/>
    </xf>
    <xf borderId="2" fillId="2" fontId="4" numFmtId="4" xfId="0" applyAlignment="1" applyBorder="1" applyFont="1" applyNumberFormat="1">
      <alignment horizontal="right" shrinkToFit="0" vertical="bottom" wrapText="1"/>
    </xf>
    <xf borderId="0" fillId="0" fontId="12" numFmtId="0" xfId="0" applyAlignment="1" applyFont="1">
      <alignment readingOrder="0"/>
    </xf>
    <xf borderId="0" fillId="0" fontId="12" numFmtId="0" xfId="0" applyFont="1"/>
    <xf borderId="1" fillId="2" fontId="4" numFmtId="49" xfId="0" applyAlignment="1" applyBorder="1" applyFont="1" applyNumberFormat="1">
      <alignment horizontal="right" readingOrder="0"/>
    </xf>
    <xf borderId="1" fillId="2" fontId="4" numFmtId="4" xfId="0" applyAlignment="1" applyBorder="1" applyFont="1" applyNumberFormat="1">
      <alignment horizontal="right" readingOrder="0"/>
    </xf>
    <xf borderId="4" fillId="0" fontId="12" numFmtId="0" xfId="0" applyAlignment="1" applyBorder="1" applyFont="1">
      <alignment readingOrder="0"/>
    </xf>
    <xf borderId="2" fillId="0" fontId="1" numFmtId="0" xfId="0" applyBorder="1" applyFont="1"/>
    <xf borderId="5" fillId="0" fontId="12" numFmtId="0" xfId="0" applyBorder="1" applyFont="1"/>
    <xf borderId="5" fillId="0" fontId="12" numFmtId="4" xfId="0" applyBorder="1" applyFont="1" applyNumberFormat="1"/>
    <xf borderId="6" fillId="0" fontId="1" numFmtId="0" xfId="0" applyBorder="1" applyFont="1"/>
    <xf borderId="5" fillId="0" fontId="1" numFmtId="10" xfId="0" applyAlignment="1" applyBorder="1" applyFont="1" applyNumberFormat="1">
      <alignment readingOrder="0"/>
    </xf>
    <xf borderId="5" fillId="0" fontId="1" numFmtId="0" xfId="0" applyBorder="1" applyFont="1"/>
    <xf borderId="4" fillId="0" fontId="12" numFmtId="0" xfId="0" applyAlignment="1" applyBorder="1" applyFont="1">
      <alignment horizontal="right" readingOrder="0"/>
    </xf>
    <xf borderId="5" fillId="0" fontId="12" numFmtId="4" xfId="0" applyAlignment="1" applyBorder="1" applyFont="1" applyNumberFormat="1">
      <alignment readingOrder="0"/>
    </xf>
    <xf borderId="0" fillId="0" fontId="1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75"/>
  <cols>
    <col customWidth="1" min="1" max="1" width="7.57"/>
    <col customWidth="1" min="2" max="2" width="83.14"/>
    <col customWidth="1" min="3" max="3" width="13.57"/>
  </cols>
  <sheetData>
    <row r="1">
      <c r="A1" s="2"/>
      <c r="B1" s="2"/>
      <c r="C1" s="2"/>
      <c r="D1" s="2"/>
      <c r="E1" s="2"/>
    </row>
    <row r="2">
      <c r="A2" s="2" t="s">
        <v>2</v>
      </c>
    </row>
    <row r="3">
      <c r="A3" s="2" t="s">
        <v>3</v>
      </c>
    </row>
    <row r="5">
      <c r="A5" s="3" t="s">
        <v>4</v>
      </c>
      <c r="B5" s="3"/>
      <c r="C5" s="3"/>
      <c r="D5" s="3"/>
      <c r="E5" s="4">
        <f>SUM(E7:E25)</f>
        <v>0</v>
      </c>
    </row>
    <row r="6">
      <c r="A6" s="5" t="s">
        <v>5</v>
      </c>
      <c r="B6" s="6" t="s">
        <v>6</v>
      </c>
      <c r="C6" s="7" t="s">
        <v>7</v>
      </c>
      <c r="D6" s="7" t="s">
        <v>8</v>
      </c>
      <c r="E6" s="7" t="s">
        <v>9</v>
      </c>
      <c r="G6" s="1"/>
    </row>
    <row r="7">
      <c r="A7" s="8" t="s">
        <v>10</v>
      </c>
      <c r="B7" s="9" t="s">
        <v>11</v>
      </c>
      <c r="C7" s="10" t="s">
        <v>12</v>
      </c>
      <c r="D7" s="11">
        <v>2.68</v>
      </c>
      <c r="E7" s="11">
        <f t="shared" ref="E7:E25" si="1">C7*D7</f>
        <v>0</v>
      </c>
      <c r="G7" s="12"/>
      <c r="H7" s="13"/>
      <c r="L7" s="1"/>
    </row>
    <row r="8">
      <c r="A8" s="8" t="s">
        <v>13</v>
      </c>
      <c r="B8" s="6" t="s">
        <v>14</v>
      </c>
      <c r="C8" s="14" t="s">
        <v>12</v>
      </c>
      <c r="D8" s="15">
        <v>2.68</v>
      </c>
      <c r="E8" s="11">
        <f t="shared" si="1"/>
        <v>0</v>
      </c>
      <c r="G8" s="1"/>
      <c r="H8" s="13"/>
      <c r="K8" s="1"/>
    </row>
    <row r="9">
      <c r="A9" s="8" t="s">
        <v>15</v>
      </c>
      <c r="B9" s="6" t="s">
        <v>16</v>
      </c>
      <c r="C9" s="14" t="s">
        <v>12</v>
      </c>
      <c r="D9" s="15">
        <v>2.68</v>
      </c>
      <c r="E9" s="11">
        <f t="shared" si="1"/>
        <v>0</v>
      </c>
      <c r="G9" s="1"/>
      <c r="H9" s="13"/>
      <c r="K9" s="1"/>
    </row>
    <row r="10">
      <c r="A10" s="8" t="s">
        <v>17</v>
      </c>
      <c r="B10" s="6" t="s">
        <v>18</v>
      </c>
      <c r="C10" s="14" t="s">
        <v>12</v>
      </c>
      <c r="D10" s="15">
        <v>0.12</v>
      </c>
      <c r="E10" s="11">
        <f t="shared" si="1"/>
        <v>0</v>
      </c>
      <c r="G10" s="1"/>
      <c r="H10" s="13"/>
      <c r="K10" s="1"/>
    </row>
    <row r="11">
      <c r="A11" s="8" t="s">
        <v>19</v>
      </c>
      <c r="B11" s="6" t="s">
        <v>20</v>
      </c>
      <c r="C11" s="14" t="s">
        <v>12</v>
      </c>
      <c r="D11" s="15">
        <v>35.0</v>
      </c>
      <c r="E11" s="11">
        <f t="shared" si="1"/>
        <v>0</v>
      </c>
      <c r="G11" s="1"/>
      <c r="H11" s="13"/>
      <c r="K11" s="1"/>
    </row>
    <row r="12">
      <c r="A12" s="8" t="s">
        <v>21</v>
      </c>
      <c r="B12" s="6" t="s">
        <v>22</v>
      </c>
      <c r="C12" s="14" t="s">
        <v>12</v>
      </c>
      <c r="D12" s="15">
        <v>35.0</v>
      </c>
      <c r="E12" s="11">
        <f t="shared" si="1"/>
        <v>0</v>
      </c>
      <c r="G12" s="1"/>
      <c r="K12" s="1"/>
    </row>
    <row r="13">
      <c r="A13" s="8" t="s">
        <v>23</v>
      </c>
      <c r="B13" s="6" t="s">
        <v>24</v>
      </c>
      <c r="C13" s="14" t="s">
        <v>12</v>
      </c>
      <c r="D13" s="15">
        <v>35.0</v>
      </c>
      <c r="E13" s="11">
        <f t="shared" si="1"/>
        <v>0</v>
      </c>
      <c r="G13" s="1"/>
      <c r="K13" s="1"/>
    </row>
    <row r="14">
      <c r="A14" s="8" t="s">
        <v>25</v>
      </c>
      <c r="B14" s="6" t="s">
        <v>26</v>
      </c>
      <c r="C14" s="14" t="s">
        <v>12</v>
      </c>
      <c r="D14" s="15">
        <v>35.0</v>
      </c>
      <c r="E14" s="11">
        <f t="shared" si="1"/>
        <v>0</v>
      </c>
      <c r="G14" s="1"/>
      <c r="K14" s="1"/>
    </row>
    <row r="15">
      <c r="A15" s="8" t="s">
        <v>27</v>
      </c>
      <c r="B15" s="16" t="s">
        <v>28</v>
      </c>
      <c r="C15" s="17" t="s">
        <v>12</v>
      </c>
      <c r="D15" s="18">
        <v>35.0</v>
      </c>
      <c r="E15" s="11">
        <f t="shared" si="1"/>
        <v>0</v>
      </c>
      <c r="G15" s="1"/>
      <c r="L15" s="1"/>
    </row>
    <row r="16">
      <c r="A16" s="8" t="s">
        <v>29</v>
      </c>
      <c r="B16" s="16" t="s">
        <v>30</v>
      </c>
      <c r="C16" s="17" t="s">
        <v>12</v>
      </c>
      <c r="D16" s="18">
        <v>35.0</v>
      </c>
      <c r="E16" s="11">
        <f t="shared" si="1"/>
        <v>0</v>
      </c>
      <c r="G16" s="1"/>
    </row>
    <row r="17">
      <c r="A17" s="8" t="s">
        <v>31</v>
      </c>
      <c r="B17" s="16" t="s">
        <v>32</v>
      </c>
      <c r="C17" s="17" t="s">
        <v>12</v>
      </c>
      <c r="D17" s="18">
        <v>35.0</v>
      </c>
      <c r="E17" s="11">
        <f t="shared" si="1"/>
        <v>0</v>
      </c>
      <c r="G17" s="1"/>
    </row>
    <row r="18">
      <c r="A18" s="8" t="s">
        <v>33</v>
      </c>
      <c r="B18" s="16" t="s">
        <v>34</v>
      </c>
      <c r="C18" s="17" t="s">
        <v>12</v>
      </c>
      <c r="D18" s="18">
        <v>3.97</v>
      </c>
      <c r="E18" s="11">
        <f t="shared" si="1"/>
        <v>0</v>
      </c>
      <c r="G18" s="1"/>
    </row>
    <row r="19">
      <c r="A19" s="8" t="s">
        <v>35</v>
      </c>
      <c r="B19" s="16" t="s">
        <v>36</v>
      </c>
      <c r="C19" s="17" t="s">
        <v>12</v>
      </c>
      <c r="D19" s="18">
        <v>47.3</v>
      </c>
      <c r="E19" s="11">
        <f t="shared" si="1"/>
        <v>0</v>
      </c>
      <c r="G19" s="1"/>
    </row>
    <row r="20">
      <c r="A20" s="8" t="s">
        <v>37</v>
      </c>
      <c r="B20" s="16" t="s">
        <v>38</v>
      </c>
      <c r="C20" s="17" t="s">
        <v>12</v>
      </c>
      <c r="D20" s="18">
        <v>47.3</v>
      </c>
      <c r="E20" s="11">
        <f t="shared" si="1"/>
        <v>0</v>
      </c>
      <c r="G20" s="1"/>
      <c r="H20" s="1"/>
    </row>
    <row r="21">
      <c r="A21" s="8" t="s">
        <v>39</v>
      </c>
      <c r="B21" s="16" t="s">
        <v>40</v>
      </c>
      <c r="C21" s="17" t="s">
        <v>12</v>
      </c>
      <c r="D21" s="18">
        <v>47.3</v>
      </c>
      <c r="E21" s="11">
        <f t="shared" si="1"/>
        <v>0</v>
      </c>
      <c r="G21" s="1"/>
      <c r="H21" s="1"/>
    </row>
    <row r="22">
      <c r="A22" s="8" t="s">
        <v>41</v>
      </c>
      <c r="B22" s="16" t="s">
        <v>42</v>
      </c>
      <c r="C22" s="17" t="s">
        <v>12</v>
      </c>
      <c r="D22" s="18">
        <f>D19*3</f>
        <v>141.9</v>
      </c>
      <c r="E22" s="11">
        <f t="shared" si="1"/>
        <v>0</v>
      </c>
      <c r="G22" s="1"/>
      <c r="H22" s="1"/>
    </row>
    <row r="23">
      <c r="A23" s="8" t="s">
        <v>43</v>
      </c>
      <c r="B23" s="16" t="s">
        <v>44</v>
      </c>
      <c r="C23" s="17" t="s">
        <v>12</v>
      </c>
      <c r="D23" s="18">
        <v>141.9</v>
      </c>
      <c r="E23" s="11">
        <f t="shared" si="1"/>
        <v>0</v>
      </c>
      <c r="G23" s="1"/>
      <c r="H23" s="1"/>
    </row>
    <row r="24">
      <c r="A24" s="8" t="s">
        <v>45</v>
      </c>
      <c r="B24" s="16" t="s">
        <v>46</v>
      </c>
      <c r="C24" s="17" t="s">
        <v>12</v>
      </c>
      <c r="D24" s="18">
        <v>141.9</v>
      </c>
      <c r="E24" s="11">
        <f t="shared" si="1"/>
        <v>0</v>
      </c>
      <c r="G24" s="1"/>
      <c r="H24" s="1"/>
    </row>
    <row r="25">
      <c r="A25" s="8" t="s">
        <v>47</v>
      </c>
      <c r="B25" s="6" t="s">
        <v>48</v>
      </c>
      <c r="C25" s="17" t="s">
        <v>12</v>
      </c>
      <c r="D25" s="18">
        <v>2.77</v>
      </c>
      <c r="E25" s="11">
        <f t="shared" si="1"/>
        <v>0</v>
      </c>
      <c r="G25" s="1"/>
      <c r="H25" s="1"/>
    </row>
    <row r="26">
      <c r="A26" s="19"/>
      <c r="B26" s="19"/>
      <c r="C26" s="19"/>
      <c r="D26" s="19"/>
      <c r="E26" s="19"/>
      <c r="G26" s="1"/>
      <c r="H26" s="1"/>
    </row>
    <row r="27">
      <c r="A27" s="3" t="s">
        <v>49</v>
      </c>
      <c r="B27" s="3"/>
      <c r="C27" s="3"/>
      <c r="D27" s="3"/>
      <c r="E27" s="4">
        <f>SUM(E29:E54)</f>
        <v>0</v>
      </c>
      <c r="G27" s="1"/>
      <c r="H27" s="1"/>
    </row>
    <row r="28">
      <c r="A28" s="5" t="s">
        <v>5</v>
      </c>
      <c r="B28" s="6" t="s">
        <v>6</v>
      </c>
      <c r="C28" s="7" t="s">
        <v>7</v>
      </c>
      <c r="D28" s="7" t="s">
        <v>8</v>
      </c>
      <c r="E28" s="7" t="s">
        <v>9</v>
      </c>
      <c r="G28" s="1"/>
      <c r="H28" s="1"/>
    </row>
    <row r="29">
      <c r="A29" s="20" t="s">
        <v>50</v>
      </c>
      <c r="B29" s="21" t="s">
        <v>51</v>
      </c>
      <c r="C29" s="22" t="s">
        <v>12</v>
      </c>
      <c r="D29" s="23">
        <v>0.15</v>
      </c>
      <c r="E29" s="23">
        <f t="shared" ref="E29:E54" si="2">C29*D29</f>
        <v>0</v>
      </c>
      <c r="G29" s="1"/>
      <c r="H29" s="1"/>
    </row>
    <row r="30">
      <c r="A30" s="20" t="s">
        <v>52</v>
      </c>
      <c r="B30" s="24" t="s">
        <v>53</v>
      </c>
      <c r="C30" s="25" t="s">
        <v>12</v>
      </c>
      <c r="D30" s="26">
        <v>2.68</v>
      </c>
      <c r="E30" s="23">
        <f t="shared" si="2"/>
        <v>0</v>
      </c>
    </row>
    <row r="31">
      <c r="A31" s="20" t="s">
        <v>54</v>
      </c>
      <c r="B31" s="24" t="s">
        <v>55</v>
      </c>
      <c r="C31" s="27" t="s">
        <v>12</v>
      </c>
      <c r="D31" s="28">
        <v>0.12</v>
      </c>
      <c r="E31" s="23">
        <f t="shared" si="2"/>
        <v>0</v>
      </c>
    </row>
    <row r="32">
      <c r="A32" s="20" t="s">
        <v>56</v>
      </c>
      <c r="B32" s="24" t="s">
        <v>57</v>
      </c>
      <c r="C32" s="27" t="s">
        <v>12</v>
      </c>
      <c r="D32" s="28">
        <v>35.0</v>
      </c>
      <c r="E32" s="23">
        <f t="shared" si="2"/>
        <v>0</v>
      </c>
    </row>
    <row r="33">
      <c r="A33" s="20" t="s">
        <v>58</v>
      </c>
      <c r="B33" s="24" t="s">
        <v>59</v>
      </c>
      <c r="C33" s="27" t="s">
        <v>12</v>
      </c>
      <c r="D33" s="28">
        <v>15.35</v>
      </c>
      <c r="E33" s="23">
        <f t="shared" si="2"/>
        <v>0</v>
      </c>
    </row>
    <row r="34">
      <c r="A34" s="20" t="s">
        <v>60</v>
      </c>
      <c r="B34" s="24" t="s">
        <v>61</v>
      </c>
      <c r="C34" s="27" t="s">
        <v>12</v>
      </c>
      <c r="D34" s="28">
        <v>15.35</v>
      </c>
      <c r="E34" s="23">
        <f t="shared" si="2"/>
        <v>0</v>
      </c>
    </row>
    <row r="35">
      <c r="A35" s="20" t="s">
        <v>62</v>
      </c>
      <c r="B35" s="24" t="s">
        <v>63</v>
      </c>
      <c r="C35" s="27" t="s">
        <v>12</v>
      </c>
      <c r="D35" s="28">
        <v>15.35</v>
      </c>
      <c r="E35" s="23">
        <f t="shared" si="2"/>
        <v>0</v>
      </c>
    </row>
    <row r="36">
      <c r="A36" s="20" t="s">
        <v>64</v>
      </c>
      <c r="B36" s="24" t="s">
        <v>65</v>
      </c>
      <c r="C36" s="27" t="s">
        <v>12</v>
      </c>
      <c r="D36" s="28">
        <v>15.35</v>
      </c>
      <c r="E36" s="23">
        <f t="shared" si="2"/>
        <v>0</v>
      </c>
    </row>
    <row r="37">
      <c r="A37" s="20" t="s">
        <v>66</v>
      </c>
      <c r="B37" s="24" t="s">
        <v>67</v>
      </c>
      <c r="C37" s="27" t="s">
        <v>12</v>
      </c>
      <c r="D37" s="28">
        <v>15.35</v>
      </c>
      <c r="E37" s="23">
        <f t="shared" si="2"/>
        <v>0</v>
      </c>
    </row>
    <row r="38">
      <c r="A38" s="20" t="s">
        <v>68</v>
      </c>
      <c r="B38" s="24" t="s">
        <v>69</v>
      </c>
      <c r="C38" s="27" t="s">
        <v>12</v>
      </c>
      <c r="D38" s="28">
        <v>15.35</v>
      </c>
      <c r="E38" s="23">
        <f t="shared" si="2"/>
        <v>0</v>
      </c>
    </row>
    <row r="39">
      <c r="A39" s="20" t="s">
        <v>70</v>
      </c>
      <c r="B39" s="24" t="s">
        <v>71</v>
      </c>
      <c r="C39" s="27" t="s">
        <v>12</v>
      </c>
      <c r="D39" s="28">
        <v>15.35</v>
      </c>
      <c r="E39" s="23">
        <f t="shared" si="2"/>
        <v>0</v>
      </c>
    </row>
    <row r="40">
      <c r="A40" s="20" t="s">
        <v>72</v>
      </c>
      <c r="B40" s="24" t="s">
        <v>73</v>
      </c>
      <c r="C40" s="27" t="s">
        <v>12</v>
      </c>
      <c r="D40" s="28">
        <v>15.35</v>
      </c>
      <c r="E40" s="23">
        <f t="shared" si="2"/>
        <v>0</v>
      </c>
      <c r="F40" s="1"/>
    </row>
    <row r="41">
      <c r="A41" s="20" t="s">
        <v>74</v>
      </c>
      <c r="B41" s="24" t="s">
        <v>75</v>
      </c>
      <c r="C41" s="27" t="s">
        <v>12</v>
      </c>
      <c r="D41" s="28">
        <v>2.97</v>
      </c>
      <c r="E41" s="23">
        <f t="shared" si="2"/>
        <v>0</v>
      </c>
      <c r="F41" s="29"/>
      <c r="G41" s="29"/>
      <c r="H41" s="29"/>
      <c r="I41" s="29"/>
      <c r="J41" s="29"/>
      <c r="K41" s="29"/>
    </row>
    <row r="42">
      <c r="A42" s="20" t="s">
        <v>76</v>
      </c>
      <c r="B42" s="30" t="s">
        <v>77</v>
      </c>
      <c r="C42" s="27" t="s">
        <v>12</v>
      </c>
      <c r="D42" s="28">
        <v>15.87</v>
      </c>
      <c r="E42" s="23">
        <f t="shared" si="2"/>
        <v>0</v>
      </c>
      <c r="F42" s="29"/>
      <c r="G42" s="29"/>
      <c r="H42" s="31"/>
      <c r="I42" s="29"/>
      <c r="J42" s="29"/>
      <c r="K42" s="29"/>
    </row>
    <row r="43">
      <c r="A43" s="20" t="s">
        <v>78</v>
      </c>
      <c r="B43" s="30" t="s">
        <v>79</v>
      </c>
      <c r="C43" s="27" t="s">
        <v>12</v>
      </c>
      <c r="D43" s="28">
        <v>15.87</v>
      </c>
      <c r="E43" s="23">
        <f t="shared" si="2"/>
        <v>0</v>
      </c>
      <c r="F43" s="29"/>
      <c r="G43" s="29"/>
      <c r="H43" s="29"/>
      <c r="I43" s="29"/>
      <c r="J43" s="29"/>
      <c r="K43" s="29"/>
    </row>
    <row r="44">
      <c r="A44" s="20" t="s">
        <v>80</v>
      </c>
      <c r="B44" s="30" t="s">
        <v>81</v>
      </c>
      <c r="C44" s="27" t="s">
        <v>12</v>
      </c>
      <c r="D44" s="28">
        <v>15.87</v>
      </c>
      <c r="E44" s="23">
        <f t="shared" si="2"/>
        <v>0</v>
      </c>
      <c r="F44" s="29"/>
      <c r="G44" s="29"/>
      <c r="H44" s="29"/>
      <c r="I44" s="29"/>
      <c r="J44" s="29"/>
      <c r="K44" s="29"/>
    </row>
    <row r="45">
      <c r="A45" s="20" t="s">
        <v>82</v>
      </c>
      <c r="B45" s="30" t="s">
        <v>83</v>
      </c>
      <c r="C45" s="27" t="s">
        <v>12</v>
      </c>
      <c r="D45" s="28">
        <v>4.9</v>
      </c>
      <c r="E45" s="23">
        <f t="shared" si="2"/>
        <v>0</v>
      </c>
      <c r="F45" s="29"/>
      <c r="G45" s="29"/>
      <c r="H45" s="29"/>
      <c r="I45" s="29"/>
      <c r="J45" s="29"/>
      <c r="K45" s="29"/>
    </row>
    <row r="46">
      <c r="A46" s="20" t="s">
        <v>84</v>
      </c>
      <c r="B46" s="30" t="s">
        <v>85</v>
      </c>
      <c r="C46" s="27" t="s">
        <v>12</v>
      </c>
      <c r="D46" s="28">
        <v>45.0</v>
      </c>
      <c r="E46" s="23">
        <f t="shared" si="2"/>
        <v>0</v>
      </c>
      <c r="F46" s="29"/>
      <c r="G46" s="29"/>
      <c r="H46" s="31"/>
      <c r="I46" s="29"/>
      <c r="J46" s="29"/>
      <c r="K46" s="29"/>
    </row>
    <row r="47">
      <c r="A47" s="20" t="s">
        <v>86</v>
      </c>
      <c r="B47" s="30" t="s">
        <v>87</v>
      </c>
      <c r="C47" s="27" t="s">
        <v>12</v>
      </c>
      <c r="D47" s="28">
        <v>158.7</v>
      </c>
      <c r="E47" s="23">
        <f t="shared" si="2"/>
        <v>0</v>
      </c>
      <c r="F47" s="29"/>
      <c r="G47" s="29"/>
      <c r="H47" s="29"/>
      <c r="I47" s="29"/>
      <c r="J47" s="29"/>
      <c r="K47" s="29"/>
    </row>
    <row r="48">
      <c r="A48" s="20" t="s">
        <v>88</v>
      </c>
      <c r="B48" s="30" t="s">
        <v>89</v>
      </c>
      <c r="C48" s="27" t="s">
        <v>12</v>
      </c>
      <c r="D48" s="28">
        <v>158.7</v>
      </c>
      <c r="E48" s="23">
        <f t="shared" si="2"/>
        <v>0</v>
      </c>
      <c r="F48" s="29"/>
      <c r="G48" s="29"/>
      <c r="H48" s="29"/>
      <c r="I48" s="29"/>
      <c r="J48" s="29"/>
      <c r="K48" s="29"/>
    </row>
    <row r="49">
      <c r="A49" s="20" t="s">
        <v>90</v>
      </c>
      <c r="B49" s="30" t="s">
        <v>91</v>
      </c>
      <c r="C49" s="27" t="s">
        <v>12</v>
      </c>
      <c r="D49" s="28">
        <v>45.0</v>
      </c>
      <c r="E49" s="23">
        <f t="shared" si="2"/>
        <v>0</v>
      </c>
      <c r="F49" s="29"/>
      <c r="G49" s="29"/>
      <c r="H49" s="29"/>
      <c r="I49" s="29"/>
      <c r="J49" s="29"/>
      <c r="K49" s="29"/>
    </row>
    <row r="50">
      <c r="A50" s="20" t="s">
        <v>92</v>
      </c>
      <c r="B50" s="30" t="s">
        <v>93</v>
      </c>
      <c r="C50" s="27" t="s">
        <v>12</v>
      </c>
      <c r="D50" s="28">
        <v>235.0</v>
      </c>
      <c r="E50" s="23">
        <f t="shared" si="2"/>
        <v>0</v>
      </c>
      <c r="F50" s="29"/>
      <c r="G50" s="29"/>
      <c r="H50" s="29"/>
      <c r="I50" s="29"/>
      <c r="J50" s="29"/>
      <c r="K50" s="29"/>
    </row>
    <row r="51">
      <c r="A51" s="20" t="s">
        <v>94</v>
      </c>
      <c r="B51" s="30" t="s">
        <v>95</v>
      </c>
      <c r="C51" s="27" t="s">
        <v>12</v>
      </c>
      <c r="D51" s="28">
        <v>235.0</v>
      </c>
      <c r="E51" s="23">
        <f t="shared" si="2"/>
        <v>0</v>
      </c>
      <c r="F51" s="29"/>
      <c r="G51" s="29"/>
      <c r="H51" s="29"/>
      <c r="I51" s="29"/>
      <c r="J51" s="29"/>
      <c r="K51" s="29"/>
    </row>
    <row r="52">
      <c r="A52" s="20" t="s">
        <v>96</v>
      </c>
      <c r="B52" s="30" t="s">
        <v>97</v>
      </c>
      <c r="C52" s="27" t="s">
        <v>12</v>
      </c>
      <c r="D52" s="28">
        <v>2.97</v>
      </c>
      <c r="E52" s="23">
        <f t="shared" si="2"/>
        <v>0</v>
      </c>
      <c r="F52" s="29"/>
      <c r="G52" s="29"/>
      <c r="H52" s="29"/>
      <c r="I52" s="29"/>
      <c r="J52" s="29"/>
      <c r="K52" s="29"/>
    </row>
    <row r="53">
      <c r="A53" s="20" t="s">
        <v>98</v>
      </c>
      <c r="B53" s="30" t="s">
        <v>99</v>
      </c>
      <c r="C53" s="27" t="s">
        <v>12</v>
      </c>
      <c r="D53" s="28">
        <v>3.97</v>
      </c>
      <c r="E53" s="23">
        <f t="shared" si="2"/>
        <v>0</v>
      </c>
      <c r="F53" s="29"/>
      <c r="G53" s="29"/>
      <c r="H53" s="29"/>
      <c r="I53" s="29"/>
      <c r="J53" s="29"/>
      <c r="K53" s="29"/>
    </row>
    <row r="54">
      <c r="A54" s="20" t="s">
        <v>100</v>
      </c>
      <c r="B54" s="30" t="s">
        <v>101</v>
      </c>
      <c r="C54" s="27" t="s">
        <v>12</v>
      </c>
      <c r="D54" s="28">
        <v>79.7</v>
      </c>
      <c r="E54" s="23">
        <f t="shared" si="2"/>
        <v>0</v>
      </c>
      <c r="F54" s="29"/>
      <c r="G54" s="29"/>
      <c r="H54" s="29"/>
      <c r="I54" s="29"/>
      <c r="J54" s="29"/>
      <c r="K54" s="29"/>
    </row>
    <row r="55">
      <c r="A55" s="32"/>
      <c r="B55" s="33"/>
      <c r="C55" s="34"/>
      <c r="D55" s="35"/>
      <c r="E55" s="36"/>
      <c r="F55" s="29"/>
      <c r="G55" s="29"/>
      <c r="H55" s="29"/>
      <c r="I55" s="29"/>
      <c r="J55" s="29"/>
      <c r="K55" s="29"/>
    </row>
    <row r="56">
      <c r="A56" s="3" t="s">
        <v>102</v>
      </c>
      <c r="B56" s="3"/>
      <c r="C56" s="3"/>
      <c r="D56" s="3"/>
      <c r="E56" s="4">
        <f>SUM(E58:E82)</f>
        <v>0</v>
      </c>
    </row>
    <row r="57">
      <c r="A57" s="5" t="s">
        <v>5</v>
      </c>
      <c r="B57" s="6" t="s">
        <v>6</v>
      </c>
      <c r="C57" s="7" t="s">
        <v>7</v>
      </c>
      <c r="D57" s="7" t="s">
        <v>8</v>
      </c>
      <c r="E57" s="7" t="s">
        <v>9</v>
      </c>
    </row>
    <row r="58">
      <c r="A58" s="20" t="s">
        <v>103</v>
      </c>
      <c r="B58" s="6" t="s">
        <v>104</v>
      </c>
      <c r="C58" s="14" t="s">
        <v>12</v>
      </c>
      <c r="D58" s="15">
        <v>15.0</v>
      </c>
      <c r="E58" s="15">
        <f t="shared" ref="E58:E82" si="3">C58*D58</f>
        <v>0</v>
      </c>
    </row>
    <row r="59">
      <c r="A59" s="20" t="s">
        <v>105</v>
      </c>
      <c r="B59" s="16" t="s">
        <v>106</v>
      </c>
      <c r="C59" s="14" t="s">
        <v>12</v>
      </c>
      <c r="D59" s="18">
        <v>12.0</v>
      </c>
      <c r="E59" s="15">
        <f t="shared" si="3"/>
        <v>0</v>
      </c>
    </row>
    <row r="60">
      <c r="A60" s="20" t="s">
        <v>107</v>
      </c>
      <c r="B60" s="16" t="s">
        <v>108</v>
      </c>
      <c r="C60" s="14" t="s">
        <v>12</v>
      </c>
      <c r="D60" s="18">
        <v>28.0</v>
      </c>
      <c r="E60" s="15">
        <f t="shared" si="3"/>
        <v>0</v>
      </c>
    </row>
    <row r="61">
      <c r="A61" s="20" t="s">
        <v>109</v>
      </c>
      <c r="B61" s="16" t="s">
        <v>110</v>
      </c>
      <c r="C61" s="14" t="s">
        <v>12</v>
      </c>
      <c r="D61" s="18">
        <v>18.0</v>
      </c>
      <c r="E61" s="15">
        <f t="shared" si="3"/>
        <v>0</v>
      </c>
    </row>
    <row r="62">
      <c r="A62" s="20" t="s">
        <v>111</v>
      </c>
      <c r="B62" s="16" t="s">
        <v>112</v>
      </c>
      <c r="C62" s="14" t="s">
        <v>12</v>
      </c>
      <c r="D62" s="18">
        <v>18.0</v>
      </c>
      <c r="E62" s="15">
        <f t="shared" si="3"/>
        <v>0</v>
      </c>
    </row>
    <row r="63">
      <c r="A63" s="20" t="s">
        <v>113</v>
      </c>
      <c r="B63" s="16" t="s">
        <v>114</v>
      </c>
      <c r="C63" s="14" t="s">
        <v>12</v>
      </c>
      <c r="D63" s="18">
        <v>12.0</v>
      </c>
      <c r="E63" s="15">
        <f t="shared" si="3"/>
        <v>0</v>
      </c>
    </row>
    <row r="64">
      <c r="A64" s="20" t="s">
        <v>115</v>
      </c>
      <c r="B64" s="16" t="s">
        <v>116</v>
      </c>
      <c r="C64" s="14" t="s">
        <v>12</v>
      </c>
      <c r="D64" s="18">
        <v>15.32</v>
      </c>
      <c r="E64" s="15">
        <f t="shared" si="3"/>
        <v>0</v>
      </c>
    </row>
    <row r="65">
      <c r="A65" s="20" t="s">
        <v>117</v>
      </c>
      <c r="B65" s="16" t="s">
        <v>118</v>
      </c>
      <c r="C65" s="14" t="s">
        <v>12</v>
      </c>
      <c r="D65" s="18">
        <v>25.7</v>
      </c>
      <c r="E65" s="15">
        <f t="shared" si="3"/>
        <v>0</v>
      </c>
    </row>
    <row r="66">
      <c r="A66" s="20" t="s">
        <v>119</v>
      </c>
      <c r="B66" s="16" t="s">
        <v>120</v>
      </c>
      <c r="C66" s="14" t="s">
        <v>12</v>
      </c>
      <c r="D66" s="18">
        <v>25.7</v>
      </c>
      <c r="E66" s="15">
        <f t="shared" si="3"/>
        <v>0</v>
      </c>
    </row>
    <row r="67">
      <c r="A67" s="20" t="s">
        <v>121</v>
      </c>
      <c r="B67" s="16" t="s">
        <v>122</v>
      </c>
      <c r="C67" s="14" t="s">
        <v>12</v>
      </c>
      <c r="D67" s="18">
        <v>28.0</v>
      </c>
      <c r="E67" s="15">
        <f t="shared" si="3"/>
        <v>0</v>
      </c>
    </row>
    <row r="68">
      <c r="A68" s="20" t="s">
        <v>123</v>
      </c>
      <c r="B68" s="16" t="s">
        <v>124</v>
      </c>
      <c r="C68" s="14" t="s">
        <v>12</v>
      </c>
      <c r="D68" s="18">
        <v>5.8</v>
      </c>
      <c r="E68" s="15">
        <f t="shared" si="3"/>
        <v>0</v>
      </c>
    </row>
    <row r="69">
      <c r="A69" s="20" t="s">
        <v>125</v>
      </c>
      <c r="B69" s="16" t="s">
        <v>126</v>
      </c>
      <c r="C69" s="14" t="s">
        <v>12</v>
      </c>
      <c r="D69" s="18">
        <v>5.8</v>
      </c>
      <c r="E69" s="15">
        <f t="shared" si="3"/>
        <v>0</v>
      </c>
    </row>
    <row r="70">
      <c r="A70" s="20" t="s">
        <v>127</v>
      </c>
      <c r="B70" s="16" t="s">
        <v>128</v>
      </c>
      <c r="C70" s="14" t="s">
        <v>12</v>
      </c>
      <c r="D70" s="18">
        <v>29.7</v>
      </c>
      <c r="E70" s="15">
        <f t="shared" si="3"/>
        <v>0</v>
      </c>
    </row>
    <row r="71">
      <c r="A71" s="20" t="s">
        <v>129</v>
      </c>
      <c r="B71" s="16" t="s">
        <v>130</v>
      </c>
      <c r="C71" s="14" t="s">
        <v>12</v>
      </c>
      <c r="D71" s="18">
        <v>25.0</v>
      </c>
      <c r="E71" s="15">
        <f t="shared" si="3"/>
        <v>0</v>
      </c>
    </row>
    <row r="72">
      <c r="A72" s="20" t="s">
        <v>131</v>
      </c>
      <c r="B72" s="16" t="s">
        <v>132</v>
      </c>
      <c r="C72" s="14" t="s">
        <v>12</v>
      </c>
      <c r="D72" s="18">
        <v>15.0</v>
      </c>
      <c r="E72" s="15">
        <f t="shared" si="3"/>
        <v>0</v>
      </c>
    </row>
    <row r="73">
      <c r="A73" s="20" t="s">
        <v>133</v>
      </c>
      <c r="B73" s="16" t="s">
        <v>134</v>
      </c>
      <c r="C73" s="14" t="s">
        <v>12</v>
      </c>
      <c r="D73" s="18">
        <v>15.0</v>
      </c>
      <c r="E73" s="15">
        <f t="shared" si="3"/>
        <v>0</v>
      </c>
    </row>
    <row r="74">
      <c r="A74" s="20" t="s">
        <v>135</v>
      </c>
      <c r="B74" s="37" t="s">
        <v>136</v>
      </c>
      <c r="C74" s="14" t="s">
        <v>12</v>
      </c>
      <c r="D74" s="18">
        <v>15.0</v>
      </c>
      <c r="E74" s="15">
        <f t="shared" si="3"/>
        <v>0</v>
      </c>
    </row>
    <row r="75">
      <c r="A75" s="20" t="s">
        <v>137</v>
      </c>
      <c r="B75" s="37" t="s">
        <v>138</v>
      </c>
      <c r="C75" s="14" t="s">
        <v>12</v>
      </c>
      <c r="D75" s="18">
        <v>15.0</v>
      </c>
      <c r="E75" s="15">
        <f t="shared" si="3"/>
        <v>0</v>
      </c>
    </row>
    <row r="76">
      <c r="A76" s="20" t="s">
        <v>139</v>
      </c>
      <c r="B76" s="37" t="s">
        <v>140</v>
      </c>
      <c r="C76" s="14" t="s">
        <v>12</v>
      </c>
      <c r="D76" s="18">
        <v>15.0</v>
      </c>
      <c r="E76" s="15">
        <f t="shared" si="3"/>
        <v>0</v>
      </c>
    </row>
    <row r="77">
      <c r="A77" s="20" t="s">
        <v>141</v>
      </c>
      <c r="B77" s="37" t="s">
        <v>142</v>
      </c>
      <c r="C77" s="14" t="s">
        <v>12</v>
      </c>
      <c r="D77" s="18">
        <v>28.0</v>
      </c>
      <c r="E77" s="15">
        <f t="shared" si="3"/>
        <v>0</v>
      </c>
    </row>
    <row r="78">
      <c r="A78" s="20" t="s">
        <v>143</v>
      </c>
      <c r="B78" s="16" t="s">
        <v>144</v>
      </c>
      <c r="C78" s="14" t="s">
        <v>12</v>
      </c>
      <c r="D78" s="18">
        <v>15.0</v>
      </c>
      <c r="E78" s="15">
        <f t="shared" si="3"/>
        <v>0</v>
      </c>
    </row>
    <row r="79">
      <c r="A79" s="20" t="s">
        <v>145</v>
      </c>
      <c r="B79" s="16" t="s">
        <v>146</v>
      </c>
      <c r="C79" s="17" t="s">
        <v>12</v>
      </c>
      <c r="D79" s="18">
        <v>88.0</v>
      </c>
      <c r="E79" s="15">
        <f t="shared" si="3"/>
        <v>0</v>
      </c>
    </row>
    <row r="80">
      <c r="A80" s="20" t="s">
        <v>147</v>
      </c>
      <c r="B80" s="6" t="s">
        <v>148</v>
      </c>
      <c r="C80" s="17" t="s">
        <v>12</v>
      </c>
      <c r="D80" s="18">
        <v>18.7</v>
      </c>
      <c r="E80" s="15">
        <f t="shared" si="3"/>
        <v>0</v>
      </c>
    </row>
    <row r="81">
      <c r="A81" s="20" t="s">
        <v>149</v>
      </c>
      <c r="B81" s="6" t="s">
        <v>150</v>
      </c>
      <c r="C81" s="17" t="s">
        <v>12</v>
      </c>
      <c r="D81" s="18">
        <v>87.35</v>
      </c>
      <c r="E81" s="15">
        <f t="shared" si="3"/>
        <v>0</v>
      </c>
    </row>
    <row r="82">
      <c r="A82" s="20" t="s">
        <v>151</v>
      </c>
      <c r="B82" s="6" t="s">
        <v>152</v>
      </c>
      <c r="C82" s="17" t="s">
        <v>12</v>
      </c>
      <c r="D82" s="18">
        <v>47.5</v>
      </c>
      <c r="E82" s="15">
        <f t="shared" si="3"/>
        <v>0</v>
      </c>
    </row>
    <row r="83">
      <c r="A83" s="38"/>
      <c r="B83" s="39"/>
      <c r="C83" s="40"/>
      <c r="D83" s="41"/>
      <c r="E83" s="41"/>
    </row>
    <row r="84">
      <c r="A84" s="42" t="s">
        <v>153</v>
      </c>
      <c r="B84" s="3"/>
      <c r="C84" s="43"/>
      <c r="D84" s="44"/>
      <c r="E84" s="4">
        <f>SUM(E86:E103)</f>
        <v>0</v>
      </c>
    </row>
    <row r="85">
      <c r="A85" s="45" t="s">
        <v>5</v>
      </c>
      <c r="B85" s="6" t="s">
        <v>6</v>
      </c>
      <c r="C85" s="7" t="s">
        <v>7</v>
      </c>
      <c r="D85" s="7" t="s">
        <v>8</v>
      </c>
      <c r="E85" s="7" t="s">
        <v>9</v>
      </c>
    </row>
    <row r="86">
      <c r="A86" s="20" t="s">
        <v>154</v>
      </c>
      <c r="B86" s="6" t="s">
        <v>155</v>
      </c>
      <c r="C86" s="46" t="s">
        <v>12</v>
      </c>
      <c r="D86" s="47">
        <v>81.4</v>
      </c>
      <c r="E86" s="48">
        <f t="shared" ref="E86:E103" si="4">C86*D86</f>
        <v>0</v>
      </c>
    </row>
    <row r="87">
      <c r="A87" s="20" t="s">
        <v>156</v>
      </c>
      <c r="B87" s="6" t="s">
        <v>157</v>
      </c>
      <c r="C87" s="46" t="s">
        <v>12</v>
      </c>
      <c r="D87" s="47">
        <v>259.7</v>
      </c>
      <c r="E87" s="48">
        <f t="shared" si="4"/>
        <v>0</v>
      </c>
    </row>
    <row r="88">
      <c r="A88" s="20" t="s">
        <v>158</v>
      </c>
      <c r="B88" s="6" t="s">
        <v>159</v>
      </c>
      <c r="C88" s="46" t="s">
        <v>12</v>
      </c>
      <c r="D88" s="47">
        <v>305.22</v>
      </c>
      <c r="E88" s="48">
        <f t="shared" si="4"/>
        <v>0</v>
      </c>
    </row>
    <row r="89">
      <c r="A89" s="20" t="s">
        <v>160</v>
      </c>
      <c r="B89" s="6" t="s">
        <v>161</v>
      </c>
      <c r="C89" s="46" t="s">
        <v>12</v>
      </c>
      <c r="D89" s="47">
        <v>35.98</v>
      </c>
      <c r="E89" s="48">
        <f t="shared" si="4"/>
        <v>0</v>
      </c>
    </row>
    <row r="90">
      <c r="A90" s="20" t="s">
        <v>162</v>
      </c>
      <c r="B90" s="6" t="s">
        <v>163</v>
      </c>
      <c r="C90" s="46" t="s">
        <v>12</v>
      </c>
      <c r="D90" s="47">
        <v>35.98</v>
      </c>
      <c r="E90" s="48">
        <f t="shared" si="4"/>
        <v>0</v>
      </c>
    </row>
    <row r="91">
      <c r="A91" s="20" t="s">
        <v>164</v>
      </c>
      <c r="B91" s="6" t="s">
        <v>165</v>
      </c>
      <c r="C91" s="46" t="s">
        <v>12</v>
      </c>
      <c r="D91" s="47">
        <v>35.98</v>
      </c>
      <c r="E91" s="48">
        <f t="shared" si="4"/>
        <v>0</v>
      </c>
    </row>
    <row r="92">
      <c r="A92" s="20" t="s">
        <v>166</v>
      </c>
      <c r="B92" s="6" t="s">
        <v>167</v>
      </c>
      <c r="C92" s="46" t="s">
        <v>12</v>
      </c>
      <c r="D92" s="47">
        <v>98.0</v>
      </c>
      <c r="E92" s="48">
        <f t="shared" si="4"/>
        <v>0</v>
      </c>
    </row>
    <row r="93">
      <c r="A93" s="20" t="s">
        <v>168</v>
      </c>
      <c r="B93" s="6" t="s">
        <v>169</v>
      </c>
      <c r="C93" s="46" t="s">
        <v>12</v>
      </c>
      <c r="D93" s="47">
        <v>135.98</v>
      </c>
      <c r="E93" s="48">
        <f t="shared" si="4"/>
        <v>0</v>
      </c>
    </row>
    <row r="94">
      <c r="A94" s="20" t="s">
        <v>170</v>
      </c>
      <c r="B94" s="6" t="s">
        <v>171</v>
      </c>
      <c r="C94" s="46" t="s">
        <v>12</v>
      </c>
      <c r="D94" s="47">
        <v>35.98</v>
      </c>
      <c r="E94" s="48">
        <f t="shared" si="4"/>
        <v>0</v>
      </c>
    </row>
    <row r="95">
      <c r="A95" s="20" t="s">
        <v>172</v>
      </c>
      <c r="B95" s="6" t="s">
        <v>173</v>
      </c>
      <c r="C95" s="46" t="s">
        <v>12</v>
      </c>
      <c r="D95" s="47">
        <v>35.98</v>
      </c>
      <c r="E95" s="48">
        <f t="shared" si="4"/>
        <v>0</v>
      </c>
    </row>
    <row r="96">
      <c r="A96" s="20" t="s">
        <v>174</v>
      </c>
      <c r="B96" s="6" t="s">
        <v>175</v>
      </c>
      <c r="C96" s="46" t="s">
        <v>12</v>
      </c>
      <c r="D96" s="47">
        <v>35.98</v>
      </c>
      <c r="E96" s="48">
        <f t="shared" si="4"/>
        <v>0</v>
      </c>
    </row>
    <row r="97">
      <c r="A97" s="20" t="s">
        <v>176</v>
      </c>
      <c r="B97" s="6" t="s">
        <v>177</v>
      </c>
      <c r="C97" s="46" t="s">
        <v>12</v>
      </c>
      <c r="D97" s="47">
        <v>35.98</v>
      </c>
      <c r="E97" s="48">
        <f t="shared" si="4"/>
        <v>0</v>
      </c>
    </row>
    <row r="98">
      <c r="A98" s="20" t="s">
        <v>178</v>
      </c>
      <c r="B98" s="6" t="s">
        <v>179</v>
      </c>
      <c r="C98" s="46" t="s">
        <v>12</v>
      </c>
      <c r="D98" s="47">
        <v>49.1</v>
      </c>
      <c r="E98" s="48">
        <f t="shared" si="4"/>
        <v>0</v>
      </c>
    </row>
    <row r="99">
      <c r="A99" s="20" t="s">
        <v>180</v>
      </c>
      <c r="B99" s="6" t="s">
        <v>181</v>
      </c>
      <c r="C99" s="46" t="s">
        <v>12</v>
      </c>
      <c r="D99" s="47">
        <v>98.65</v>
      </c>
      <c r="E99" s="48">
        <f t="shared" si="4"/>
        <v>0</v>
      </c>
    </row>
    <row r="100">
      <c r="A100" s="20" t="s">
        <v>182</v>
      </c>
      <c r="B100" s="6" t="s">
        <v>183</v>
      </c>
      <c r="C100" s="46" t="s">
        <v>12</v>
      </c>
      <c r="D100" s="47">
        <v>98.65</v>
      </c>
      <c r="E100" s="48">
        <f t="shared" si="4"/>
        <v>0</v>
      </c>
    </row>
    <row r="101">
      <c r="A101" s="20" t="s">
        <v>184</v>
      </c>
      <c r="B101" s="6" t="s">
        <v>185</v>
      </c>
      <c r="C101" s="46" t="s">
        <v>12</v>
      </c>
      <c r="D101" s="47">
        <v>12.7</v>
      </c>
      <c r="E101" s="48">
        <f t="shared" si="4"/>
        <v>0</v>
      </c>
    </row>
    <row r="102">
      <c r="A102" s="20" t="s">
        <v>186</v>
      </c>
      <c r="B102" s="6" t="s">
        <v>187</v>
      </c>
      <c r="C102" s="46" t="s">
        <v>12</v>
      </c>
      <c r="D102" s="47">
        <v>284.2</v>
      </c>
      <c r="E102" s="48">
        <f t="shared" si="4"/>
        <v>0</v>
      </c>
    </row>
    <row r="103">
      <c r="A103" s="20" t="s">
        <v>188</v>
      </c>
      <c r="B103" s="6" t="s">
        <v>189</v>
      </c>
      <c r="C103" s="46" t="s">
        <v>12</v>
      </c>
      <c r="D103" s="47">
        <v>600.0</v>
      </c>
      <c r="E103" s="48">
        <f t="shared" si="4"/>
        <v>0</v>
      </c>
    </row>
    <row r="104">
      <c r="A104" s="49"/>
    </row>
    <row r="105">
      <c r="A105" s="42" t="s">
        <v>190</v>
      </c>
      <c r="B105" s="3"/>
      <c r="C105" s="50"/>
      <c r="D105" s="51"/>
      <c r="E105" s="52">
        <f>SUM(E107:E123)</f>
        <v>0</v>
      </c>
    </row>
    <row r="106">
      <c r="A106" s="45" t="s">
        <v>5</v>
      </c>
      <c r="B106" s="6" t="s">
        <v>6</v>
      </c>
      <c r="C106" s="7" t="s">
        <v>7</v>
      </c>
      <c r="D106" s="7" t="s">
        <v>8</v>
      </c>
      <c r="E106" s="7" t="s">
        <v>9</v>
      </c>
    </row>
    <row r="107">
      <c r="A107" s="20" t="s">
        <v>191</v>
      </c>
      <c r="B107" s="6" t="s">
        <v>155</v>
      </c>
      <c r="C107" s="46" t="s">
        <v>12</v>
      </c>
      <c r="D107" s="47">
        <v>80.0</v>
      </c>
      <c r="E107" s="48">
        <f t="shared" ref="E107:E123" si="5">C107*D107</f>
        <v>0</v>
      </c>
    </row>
    <row r="108">
      <c r="A108" s="20" t="s">
        <v>192</v>
      </c>
      <c r="B108" s="6" t="s">
        <v>193</v>
      </c>
      <c r="C108" s="46" t="s">
        <v>12</v>
      </c>
      <c r="D108" s="47">
        <v>985.0</v>
      </c>
      <c r="E108" s="48">
        <f t="shared" si="5"/>
        <v>0</v>
      </c>
    </row>
    <row r="109">
      <c r="A109" s="20" t="s">
        <v>194</v>
      </c>
      <c r="B109" s="6" t="s">
        <v>195</v>
      </c>
      <c r="C109" s="46" t="s">
        <v>12</v>
      </c>
      <c r="D109" s="47">
        <v>457.0</v>
      </c>
      <c r="E109" s="48">
        <f t="shared" si="5"/>
        <v>0</v>
      </c>
    </row>
    <row r="110">
      <c r="A110" s="20" t="s">
        <v>196</v>
      </c>
      <c r="B110" s="6" t="s">
        <v>197</v>
      </c>
      <c r="C110" s="46" t="s">
        <v>12</v>
      </c>
      <c r="D110" s="47">
        <v>35.0</v>
      </c>
      <c r="E110" s="48">
        <f t="shared" si="5"/>
        <v>0</v>
      </c>
    </row>
    <row r="111">
      <c r="A111" s="20" t="s">
        <v>198</v>
      </c>
      <c r="B111" s="6" t="s">
        <v>199</v>
      </c>
      <c r="C111" s="46" t="s">
        <v>12</v>
      </c>
      <c r="D111" s="47">
        <v>35.0</v>
      </c>
      <c r="E111" s="48">
        <f t="shared" si="5"/>
        <v>0</v>
      </c>
    </row>
    <row r="112">
      <c r="A112" s="20" t="s">
        <v>200</v>
      </c>
      <c r="B112" s="6" t="s">
        <v>201</v>
      </c>
      <c r="C112" s="46" t="s">
        <v>12</v>
      </c>
      <c r="D112" s="47">
        <v>35.0</v>
      </c>
      <c r="E112" s="48">
        <f t="shared" si="5"/>
        <v>0</v>
      </c>
    </row>
    <row r="113">
      <c r="A113" s="20" t="s">
        <v>202</v>
      </c>
      <c r="B113" s="6" t="s">
        <v>167</v>
      </c>
      <c r="C113" s="46" t="s">
        <v>12</v>
      </c>
      <c r="D113" s="47">
        <v>98.0</v>
      </c>
      <c r="E113" s="48">
        <f t="shared" si="5"/>
        <v>0</v>
      </c>
    </row>
    <row r="114">
      <c r="A114" s="20" t="s">
        <v>203</v>
      </c>
      <c r="B114" s="6" t="s">
        <v>171</v>
      </c>
      <c r="C114" s="46" t="s">
        <v>12</v>
      </c>
      <c r="D114" s="47">
        <v>35.0</v>
      </c>
      <c r="E114" s="48">
        <f t="shared" si="5"/>
        <v>0</v>
      </c>
    </row>
    <row r="115">
      <c r="A115" s="20" t="s">
        <v>204</v>
      </c>
      <c r="B115" s="6" t="s">
        <v>173</v>
      </c>
      <c r="C115" s="46" t="s">
        <v>12</v>
      </c>
      <c r="D115" s="47">
        <v>35.0</v>
      </c>
      <c r="E115" s="48">
        <f t="shared" si="5"/>
        <v>0</v>
      </c>
    </row>
    <row r="116">
      <c r="A116" s="20" t="s">
        <v>205</v>
      </c>
      <c r="B116" s="6" t="s">
        <v>175</v>
      </c>
      <c r="C116" s="46" t="s">
        <v>12</v>
      </c>
      <c r="D116" s="47">
        <v>35.0</v>
      </c>
      <c r="E116" s="48">
        <f t="shared" si="5"/>
        <v>0</v>
      </c>
    </row>
    <row r="117">
      <c r="A117" s="20" t="s">
        <v>206</v>
      </c>
      <c r="B117" s="6" t="s">
        <v>177</v>
      </c>
      <c r="C117" s="46" t="s">
        <v>12</v>
      </c>
      <c r="D117" s="47">
        <v>35.0</v>
      </c>
      <c r="E117" s="48">
        <f t="shared" si="5"/>
        <v>0</v>
      </c>
    </row>
    <row r="118">
      <c r="A118" s="20" t="s">
        <v>207</v>
      </c>
      <c r="B118" s="6" t="s">
        <v>179</v>
      </c>
      <c r="C118" s="46" t="s">
        <v>12</v>
      </c>
      <c r="D118" s="47">
        <v>49.0</v>
      </c>
      <c r="E118" s="48">
        <f t="shared" si="5"/>
        <v>0</v>
      </c>
    </row>
    <row r="119">
      <c r="A119" s="20" t="s">
        <v>208</v>
      </c>
      <c r="B119" s="6" t="s">
        <v>181</v>
      </c>
      <c r="C119" s="46" t="s">
        <v>12</v>
      </c>
      <c r="D119" s="47">
        <v>98.0</v>
      </c>
      <c r="E119" s="48">
        <f t="shared" si="5"/>
        <v>0</v>
      </c>
    </row>
    <row r="120">
      <c r="A120" s="20" t="s">
        <v>209</v>
      </c>
      <c r="B120" s="6" t="s">
        <v>210</v>
      </c>
      <c r="C120" s="46" t="s">
        <v>12</v>
      </c>
      <c r="D120" s="47">
        <v>98.0</v>
      </c>
      <c r="E120" s="48">
        <f t="shared" si="5"/>
        <v>0</v>
      </c>
    </row>
    <row r="121">
      <c r="A121" s="20" t="s">
        <v>211</v>
      </c>
      <c r="B121" s="6" t="s">
        <v>185</v>
      </c>
      <c r="C121" s="46" t="s">
        <v>12</v>
      </c>
      <c r="D121" s="47">
        <v>10.0</v>
      </c>
      <c r="E121" s="48">
        <f t="shared" si="5"/>
        <v>0</v>
      </c>
    </row>
    <row r="122">
      <c r="A122" s="20" t="s">
        <v>212</v>
      </c>
      <c r="B122" s="6" t="s">
        <v>213</v>
      </c>
      <c r="C122" s="46" t="s">
        <v>12</v>
      </c>
      <c r="D122" s="47">
        <v>284.2</v>
      </c>
      <c r="E122" s="48">
        <f t="shared" si="5"/>
        <v>0</v>
      </c>
    </row>
    <row r="123">
      <c r="A123" s="20" t="s">
        <v>214</v>
      </c>
      <c r="B123" s="6" t="s">
        <v>189</v>
      </c>
      <c r="C123" s="46" t="s">
        <v>12</v>
      </c>
      <c r="D123" s="47">
        <v>284.2</v>
      </c>
      <c r="E123" s="48">
        <f t="shared" si="5"/>
        <v>0</v>
      </c>
    </row>
    <row r="124">
      <c r="A124" s="53"/>
      <c r="B124" s="19"/>
      <c r="C124" s="54"/>
      <c r="D124" s="55"/>
      <c r="E124" s="56"/>
    </row>
    <row r="125">
      <c r="A125" s="42" t="s">
        <v>215</v>
      </c>
      <c r="B125" s="3"/>
      <c r="C125" s="50"/>
      <c r="D125" s="51"/>
      <c r="E125" s="52">
        <f>SUM(E127:E148)</f>
        <v>0</v>
      </c>
    </row>
    <row r="126">
      <c r="A126" s="45" t="s">
        <v>5</v>
      </c>
      <c r="B126" s="6" t="s">
        <v>6</v>
      </c>
      <c r="C126" s="7" t="s">
        <v>7</v>
      </c>
      <c r="D126" s="7" t="s">
        <v>8</v>
      </c>
      <c r="E126" s="7" t="s">
        <v>9</v>
      </c>
    </row>
    <row r="127">
      <c r="A127" s="20" t="s">
        <v>216</v>
      </c>
      <c r="B127" s="6" t="s">
        <v>155</v>
      </c>
      <c r="C127" s="46" t="s">
        <v>12</v>
      </c>
      <c r="D127" s="47">
        <v>80.0</v>
      </c>
      <c r="E127" s="48">
        <f t="shared" ref="E127:E148" si="6">C127*D127</f>
        <v>0</v>
      </c>
    </row>
    <row r="128">
      <c r="A128" s="20" t="s">
        <v>217</v>
      </c>
      <c r="B128" s="6" t="s">
        <v>218</v>
      </c>
      <c r="C128" s="46" t="s">
        <v>12</v>
      </c>
      <c r="D128" s="47">
        <v>300.0</v>
      </c>
      <c r="E128" s="48">
        <f t="shared" si="6"/>
        <v>0</v>
      </c>
    </row>
    <row r="129">
      <c r="A129" s="20" t="s">
        <v>219</v>
      </c>
      <c r="B129" s="6" t="s">
        <v>197</v>
      </c>
      <c r="C129" s="46" t="s">
        <v>12</v>
      </c>
      <c r="D129" s="47">
        <v>35.0</v>
      </c>
      <c r="E129" s="48">
        <f t="shared" si="6"/>
        <v>0</v>
      </c>
    </row>
    <row r="130">
      <c r="A130" s="20" t="s">
        <v>220</v>
      </c>
      <c r="B130" s="6" t="s">
        <v>199</v>
      </c>
      <c r="C130" s="46" t="s">
        <v>12</v>
      </c>
      <c r="D130" s="47">
        <v>35.0</v>
      </c>
      <c r="E130" s="48">
        <f t="shared" si="6"/>
        <v>0</v>
      </c>
    </row>
    <row r="131">
      <c r="A131" s="20" t="s">
        <v>221</v>
      </c>
      <c r="B131" s="6" t="s">
        <v>201</v>
      </c>
      <c r="C131" s="46" t="s">
        <v>12</v>
      </c>
      <c r="D131" s="47">
        <v>35.0</v>
      </c>
      <c r="E131" s="48">
        <f t="shared" si="6"/>
        <v>0</v>
      </c>
    </row>
    <row r="132">
      <c r="A132" s="20" t="s">
        <v>222</v>
      </c>
      <c r="B132" s="6" t="s">
        <v>223</v>
      </c>
      <c r="C132" s="46" t="s">
        <v>12</v>
      </c>
      <c r="D132" s="47">
        <v>98.0</v>
      </c>
      <c r="E132" s="48">
        <f t="shared" si="6"/>
        <v>0</v>
      </c>
    </row>
    <row r="133">
      <c r="A133" s="20" t="s">
        <v>224</v>
      </c>
      <c r="B133" s="6" t="s">
        <v>169</v>
      </c>
      <c r="C133" s="46" t="s">
        <v>12</v>
      </c>
      <c r="D133" s="47">
        <v>35.0</v>
      </c>
      <c r="E133" s="48">
        <f t="shared" si="6"/>
        <v>0</v>
      </c>
    </row>
    <row r="134">
      <c r="A134" s="20" t="s">
        <v>225</v>
      </c>
      <c r="B134" s="6" t="s">
        <v>171</v>
      </c>
      <c r="C134" s="46" t="s">
        <v>12</v>
      </c>
      <c r="D134" s="47">
        <v>35.0</v>
      </c>
      <c r="E134" s="48">
        <f t="shared" si="6"/>
        <v>0</v>
      </c>
    </row>
    <row r="135">
      <c r="A135" s="20" t="s">
        <v>226</v>
      </c>
      <c r="B135" s="6" t="s">
        <v>173</v>
      </c>
      <c r="C135" s="46" t="s">
        <v>12</v>
      </c>
      <c r="D135" s="47">
        <v>35.0</v>
      </c>
      <c r="E135" s="48">
        <f t="shared" si="6"/>
        <v>0</v>
      </c>
    </row>
    <row r="136">
      <c r="A136" s="20" t="s">
        <v>227</v>
      </c>
      <c r="B136" s="6" t="s">
        <v>175</v>
      </c>
      <c r="C136" s="46" t="s">
        <v>12</v>
      </c>
      <c r="D136" s="47">
        <v>35.0</v>
      </c>
      <c r="E136" s="48">
        <f t="shared" si="6"/>
        <v>0</v>
      </c>
    </row>
    <row r="137">
      <c r="A137" s="20" t="s">
        <v>228</v>
      </c>
      <c r="B137" s="6" t="s">
        <v>177</v>
      </c>
      <c r="C137" s="46" t="s">
        <v>12</v>
      </c>
      <c r="D137" s="47">
        <v>35.0</v>
      </c>
      <c r="E137" s="48">
        <f t="shared" si="6"/>
        <v>0</v>
      </c>
    </row>
    <row r="138">
      <c r="A138" s="20" t="s">
        <v>229</v>
      </c>
      <c r="B138" s="6" t="s">
        <v>179</v>
      </c>
      <c r="C138" s="46" t="s">
        <v>12</v>
      </c>
      <c r="D138" s="47">
        <v>49.0</v>
      </c>
      <c r="E138" s="48">
        <f t="shared" si="6"/>
        <v>0</v>
      </c>
    </row>
    <row r="139">
      <c r="A139" s="20" t="s">
        <v>230</v>
      </c>
      <c r="B139" s="6" t="s">
        <v>181</v>
      </c>
      <c r="C139" s="46" t="s">
        <v>12</v>
      </c>
      <c r="D139" s="47">
        <v>98.0</v>
      </c>
      <c r="E139" s="48">
        <f t="shared" si="6"/>
        <v>0</v>
      </c>
    </row>
    <row r="140">
      <c r="A140" s="20" t="s">
        <v>231</v>
      </c>
      <c r="B140" s="6" t="s">
        <v>210</v>
      </c>
      <c r="C140" s="46" t="s">
        <v>12</v>
      </c>
      <c r="D140" s="47">
        <v>98.0</v>
      </c>
      <c r="E140" s="48">
        <f t="shared" si="6"/>
        <v>0</v>
      </c>
    </row>
    <row r="141">
      <c r="A141" s="20" t="s">
        <v>232</v>
      </c>
      <c r="B141" s="6" t="s">
        <v>185</v>
      </c>
      <c r="C141" s="46" t="s">
        <v>12</v>
      </c>
      <c r="D141" s="47">
        <v>10.0</v>
      </c>
      <c r="E141" s="48">
        <f t="shared" si="6"/>
        <v>0</v>
      </c>
    </row>
    <row r="142">
      <c r="A142" s="20" t="s">
        <v>233</v>
      </c>
      <c r="B142" s="6" t="s">
        <v>213</v>
      </c>
      <c r="C142" s="46" t="s">
        <v>12</v>
      </c>
      <c r="D142" s="47">
        <v>284.2</v>
      </c>
      <c r="E142" s="48">
        <f t="shared" si="6"/>
        <v>0</v>
      </c>
    </row>
    <row r="143">
      <c r="A143" s="20" t="s">
        <v>234</v>
      </c>
      <c r="B143" s="6" t="s">
        <v>189</v>
      </c>
      <c r="C143" s="46" t="s">
        <v>12</v>
      </c>
      <c r="D143" s="47">
        <v>284.2</v>
      </c>
      <c r="E143" s="48">
        <f t="shared" si="6"/>
        <v>0</v>
      </c>
    </row>
    <row r="144">
      <c r="A144" s="20" t="s">
        <v>235</v>
      </c>
      <c r="B144" s="6" t="s">
        <v>236</v>
      </c>
      <c r="C144" s="46" t="s">
        <v>12</v>
      </c>
      <c r="D144" s="47">
        <v>1221.79</v>
      </c>
      <c r="E144" s="48">
        <f t="shared" si="6"/>
        <v>0</v>
      </c>
    </row>
    <row r="145">
      <c r="A145" s="20" t="s">
        <v>237</v>
      </c>
      <c r="B145" s="6" t="s">
        <v>238</v>
      </c>
      <c r="C145" s="46" t="s">
        <v>12</v>
      </c>
      <c r="D145" s="47">
        <v>884.6</v>
      </c>
      <c r="E145" s="48">
        <f t="shared" si="6"/>
        <v>0</v>
      </c>
    </row>
    <row r="146">
      <c r="A146" s="20" t="s">
        <v>239</v>
      </c>
      <c r="B146" s="6" t="s">
        <v>240</v>
      </c>
      <c r="C146" s="46" t="s">
        <v>12</v>
      </c>
      <c r="D146" s="47">
        <v>985.26</v>
      </c>
      <c r="E146" s="48">
        <f t="shared" si="6"/>
        <v>0</v>
      </c>
    </row>
    <row r="147">
      <c r="A147" s="20" t="s">
        <v>241</v>
      </c>
      <c r="B147" s="6" t="s">
        <v>242</v>
      </c>
      <c r="C147" s="46" t="s">
        <v>12</v>
      </c>
      <c r="D147" s="47">
        <v>619.22</v>
      </c>
      <c r="E147" s="48">
        <f t="shared" si="6"/>
        <v>0</v>
      </c>
    </row>
    <row r="148">
      <c r="A148" s="20" t="s">
        <v>243</v>
      </c>
      <c r="B148" s="6" t="s">
        <v>244</v>
      </c>
      <c r="C148" s="46" t="s">
        <v>12</v>
      </c>
      <c r="D148" s="47">
        <v>1842.9</v>
      </c>
      <c r="E148" s="48">
        <f t="shared" si="6"/>
        <v>0</v>
      </c>
    </row>
    <row r="149">
      <c r="A149" s="53"/>
    </row>
    <row r="150">
      <c r="A150" s="42" t="s">
        <v>245</v>
      </c>
      <c r="B150" s="3"/>
      <c r="C150" s="50"/>
      <c r="D150" s="51"/>
      <c r="E150" s="52">
        <f>SUM(E152:E171)</f>
        <v>0</v>
      </c>
    </row>
    <row r="151">
      <c r="A151" s="45" t="s">
        <v>5</v>
      </c>
      <c r="B151" s="6" t="s">
        <v>6</v>
      </c>
      <c r="C151" s="7" t="s">
        <v>7</v>
      </c>
      <c r="D151" s="7" t="s">
        <v>8</v>
      </c>
      <c r="E151" s="7" t="s">
        <v>9</v>
      </c>
    </row>
    <row r="152">
      <c r="A152" s="20" t="s">
        <v>246</v>
      </c>
      <c r="B152" s="6" t="s">
        <v>247</v>
      </c>
      <c r="C152" s="46" t="s">
        <v>12</v>
      </c>
      <c r="D152" s="47">
        <v>87.9</v>
      </c>
      <c r="E152" s="48">
        <f t="shared" ref="E152:E171" si="7">C152*D152</f>
        <v>0</v>
      </c>
    </row>
    <row r="153">
      <c r="A153" s="20" t="s">
        <v>248</v>
      </c>
      <c r="B153" s="6" t="s">
        <v>249</v>
      </c>
      <c r="C153" s="46" t="s">
        <v>12</v>
      </c>
      <c r="D153" s="47">
        <v>87.9</v>
      </c>
      <c r="E153" s="48">
        <f t="shared" si="7"/>
        <v>0</v>
      </c>
    </row>
    <row r="154">
      <c r="A154" s="20" t="s">
        <v>250</v>
      </c>
      <c r="B154" s="6" t="s">
        <v>251</v>
      </c>
      <c r="C154" s="46" t="s">
        <v>12</v>
      </c>
      <c r="D154" s="47">
        <v>87.9</v>
      </c>
      <c r="E154" s="48">
        <f t="shared" si="7"/>
        <v>0</v>
      </c>
    </row>
    <row r="155">
      <c r="A155" s="20" t="s">
        <v>252</v>
      </c>
      <c r="B155" s="6" t="s">
        <v>253</v>
      </c>
      <c r="C155" s="46" t="s">
        <v>12</v>
      </c>
      <c r="D155" s="47">
        <v>87.9</v>
      </c>
      <c r="E155" s="48">
        <f t="shared" si="7"/>
        <v>0</v>
      </c>
    </row>
    <row r="156">
      <c r="A156" s="20" t="s">
        <v>254</v>
      </c>
      <c r="B156" s="6" t="s">
        <v>255</v>
      </c>
      <c r="C156" s="46" t="s">
        <v>12</v>
      </c>
      <c r="D156" s="47">
        <v>87.9</v>
      </c>
      <c r="E156" s="48">
        <f t="shared" si="7"/>
        <v>0</v>
      </c>
    </row>
    <row r="157">
      <c r="A157" s="20" t="s">
        <v>256</v>
      </c>
      <c r="B157" s="6" t="s">
        <v>257</v>
      </c>
      <c r="C157" s="46" t="s">
        <v>12</v>
      </c>
      <c r="D157" s="47">
        <v>87.9</v>
      </c>
      <c r="E157" s="48">
        <f t="shared" si="7"/>
        <v>0</v>
      </c>
    </row>
    <row r="158">
      <c r="A158" s="20" t="s">
        <v>258</v>
      </c>
      <c r="B158" s="6" t="s">
        <v>259</v>
      </c>
      <c r="C158" s="46" t="s">
        <v>12</v>
      </c>
      <c r="D158" s="47">
        <v>305.22</v>
      </c>
      <c r="E158" s="48">
        <f t="shared" si="7"/>
        <v>0</v>
      </c>
    </row>
    <row r="159">
      <c r="A159" s="20" t="s">
        <v>260</v>
      </c>
      <c r="B159" s="6" t="s">
        <v>261</v>
      </c>
      <c r="C159" s="46" t="s">
        <v>12</v>
      </c>
      <c r="D159" s="47">
        <v>35.98</v>
      </c>
      <c r="E159" s="48">
        <f t="shared" si="7"/>
        <v>0</v>
      </c>
    </row>
    <row r="160">
      <c r="A160" s="20" t="s">
        <v>262</v>
      </c>
      <c r="B160" s="6" t="s">
        <v>199</v>
      </c>
      <c r="C160" s="46" t="s">
        <v>12</v>
      </c>
      <c r="D160" s="47">
        <v>35.98</v>
      </c>
      <c r="E160" s="48">
        <f t="shared" si="7"/>
        <v>0</v>
      </c>
    </row>
    <row r="161">
      <c r="A161" s="20" t="s">
        <v>263</v>
      </c>
      <c r="B161" s="6" t="s">
        <v>197</v>
      </c>
      <c r="C161" s="46" t="s">
        <v>12</v>
      </c>
      <c r="D161" s="47">
        <v>35.98</v>
      </c>
      <c r="E161" s="48">
        <f t="shared" si="7"/>
        <v>0</v>
      </c>
    </row>
    <row r="162">
      <c r="A162" s="20" t="s">
        <v>264</v>
      </c>
      <c r="B162" s="6" t="s">
        <v>265</v>
      </c>
      <c r="C162" s="46" t="s">
        <v>12</v>
      </c>
      <c r="D162" s="47">
        <v>98.0</v>
      </c>
      <c r="E162" s="48">
        <f t="shared" si="7"/>
        <v>0</v>
      </c>
    </row>
    <row r="163">
      <c r="A163" s="20" t="s">
        <v>266</v>
      </c>
      <c r="B163" s="6" t="s">
        <v>267</v>
      </c>
      <c r="C163" s="46" t="s">
        <v>12</v>
      </c>
      <c r="D163" s="47">
        <v>87.9</v>
      </c>
      <c r="E163" s="48">
        <f t="shared" si="7"/>
        <v>0</v>
      </c>
    </row>
    <row r="164">
      <c r="A164" s="20" t="s">
        <v>268</v>
      </c>
      <c r="B164" s="6" t="s">
        <v>269</v>
      </c>
      <c r="C164" s="46" t="s">
        <v>12</v>
      </c>
      <c r="D164" s="47">
        <v>398.0</v>
      </c>
      <c r="E164" s="48">
        <f t="shared" si="7"/>
        <v>0</v>
      </c>
      <c r="H164" s="1" t="s">
        <v>270</v>
      </c>
    </row>
    <row r="165">
      <c r="A165" s="20" t="s">
        <v>271</v>
      </c>
      <c r="B165" s="6" t="s">
        <v>272</v>
      </c>
      <c r="C165" s="46" t="s">
        <v>12</v>
      </c>
      <c r="D165" s="47">
        <v>335.4</v>
      </c>
      <c r="E165" s="48">
        <f t="shared" si="7"/>
        <v>0</v>
      </c>
    </row>
    <row r="166">
      <c r="A166" s="20" t="s">
        <v>273</v>
      </c>
      <c r="B166" s="6" t="s">
        <v>274</v>
      </c>
      <c r="C166" s="46" t="s">
        <v>12</v>
      </c>
      <c r="D166" s="47">
        <v>5.0</v>
      </c>
      <c r="E166" s="48">
        <f t="shared" si="7"/>
        <v>0</v>
      </c>
    </row>
    <row r="167">
      <c r="A167" s="20" t="s">
        <v>275</v>
      </c>
      <c r="B167" s="6" t="s">
        <v>276</v>
      </c>
      <c r="C167" s="46" t="s">
        <v>12</v>
      </c>
      <c r="D167" s="47">
        <v>150.0</v>
      </c>
      <c r="E167" s="48">
        <f t="shared" si="7"/>
        <v>0</v>
      </c>
    </row>
    <row r="168">
      <c r="A168" s="20" t="s">
        <v>277</v>
      </c>
      <c r="B168" s="6" t="s">
        <v>278</v>
      </c>
      <c r="C168" s="46" t="s">
        <v>12</v>
      </c>
      <c r="D168" s="47">
        <v>87.9</v>
      </c>
      <c r="E168" s="48">
        <f t="shared" si="7"/>
        <v>0</v>
      </c>
    </row>
    <row r="169">
      <c r="A169" s="20" t="s">
        <v>279</v>
      </c>
      <c r="B169" s="6" t="s">
        <v>280</v>
      </c>
      <c r="C169" s="46" t="s">
        <v>12</v>
      </c>
      <c r="D169" s="47">
        <v>35.98</v>
      </c>
      <c r="E169" s="48">
        <f t="shared" si="7"/>
        <v>0</v>
      </c>
    </row>
    <row r="170">
      <c r="A170" s="20" t="s">
        <v>281</v>
      </c>
      <c r="B170" s="6" t="s">
        <v>282</v>
      </c>
      <c r="C170" s="46" t="s">
        <v>12</v>
      </c>
      <c r="D170" s="47">
        <v>287.0</v>
      </c>
      <c r="E170" s="48">
        <f t="shared" si="7"/>
        <v>0</v>
      </c>
    </row>
    <row r="171">
      <c r="A171" s="20" t="s">
        <v>283</v>
      </c>
      <c r="B171" s="6" t="s">
        <v>284</v>
      </c>
      <c r="C171" s="46" t="s">
        <v>12</v>
      </c>
      <c r="D171" s="47">
        <v>150.0</v>
      </c>
      <c r="E171" s="48">
        <f t="shared" si="7"/>
        <v>0</v>
      </c>
    </row>
    <row r="172">
      <c r="A172" s="53"/>
      <c r="B172" s="19"/>
      <c r="C172" s="54"/>
      <c r="D172" s="55"/>
      <c r="E172" s="56"/>
    </row>
    <row r="173">
      <c r="A173" s="42" t="s">
        <v>285</v>
      </c>
      <c r="B173" s="3"/>
      <c r="C173" s="43"/>
      <c r="D173" s="44"/>
      <c r="E173" s="52">
        <f>SUM(E175:E192)</f>
        <v>0</v>
      </c>
    </row>
    <row r="174">
      <c r="A174" s="45" t="s">
        <v>5</v>
      </c>
      <c r="B174" s="6" t="s">
        <v>6</v>
      </c>
      <c r="C174" s="7" t="s">
        <v>7</v>
      </c>
      <c r="D174" s="7" t="s">
        <v>8</v>
      </c>
      <c r="E174" s="7" t="s">
        <v>9</v>
      </c>
    </row>
    <row r="175">
      <c r="A175" s="20" t="s">
        <v>286</v>
      </c>
      <c r="B175" s="6" t="s">
        <v>247</v>
      </c>
      <c r="C175" s="46" t="s">
        <v>12</v>
      </c>
      <c r="D175" s="47">
        <v>87.9</v>
      </c>
      <c r="E175" s="48">
        <f t="shared" ref="E175:E192" si="8">C175*D175</f>
        <v>0</v>
      </c>
    </row>
    <row r="176">
      <c r="A176" s="20" t="s">
        <v>287</v>
      </c>
      <c r="B176" s="6" t="s">
        <v>249</v>
      </c>
      <c r="C176" s="46" t="s">
        <v>12</v>
      </c>
      <c r="D176" s="47">
        <v>87.9</v>
      </c>
      <c r="E176" s="48">
        <f t="shared" si="8"/>
        <v>0</v>
      </c>
    </row>
    <row r="177">
      <c r="A177" s="20" t="s">
        <v>288</v>
      </c>
      <c r="B177" s="6" t="s">
        <v>251</v>
      </c>
      <c r="C177" s="46" t="s">
        <v>12</v>
      </c>
      <c r="D177" s="47">
        <v>87.9</v>
      </c>
      <c r="E177" s="48">
        <f t="shared" si="8"/>
        <v>0</v>
      </c>
    </row>
    <row r="178">
      <c r="A178" s="20" t="s">
        <v>289</v>
      </c>
      <c r="B178" s="6" t="s">
        <v>253</v>
      </c>
      <c r="C178" s="46" t="s">
        <v>12</v>
      </c>
      <c r="D178" s="47">
        <v>87.9</v>
      </c>
      <c r="E178" s="48">
        <f t="shared" si="8"/>
        <v>0</v>
      </c>
    </row>
    <row r="179">
      <c r="A179" s="20" t="s">
        <v>290</v>
      </c>
      <c r="B179" s="6" t="s">
        <v>255</v>
      </c>
      <c r="C179" s="46" t="s">
        <v>12</v>
      </c>
      <c r="D179" s="47">
        <v>87.9</v>
      </c>
      <c r="E179" s="48">
        <f t="shared" si="8"/>
        <v>0</v>
      </c>
    </row>
    <row r="180">
      <c r="A180" s="20" t="s">
        <v>291</v>
      </c>
      <c r="B180" s="6" t="s">
        <v>257</v>
      </c>
      <c r="C180" s="46" t="s">
        <v>12</v>
      </c>
      <c r="D180" s="47">
        <v>87.9</v>
      </c>
      <c r="E180" s="48">
        <f t="shared" si="8"/>
        <v>0</v>
      </c>
    </row>
    <row r="181">
      <c r="A181" s="20" t="s">
        <v>292</v>
      </c>
      <c r="B181" s="6" t="s">
        <v>293</v>
      </c>
      <c r="C181" s="46" t="s">
        <v>12</v>
      </c>
      <c r="D181" s="47">
        <v>305.22</v>
      </c>
      <c r="E181" s="48">
        <f t="shared" si="8"/>
        <v>0</v>
      </c>
    </row>
    <row r="182">
      <c r="A182" s="20" t="s">
        <v>294</v>
      </c>
      <c r="B182" s="6" t="s">
        <v>261</v>
      </c>
      <c r="C182" s="46" t="s">
        <v>12</v>
      </c>
      <c r="D182" s="47">
        <v>35.98</v>
      </c>
      <c r="E182" s="48">
        <f t="shared" si="8"/>
        <v>0</v>
      </c>
    </row>
    <row r="183">
      <c r="A183" s="20" t="s">
        <v>295</v>
      </c>
      <c r="B183" s="6" t="s">
        <v>199</v>
      </c>
      <c r="C183" s="46" t="s">
        <v>12</v>
      </c>
      <c r="D183" s="47">
        <v>35.98</v>
      </c>
      <c r="E183" s="48">
        <f t="shared" si="8"/>
        <v>0</v>
      </c>
    </row>
    <row r="184">
      <c r="A184" s="20" t="s">
        <v>296</v>
      </c>
      <c r="B184" s="6" t="s">
        <v>197</v>
      </c>
      <c r="C184" s="46" t="s">
        <v>12</v>
      </c>
      <c r="D184" s="47">
        <v>35.98</v>
      </c>
      <c r="E184" s="48">
        <f t="shared" si="8"/>
        <v>0</v>
      </c>
    </row>
    <row r="185">
      <c r="A185" s="20" t="s">
        <v>297</v>
      </c>
      <c r="B185" s="6" t="s">
        <v>298</v>
      </c>
      <c r="C185" s="46" t="s">
        <v>12</v>
      </c>
      <c r="D185" s="47">
        <v>98.0</v>
      </c>
      <c r="E185" s="48">
        <f t="shared" si="8"/>
        <v>0</v>
      </c>
    </row>
    <row r="186">
      <c r="A186" s="20" t="s">
        <v>299</v>
      </c>
      <c r="B186" s="6" t="s">
        <v>300</v>
      </c>
      <c r="C186" s="46" t="s">
        <v>12</v>
      </c>
      <c r="D186" s="47">
        <v>87.9</v>
      </c>
      <c r="E186" s="48">
        <f t="shared" si="8"/>
        <v>0</v>
      </c>
    </row>
    <row r="187">
      <c r="A187" s="20" t="s">
        <v>301</v>
      </c>
      <c r="B187" s="6" t="s">
        <v>269</v>
      </c>
      <c r="C187" s="46" t="s">
        <v>12</v>
      </c>
      <c r="D187" s="47">
        <v>398.0</v>
      </c>
      <c r="E187" s="48">
        <f t="shared" si="8"/>
        <v>0</v>
      </c>
    </row>
    <row r="188">
      <c r="A188" s="20" t="s">
        <v>302</v>
      </c>
      <c r="B188" s="6" t="s">
        <v>272</v>
      </c>
      <c r="C188" s="46" t="s">
        <v>12</v>
      </c>
      <c r="D188" s="47">
        <v>335.4</v>
      </c>
      <c r="E188" s="48">
        <f t="shared" si="8"/>
        <v>0</v>
      </c>
    </row>
    <row r="189">
      <c r="A189" s="20" t="s">
        <v>303</v>
      </c>
      <c r="B189" s="6" t="s">
        <v>274</v>
      </c>
      <c r="C189" s="46" t="s">
        <v>12</v>
      </c>
      <c r="D189" s="47">
        <v>5.0</v>
      </c>
      <c r="E189" s="48">
        <f t="shared" si="8"/>
        <v>0</v>
      </c>
    </row>
    <row r="190">
      <c r="A190" s="20" t="s">
        <v>304</v>
      </c>
      <c r="B190" s="6" t="s">
        <v>305</v>
      </c>
      <c r="C190" s="46" t="s">
        <v>12</v>
      </c>
      <c r="D190" s="47">
        <v>150.0</v>
      </c>
      <c r="E190" s="48">
        <f t="shared" si="8"/>
        <v>0</v>
      </c>
    </row>
    <row r="191">
      <c r="A191" s="20" t="s">
        <v>306</v>
      </c>
      <c r="B191" s="6" t="s">
        <v>282</v>
      </c>
      <c r="C191" s="46" t="s">
        <v>12</v>
      </c>
      <c r="D191" s="47">
        <v>0.0</v>
      </c>
      <c r="E191" s="48">
        <f t="shared" si="8"/>
        <v>0</v>
      </c>
    </row>
    <row r="192">
      <c r="A192" s="20" t="s">
        <v>307</v>
      </c>
      <c r="B192" s="6" t="s">
        <v>284</v>
      </c>
      <c r="C192" s="46" t="s">
        <v>12</v>
      </c>
      <c r="D192" s="47">
        <v>150.0</v>
      </c>
      <c r="E192" s="48">
        <f t="shared" si="8"/>
        <v>0</v>
      </c>
    </row>
    <row r="193">
      <c r="A193" s="19"/>
      <c r="B193" s="19"/>
      <c r="C193" s="19"/>
      <c r="D193" s="19"/>
      <c r="E193" s="19"/>
    </row>
    <row r="194">
      <c r="A194" s="3" t="s">
        <v>308</v>
      </c>
      <c r="B194" s="3"/>
      <c r="C194" s="3"/>
      <c r="D194" s="3"/>
      <c r="E194" s="4">
        <f>E196</f>
        <v>0</v>
      </c>
    </row>
    <row r="195">
      <c r="A195" s="5" t="s">
        <v>5</v>
      </c>
      <c r="B195" s="6" t="s">
        <v>6</v>
      </c>
      <c r="C195" s="7" t="s">
        <v>7</v>
      </c>
      <c r="D195" s="7" t="s">
        <v>8</v>
      </c>
      <c r="E195" s="7" t="s">
        <v>9</v>
      </c>
    </row>
    <row r="196">
      <c r="A196" s="20" t="s">
        <v>309</v>
      </c>
      <c r="B196" s="6" t="s">
        <v>310</v>
      </c>
      <c r="C196" s="14" t="s">
        <v>12</v>
      </c>
      <c r="D196" s="15">
        <v>552.69</v>
      </c>
      <c r="E196" s="15">
        <f>C196*D196</f>
        <v>0</v>
      </c>
    </row>
    <row r="197">
      <c r="A197" s="19"/>
      <c r="B197" s="19"/>
      <c r="C197" s="19"/>
      <c r="D197" s="19"/>
      <c r="E197" s="19"/>
    </row>
    <row r="198">
      <c r="A198" s="3" t="s">
        <v>311</v>
      </c>
      <c r="B198" s="3"/>
      <c r="C198" s="3"/>
      <c r="D198" s="3"/>
      <c r="E198" s="4">
        <f>SUM(E200:E201)</f>
        <v>0</v>
      </c>
    </row>
    <row r="199">
      <c r="A199" s="5" t="s">
        <v>5</v>
      </c>
      <c r="B199" s="6" t="s">
        <v>6</v>
      </c>
      <c r="C199" s="7" t="s">
        <v>7</v>
      </c>
      <c r="D199" s="7" t="s">
        <v>8</v>
      </c>
      <c r="E199" s="7" t="s">
        <v>9</v>
      </c>
    </row>
    <row r="200">
      <c r="A200" s="20" t="s">
        <v>312</v>
      </c>
      <c r="B200" s="6" t="s">
        <v>313</v>
      </c>
      <c r="C200" s="14" t="s">
        <v>12</v>
      </c>
      <c r="D200" s="14" t="s">
        <v>314</v>
      </c>
      <c r="E200" s="15">
        <f t="shared" ref="E200:E201" si="9">C200*D200</f>
        <v>0</v>
      </c>
    </row>
    <row r="201">
      <c r="A201" s="20" t="s">
        <v>315</v>
      </c>
      <c r="B201" s="6" t="s">
        <v>316</v>
      </c>
      <c r="C201" s="14" t="s">
        <v>12</v>
      </c>
      <c r="D201" s="14" t="s">
        <v>317</v>
      </c>
      <c r="E201" s="15">
        <f t="shared" si="9"/>
        <v>0</v>
      </c>
    </row>
    <row r="202">
      <c r="A202" s="19"/>
      <c r="B202" s="19"/>
      <c r="C202" s="19"/>
      <c r="D202" s="19"/>
      <c r="E202" s="19"/>
    </row>
    <row r="203">
      <c r="A203" s="3" t="s">
        <v>318</v>
      </c>
      <c r="B203" s="3"/>
      <c r="C203" s="3"/>
      <c r="D203" s="3"/>
      <c r="E203" s="4">
        <f>SUM(E205:E206)</f>
        <v>0</v>
      </c>
    </row>
    <row r="204">
      <c r="A204" s="5" t="s">
        <v>5</v>
      </c>
      <c r="B204" s="6" t="s">
        <v>6</v>
      </c>
      <c r="C204" s="7" t="s">
        <v>7</v>
      </c>
      <c r="D204" s="7" t="s">
        <v>8</v>
      </c>
      <c r="E204" s="7" t="s">
        <v>9</v>
      </c>
    </row>
    <row r="205">
      <c r="A205" s="20" t="s">
        <v>319</v>
      </c>
      <c r="B205" s="6" t="s">
        <v>313</v>
      </c>
      <c r="C205" s="14" t="s">
        <v>12</v>
      </c>
      <c r="D205" s="15">
        <v>552.69</v>
      </c>
      <c r="E205" s="15">
        <f t="shared" ref="E205:E206" si="10">C205*D205</f>
        <v>0</v>
      </c>
    </row>
    <row r="206">
      <c r="A206" s="20" t="s">
        <v>320</v>
      </c>
      <c r="B206" s="6" t="s">
        <v>316</v>
      </c>
      <c r="C206" s="14" t="s">
        <v>12</v>
      </c>
      <c r="D206" s="15">
        <v>165.76</v>
      </c>
      <c r="E206" s="15">
        <f t="shared" si="10"/>
        <v>0</v>
      </c>
    </row>
    <row r="207">
      <c r="A207" s="19"/>
      <c r="B207" s="19"/>
      <c r="C207" s="19"/>
      <c r="D207" s="19"/>
      <c r="E207" s="19"/>
    </row>
    <row r="208">
      <c r="A208" s="3" t="s">
        <v>321</v>
      </c>
      <c r="B208" s="3"/>
      <c r="C208" s="3"/>
      <c r="D208" s="3"/>
      <c r="E208" s="4">
        <f>SUM(E210:E262)</f>
        <v>0</v>
      </c>
    </row>
    <row r="209">
      <c r="A209" s="5" t="s">
        <v>5</v>
      </c>
      <c r="B209" s="6" t="s">
        <v>6</v>
      </c>
      <c r="C209" s="7" t="s">
        <v>7</v>
      </c>
      <c r="D209" s="7" t="s">
        <v>8</v>
      </c>
      <c r="E209" s="7" t="s">
        <v>9</v>
      </c>
    </row>
    <row r="210">
      <c r="A210" s="20" t="s">
        <v>322</v>
      </c>
      <c r="B210" s="6" t="s">
        <v>323</v>
      </c>
      <c r="C210" s="14" t="s">
        <v>12</v>
      </c>
      <c r="D210" s="15">
        <v>200.0</v>
      </c>
      <c r="E210" s="15">
        <f t="shared" ref="E210:E262" si="11">C210*D210</f>
        <v>0</v>
      </c>
    </row>
    <row r="211">
      <c r="A211" s="20" t="s">
        <v>324</v>
      </c>
      <c r="B211" s="6" t="s">
        <v>325</v>
      </c>
      <c r="C211" s="14" t="s">
        <v>12</v>
      </c>
      <c r="D211" s="15">
        <v>600.0</v>
      </c>
      <c r="E211" s="15">
        <f t="shared" si="11"/>
        <v>0</v>
      </c>
    </row>
    <row r="212">
      <c r="A212" s="20" t="s">
        <v>326</v>
      </c>
      <c r="B212" s="6" t="s">
        <v>327</v>
      </c>
      <c r="C212" s="14" t="s">
        <v>12</v>
      </c>
      <c r="D212" s="15">
        <v>665.26</v>
      </c>
      <c r="E212" s="15">
        <f t="shared" si="11"/>
        <v>0</v>
      </c>
    </row>
    <row r="213">
      <c r="A213" s="20" t="s">
        <v>328</v>
      </c>
      <c r="B213" s="6" t="s">
        <v>329</v>
      </c>
      <c r="C213" s="14" t="s">
        <v>12</v>
      </c>
      <c r="D213" s="15">
        <v>133.03</v>
      </c>
      <c r="E213" s="15">
        <f t="shared" si="11"/>
        <v>0</v>
      </c>
    </row>
    <row r="214">
      <c r="A214" s="20" t="s">
        <v>330</v>
      </c>
      <c r="B214" s="6" t="s">
        <v>331</v>
      </c>
      <c r="C214" s="14" t="s">
        <v>12</v>
      </c>
      <c r="D214" s="15">
        <v>133.03</v>
      </c>
      <c r="E214" s="15">
        <f t="shared" si="11"/>
        <v>0</v>
      </c>
    </row>
    <row r="215">
      <c r="A215" s="20" t="s">
        <v>332</v>
      </c>
      <c r="B215" s="6" t="s">
        <v>333</v>
      </c>
      <c r="C215" s="14" t="s">
        <v>12</v>
      </c>
      <c r="D215" s="15">
        <v>133.03</v>
      </c>
      <c r="E215" s="15">
        <f t="shared" si="11"/>
        <v>0</v>
      </c>
    </row>
    <row r="216">
      <c r="A216" s="20" t="s">
        <v>334</v>
      </c>
      <c r="B216" s="6" t="s">
        <v>335</v>
      </c>
      <c r="C216" s="14" t="s">
        <v>12</v>
      </c>
      <c r="D216" s="15">
        <v>665.26</v>
      </c>
      <c r="E216" s="15">
        <f t="shared" si="11"/>
        <v>0</v>
      </c>
    </row>
    <row r="217">
      <c r="A217" s="20" t="s">
        <v>336</v>
      </c>
      <c r="B217" s="6" t="s">
        <v>337</v>
      </c>
      <c r="C217" s="14" t="s">
        <v>12</v>
      </c>
      <c r="D217" s="15">
        <v>2.97</v>
      </c>
      <c r="E217" s="15">
        <f t="shared" si="11"/>
        <v>0</v>
      </c>
    </row>
    <row r="218">
      <c r="A218" s="20" t="s">
        <v>338</v>
      </c>
      <c r="B218" s="6" t="s">
        <v>339</v>
      </c>
      <c r="C218" s="14" t="s">
        <v>12</v>
      </c>
      <c r="D218" s="15">
        <v>133.03</v>
      </c>
      <c r="E218" s="15">
        <f t="shared" si="11"/>
        <v>0</v>
      </c>
    </row>
    <row r="219">
      <c r="A219" s="20" t="s">
        <v>340</v>
      </c>
      <c r="B219" s="6" t="s">
        <v>341</v>
      </c>
      <c r="C219" s="14" t="s">
        <v>12</v>
      </c>
      <c r="D219" s="15">
        <v>399.15</v>
      </c>
      <c r="E219" s="15">
        <f t="shared" si="11"/>
        <v>0</v>
      </c>
    </row>
    <row r="220">
      <c r="A220" s="20" t="s">
        <v>342</v>
      </c>
      <c r="B220" s="6" t="s">
        <v>343</v>
      </c>
      <c r="C220" s="14" t="s">
        <v>12</v>
      </c>
      <c r="D220" s="15">
        <v>399.15</v>
      </c>
      <c r="E220" s="15">
        <f t="shared" si="11"/>
        <v>0</v>
      </c>
    </row>
    <row r="221">
      <c r="A221" s="20" t="s">
        <v>344</v>
      </c>
      <c r="B221" s="6" t="s">
        <v>345</v>
      </c>
      <c r="C221" s="14" t="s">
        <v>12</v>
      </c>
      <c r="D221" s="15">
        <v>266.13</v>
      </c>
      <c r="E221" s="15">
        <f t="shared" si="11"/>
        <v>0</v>
      </c>
    </row>
    <row r="222">
      <c r="A222" s="20" t="s">
        <v>346</v>
      </c>
      <c r="B222" s="6" t="s">
        <v>347</v>
      </c>
      <c r="C222" s="14" t="s">
        <v>12</v>
      </c>
      <c r="D222" s="15">
        <v>266.13</v>
      </c>
      <c r="E222" s="15">
        <f t="shared" si="11"/>
        <v>0</v>
      </c>
    </row>
    <row r="223">
      <c r="A223" s="20" t="s">
        <v>348</v>
      </c>
      <c r="B223" s="6" t="s">
        <v>349</v>
      </c>
      <c r="C223" s="14" t="s">
        <v>12</v>
      </c>
      <c r="D223" s="15">
        <v>129.7</v>
      </c>
      <c r="E223" s="15">
        <f t="shared" si="11"/>
        <v>0</v>
      </c>
    </row>
    <row r="224">
      <c r="A224" s="20" t="s">
        <v>350</v>
      </c>
      <c r="B224" s="6" t="s">
        <v>351</v>
      </c>
      <c r="C224" s="14" t="s">
        <v>12</v>
      </c>
      <c r="D224" s="15">
        <v>129.7</v>
      </c>
      <c r="E224" s="15">
        <f t="shared" si="11"/>
        <v>0</v>
      </c>
    </row>
    <row r="225">
      <c r="A225" s="20" t="s">
        <v>352</v>
      </c>
      <c r="B225" s="6" t="s">
        <v>353</v>
      </c>
      <c r="C225" s="14" t="s">
        <v>12</v>
      </c>
      <c r="D225" s="15">
        <v>129.7</v>
      </c>
      <c r="E225" s="15">
        <f t="shared" si="11"/>
        <v>0</v>
      </c>
    </row>
    <row r="226">
      <c r="A226" s="20" t="s">
        <v>354</v>
      </c>
      <c r="B226" s="6" t="s">
        <v>355</v>
      </c>
      <c r="C226" s="14" t="s">
        <v>12</v>
      </c>
      <c r="D226" s="15">
        <v>133.03</v>
      </c>
      <c r="E226" s="15">
        <f t="shared" si="11"/>
        <v>0</v>
      </c>
    </row>
    <row r="227">
      <c r="A227" s="20" t="s">
        <v>356</v>
      </c>
      <c r="B227" s="6" t="s">
        <v>357</v>
      </c>
      <c r="C227" s="14" t="s">
        <v>12</v>
      </c>
      <c r="D227" s="15">
        <v>133.03</v>
      </c>
      <c r="E227" s="15">
        <f t="shared" si="11"/>
        <v>0</v>
      </c>
    </row>
    <row r="228">
      <c r="A228" s="20" t="s">
        <v>358</v>
      </c>
      <c r="B228" s="6" t="s">
        <v>359</v>
      </c>
      <c r="C228" s="14" t="s">
        <v>12</v>
      </c>
      <c r="D228" s="15">
        <v>9.7</v>
      </c>
      <c r="E228" s="15">
        <f t="shared" si="11"/>
        <v>0</v>
      </c>
    </row>
    <row r="229">
      <c r="A229" s="20" t="s">
        <v>360</v>
      </c>
      <c r="B229" s="6" t="s">
        <v>361</v>
      </c>
      <c r="C229" s="14" t="s">
        <v>12</v>
      </c>
      <c r="D229" s="15">
        <v>399.15</v>
      </c>
      <c r="E229" s="15">
        <f t="shared" si="11"/>
        <v>0</v>
      </c>
    </row>
    <row r="230">
      <c r="A230" s="20" t="s">
        <v>362</v>
      </c>
      <c r="B230" s="6" t="s">
        <v>363</v>
      </c>
      <c r="C230" s="14" t="s">
        <v>12</v>
      </c>
      <c r="D230" s="15">
        <v>69.7</v>
      </c>
      <c r="E230" s="15">
        <f t="shared" si="11"/>
        <v>0</v>
      </c>
    </row>
    <row r="231">
      <c r="A231" s="20" t="s">
        <v>364</v>
      </c>
      <c r="B231" s="6" t="s">
        <v>365</v>
      </c>
      <c r="C231" s="14" t="s">
        <v>12</v>
      </c>
      <c r="D231" s="15">
        <v>497.0</v>
      </c>
      <c r="E231" s="15">
        <f t="shared" si="11"/>
        <v>0</v>
      </c>
    </row>
    <row r="232">
      <c r="A232" s="20" t="s">
        <v>366</v>
      </c>
      <c r="B232" s="6" t="s">
        <v>367</v>
      </c>
      <c r="C232" s="14" t="s">
        <v>12</v>
      </c>
      <c r="D232" s="15">
        <v>399.15</v>
      </c>
      <c r="E232" s="15">
        <f t="shared" si="11"/>
        <v>0</v>
      </c>
    </row>
    <row r="233">
      <c r="A233" s="20" t="s">
        <v>368</v>
      </c>
      <c r="B233" s="6" t="s">
        <v>369</v>
      </c>
      <c r="C233" s="14" t="s">
        <v>12</v>
      </c>
      <c r="D233" s="15">
        <v>66.54</v>
      </c>
      <c r="E233" s="15">
        <f t="shared" si="11"/>
        <v>0</v>
      </c>
    </row>
    <row r="234">
      <c r="A234" s="20" t="s">
        <v>370</v>
      </c>
      <c r="B234" s="6" t="s">
        <v>371</v>
      </c>
      <c r="C234" s="14" t="s">
        <v>12</v>
      </c>
      <c r="D234" s="15">
        <v>0.43</v>
      </c>
      <c r="E234" s="15">
        <f t="shared" si="11"/>
        <v>0</v>
      </c>
    </row>
    <row r="235">
      <c r="A235" s="20" t="s">
        <v>372</v>
      </c>
      <c r="B235" s="6" t="s">
        <v>373</v>
      </c>
      <c r="C235" s="14" t="s">
        <v>12</v>
      </c>
      <c r="D235" s="15">
        <v>133.03</v>
      </c>
      <c r="E235" s="15">
        <f t="shared" si="11"/>
        <v>0</v>
      </c>
    </row>
    <row r="236">
      <c r="A236" s="20" t="s">
        <v>374</v>
      </c>
      <c r="B236" s="6" t="s">
        <v>375</v>
      </c>
      <c r="C236" s="14" t="s">
        <v>12</v>
      </c>
      <c r="D236" s="15">
        <v>66.54</v>
      </c>
      <c r="E236" s="15">
        <f t="shared" si="11"/>
        <v>0</v>
      </c>
    </row>
    <row r="237">
      <c r="A237" s="20" t="s">
        <v>376</v>
      </c>
      <c r="B237" s="6" t="s">
        <v>377</v>
      </c>
      <c r="C237" s="14" t="s">
        <v>12</v>
      </c>
      <c r="D237" s="15">
        <v>133.03</v>
      </c>
      <c r="E237" s="15">
        <f t="shared" si="11"/>
        <v>0</v>
      </c>
    </row>
    <row r="238">
      <c r="A238" s="20" t="s">
        <v>378</v>
      </c>
      <c r="B238" s="6" t="s">
        <v>379</v>
      </c>
      <c r="C238" s="14" t="s">
        <v>12</v>
      </c>
      <c r="D238" s="15">
        <v>399.15</v>
      </c>
      <c r="E238" s="15">
        <f t="shared" si="11"/>
        <v>0</v>
      </c>
    </row>
    <row r="239">
      <c r="A239" s="20" t="s">
        <v>380</v>
      </c>
      <c r="B239" s="6" t="s">
        <v>381</v>
      </c>
      <c r="C239" s="14" t="s">
        <v>12</v>
      </c>
      <c r="D239" s="15">
        <v>399.15</v>
      </c>
      <c r="E239" s="15">
        <f t="shared" si="11"/>
        <v>0</v>
      </c>
    </row>
    <row r="240">
      <c r="A240" s="20" t="s">
        <v>382</v>
      </c>
      <c r="B240" s="6" t="s">
        <v>383</v>
      </c>
      <c r="C240" s="14" t="s">
        <v>12</v>
      </c>
      <c r="D240" s="15">
        <v>39.7</v>
      </c>
      <c r="E240" s="15">
        <f t="shared" si="11"/>
        <v>0</v>
      </c>
    </row>
    <row r="241">
      <c r="A241" s="20" t="s">
        <v>384</v>
      </c>
      <c r="B241" s="6" t="s">
        <v>385</v>
      </c>
      <c r="C241" s="14" t="s">
        <v>12</v>
      </c>
      <c r="D241" s="15">
        <v>5.97</v>
      </c>
      <c r="E241" s="15">
        <f t="shared" si="11"/>
        <v>0</v>
      </c>
    </row>
    <row r="242">
      <c r="A242" s="20" t="s">
        <v>386</v>
      </c>
      <c r="B242" s="6" t="s">
        <v>387</v>
      </c>
      <c r="C242" s="14" t="s">
        <v>12</v>
      </c>
      <c r="D242" s="15">
        <v>92.0</v>
      </c>
      <c r="E242" s="15">
        <f t="shared" si="11"/>
        <v>0</v>
      </c>
    </row>
    <row r="243">
      <c r="A243" s="20" t="s">
        <v>388</v>
      </c>
      <c r="B243" s="6" t="s">
        <v>389</v>
      </c>
      <c r="C243" s="14" t="s">
        <v>12</v>
      </c>
      <c r="D243" s="15">
        <v>300.0</v>
      </c>
      <c r="E243" s="15">
        <f t="shared" si="11"/>
        <v>0</v>
      </c>
    </row>
    <row r="244">
      <c r="A244" s="20" t="s">
        <v>390</v>
      </c>
      <c r="B244" s="6" t="s">
        <v>391</v>
      </c>
      <c r="C244" s="14" t="s">
        <v>12</v>
      </c>
      <c r="D244" s="15">
        <v>49.0</v>
      </c>
      <c r="E244" s="15">
        <f t="shared" si="11"/>
        <v>0</v>
      </c>
    </row>
    <row r="245">
      <c r="A245" s="20" t="s">
        <v>392</v>
      </c>
      <c r="B245" s="6" t="s">
        <v>393</v>
      </c>
      <c r="C245" s="14" t="s">
        <v>12</v>
      </c>
      <c r="D245" s="15">
        <v>500.0</v>
      </c>
      <c r="E245" s="15">
        <f t="shared" si="11"/>
        <v>0</v>
      </c>
    </row>
    <row r="246">
      <c r="A246" s="20" t="s">
        <v>394</v>
      </c>
      <c r="B246" s="16" t="s">
        <v>395</v>
      </c>
      <c r="C246" s="17" t="s">
        <v>12</v>
      </c>
      <c r="D246" s="18">
        <v>75.83</v>
      </c>
      <c r="E246" s="18">
        <f t="shared" si="11"/>
        <v>0</v>
      </c>
    </row>
    <row r="247">
      <c r="A247" s="20" t="s">
        <v>396</v>
      </c>
      <c r="B247" s="39" t="s">
        <v>397</v>
      </c>
      <c r="C247" s="14" t="s">
        <v>12</v>
      </c>
      <c r="D247" s="15">
        <v>29.7</v>
      </c>
      <c r="E247" s="15">
        <f t="shared" si="11"/>
        <v>0</v>
      </c>
    </row>
    <row r="248">
      <c r="A248" s="20" t="s">
        <v>398</v>
      </c>
      <c r="B248" s="16" t="s">
        <v>399</v>
      </c>
      <c r="C248" s="14" t="s">
        <v>12</v>
      </c>
      <c r="D248" s="15">
        <v>25.3</v>
      </c>
      <c r="E248" s="15">
        <f t="shared" si="11"/>
        <v>0</v>
      </c>
    </row>
    <row r="249">
      <c r="A249" s="20" t="s">
        <v>400</v>
      </c>
      <c r="B249" s="39" t="s">
        <v>401</v>
      </c>
      <c r="C249" s="14" t="s">
        <v>12</v>
      </c>
      <c r="D249" s="15">
        <v>39.67</v>
      </c>
      <c r="E249" s="15">
        <f t="shared" si="11"/>
        <v>0</v>
      </c>
    </row>
    <row r="250">
      <c r="A250" s="20" t="s">
        <v>402</v>
      </c>
      <c r="B250" s="16" t="s">
        <v>403</v>
      </c>
      <c r="C250" s="14" t="s">
        <v>12</v>
      </c>
      <c r="D250" s="15">
        <v>12.0</v>
      </c>
      <c r="E250" s="15">
        <f t="shared" si="11"/>
        <v>0</v>
      </c>
    </row>
    <row r="251">
      <c r="A251" s="20" t="s">
        <v>404</v>
      </c>
      <c r="B251" s="39" t="s">
        <v>405</v>
      </c>
      <c r="C251" s="14" t="s">
        <v>12</v>
      </c>
      <c r="D251" s="15">
        <v>58.98</v>
      </c>
      <c r="E251" s="15">
        <f t="shared" si="11"/>
        <v>0</v>
      </c>
    </row>
    <row r="252">
      <c r="A252" s="20" t="s">
        <v>406</v>
      </c>
      <c r="B252" s="16" t="s">
        <v>407</v>
      </c>
      <c r="C252" s="14" t="s">
        <v>12</v>
      </c>
      <c r="D252" s="15">
        <v>126.7</v>
      </c>
      <c r="E252" s="15">
        <f t="shared" si="11"/>
        <v>0</v>
      </c>
    </row>
    <row r="253">
      <c r="A253" s="20" t="s">
        <v>408</v>
      </c>
      <c r="B253" s="39" t="s">
        <v>409</v>
      </c>
      <c r="C253" s="14" t="s">
        <v>12</v>
      </c>
      <c r="D253" s="15">
        <v>28.9</v>
      </c>
      <c r="E253" s="15">
        <f t="shared" si="11"/>
        <v>0</v>
      </c>
    </row>
    <row r="254">
      <c r="A254" s="20" t="s">
        <v>410</v>
      </c>
      <c r="B254" s="16" t="s">
        <v>411</v>
      </c>
      <c r="C254" s="14" t="s">
        <v>12</v>
      </c>
      <c r="D254" s="15">
        <v>158.7</v>
      </c>
      <c r="E254" s="15">
        <f t="shared" si="11"/>
        <v>0</v>
      </c>
    </row>
    <row r="255">
      <c r="A255" s="20" t="s">
        <v>412</v>
      </c>
      <c r="B255" s="39" t="s">
        <v>413</v>
      </c>
      <c r="C255" s="14" t="s">
        <v>12</v>
      </c>
      <c r="D255" s="15">
        <v>158.7</v>
      </c>
      <c r="E255" s="15">
        <f t="shared" si="11"/>
        <v>0</v>
      </c>
    </row>
    <row r="256">
      <c r="A256" s="20" t="s">
        <v>414</v>
      </c>
      <c r="B256" s="57" t="s">
        <v>415</v>
      </c>
      <c r="C256" s="14" t="s">
        <v>12</v>
      </c>
      <c r="D256" s="15">
        <v>158.7</v>
      </c>
      <c r="E256" s="15">
        <f t="shared" si="11"/>
        <v>0</v>
      </c>
    </row>
    <row r="257">
      <c r="A257" s="20" t="s">
        <v>416</v>
      </c>
      <c r="B257" s="58" t="s">
        <v>417</v>
      </c>
      <c r="C257" s="14" t="s">
        <v>12</v>
      </c>
      <c r="D257" s="15">
        <v>158.7</v>
      </c>
      <c r="E257" s="15">
        <f t="shared" si="11"/>
        <v>0</v>
      </c>
    </row>
    <row r="258">
      <c r="A258" s="20" t="s">
        <v>418</v>
      </c>
      <c r="B258" s="58" t="s">
        <v>419</v>
      </c>
      <c r="C258" s="14" t="s">
        <v>12</v>
      </c>
      <c r="D258" s="15">
        <v>2.85</v>
      </c>
      <c r="E258" s="15">
        <f t="shared" si="11"/>
        <v>0</v>
      </c>
    </row>
    <row r="259">
      <c r="A259" s="20" t="s">
        <v>420</v>
      </c>
      <c r="B259" s="58" t="s">
        <v>421</v>
      </c>
      <c r="C259" s="14" t="s">
        <v>12</v>
      </c>
      <c r="D259" s="15">
        <v>93.7</v>
      </c>
      <c r="E259" s="15">
        <f t="shared" si="11"/>
        <v>0</v>
      </c>
    </row>
    <row r="260">
      <c r="A260" s="20" t="s">
        <v>422</v>
      </c>
      <c r="B260" s="6" t="s">
        <v>423</v>
      </c>
      <c r="C260" s="46" t="s">
        <v>12</v>
      </c>
      <c r="D260" s="47">
        <v>35.0</v>
      </c>
      <c r="E260" s="48">
        <f t="shared" si="11"/>
        <v>0</v>
      </c>
    </row>
    <row r="261">
      <c r="A261" s="20" t="s">
        <v>424</v>
      </c>
      <c r="B261" s="6" t="s">
        <v>425</v>
      </c>
      <c r="C261" s="46" t="s">
        <v>12</v>
      </c>
      <c r="D261" s="47">
        <v>3.97</v>
      </c>
      <c r="E261" s="48">
        <f t="shared" si="11"/>
        <v>0</v>
      </c>
    </row>
    <row r="262">
      <c r="A262" s="20" t="s">
        <v>426</v>
      </c>
      <c r="B262" s="6" t="s">
        <v>427</v>
      </c>
      <c r="C262" s="46" t="s">
        <v>12</v>
      </c>
      <c r="D262" s="47">
        <v>266.13</v>
      </c>
      <c r="E262" s="48">
        <f t="shared" si="11"/>
        <v>0</v>
      </c>
    </row>
    <row r="263">
      <c r="A263" s="59"/>
      <c r="B263" s="59"/>
      <c r="C263" s="59"/>
      <c r="D263" s="59"/>
      <c r="E263" s="60"/>
    </row>
    <row r="264">
      <c r="A264" s="59"/>
      <c r="B264" s="59"/>
      <c r="C264" s="59"/>
      <c r="D264" s="59"/>
      <c r="E264" s="60"/>
    </row>
    <row r="265">
      <c r="A265" s="3" t="s">
        <v>428</v>
      </c>
      <c r="B265" s="3"/>
      <c r="C265" s="3"/>
      <c r="D265" s="3"/>
      <c r="E265" s="4">
        <f>SUM(E267:E283)</f>
        <v>0</v>
      </c>
    </row>
    <row r="266">
      <c r="A266" s="5" t="s">
        <v>5</v>
      </c>
      <c r="B266" s="6" t="s">
        <v>6</v>
      </c>
      <c r="C266" s="7" t="s">
        <v>7</v>
      </c>
      <c r="D266" s="7" t="s">
        <v>8</v>
      </c>
      <c r="E266" s="7" t="s">
        <v>9</v>
      </c>
    </row>
    <row r="267">
      <c r="A267" s="20" t="s">
        <v>429</v>
      </c>
      <c r="B267" s="6" t="s">
        <v>430</v>
      </c>
      <c r="C267" s="14" t="s">
        <v>12</v>
      </c>
      <c r="D267" s="15">
        <v>665.26</v>
      </c>
      <c r="E267" s="15">
        <f t="shared" ref="E267:E283" si="12">C267*D267</f>
        <v>0</v>
      </c>
    </row>
    <row r="268">
      <c r="A268" s="20" t="s">
        <v>431</v>
      </c>
      <c r="B268" s="6" t="s">
        <v>432</v>
      </c>
      <c r="C268" s="14" t="s">
        <v>12</v>
      </c>
      <c r="D268" s="15">
        <v>197.0</v>
      </c>
      <c r="E268" s="15">
        <f t="shared" si="12"/>
        <v>0</v>
      </c>
    </row>
    <row r="269">
      <c r="A269" s="20" t="s">
        <v>433</v>
      </c>
      <c r="B269" s="6" t="s">
        <v>434</v>
      </c>
      <c r="C269" s="14" t="s">
        <v>12</v>
      </c>
      <c r="D269" s="15">
        <v>297.0</v>
      </c>
      <c r="E269" s="15">
        <f t="shared" si="12"/>
        <v>0</v>
      </c>
    </row>
    <row r="270">
      <c r="A270" s="20" t="s">
        <v>435</v>
      </c>
      <c r="B270" s="6" t="s">
        <v>436</v>
      </c>
      <c r="C270" s="14" t="s">
        <v>12</v>
      </c>
      <c r="D270" s="15">
        <v>399.15</v>
      </c>
      <c r="E270" s="15">
        <f t="shared" si="12"/>
        <v>0</v>
      </c>
    </row>
    <row r="271">
      <c r="A271" s="20" t="s">
        <v>437</v>
      </c>
      <c r="B271" s="6" t="s">
        <v>438</v>
      </c>
      <c r="C271" s="14" t="s">
        <v>12</v>
      </c>
      <c r="D271" s="15">
        <v>532.21</v>
      </c>
      <c r="E271" s="15">
        <f t="shared" si="12"/>
        <v>0</v>
      </c>
    </row>
    <row r="272">
      <c r="A272" s="20" t="s">
        <v>439</v>
      </c>
      <c r="B272" s="6" t="s">
        <v>440</v>
      </c>
      <c r="C272" s="14" t="s">
        <v>12</v>
      </c>
      <c r="D272" s="15">
        <v>266.13</v>
      </c>
      <c r="E272" s="15">
        <f t="shared" si="12"/>
        <v>0</v>
      </c>
    </row>
    <row r="273">
      <c r="A273" s="20" t="s">
        <v>441</v>
      </c>
      <c r="B273" s="6" t="s">
        <v>442</v>
      </c>
      <c r="C273" s="14" t="s">
        <v>12</v>
      </c>
      <c r="D273" s="15">
        <v>18.64</v>
      </c>
      <c r="E273" s="15">
        <f t="shared" si="12"/>
        <v>0</v>
      </c>
    </row>
    <row r="274">
      <c r="A274" s="20" t="s">
        <v>443</v>
      </c>
      <c r="B274" s="61" t="s">
        <v>444</v>
      </c>
      <c r="C274" s="14" t="s">
        <v>12</v>
      </c>
      <c r="D274" s="15">
        <v>678.0</v>
      </c>
      <c r="E274" s="15">
        <f t="shared" si="12"/>
        <v>0</v>
      </c>
    </row>
    <row r="275">
      <c r="A275" s="20" t="s">
        <v>445</v>
      </c>
      <c r="B275" s="61" t="s">
        <v>446</v>
      </c>
      <c r="C275" s="14" t="s">
        <v>12</v>
      </c>
      <c r="D275" s="15">
        <v>678.0</v>
      </c>
      <c r="E275" s="15">
        <f t="shared" si="12"/>
        <v>0</v>
      </c>
    </row>
    <row r="276">
      <c r="A276" s="20" t="s">
        <v>447</v>
      </c>
      <c r="B276" s="61" t="s">
        <v>448</v>
      </c>
      <c r="C276" s="14" t="s">
        <v>12</v>
      </c>
      <c r="D276" s="15">
        <v>678.0</v>
      </c>
      <c r="E276" s="15">
        <f t="shared" si="12"/>
        <v>0</v>
      </c>
    </row>
    <row r="277">
      <c r="A277" s="20" t="s">
        <v>449</v>
      </c>
      <c r="B277" s="6" t="s">
        <v>450</v>
      </c>
      <c r="C277" s="14" t="s">
        <v>12</v>
      </c>
      <c r="D277" s="15">
        <v>197.5</v>
      </c>
      <c r="E277" s="15">
        <f t="shared" si="12"/>
        <v>0</v>
      </c>
    </row>
    <row r="278">
      <c r="A278" s="20" t="s">
        <v>451</v>
      </c>
      <c r="B278" s="6" t="s">
        <v>452</v>
      </c>
      <c r="C278" s="14" t="s">
        <v>12</v>
      </c>
      <c r="D278" s="15">
        <v>133.05</v>
      </c>
      <c r="E278" s="15">
        <f t="shared" si="12"/>
        <v>0</v>
      </c>
    </row>
    <row r="279">
      <c r="A279" s="20" t="s">
        <v>453</v>
      </c>
      <c r="B279" s="6" t="s">
        <v>454</v>
      </c>
      <c r="C279" s="14" t="s">
        <v>12</v>
      </c>
      <c r="D279" s="15">
        <v>399.15</v>
      </c>
      <c r="E279" s="15">
        <f t="shared" si="12"/>
        <v>0</v>
      </c>
    </row>
    <row r="280">
      <c r="A280" s="20" t="s">
        <v>455</v>
      </c>
      <c r="B280" s="6" t="s">
        <v>456</v>
      </c>
      <c r="C280" s="14" t="s">
        <v>12</v>
      </c>
      <c r="D280" s="15">
        <v>266.13</v>
      </c>
      <c r="E280" s="15">
        <f t="shared" si="12"/>
        <v>0</v>
      </c>
    </row>
    <row r="281">
      <c r="A281" s="20" t="s">
        <v>457</v>
      </c>
      <c r="B281" s="6" t="s">
        <v>458</v>
      </c>
      <c r="C281" s="14" t="s">
        <v>12</v>
      </c>
      <c r="D281" s="15">
        <v>399.15</v>
      </c>
      <c r="E281" s="15">
        <f t="shared" si="12"/>
        <v>0</v>
      </c>
    </row>
    <row r="282">
      <c r="A282" s="20" t="s">
        <v>459</v>
      </c>
      <c r="B282" s="6" t="s">
        <v>460</v>
      </c>
      <c r="C282" s="14" t="s">
        <v>12</v>
      </c>
      <c r="D282" s="15">
        <v>399.15</v>
      </c>
      <c r="E282" s="15">
        <f t="shared" si="12"/>
        <v>0</v>
      </c>
    </row>
    <row r="283">
      <c r="A283" s="20" t="s">
        <v>461</v>
      </c>
      <c r="B283" s="6" t="s">
        <v>462</v>
      </c>
      <c r="C283" s="14" t="s">
        <v>12</v>
      </c>
      <c r="D283" s="15">
        <v>399.15</v>
      </c>
      <c r="E283" s="15">
        <f t="shared" si="12"/>
        <v>0</v>
      </c>
    </row>
    <row r="284">
      <c r="A284" s="62"/>
      <c r="B284" s="19"/>
      <c r="C284" s="19"/>
      <c r="D284" s="19"/>
      <c r="E284" s="19"/>
    </row>
    <row r="285">
      <c r="A285" s="3" t="s">
        <v>463</v>
      </c>
      <c r="B285" s="3"/>
      <c r="C285" s="3"/>
      <c r="D285" s="3"/>
      <c r="E285" s="4">
        <f>SUM(E287:E301)</f>
        <v>0</v>
      </c>
    </row>
    <row r="286">
      <c r="A286" s="5" t="s">
        <v>5</v>
      </c>
      <c r="B286" s="6" t="s">
        <v>6</v>
      </c>
      <c r="C286" s="7" t="s">
        <v>7</v>
      </c>
      <c r="D286" s="7" t="s">
        <v>8</v>
      </c>
      <c r="E286" s="7" t="s">
        <v>9</v>
      </c>
    </row>
    <row r="287">
      <c r="A287" s="20" t="s">
        <v>464</v>
      </c>
      <c r="B287" s="6" t="s">
        <v>465</v>
      </c>
      <c r="C287" s="14" t="s">
        <v>12</v>
      </c>
      <c r="D287" s="15">
        <v>197.5</v>
      </c>
      <c r="E287" s="15">
        <f t="shared" ref="E287:E301" si="13">C287*D287</f>
        <v>0</v>
      </c>
    </row>
    <row r="288">
      <c r="A288" s="20" t="s">
        <v>466</v>
      </c>
      <c r="B288" s="6" t="s">
        <v>467</v>
      </c>
      <c r="C288" s="14" t="s">
        <v>12</v>
      </c>
      <c r="D288" s="15">
        <v>197.5</v>
      </c>
      <c r="E288" s="15">
        <f t="shared" si="13"/>
        <v>0</v>
      </c>
    </row>
    <row r="289">
      <c r="A289" s="20" t="s">
        <v>468</v>
      </c>
      <c r="B289" s="6" t="s">
        <v>469</v>
      </c>
      <c r="C289" s="14" t="s">
        <v>12</v>
      </c>
      <c r="D289" s="15">
        <v>197.5</v>
      </c>
      <c r="E289" s="15">
        <f t="shared" si="13"/>
        <v>0</v>
      </c>
    </row>
    <row r="290">
      <c r="A290" s="20" t="s">
        <v>470</v>
      </c>
      <c r="B290" s="6" t="s">
        <v>471</v>
      </c>
      <c r="C290" s="14" t="s">
        <v>12</v>
      </c>
      <c r="D290" s="15">
        <v>299.15</v>
      </c>
      <c r="E290" s="15">
        <f t="shared" si="13"/>
        <v>0</v>
      </c>
    </row>
    <row r="291">
      <c r="A291" s="20" t="s">
        <v>472</v>
      </c>
      <c r="B291" s="6" t="s">
        <v>436</v>
      </c>
      <c r="C291" s="14" t="s">
        <v>12</v>
      </c>
      <c r="D291" s="15">
        <v>299.15</v>
      </c>
      <c r="E291" s="15">
        <f t="shared" si="13"/>
        <v>0</v>
      </c>
    </row>
    <row r="292">
      <c r="A292" s="20" t="s">
        <v>473</v>
      </c>
      <c r="B292" s="6" t="s">
        <v>474</v>
      </c>
      <c r="C292" s="14" t="s">
        <v>12</v>
      </c>
      <c r="D292" s="15">
        <v>399.15</v>
      </c>
      <c r="E292" s="15">
        <f t="shared" si="13"/>
        <v>0</v>
      </c>
    </row>
    <row r="293">
      <c r="A293" s="20" t="s">
        <v>475</v>
      </c>
      <c r="B293" s="6" t="s">
        <v>476</v>
      </c>
      <c r="C293" s="14" t="s">
        <v>12</v>
      </c>
      <c r="D293" s="15">
        <v>399.15</v>
      </c>
      <c r="E293" s="15">
        <f t="shared" si="13"/>
        <v>0</v>
      </c>
    </row>
    <row r="294">
      <c r="A294" s="20" t="s">
        <v>477</v>
      </c>
      <c r="B294" s="6" t="s">
        <v>458</v>
      </c>
      <c r="C294" s="14" t="s">
        <v>12</v>
      </c>
      <c r="D294" s="15">
        <v>399.15</v>
      </c>
      <c r="E294" s="15">
        <f t="shared" si="13"/>
        <v>0</v>
      </c>
    </row>
    <row r="295">
      <c r="A295" s="20" t="s">
        <v>478</v>
      </c>
      <c r="B295" s="6" t="s">
        <v>460</v>
      </c>
      <c r="C295" s="14" t="s">
        <v>12</v>
      </c>
      <c r="D295" s="15">
        <v>399.15</v>
      </c>
      <c r="E295" s="15">
        <f t="shared" si="13"/>
        <v>0</v>
      </c>
    </row>
    <row r="296">
      <c r="A296" s="20" t="s">
        <v>479</v>
      </c>
      <c r="B296" s="6" t="s">
        <v>480</v>
      </c>
      <c r="C296" s="14" t="s">
        <v>12</v>
      </c>
      <c r="D296" s="15">
        <v>39.7</v>
      </c>
      <c r="E296" s="15">
        <f t="shared" si="13"/>
        <v>0</v>
      </c>
    </row>
    <row r="297">
      <c r="A297" s="20" t="s">
        <v>481</v>
      </c>
      <c r="B297" s="6" t="s">
        <v>482</v>
      </c>
      <c r="C297" s="14" t="s">
        <v>12</v>
      </c>
      <c r="D297" s="15">
        <v>25.7</v>
      </c>
      <c r="E297" s="15">
        <f t="shared" si="13"/>
        <v>0</v>
      </c>
    </row>
    <row r="298">
      <c r="A298" s="20" t="s">
        <v>483</v>
      </c>
      <c r="B298" s="6" t="s">
        <v>484</v>
      </c>
      <c r="C298" s="14" t="s">
        <v>12</v>
      </c>
      <c r="D298" s="15">
        <v>44.7</v>
      </c>
      <c r="E298" s="15">
        <f t="shared" si="13"/>
        <v>0</v>
      </c>
    </row>
    <row r="299">
      <c r="A299" s="20" t="s">
        <v>485</v>
      </c>
      <c r="B299" s="6" t="s">
        <v>486</v>
      </c>
      <c r="C299" s="14" t="s">
        <v>12</v>
      </c>
      <c r="D299" s="15">
        <v>25.7</v>
      </c>
      <c r="E299" s="15">
        <f t="shared" si="13"/>
        <v>0</v>
      </c>
    </row>
    <row r="300">
      <c r="A300" s="20" t="s">
        <v>487</v>
      </c>
      <c r="B300" s="6" t="s">
        <v>488</v>
      </c>
      <c r="C300" s="14" t="s">
        <v>12</v>
      </c>
      <c r="D300" s="15">
        <v>25.7</v>
      </c>
      <c r="E300" s="15">
        <f t="shared" si="13"/>
        <v>0</v>
      </c>
    </row>
    <row r="301">
      <c r="A301" s="20" t="s">
        <v>489</v>
      </c>
      <c r="B301" s="6" t="s">
        <v>490</v>
      </c>
      <c r="C301" s="14" t="s">
        <v>12</v>
      </c>
      <c r="D301" s="15">
        <v>419.15</v>
      </c>
      <c r="E301" s="15">
        <f t="shared" si="13"/>
        <v>0</v>
      </c>
    </row>
    <row r="303">
      <c r="A303" s="63" t="s">
        <v>491</v>
      </c>
      <c r="B303" s="63"/>
      <c r="C303" s="63"/>
      <c r="D303" s="64"/>
      <c r="E303" s="52">
        <f>SUM(E305:E311)</f>
        <v>0</v>
      </c>
    </row>
    <row r="304">
      <c r="A304" s="5" t="s">
        <v>5</v>
      </c>
      <c r="B304" s="6" t="s">
        <v>6</v>
      </c>
      <c r="C304" s="7" t="s">
        <v>7</v>
      </c>
      <c r="D304" s="7" t="s">
        <v>8</v>
      </c>
      <c r="E304" s="7" t="s">
        <v>9</v>
      </c>
    </row>
    <row r="305">
      <c r="A305" s="20" t="s">
        <v>492</v>
      </c>
      <c r="B305" s="6" t="s">
        <v>493</v>
      </c>
      <c r="C305" s="14" t="s">
        <v>12</v>
      </c>
      <c r="D305" s="15">
        <v>15.0</v>
      </c>
      <c r="E305" s="15">
        <f t="shared" ref="E305:E312" si="14">C305*D305</f>
        <v>0</v>
      </c>
    </row>
    <row r="306">
      <c r="A306" s="20" t="s">
        <v>494</v>
      </c>
      <c r="B306" s="9" t="s">
        <v>495</v>
      </c>
      <c r="C306" s="10" t="s">
        <v>12</v>
      </c>
      <c r="D306" s="11">
        <v>15.0</v>
      </c>
      <c r="E306" s="11">
        <f t="shared" si="14"/>
        <v>0</v>
      </c>
    </row>
    <row r="307">
      <c r="A307" s="20" t="s">
        <v>496</v>
      </c>
      <c r="B307" s="9" t="s">
        <v>497</v>
      </c>
      <c r="C307" s="10" t="s">
        <v>12</v>
      </c>
      <c r="D307" s="11">
        <v>0.15</v>
      </c>
      <c r="E307" s="11">
        <f t="shared" si="14"/>
        <v>0</v>
      </c>
    </row>
    <row r="308">
      <c r="A308" s="20" t="s">
        <v>498</v>
      </c>
      <c r="B308" s="65" t="s">
        <v>499</v>
      </c>
      <c r="C308" s="65">
        <v>0.0</v>
      </c>
      <c r="D308" s="66">
        <v>10.0</v>
      </c>
      <c r="E308" s="15">
        <f t="shared" si="14"/>
        <v>0</v>
      </c>
    </row>
    <row r="309">
      <c r="A309" s="20" t="s">
        <v>500</v>
      </c>
      <c r="B309" s="65" t="s">
        <v>389</v>
      </c>
      <c r="C309" s="65">
        <v>0.0</v>
      </c>
      <c r="D309" s="48">
        <v>380.0</v>
      </c>
      <c r="E309" s="15">
        <f t="shared" si="14"/>
        <v>0</v>
      </c>
    </row>
    <row r="310">
      <c r="A310" s="20" t="s">
        <v>501</v>
      </c>
      <c r="B310" s="65" t="s">
        <v>502</v>
      </c>
      <c r="C310" s="65">
        <v>0.0</v>
      </c>
      <c r="D310" s="48">
        <v>39.7</v>
      </c>
      <c r="E310" s="15">
        <f t="shared" si="14"/>
        <v>0</v>
      </c>
    </row>
    <row r="311">
      <c r="A311" s="20" t="s">
        <v>503</v>
      </c>
      <c r="B311" s="65" t="s">
        <v>504</v>
      </c>
      <c r="C311" s="65">
        <v>0.0</v>
      </c>
      <c r="D311" s="48">
        <v>92.0</v>
      </c>
      <c r="E311" s="15">
        <f t="shared" si="14"/>
        <v>0</v>
      </c>
    </row>
    <row r="312">
      <c r="A312" s="20" t="s">
        <v>505</v>
      </c>
      <c r="B312" s="65" t="s">
        <v>506</v>
      </c>
      <c r="C312" s="65">
        <v>0.0</v>
      </c>
      <c r="D312" s="48">
        <v>49.7</v>
      </c>
      <c r="E312" s="15">
        <f t="shared" si="14"/>
        <v>0</v>
      </c>
    </row>
    <row r="313">
      <c r="A313" s="31"/>
      <c r="B313" s="31"/>
      <c r="C313" s="31"/>
      <c r="D313" s="29"/>
      <c r="E313" s="29"/>
    </row>
    <row r="314">
      <c r="A314" s="63" t="s">
        <v>507</v>
      </c>
      <c r="B314" s="39"/>
      <c r="C314" s="67"/>
      <c r="D314" s="67"/>
      <c r="E314" s="52">
        <f>SUM(E316:E330)</f>
        <v>0</v>
      </c>
    </row>
    <row r="315">
      <c r="A315" s="5" t="s">
        <v>5</v>
      </c>
      <c r="B315" s="6" t="s">
        <v>6</v>
      </c>
      <c r="C315" s="7" t="s">
        <v>7</v>
      </c>
      <c r="D315" s="7" t="s">
        <v>8</v>
      </c>
      <c r="E315" s="7" t="s">
        <v>9</v>
      </c>
    </row>
    <row r="316">
      <c r="A316" s="68" t="s">
        <v>508</v>
      </c>
      <c r="B316" s="69" t="s">
        <v>509</v>
      </c>
      <c r="C316" s="70" t="s">
        <v>12</v>
      </c>
      <c r="D316" s="71">
        <v>187.7</v>
      </c>
      <c r="E316" s="71">
        <f t="shared" ref="E316:E330" si="15">C316*D316</f>
        <v>0</v>
      </c>
    </row>
    <row r="317">
      <c r="A317" s="72" t="s">
        <v>510</v>
      </c>
      <c r="B317" s="16" t="s">
        <v>511</v>
      </c>
      <c r="C317" s="17" t="s">
        <v>12</v>
      </c>
      <c r="D317" s="18">
        <v>98.3</v>
      </c>
      <c r="E317" s="73">
        <f t="shared" si="15"/>
        <v>0</v>
      </c>
    </row>
    <row r="318">
      <c r="A318" s="74" t="s">
        <v>512</v>
      </c>
      <c r="B318" s="39" t="s">
        <v>513</v>
      </c>
      <c r="C318" s="40" t="s">
        <v>12</v>
      </c>
      <c r="D318" s="41">
        <v>28.7</v>
      </c>
      <c r="E318" s="75">
        <f t="shared" si="15"/>
        <v>0</v>
      </c>
    </row>
    <row r="319">
      <c r="A319" s="68" t="s">
        <v>514</v>
      </c>
      <c r="B319" s="16" t="s">
        <v>515</v>
      </c>
      <c r="C319" s="17" t="s">
        <v>12</v>
      </c>
      <c r="D319" s="18">
        <v>4.68</v>
      </c>
      <c r="E319" s="73">
        <f t="shared" si="15"/>
        <v>0</v>
      </c>
    </row>
    <row r="320">
      <c r="A320" s="72" t="s">
        <v>516</v>
      </c>
      <c r="B320" s="39" t="s">
        <v>517</v>
      </c>
      <c r="C320" s="40" t="s">
        <v>12</v>
      </c>
      <c r="D320" s="41">
        <v>4.68</v>
      </c>
      <c r="E320" s="11">
        <f t="shared" si="15"/>
        <v>0</v>
      </c>
    </row>
    <row r="321">
      <c r="A321" s="74" t="s">
        <v>518</v>
      </c>
      <c r="B321" s="76" t="s">
        <v>519</v>
      </c>
      <c r="C321" s="77" t="s">
        <v>12</v>
      </c>
      <c r="D321" s="78">
        <v>4.68</v>
      </c>
      <c r="E321" s="75">
        <f t="shared" si="15"/>
        <v>0</v>
      </c>
    </row>
    <row r="322">
      <c r="A322" s="68" t="s">
        <v>520</v>
      </c>
      <c r="B322" s="16" t="s">
        <v>521</v>
      </c>
      <c r="C322" s="17" t="s">
        <v>12</v>
      </c>
      <c r="D322" s="18">
        <v>4.68</v>
      </c>
      <c r="E322" s="73">
        <f t="shared" si="15"/>
        <v>0</v>
      </c>
    </row>
    <row r="323">
      <c r="A323" s="72" t="s">
        <v>522</v>
      </c>
      <c r="B323" s="39" t="s">
        <v>523</v>
      </c>
      <c r="C323" s="40" t="s">
        <v>12</v>
      </c>
      <c r="D323" s="41">
        <v>4.68</v>
      </c>
      <c r="E323" s="75">
        <f t="shared" si="15"/>
        <v>0</v>
      </c>
    </row>
    <row r="324">
      <c r="A324" s="74" t="s">
        <v>524</v>
      </c>
      <c r="B324" s="16" t="s">
        <v>525</v>
      </c>
      <c r="C324" s="17" t="s">
        <v>12</v>
      </c>
      <c r="D324" s="18">
        <v>56.2</v>
      </c>
      <c r="E324" s="73">
        <f t="shared" si="15"/>
        <v>0</v>
      </c>
    </row>
    <row r="325">
      <c r="A325" s="68" t="s">
        <v>526</v>
      </c>
      <c r="B325" s="39" t="s">
        <v>527</v>
      </c>
      <c r="C325" s="40" t="s">
        <v>12</v>
      </c>
      <c r="D325" s="41">
        <v>35.7</v>
      </c>
      <c r="E325" s="11">
        <f t="shared" si="15"/>
        <v>0</v>
      </c>
    </row>
    <row r="326">
      <c r="A326" s="72" t="s">
        <v>528</v>
      </c>
      <c r="B326" s="76" t="s">
        <v>529</v>
      </c>
      <c r="C326" s="77" t="s">
        <v>12</v>
      </c>
      <c r="D326" s="78">
        <v>35.7</v>
      </c>
      <c r="E326" s="75">
        <f t="shared" si="15"/>
        <v>0</v>
      </c>
    </row>
    <row r="327">
      <c r="A327" s="74" t="s">
        <v>530</v>
      </c>
      <c r="B327" s="16" t="s">
        <v>531</v>
      </c>
      <c r="C327" s="17" t="s">
        <v>12</v>
      </c>
      <c r="D327" s="18">
        <v>35.7</v>
      </c>
      <c r="E327" s="73">
        <f t="shared" si="15"/>
        <v>0</v>
      </c>
    </row>
    <row r="328">
      <c r="A328" s="68" t="s">
        <v>532</v>
      </c>
      <c r="B328" s="79" t="s">
        <v>533</v>
      </c>
      <c r="C328" s="80" t="s">
        <v>12</v>
      </c>
      <c r="D328" s="81">
        <v>123.4</v>
      </c>
      <c r="E328" s="11">
        <f t="shared" si="15"/>
        <v>0</v>
      </c>
    </row>
    <row r="329">
      <c r="A329" s="72" t="s">
        <v>534</v>
      </c>
      <c r="B329" s="82" t="s">
        <v>535</v>
      </c>
      <c r="C329" s="83" t="s">
        <v>12</v>
      </c>
      <c r="D329" s="84">
        <v>5.7</v>
      </c>
      <c r="E329" s="85">
        <f t="shared" si="15"/>
        <v>0</v>
      </c>
    </row>
    <row r="330">
      <c r="A330" s="8" t="s">
        <v>536</v>
      </c>
      <c r="B330" s="86" t="s">
        <v>537</v>
      </c>
      <c r="C330" s="87" t="s">
        <v>12</v>
      </c>
      <c r="D330" s="88">
        <v>28.9</v>
      </c>
      <c r="E330" s="89">
        <f t="shared" si="15"/>
        <v>0</v>
      </c>
    </row>
    <row r="331">
      <c r="A331" s="90"/>
      <c r="B331" s="90"/>
      <c r="C331" s="90"/>
      <c r="D331" s="91"/>
      <c r="E331" s="91"/>
    </row>
    <row r="332">
      <c r="A332" s="63" t="s">
        <v>538</v>
      </c>
      <c r="B332" s="39"/>
      <c r="C332" s="67"/>
      <c r="D332" s="67"/>
      <c r="E332" s="52">
        <f>SUM(E334:E343)</f>
        <v>0</v>
      </c>
    </row>
    <row r="333">
      <c r="A333" s="5" t="s">
        <v>5</v>
      </c>
      <c r="B333" s="6" t="s">
        <v>6</v>
      </c>
      <c r="C333" s="7" t="s">
        <v>7</v>
      </c>
      <c r="D333" s="7" t="s">
        <v>8</v>
      </c>
      <c r="E333" s="7" t="s">
        <v>9</v>
      </c>
      <c r="I333" s="1"/>
    </row>
    <row r="334">
      <c r="A334" s="68" t="s">
        <v>539</v>
      </c>
      <c r="B334" s="69" t="s">
        <v>540</v>
      </c>
      <c r="C334" s="70" t="s">
        <v>12</v>
      </c>
      <c r="D334" s="71">
        <v>0.15</v>
      </c>
      <c r="E334" s="71">
        <f t="shared" ref="E334:E342" si="16">C334*D334</f>
        <v>0</v>
      </c>
      <c r="I334" s="1"/>
    </row>
    <row r="335">
      <c r="A335" s="72" t="s">
        <v>541</v>
      </c>
      <c r="B335" s="16" t="s">
        <v>542</v>
      </c>
      <c r="C335" s="17" t="s">
        <v>12</v>
      </c>
      <c r="D335" s="18">
        <v>3.97</v>
      </c>
      <c r="E335" s="73">
        <f t="shared" si="16"/>
        <v>0</v>
      </c>
      <c r="I335" s="1"/>
    </row>
    <row r="336">
      <c r="A336" s="72" t="s">
        <v>543</v>
      </c>
      <c r="B336" s="6" t="s">
        <v>544</v>
      </c>
      <c r="C336" s="14" t="s">
        <v>12</v>
      </c>
      <c r="D336" s="15">
        <v>5.35</v>
      </c>
      <c r="E336" s="11">
        <f t="shared" si="16"/>
        <v>0</v>
      </c>
      <c r="I336" s="1"/>
    </row>
    <row r="337">
      <c r="A337" s="68" t="s">
        <v>545</v>
      </c>
      <c r="B337" s="39" t="s">
        <v>546</v>
      </c>
      <c r="C337" s="40" t="s">
        <v>12</v>
      </c>
      <c r="D337" s="41">
        <v>3.97</v>
      </c>
      <c r="E337" s="75">
        <f t="shared" si="16"/>
        <v>0</v>
      </c>
      <c r="I337" s="1"/>
    </row>
    <row r="338">
      <c r="A338" s="72" t="s">
        <v>547</v>
      </c>
      <c r="B338" s="16" t="s">
        <v>548</v>
      </c>
      <c r="C338" s="17" t="s">
        <v>12</v>
      </c>
      <c r="D338" s="18">
        <v>1.98</v>
      </c>
      <c r="E338" s="73">
        <f t="shared" si="16"/>
        <v>0</v>
      </c>
      <c r="I338" s="1"/>
    </row>
    <row r="339">
      <c r="A339" s="72" t="s">
        <v>549</v>
      </c>
      <c r="B339" s="6" t="s">
        <v>550</v>
      </c>
      <c r="C339" s="14" t="s">
        <v>12</v>
      </c>
      <c r="D339" s="15">
        <v>4.5</v>
      </c>
      <c r="E339" s="11">
        <f t="shared" si="16"/>
        <v>0</v>
      </c>
      <c r="I339" s="1"/>
    </row>
    <row r="340">
      <c r="A340" s="72" t="s">
        <v>551</v>
      </c>
      <c r="B340" s="65" t="s">
        <v>552</v>
      </c>
      <c r="C340" s="92" t="s">
        <v>12</v>
      </c>
      <c r="D340" s="93">
        <v>5.97</v>
      </c>
      <c r="E340" s="23">
        <f t="shared" si="16"/>
        <v>0</v>
      </c>
      <c r="I340" s="1"/>
    </row>
    <row r="341">
      <c r="A341" s="72" t="s">
        <v>553</v>
      </c>
      <c r="B341" s="65" t="s">
        <v>554</v>
      </c>
      <c r="C341" s="65">
        <v>0.0</v>
      </c>
      <c r="D341" s="65">
        <v>1.97</v>
      </c>
      <c r="E341" s="23">
        <f t="shared" si="16"/>
        <v>0</v>
      </c>
      <c r="I341" s="1"/>
    </row>
    <row r="342">
      <c r="A342" s="72" t="s">
        <v>555</v>
      </c>
      <c r="B342" s="65" t="s">
        <v>556</v>
      </c>
      <c r="C342" s="65">
        <v>0.0</v>
      </c>
      <c r="D342" s="65">
        <v>39.7</v>
      </c>
      <c r="E342" s="23">
        <f t="shared" si="16"/>
        <v>0</v>
      </c>
      <c r="I342" s="1"/>
    </row>
    <row r="343">
      <c r="A343" s="72"/>
      <c r="B343" s="65"/>
      <c r="C343" s="65"/>
      <c r="D343" s="65"/>
      <c r="E343" s="23"/>
      <c r="I343" s="1"/>
    </row>
    <row r="344">
      <c r="A344" s="94" t="s">
        <v>557</v>
      </c>
      <c r="B344" s="95"/>
      <c r="C344" s="95"/>
      <c r="D344" s="96"/>
      <c r="E344" s="97">
        <f>E5+E27+E56+E84+E105+E125+E150+E173+E194+E198+E203+E208+E265+E285+E303+E314+E332</f>
        <v>0</v>
      </c>
      <c r="I344" s="1"/>
    </row>
    <row r="345">
      <c r="A345" s="94" t="s">
        <v>558</v>
      </c>
      <c r="B345" s="95"/>
      <c r="C345" s="98"/>
      <c r="D345" s="99">
        <v>0.0</v>
      </c>
      <c r="E345" s="97">
        <f>E344*D345</f>
        <v>0</v>
      </c>
      <c r="I345" s="1"/>
    </row>
    <row r="346">
      <c r="A346" s="94" t="s">
        <v>559</v>
      </c>
      <c r="B346" s="95"/>
      <c r="C346" s="98"/>
      <c r="D346" s="100"/>
      <c r="E346" s="97">
        <f>E344-E345</f>
        <v>0</v>
      </c>
    </row>
    <row r="347">
      <c r="A347" s="94" t="s">
        <v>560</v>
      </c>
      <c r="B347" s="95"/>
      <c r="C347" s="98"/>
      <c r="D347" s="99">
        <v>0.1633</v>
      </c>
      <c r="E347" s="97">
        <f>D347*E348</f>
        <v>0</v>
      </c>
    </row>
    <row r="348">
      <c r="A348" s="101" t="s">
        <v>9</v>
      </c>
      <c r="B348" s="95"/>
      <c r="C348" s="98"/>
      <c r="D348" s="100"/>
      <c r="E348" s="102">
        <f>(E346/83.67)*100</f>
        <v>0</v>
      </c>
      <c r="G348" s="1"/>
    </row>
    <row r="350">
      <c r="A350" s="1"/>
    </row>
    <row r="351">
      <c r="A351" s="90" t="s">
        <v>561</v>
      </c>
      <c r="H351" s="1"/>
      <c r="I351" s="1"/>
    </row>
    <row r="352">
      <c r="A352" s="91"/>
      <c r="H352" s="1"/>
      <c r="I352" s="1"/>
    </row>
    <row r="353">
      <c r="A353" s="103" t="s">
        <v>562</v>
      </c>
    </row>
    <row r="354">
      <c r="A354" s="103" t="s">
        <v>563</v>
      </c>
    </row>
    <row r="355">
      <c r="A355" s="90"/>
    </row>
  </sheetData>
  <mergeCells count="9">
    <mergeCell ref="A2:E2"/>
    <mergeCell ref="A3:E3"/>
    <mergeCell ref="A345:C345"/>
    <mergeCell ref="A346:C346"/>
    <mergeCell ref="A347:C347"/>
    <mergeCell ref="A348:C348"/>
    <mergeCell ref="A353:E353"/>
    <mergeCell ref="A354:E354"/>
    <mergeCell ref="A344:C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1.57"/>
  </cols>
  <sheetData>
    <row r="1">
      <c r="A1" s="1" t="s">
        <v>0</v>
      </c>
      <c r="B1" s="1" t="s">
        <v>1</v>
      </c>
    </row>
  </sheetData>
  <drawing r:id="rId1"/>
</worksheet>
</file>