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195" windowWidth="14355" windowHeight="7875"/>
  </bookViews>
  <sheets>
    <sheet name="Valor por eixos (2 ciclos)" sheetId="8" r:id="rId1"/>
    <sheet name="Valor por eixos (3 ciclos)" sheetId="7" r:id="rId2"/>
    <sheet name="Valor por eixos (4 ciclos)" sheetId="4" r:id="rId3"/>
    <sheet name="Valor por eixos (5 ciclos)" sheetId="9" r:id="rId4"/>
  </sheets>
  <calcPr calcId="125725"/>
</workbook>
</file>

<file path=xl/calcChain.xml><?xml version="1.0" encoding="utf-8"?>
<calcChain xmlns="http://schemas.openxmlformats.org/spreadsheetml/2006/main">
  <c r="E20" i="9"/>
  <c r="H20" s="1"/>
  <c r="L12"/>
  <c r="E10"/>
  <c r="H10" s="1"/>
  <c r="E21"/>
  <c r="G21" s="1"/>
  <c r="E19"/>
  <c r="H19" s="1"/>
  <c r="E18"/>
  <c r="I18" s="1"/>
  <c r="E17"/>
  <c r="H17" s="1"/>
  <c r="F12"/>
  <c r="E11"/>
  <c r="H11" s="1"/>
  <c r="E9"/>
  <c r="H9" s="1"/>
  <c r="E8"/>
  <c r="H8" s="1"/>
  <c r="E7"/>
  <c r="H7" s="1"/>
  <c r="E17" i="8"/>
  <c r="G17" s="1"/>
  <c r="E16"/>
  <c r="H16" s="1"/>
  <c r="L11"/>
  <c r="F11"/>
  <c r="E10"/>
  <c r="H10" s="1"/>
  <c r="E9"/>
  <c r="H9" s="1"/>
  <c r="E8"/>
  <c r="H8" s="1"/>
  <c r="E7"/>
  <c r="E19" i="7"/>
  <c r="G19" s="1"/>
  <c r="E18"/>
  <c r="H18" s="1"/>
  <c r="E17"/>
  <c r="I17" s="1"/>
  <c r="E16"/>
  <c r="I16" s="1"/>
  <c r="L11"/>
  <c r="F11"/>
  <c r="E10"/>
  <c r="H10" s="1"/>
  <c r="E9"/>
  <c r="H9" s="1"/>
  <c r="E8"/>
  <c r="E7"/>
  <c r="H7" s="1"/>
  <c r="I17" i="9" l="1"/>
  <c r="I20"/>
  <c r="G17"/>
  <c r="J17"/>
  <c r="G20"/>
  <c r="J20" s="1"/>
  <c r="L13"/>
  <c r="L14" s="1"/>
  <c r="H12" s="1"/>
  <c r="H21"/>
  <c r="G19"/>
  <c r="I19"/>
  <c r="G16" i="7"/>
  <c r="H16"/>
  <c r="I18"/>
  <c r="H19"/>
  <c r="I19"/>
  <c r="L12"/>
  <c r="L13" s="1"/>
  <c r="H11" s="1"/>
  <c r="L12" i="8"/>
  <c r="L13" s="1"/>
  <c r="H11" s="1"/>
  <c r="H17"/>
  <c r="I17"/>
  <c r="I16"/>
  <c r="G18" i="9"/>
  <c r="I21"/>
  <c r="H18"/>
  <c r="H7" i="8"/>
  <c r="G16"/>
  <c r="H8" i="7"/>
  <c r="G17"/>
  <c r="H17"/>
  <c r="G18"/>
  <c r="E17" i="4"/>
  <c r="E18"/>
  <c r="E19"/>
  <c r="E16"/>
  <c r="L11"/>
  <c r="F11"/>
  <c r="J21" i="9" l="1"/>
  <c r="J19"/>
  <c r="J18"/>
  <c r="J22" s="1"/>
  <c r="J18" i="7"/>
  <c r="J16"/>
  <c r="J17"/>
  <c r="J19"/>
  <c r="J17" i="8"/>
  <c r="J16"/>
  <c r="I17" i="4"/>
  <c r="H17"/>
  <c r="G17"/>
  <c r="I16"/>
  <c r="H16"/>
  <c r="G16"/>
  <c r="E8"/>
  <c r="H8" s="1"/>
  <c r="E7"/>
  <c r="E9"/>
  <c r="H9" s="1"/>
  <c r="J18" i="8" l="1"/>
  <c r="J20" i="7"/>
  <c r="H7" i="4"/>
  <c r="J17"/>
  <c r="J16"/>
  <c r="G18" l="1"/>
  <c r="H18"/>
  <c r="I18"/>
  <c r="I19"/>
  <c r="H19"/>
  <c r="G19"/>
  <c r="E10"/>
  <c r="H10" l="1"/>
  <c r="L12"/>
  <c r="L13" s="1"/>
  <c r="H11" s="1"/>
  <c r="J19"/>
  <c r="J18"/>
  <c r="J20" s="1"/>
</calcChain>
</file>

<file path=xl/sharedStrings.xml><?xml version="1.0" encoding="utf-8"?>
<sst xmlns="http://schemas.openxmlformats.org/spreadsheetml/2006/main" count="104" uniqueCount="23">
  <si>
    <t>Are ou AEQ m/s²</t>
  </si>
  <si>
    <t>AWX</t>
  </si>
  <si>
    <t>AWY</t>
  </si>
  <si>
    <t>AWZ</t>
  </si>
  <si>
    <t>AV</t>
  </si>
  <si>
    <t>Tempo de exposição
Min</t>
  </si>
  <si>
    <t>aren m/s²</t>
  </si>
  <si>
    <t>VDVR</t>
  </si>
  <si>
    <t>VDVX</t>
  </si>
  <si>
    <t>VDVY</t>
  </si>
  <si>
    <t>VDVZ</t>
  </si>
  <si>
    <t>Tempo 
de exposição</t>
  </si>
  <si>
    <t>Tempo 
de medição</t>
  </si>
  <si>
    <t>VDVR m/s 1,75</t>
  </si>
  <si>
    <t>VDVX P</t>
  </si>
  <si>
    <t>VDVYP</t>
  </si>
  <si>
    <t>VDVZP</t>
  </si>
  <si>
    <t>OBTIDO</t>
  </si>
  <si>
    <t>PROJETADO</t>
  </si>
  <si>
    <t xml:space="preserve">                     VDVR</t>
  </si>
  <si>
    <t>aren</t>
  </si>
  <si>
    <t>VDVR total</t>
  </si>
  <si>
    <t xml:space="preserve">
</t>
  </si>
</sst>
</file>

<file path=xl/styles.xml><?xml version="1.0" encoding="utf-8"?>
<styleSheet xmlns="http://schemas.openxmlformats.org/spreadsheetml/2006/main">
  <numFmts count="1">
    <numFmt numFmtId="164" formatCode="0.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6"/>
      <color theme="1"/>
      <name val="Arial"/>
      <family val="2"/>
    </font>
    <font>
      <sz val="22"/>
      <color theme="1"/>
      <name val="Calibri"/>
      <family val="2"/>
      <scheme val="minor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81B2E1"/>
      <name val="Calibri"/>
      <family val="2"/>
      <scheme val="minor"/>
    </font>
    <font>
      <sz val="11"/>
      <color rgb="FF464C59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64C59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0" fontId="2" fillId="0" borderId="7" xfId="0" applyFont="1" applyBorder="1" applyAlignment="1"/>
    <xf numFmtId="0" fontId="2" fillId="0" borderId="8" xfId="0" applyFont="1" applyBorder="1" applyAlignment="1"/>
    <xf numFmtId="0" fontId="2" fillId="0" borderId="2" xfId="0" applyFont="1" applyBorder="1" applyAlignment="1"/>
    <xf numFmtId="0" fontId="0" fillId="0" borderId="9" xfId="0" applyBorder="1" applyAlignment="1" applyProtection="1">
      <alignment horizontal="center" vertical="center"/>
      <protection locked="0"/>
    </xf>
    <xf numFmtId="2" fontId="1" fillId="3" borderId="9" xfId="0" applyNumberFormat="1" applyFont="1" applyFill="1" applyBorder="1" applyAlignment="1" applyProtection="1">
      <alignment horizontal="center" vertical="center"/>
    </xf>
    <xf numFmtId="164" fontId="0" fillId="0" borderId="9" xfId="0" applyNumberFormat="1" applyBorder="1" applyAlignment="1" applyProtection="1">
      <alignment horizontal="center" vertical="center"/>
      <protection locked="0"/>
    </xf>
    <xf numFmtId="164" fontId="0" fillId="5" borderId="9" xfId="0" applyNumberFormat="1" applyFill="1" applyBorder="1" applyAlignment="1" applyProtection="1">
      <alignment horizontal="center" vertical="center"/>
      <protection locked="0"/>
    </xf>
    <xf numFmtId="0" fontId="1" fillId="5" borderId="10" xfId="0" applyFont="1" applyFill="1" applyBorder="1" applyAlignment="1">
      <alignment vertical="center"/>
    </xf>
    <xf numFmtId="0" fontId="1" fillId="5" borderId="11" xfId="0" applyFont="1" applyFill="1" applyBorder="1" applyAlignment="1">
      <alignment vertical="center"/>
    </xf>
    <xf numFmtId="2" fontId="1" fillId="3" borderId="9" xfId="0" applyNumberFormat="1" applyFont="1" applyFill="1" applyBorder="1" applyAlignment="1">
      <alignment horizontal="center" vertical="center"/>
    </xf>
    <xf numFmtId="2" fontId="1" fillId="3" borderId="12" xfId="0" applyNumberFormat="1" applyFont="1" applyFill="1" applyBorder="1" applyAlignment="1">
      <alignment horizontal="center" vertical="center"/>
    </xf>
    <xf numFmtId="2" fontId="0" fillId="0" borderId="9" xfId="0" applyNumberFormat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2" fontId="1" fillId="3" borderId="9" xfId="0" applyNumberFormat="1" applyFont="1" applyFill="1" applyBorder="1" applyAlignment="1" applyProtection="1">
      <alignment horizontal="center" vertical="center"/>
    </xf>
    <xf numFmtId="0" fontId="7" fillId="5" borderId="11" xfId="0" applyFont="1" applyFill="1" applyBorder="1" applyAlignment="1">
      <alignment vertical="center"/>
    </xf>
    <xf numFmtId="1" fontId="0" fillId="5" borderId="9" xfId="0" applyNumberFormat="1" applyFill="1" applyBorder="1" applyAlignment="1" applyProtection="1">
      <alignment horizontal="center" vertical="center"/>
      <protection locked="0"/>
    </xf>
    <xf numFmtId="0" fontId="1" fillId="4" borderId="9" xfId="0" applyFont="1" applyFill="1" applyBorder="1" applyAlignment="1">
      <alignment horizontal="right" vertical="center"/>
    </xf>
    <xf numFmtId="0" fontId="4" fillId="6" borderId="0" xfId="0" applyFont="1" applyFill="1" applyAlignment="1">
      <alignment wrapText="1"/>
    </xf>
    <xf numFmtId="0" fontId="2" fillId="6" borderId="0" xfId="0" applyFont="1" applyFill="1" applyAlignment="1"/>
    <xf numFmtId="0" fontId="5" fillId="6" borderId="3" xfId="0" applyFont="1" applyFill="1" applyBorder="1" applyAlignment="1">
      <alignment vertical="center" wrapText="1"/>
    </xf>
    <xf numFmtId="0" fontId="0" fillId="6" borderId="3" xfId="0" applyFill="1" applyBorder="1" applyAlignment="1">
      <alignment horizontal="center" vertical="center"/>
    </xf>
    <xf numFmtId="0" fontId="0" fillId="6" borderId="0" xfId="0" applyFill="1" applyBorder="1" applyAlignment="1">
      <alignment vertical="center"/>
    </xf>
    <xf numFmtId="0" fontId="0" fillId="6" borderId="0" xfId="0" applyFill="1" applyAlignment="1">
      <alignment vertical="center"/>
    </xf>
    <xf numFmtId="0" fontId="3" fillId="6" borderId="0" xfId="0" applyFont="1" applyFill="1" applyBorder="1" applyAlignment="1"/>
    <xf numFmtId="0" fontId="0" fillId="6" borderId="0" xfId="0" applyFill="1" applyBorder="1" applyAlignment="1">
      <alignment horizontal="justify" vertical="center" wrapText="1"/>
    </xf>
    <xf numFmtId="0" fontId="0" fillId="6" borderId="0" xfId="0" applyFill="1"/>
    <xf numFmtId="0" fontId="8" fillId="6" borderId="0" xfId="0" applyFont="1" applyFill="1" applyAlignment="1">
      <alignment vertical="center"/>
    </xf>
    <xf numFmtId="0" fontId="8" fillId="6" borderId="0" xfId="0" applyFont="1" applyFill="1" applyBorder="1" applyAlignment="1">
      <alignment vertical="center"/>
    </xf>
    <xf numFmtId="0" fontId="8" fillId="6" borderId="0" xfId="0" applyFont="1" applyFill="1" applyAlignment="1"/>
    <xf numFmtId="0" fontId="9" fillId="6" borderId="0" xfId="0" applyFont="1" applyFill="1" applyBorder="1" applyAlignment="1">
      <alignment vertical="center"/>
    </xf>
    <xf numFmtId="2" fontId="0" fillId="6" borderId="0" xfId="0" applyNumberFormat="1" applyFill="1" applyBorder="1" applyAlignment="1">
      <alignment vertical="center"/>
    </xf>
    <xf numFmtId="0" fontId="0" fillId="6" borderId="0" xfId="0" applyFill="1" applyBorder="1" applyAlignment="1">
      <alignment horizontal="justify" vertical="center"/>
    </xf>
    <xf numFmtId="0" fontId="0" fillId="6" borderId="0" xfId="0" applyFill="1" applyAlignment="1">
      <alignment horizontal="justify"/>
    </xf>
    <xf numFmtId="0" fontId="0" fillId="6" borderId="0" xfId="0" applyFill="1" applyAlignment="1"/>
    <xf numFmtId="2" fontId="10" fillId="6" borderId="0" xfId="0" applyNumberFormat="1" applyFont="1" applyFill="1" applyAlignment="1">
      <alignment vertical="center"/>
    </xf>
    <xf numFmtId="0" fontId="10" fillId="6" borderId="0" xfId="0" applyFont="1" applyFill="1" applyAlignment="1">
      <alignment vertical="center"/>
    </xf>
    <xf numFmtId="2" fontId="10" fillId="6" borderId="0" xfId="0" applyNumberFormat="1" applyFont="1" applyFill="1" applyAlignment="1"/>
    <xf numFmtId="0" fontId="10" fillId="6" borderId="0" xfId="0" applyFont="1" applyFill="1" applyAlignment="1"/>
    <xf numFmtId="2" fontId="10" fillId="6" borderId="0" xfId="0" applyNumberFormat="1" applyFont="1" applyFill="1" applyBorder="1" applyAlignment="1">
      <alignment vertical="center"/>
    </xf>
    <xf numFmtId="0" fontId="10" fillId="6" borderId="0" xfId="0" applyFont="1" applyFill="1" applyBorder="1" applyAlignment="1">
      <alignment vertical="center"/>
    </xf>
    <xf numFmtId="1" fontId="0" fillId="0" borderId="9" xfId="0" applyNumberFormat="1" applyBorder="1" applyAlignment="1" applyProtection="1">
      <alignment horizontal="center" vertical="center"/>
      <protection locked="0"/>
    </xf>
    <xf numFmtId="0" fontId="11" fillId="6" borderId="0" xfId="0" applyFont="1" applyFill="1" applyAlignment="1">
      <alignment vertical="center"/>
    </xf>
    <xf numFmtId="0" fontId="11" fillId="6" borderId="0" xfId="0" applyFont="1" applyFill="1" applyAlignment="1"/>
    <xf numFmtId="0" fontId="11" fillId="6" borderId="0" xfId="0" applyFont="1" applyFill="1" applyBorder="1" applyAlignment="1">
      <alignment vertical="center"/>
    </xf>
    <xf numFmtId="0" fontId="12" fillId="5" borderId="11" xfId="0" applyFont="1" applyFill="1" applyBorder="1" applyAlignment="1">
      <alignment vertical="center"/>
    </xf>
    <xf numFmtId="0" fontId="4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5" borderId="9" xfId="0" applyFill="1" applyBorder="1" applyAlignment="1" applyProtection="1">
      <alignment horizontal="center" vertical="center"/>
      <protection locked="0"/>
    </xf>
    <xf numFmtId="2" fontId="1" fillId="3" borderId="9" xfId="0" applyNumberFormat="1" applyFont="1" applyFill="1" applyBorder="1" applyAlignment="1" applyProtection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2" fontId="1" fillId="4" borderId="4" xfId="0" applyNumberFormat="1" applyFont="1" applyFill="1" applyBorder="1" applyAlignment="1" applyProtection="1">
      <alignment horizontal="center" vertical="center"/>
    </xf>
    <xf numFmtId="2" fontId="1" fillId="4" borderId="5" xfId="0" applyNumberFormat="1" applyFont="1" applyFill="1" applyBorder="1" applyAlignment="1" applyProtection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64C59"/>
      <color rgb="FF81B2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190501</xdr:colOff>
      <xdr:row>0</xdr:row>
      <xdr:rowOff>0</xdr:rowOff>
    </xdr:from>
    <xdr:to>
      <xdr:col>4</xdr:col>
      <xdr:colOff>655321</xdr:colOff>
      <xdr:row>1</xdr:row>
      <xdr:rowOff>614132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90501" y="0"/>
          <a:ext cx="2545080" cy="7970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190501</xdr:colOff>
      <xdr:row>0</xdr:row>
      <xdr:rowOff>0</xdr:rowOff>
    </xdr:from>
    <xdr:to>
      <xdr:col>4</xdr:col>
      <xdr:colOff>655321</xdr:colOff>
      <xdr:row>1</xdr:row>
      <xdr:rowOff>614132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90501" y="0"/>
          <a:ext cx="2545080" cy="7970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190501</xdr:colOff>
      <xdr:row>0</xdr:row>
      <xdr:rowOff>0</xdr:rowOff>
    </xdr:from>
    <xdr:to>
      <xdr:col>4</xdr:col>
      <xdr:colOff>655321</xdr:colOff>
      <xdr:row>1</xdr:row>
      <xdr:rowOff>614132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90501" y="0"/>
          <a:ext cx="2545080" cy="7970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190501</xdr:colOff>
      <xdr:row>0</xdr:row>
      <xdr:rowOff>0</xdr:rowOff>
    </xdr:from>
    <xdr:to>
      <xdr:col>4</xdr:col>
      <xdr:colOff>655321</xdr:colOff>
      <xdr:row>1</xdr:row>
      <xdr:rowOff>614132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90501" y="0"/>
          <a:ext cx="2545080" cy="7970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M515"/>
  <sheetViews>
    <sheetView tabSelected="1" workbookViewId="0">
      <selection activeCell="B7" sqref="B7"/>
    </sheetView>
  </sheetViews>
  <sheetFormatPr defaultRowHeight="15"/>
  <cols>
    <col min="1" max="1" width="3.7109375" style="33" customWidth="1"/>
    <col min="5" max="5" width="12.7109375" customWidth="1"/>
    <col min="6" max="6" width="12.28515625" customWidth="1"/>
    <col min="7" max="7" width="13" customWidth="1"/>
    <col min="11" max="65" width="8.85546875" style="33"/>
  </cols>
  <sheetData>
    <row r="1" spans="1:65" ht="14.45" customHeight="1">
      <c r="A1" s="25" t="s">
        <v>22</v>
      </c>
      <c r="B1" s="53"/>
      <c r="C1" s="54"/>
      <c r="D1" s="54"/>
      <c r="E1" s="54"/>
      <c r="F1" s="54"/>
      <c r="G1" s="54"/>
      <c r="H1" s="54"/>
      <c r="I1" s="54"/>
      <c r="J1" s="55"/>
      <c r="K1" s="26"/>
      <c r="L1" s="26"/>
      <c r="M1" s="26"/>
      <c r="N1" s="26"/>
      <c r="O1" s="26"/>
      <c r="P1" s="26"/>
      <c r="Q1" s="26"/>
      <c r="R1" s="26"/>
    </row>
    <row r="2" spans="1:65" ht="54.6" customHeight="1">
      <c r="A2" s="26"/>
      <c r="B2" s="56"/>
      <c r="C2" s="57"/>
      <c r="D2" s="57"/>
      <c r="E2" s="57"/>
      <c r="F2" s="57"/>
      <c r="G2" s="57"/>
      <c r="H2" s="57"/>
      <c r="I2" s="57"/>
      <c r="J2" s="58"/>
      <c r="K2" s="26"/>
      <c r="L2" s="26"/>
      <c r="M2" s="26"/>
      <c r="N2" s="26"/>
      <c r="O2" s="26"/>
      <c r="P2" s="26"/>
      <c r="Q2" s="26"/>
      <c r="R2" s="26"/>
    </row>
    <row r="3" spans="1:65" ht="14.45" hidden="1" customHeight="1">
      <c r="A3" s="26"/>
      <c r="B3" s="6"/>
      <c r="C3" s="7"/>
      <c r="D3" s="7"/>
      <c r="E3" s="7"/>
      <c r="F3" s="7"/>
      <c r="G3" s="7"/>
      <c r="H3" s="7"/>
      <c r="I3" s="7"/>
      <c r="J3" s="8"/>
      <c r="K3" s="26"/>
      <c r="L3" s="26"/>
      <c r="M3" s="26"/>
      <c r="N3" s="26"/>
      <c r="O3" s="26"/>
      <c r="P3" s="26"/>
      <c r="Q3" s="26"/>
      <c r="R3" s="26"/>
    </row>
    <row r="4" spans="1:65" ht="20.100000000000001" customHeight="1">
      <c r="A4" s="27"/>
      <c r="B4" s="59" t="s">
        <v>20</v>
      </c>
      <c r="C4" s="60"/>
      <c r="D4" s="60"/>
      <c r="E4" s="60"/>
      <c r="F4" s="60"/>
      <c r="G4" s="60"/>
      <c r="H4" s="60"/>
      <c r="I4" s="60"/>
      <c r="J4" s="61"/>
      <c r="K4" s="26"/>
      <c r="L4" s="26"/>
      <c r="M4" s="26"/>
      <c r="N4" s="26"/>
      <c r="O4" s="26"/>
      <c r="P4" s="26"/>
      <c r="Q4" s="26"/>
      <c r="R4" s="26"/>
    </row>
    <row r="5" spans="1:65" s="1" customFormat="1">
      <c r="A5" s="28"/>
      <c r="B5" s="62" t="s">
        <v>0</v>
      </c>
      <c r="C5" s="63"/>
      <c r="D5" s="63"/>
      <c r="E5" s="63"/>
      <c r="F5" s="63" t="s">
        <v>20</v>
      </c>
      <c r="G5" s="63"/>
      <c r="H5" s="63"/>
      <c r="I5" s="63"/>
      <c r="J5" s="64"/>
      <c r="K5" s="34"/>
      <c r="L5" s="34"/>
      <c r="M5" s="34"/>
      <c r="N5" s="34"/>
      <c r="O5" s="34"/>
      <c r="P5" s="34"/>
      <c r="Q5" s="34"/>
      <c r="R5" s="34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</row>
    <row r="6" spans="1:65" s="1" customFormat="1" ht="43.5" customHeight="1" thickBot="1">
      <c r="A6" s="29"/>
      <c r="B6" s="18" t="s">
        <v>1</v>
      </c>
      <c r="C6" s="19" t="s">
        <v>2</v>
      </c>
      <c r="D6" s="19" t="s">
        <v>3</v>
      </c>
      <c r="E6" s="19" t="s">
        <v>4</v>
      </c>
      <c r="F6" s="65" t="s">
        <v>5</v>
      </c>
      <c r="G6" s="65"/>
      <c r="H6" s="65" t="s">
        <v>6</v>
      </c>
      <c r="I6" s="65"/>
      <c r="J6" s="66"/>
      <c r="K6" s="35"/>
      <c r="L6" s="34"/>
      <c r="M6" s="34"/>
      <c r="N6" s="34"/>
      <c r="O6" s="34"/>
      <c r="P6" s="34"/>
      <c r="Q6" s="34"/>
      <c r="R6" s="34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</row>
    <row r="7" spans="1:65" s="1" customFormat="1" ht="19.899999999999999" customHeight="1" thickTop="1" thickBot="1">
      <c r="A7" s="30"/>
      <c r="B7" s="17">
        <v>0.42</v>
      </c>
      <c r="C7" s="17">
        <v>0.45</v>
      </c>
      <c r="D7" s="17">
        <v>0.39</v>
      </c>
      <c r="E7" s="21">
        <f>SQRT(B7^2+C7^2+D7^2)</f>
        <v>0.72869746808946723</v>
      </c>
      <c r="F7" s="67">
        <v>480</v>
      </c>
      <c r="G7" s="67"/>
      <c r="H7" s="68">
        <f>E7*SQRT(F7/480)</f>
        <v>0.72869746808946723</v>
      </c>
      <c r="I7" s="68"/>
      <c r="J7" s="68"/>
      <c r="K7" s="34"/>
      <c r="L7" s="34"/>
      <c r="M7" s="34"/>
      <c r="N7" s="34"/>
      <c r="O7" s="34"/>
      <c r="P7" s="34"/>
      <c r="Q7" s="34"/>
      <c r="R7" s="34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</row>
    <row r="8" spans="1:65" s="1" customFormat="1" ht="19.899999999999999" customHeight="1" thickTop="1" thickBot="1">
      <c r="A8" s="30"/>
      <c r="B8" s="17">
        <v>0.59</v>
      </c>
      <c r="C8" s="17">
        <v>0.64</v>
      </c>
      <c r="D8" s="17">
        <v>0.39</v>
      </c>
      <c r="E8" s="21">
        <f>SQRT(B8^2+C8^2+D8^2)</f>
        <v>0.95383436717283365</v>
      </c>
      <c r="F8" s="67">
        <v>480</v>
      </c>
      <c r="G8" s="67"/>
      <c r="H8" s="68">
        <f>E8*SQRT(F8/480)</f>
        <v>0.95383436717283365</v>
      </c>
      <c r="I8" s="68"/>
      <c r="J8" s="68"/>
      <c r="K8" s="34"/>
      <c r="L8" s="34"/>
      <c r="M8" s="34"/>
      <c r="N8" s="34"/>
      <c r="O8" s="34"/>
      <c r="P8" s="34"/>
      <c r="Q8" s="34"/>
      <c r="R8" s="34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</row>
    <row r="9" spans="1:65" s="1" customFormat="1" ht="18" hidden="1" customHeight="1" thickTop="1" thickBot="1">
      <c r="A9" s="30"/>
      <c r="B9" s="17"/>
      <c r="C9" s="17"/>
      <c r="D9" s="17"/>
      <c r="E9" s="21">
        <f>SQRT(B9^2+C9^2+D9^2)</f>
        <v>0</v>
      </c>
      <c r="F9" s="67"/>
      <c r="G9" s="67"/>
      <c r="H9" s="68">
        <f>E9*SQRT(F9/480)</f>
        <v>0</v>
      </c>
      <c r="I9" s="68"/>
      <c r="J9" s="68"/>
      <c r="K9" s="34"/>
      <c r="L9" s="34"/>
      <c r="M9" s="34"/>
      <c r="N9" s="34"/>
      <c r="O9" s="34"/>
      <c r="P9" s="34"/>
      <c r="Q9" s="34"/>
      <c r="R9" s="34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</row>
    <row r="10" spans="1:65" s="1" customFormat="1" ht="18" hidden="1" customHeight="1" thickTop="1" thickBot="1">
      <c r="A10" s="30"/>
      <c r="B10" s="17"/>
      <c r="C10" s="17"/>
      <c r="D10" s="17"/>
      <c r="E10" s="21">
        <f>SQRT(B10^2+C10^2+D10^2)</f>
        <v>0</v>
      </c>
      <c r="F10" s="67"/>
      <c r="G10" s="67"/>
      <c r="H10" s="68">
        <f>E10*SQRT(F10/480)</f>
        <v>0</v>
      </c>
      <c r="I10" s="68"/>
      <c r="J10" s="68"/>
      <c r="K10" s="34"/>
      <c r="L10" s="34"/>
      <c r="M10" s="34"/>
      <c r="N10" s="34"/>
      <c r="O10" s="34"/>
      <c r="P10" s="34"/>
      <c r="Q10" s="34"/>
      <c r="R10" s="34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</row>
    <row r="11" spans="1:65" s="1" customFormat="1" ht="16.5" thickTop="1" thickBot="1">
      <c r="A11" s="30"/>
      <c r="B11" s="13"/>
      <c r="C11" s="14"/>
      <c r="D11" s="14"/>
      <c r="E11" s="52"/>
      <c r="F11" s="22">
        <f>SUM(F7:G10)</f>
        <v>960</v>
      </c>
      <c r="G11" s="24" t="s">
        <v>20</v>
      </c>
      <c r="H11" s="71">
        <f>L13</f>
        <v>1.2003332870498926</v>
      </c>
      <c r="I11" s="71"/>
      <c r="J11" s="72"/>
      <c r="K11" s="49"/>
      <c r="L11" s="42">
        <f>SQRT(((0.8^2*80)+(0.3^2*20)+(0.7^2*120)+(0.35^2*20))/240)</f>
        <v>0.68995772817373868</v>
      </c>
      <c r="M11" s="49"/>
      <c r="N11" s="34"/>
      <c r="O11" s="34"/>
      <c r="P11" s="34"/>
      <c r="Q11" s="34"/>
      <c r="R11" s="34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</row>
    <row r="12" spans="1:65" ht="20.100000000000001" customHeight="1" thickTop="1">
      <c r="A12" s="31" t="s">
        <v>19</v>
      </c>
      <c r="B12" s="59" t="s">
        <v>7</v>
      </c>
      <c r="C12" s="60"/>
      <c r="D12" s="60"/>
      <c r="E12" s="60"/>
      <c r="F12" s="60"/>
      <c r="G12" s="60"/>
      <c r="H12" s="60"/>
      <c r="I12" s="60"/>
      <c r="J12" s="61"/>
      <c r="K12" s="50"/>
      <c r="L12" s="44">
        <f>SQRT(((E7^2*F7)+(E8^2*F8)+(E9^2*F9)+(E10^2*F10))/F11)</f>
        <v>0.84876380695691778</v>
      </c>
      <c r="M12" s="50"/>
      <c r="N12" s="36"/>
      <c r="O12" s="36"/>
      <c r="P12" s="36"/>
      <c r="Q12" s="36"/>
      <c r="R12" s="36"/>
    </row>
    <row r="13" spans="1:65" s="1" customFormat="1">
      <c r="A13" s="29"/>
      <c r="B13" s="62" t="s">
        <v>13</v>
      </c>
      <c r="C13" s="63"/>
      <c r="D13" s="63"/>
      <c r="E13" s="63"/>
      <c r="F13" s="63"/>
      <c r="G13" s="63"/>
      <c r="H13" s="63"/>
      <c r="I13" s="63"/>
      <c r="J13" s="64"/>
      <c r="K13" s="51"/>
      <c r="L13" s="46">
        <f>L12*(SQRT(F11/480))</f>
        <v>1.2003332870498926</v>
      </c>
      <c r="M13" s="51"/>
      <c r="N13" s="35"/>
      <c r="O13" s="35"/>
      <c r="P13" s="35"/>
      <c r="Q13" s="35"/>
      <c r="R13" s="35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</row>
    <row r="14" spans="1:65" s="1" customFormat="1" ht="15" customHeight="1">
      <c r="A14" s="29"/>
      <c r="B14" s="73" t="s">
        <v>17</v>
      </c>
      <c r="C14" s="74"/>
      <c r="D14" s="74"/>
      <c r="E14" s="65" t="s">
        <v>11</v>
      </c>
      <c r="F14" s="65" t="s">
        <v>12</v>
      </c>
      <c r="G14" s="74" t="s">
        <v>18</v>
      </c>
      <c r="H14" s="74"/>
      <c r="I14" s="74"/>
      <c r="J14" s="75"/>
      <c r="K14" s="51"/>
      <c r="L14" s="51"/>
      <c r="M14" s="51"/>
      <c r="N14" s="35"/>
      <c r="O14" s="35"/>
      <c r="P14" s="35"/>
      <c r="Q14" s="35"/>
      <c r="R14" s="35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</row>
    <row r="15" spans="1:65" s="1" customFormat="1" ht="31.5" customHeight="1" thickBot="1">
      <c r="A15" s="29"/>
      <c r="B15" s="18" t="s">
        <v>8</v>
      </c>
      <c r="C15" s="19" t="s">
        <v>9</v>
      </c>
      <c r="D15" s="19" t="s">
        <v>10</v>
      </c>
      <c r="E15" s="65"/>
      <c r="F15" s="65"/>
      <c r="G15" s="19" t="s">
        <v>14</v>
      </c>
      <c r="H15" s="19" t="s">
        <v>15</v>
      </c>
      <c r="I15" s="19" t="s">
        <v>16</v>
      </c>
      <c r="J15" s="20" t="s">
        <v>7</v>
      </c>
      <c r="K15" s="51"/>
      <c r="L15" s="51"/>
      <c r="M15" s="51"/>
      <c r="N15" s="35"/>
      <c r="O15" s="35"/>
      <c r="P15" s="35"/>
      <c r="Q15" s="35"/>
      <c r="R15" s="35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</row>
    <row r="16" spans="1:65" s="1" customFormat="1" ht="19.899999999999999" customHeight="1" thickTop="1" thickBot="1">
      <c r="A16" s="29"/>
      <c r="B16" s="17">
        <v>3</v>
      </c>
      <c r="C16" s="17">
        <v>4.99</v>
      </c>
      <c r="D16" s="17">
        <v>7.63</v>
      </c>
      <c r="E16" s="23">
        <f>F7</f>
        <v>480</v>
      </c>
      <c r="F16" s="48">
        <v>10</v>
      </c>
      <c r="G16" s="15">
        <f>B16*(E16/F16)^0.25</f>
        <v>7.8964440777149552</v>
      </c>
      <c r="H16" s="15">
        <f>C16*(E16/F16)^0.25</f>
        <v>13.134418649265877</v>
      </c>
      <c r="I16" s="15">
        <f>D16*(E16/F16)^0.25</f>
        <v>20.083289437655036</v>
      </c>
      <c r="J16" s="15">
        <f>(G16^4+H16^4+I16^4)^0.25</f>
        <v>21.049754772847219</v>
      </c>
      <c r="K16" s="29"/>
      <c r="L16" s="29"/>
      <c r="M16" s="29"/>
      <c r="N16" s="29"/>
      <c r="O16" s="29"/>
      <c r="P16" s="29"/>
      <c r="Q16" s="29"/>
      <c r="R16" s="29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</row>
    <row r="17" spans="1:65" s="1" customFormat="1" ht="19.899999999999999" customHeight="1" thickTop="1" thickBot="1">
      <c r="A17" s="29"/>
      <c r="B17" s="17">
        <v>3.43</v>
      </c>
      <c r="C17" s="17">
        <v>5.01</v>
      </c>
      <c r="D17" s="17">
        <v>9.73</v>
      </c>
      <c r="E17" s="23">
        <f t="shared" ref="E17" si="0">F8</f>
        <v>480</v>
      </c>
      <c r="F17" s="48">
        <v>22.42</v>
      </c>
      <c r="G17" s="15">
        <f>B17*(E17/F17)^0.25</f>
        <v>7.3781168209884065</v>
      </c>
      <c r="H17" s="15">
        <f>C17*(E17/F17)^0.25</f>
        <v>10.776782878469946</v>
      </c>
      <c r="I17" s="15">
        <f>D17*(E17/F17)^0.25</f>
        <v>20.929759961579357</v>
      </c>
      <c r="J17" s="15">
        <f>(G17^4+H17^4+I17^4)^0.25</f>
        <v>21.364615483038911</v>
      </c>
      <c r="K17" s="29"/>
      <c r="L17" s="29"/>
      <c r="M17" s="29"/>
      <c r="N17" s="29"/>
      <c r="O17" s="29"/>
      <c r="P17" s="29"/>
      <c r="Q17" s="29"/>
      <c r="R17" s="29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</row>
    <row r="18" spans="1:65" s="1" customFormat="1" ht="27.75" customHeight="1" thickTop="1" thickBot="1">
      <c r="A18" s="29"/>
      <c r="B18" s="69" t="s">
        <v>21</v>
      </c>
      <c r="C18" s="70"/>
      <c r="D18" s="70"/>
      <c r="E18" s="70"/>
      <c r="F18" s="70"/>
      <c r="G18" s="70"/>
      <c r="H18" s="70"/>
      <c r="I18" s="70"/>
      <c r="J18" s="5">
        <f>(J16^4+J17^4)^0.25</f>
        <v>25.221819899783888</v>
      </c>
      <c r="K18" s="29"/>
      <c r="L18" s="29"/>
      <c r="M18" s="29"/>
      <c r="N18" s="38"/>
      <c r="O18" s="29"/>
      <c r="P18" s="29"/>
      <c r="Q18" s="29"/>
      <c r="R18" s="29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</row>
    <row r="19" spans="1:65" s="40" customFormat="1" ht="110.1" customHeight="1">
      <c r="A19" s="32"/>
      <c r="B19" s="29"/>
      <c r="C19" s="29"/>
      <c r="D19" s="29"/>
      <c r="E19" s="29"/>
      <c r="F19" s="29"/>
      <c r="G19" s="29"/>
      <c r="H19" s="29"/>
      <c r="I19" s="29"/>
      <c r="J19" s="29"/>
      <c r="K19" s="39"/>
      <c r="L19" s="39"/>
    </row>
    <row r="20" spans="1:65" s="33" customFormat="1">
      <c r="A20" s="29"/>
      <c r="B20" s="41"/>
      <c r="C20" s="41"/>
      <c r="D20" s="41"/>
      <c r="E20" s="41"/>
      <c r="F20" s="41"/>
      <c r="G20" s="41"/>
      <c r="H20" s="41"/>
      <c r="I20" s="41"/>
      <c r="J20" s="41"/>
      <c r="K20" s="29"/>
      <c r="L20" s="29"/>
      <c r="M20" s="41"/>
      <c r="N20" s="41"/>
    </row>
    <row r="21" spans="1:65" s="33" customFormat="1"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</row>
    <row r="22" spans="1:65" s="33" customFormat="1"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</row>
    <row r="23" spans="1:65" s="33" customFormat="1"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</row>
    <row r="24" spans="1:65" s="33" customFormat="1"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</row>
    <row r="25" spans="1:65" s="33" customFormat="1"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</row>
    <row r="26" spans="1:65" s="33" customFormat="1"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</row>
    <row r="27" spans="1:65" s="33" customFormat="1">
      <c r="K27" s="41"/>
      <c r="L27" s="41"/>
      <c r="M27" s="41"/>
      <c r="N27" s="41"/>
    </row>
    <row r="28" spans="1:65" s="33" customFormat="1"/>
    <row r="29" spans="1:65" s="33" customFormat="1"/>
    <row r="30" spans="1:65" s="33" customFormat="1"/>
    <row r="31" spans="1:65" s="33" customFormat="1"/>
    <row r="32" spans="1:65" s="33" customFormat="1"/>
    <row r="33" s="33" customFormat="1"/>
    <row r="34" s="33" customFormat="1"/>
    <row r="35" s="33" customFormat="1"/>
    <row r="36" s="33" customFormat="1"/>
    <row r="37" s="33" customFormat="1"/>
    <row r="38" s="33" customFormat="1"/>
    <row r="39" s="33" customFormat="1"/>
    <row r="40" s="33" customFormat="1"/>
    <row r="41" s="33" customFormat="1"/>
    <row r="42" s="33" customFormat="1"/>
    <row r="43" s="33" customFormat="1"/>
    <row r="44" s="33" customFormat="1"/>
    <row r="45" s="33" customFormat="1"/>
    <row r="46" s="33" customFormat="1"/>
    <row r="47" s="33" customFormat="1"/>
    <row r="48" s="33" customFormat="1"/>
    <row r="49" s="33" customFormat="1"/>
    <row r="50" s="33" customFormat="1"/>
    <row r="51" s="33" customFormat="1"/>
    <row r="52" s="33" customFormat="1"/>
    <row r="53" s="33" customFormat="1"/>
    <row r="54" s="33" customFormat="1"/>
    <row r="55" s="33" customFormat="1"/>
    <row r="56" s="33" customFormat="1"/>
    <row r="57" s="33" customFormat="1"/>
    <row r="58" s="33" customFormat="1"/>
    <row r="59" s="33" customFormat="1"/>
    <row r="60" s="33" customFormat="1"/>
    <row r="61" s="33" customFormat="1"/>
    <row r="62" s="33" customFormat="1"/>
    <row r="63" s="33" customFormat="1"/>
    <row r="64" s="33" customFormat="1"/>
    <row r="65" s="33" customFormat="1"/>
    <row r="66" s="33" customFormat="1"/>
    <row r="67" s="33" customFormat="1"/>
    <row r="68" s="33" customFormat="1"/>
    <row r="69" s="33" customFormat="1"/>
    <row r="70" s="33" customFormat="1"/>
    <row r="71" s="33" customFormat="1"/>
    <row r="72" s="33" customFormat="1"/>
    <row r="73" s="33" customFormat="1"/>
    <row r="74" s="33" customFormat="1"/>
    <row r="75" s="33" customFormat="1"/>
    <row r="76" s="33" customFormat="1"/>
    <row r="77" s="33" customFormat="1"/>
    <row r="78" s="33" customFormat="1"/>
    <row r="79" s="33" customFormat="1"/>
    <row r="80" s="33" customFormat="1"/>
    <row r="81" s="33" customFormat="1"/>
    <row r="82" s="33" customFormat="1"/>
    <row r="83" s="33" customFormat="1"/>
    <row r="84" s="33" customFormat="1"/>
    <row r="85" s="33" customFormat="1"/>
    <row r="86" s="33" customFormat="1"/>
    <row r="87" s="33" customFormat="1"/>
    <row r="88" s="33" customFormat="1"/>
    <row r="89" s="33" customFormat="1"/>
    <row r="90" s="33" customFormat="1"/>
    <row r="91" s="33" customFormat="1"/>
    <row r="92" s="33" customFormat="1"/>
    <row r="93" s="33" customFormat="1"/>
    <row r="94" s="33" customFormat="1"/>
    <row r="95" s="33" customFormat="1"/>
    <row r="96" s="33" customFormat="1"/>
    <row r="97" s="33" customFormat="1"/>
    <row r="98" s="33" customFormat="1"/>
    <row r="99" s="33" customFormat="1"/>
    <row r="100" s="33" customFormat="1"/>
    <row r="101" s="33" customFormat="1"/>
    <row r="102" s="33" customFormat="1"/>
    <row r="103" s="33" customFormat="1"/>
    <row r="104" s="33" customFormat="1"/>
    <row r="105" s="33" customFormat="1"/>
    <row r="106" s="33" customFormat="1"/>
    <row r="107" s="33" customFormat="1"/>
    <row r="108" s="33" customFormat="1"/>
    <row r="109" s="33" customFormat="1"/>
    <row r="110" s="33" customFormat="1"/>
    <row r="111" s="33" customFormat="1"/>
    <row r="112" s="33" customFormat="1"/>
    <row r="113" s="33" customFormat="1"/>
    <row r="114" s="33" customFormat="1"/>
    <row r="115" s="33" customFormat="1"/>
    <row r="116" s="33" customFormat="1"/>
    <row r="117" s="33" customFormat="1"/>
    <row r="118" s="33" customFormat="1"/>
    <row r="119" s="33" customFormat="1"/>
    <row r="120" s="33" customFormat="1"/>
    <row r="121" s="33" customFormat="1"/>
    <row r="122" s="33" customFormat="1"/>
    <row r="123" s="33" customFormat="1"/>
    <row r="124" s="33" customFormat="1"/>
    <row r="125" s="33" customFormat="1"/>
    <row r="126" s="33" customFormat="1"/>
    <row r="127" s="33" customFormat="1"/>
    <row r="128" s="33" customFormat="1"/>
    <row r="129" s="33" customFormat="1"/>
    <row r="130" s="33" customFormat="1"/>
    <row r="131" s="33" customFormat="1"/>
    <row r="132" s="33" customFormat="1"/>
    <row r="133" s="33" customFormat="1"/>
    <row r="134" s="33" customFormat="1"/>
    <row r="135" s="33" customFormat="1"/>
    <row r="136" s="33" customFormat="1"/>
    <row r="137" s="33" customFormat="1"/>
    <row r="138" s="33" customFormat="1"/>
    <row r="139" s="33" customFormat="1"/>
    <row r="140" s="33" customFormat="1"/>
    <row r="141" s="33" customFormat="1"/>
    <row r="142" s="33" customFormat="1"/>
    <row r="143" s="33" customFormat="1"/>
    <row r="144" s="33" customFormat="1"/>
    <row r="145" s="33" customFormat="1"/>
    <row r="146" s="33" customFormat="1"/>
    <row r="147" s="33" customFormat="1"/>
    <row r="148" s="33" customFormat="1"/>
    <row r="149" s="33" customFormat="1"/>
    <row r="150" s="33" customFormat="1"/>
    <row r="151" s="33" customFormat="1"/>
    <row r="152" s="33" customFormat="1"/>
    <row r="153" s="33" customFormat="1"/>
    <row r="154" s="33" customFormat="1"/>
    <row r="155" s="33" customFormat="1"/>
    <row r="156" s="33" customFormat="1"/>
    <row r="157" s="33" customFormat="1"/>
    <row r="158" s="33" customFormat="1"/>
    <row r="159" s="33" customFormat="1"/>
    <row r="160" s="33" customFormat="1"/>
    <row r="161" s="33" customFormat="1"/>
    <row r="162" s="33" customFormat="1"/>
    <row r="163" s="33" customFormat="1"/>
    <row r="164" s="33" customFormat="1"/>
    <row r="165" s="33" customFormat="1"/>
    <row r="166" s="33" customFormat="1"/>
    <row r="167" s="33" customFormat="1"/>
    <row r="168" s="33" customFormat="1"/>
    <row r="169" s="33" customFormat="1"/>
    <row r="170" s="33" customFormat="1"/>
    <row r="171" s="33" customFormat="1"/>
    <row r="172" s="33" customFormat="1"/>
    <row r="173" s="33" customFormat="1"/>
    <row r="174" s="33" customFormat="1"/>
    <row r="175" s="33" customFormat="1"/>
    <row r="176" s="33" customFormat="1"/>
    <row r="177" s="33" customFormat="1"/>
    <row r="178" s="33" customFormat="1"/>
    <row r="179" s="33" customFormat="1"/>
    <row r="180" s="33" customFormat="1"/>
    <row r="181" s="33" customFormat="1"/>
    <row r="182" s="33" customFormat="1"/>
    <row r="183" s="33" customFormat="1"/>
    <row r="184" s="33" customFormat="1"/>
    <row r="185" s="33" customFormat="1"/>
    <row r="186" s="33" customFormat="1"/>
    <row r="187" s="33" customFormat="1"/>
    <row r="188" s="33" customFormat="1"/>
    <row r="189" s="33" customFormat="1"/>
    <row r="190" s="33" customFormat="1"/>
    <row r="191" s="33" customFormat="1"/>
    <row r="192" s="33" customFormat="1"/>
    <row r="193" s="33" customFormat="1"/>
    <row r="194" s="33" customFormat="1"/>
    <row r="195" s="33" customFormat="1"/>
    <row r="196" s="33" customFormat="1"/>
    <row r="197" s="33" customFormat="1"/>
    <row r="198" s="33" customFormat="1"/>
    <row r="199" s="33" customFormat="1"/>
    <row r="200" s="33" customFormat="1"/>
    <row r="201" s="33" customFormat="1"/>
    <row r="202" s="33" customFormat="1"/>
    <row r="203" s="33" customFormat="1"/>
    <row r="204" s="33" customFormat="1"/>
    <row r="205" s="33" customFormat="1"/>
    <row r="206" s="33" customFormat="1"/>
    <row r="207" s="33" customFormat="1"/>
    <row r="208" s="33" customFormat="1"/>
    <row r="209" s="33" customFormat="1"/>
    <row r="210" s="33" customFormat="1"/>
    <row r="211" s="33" customFormat="1"/>
    <row r="212" s="33" customFormat="1"/>
    <row r="213" s="33" customFormat="1"/>
    <row r="214" s="33" customFormat="1"/>
    <row r="215" s="33" customFormat="1"/>
    <row r="216" s="33" customFormat="1"/>
    <row r="217" s="33" customFormat="1"/>
    <row r="218" s="33" customFormat="1"/>
    <row r="219" s="33" customFormat="1"/>
    <row r="220" s="33" customFormat="1"/>
    <row r="221" s="33" customFormat="1"/>
    <row r="222" s="33" customFormat="1"/>
    <row r="223" s="33" customFormat="1"/>
    <row r="224" s="33" customFormat="1"/>
    <row r="225" s="33" customFormat="1"/>
    <row r="226" s="33" customFormat="1"/>
    <row r="227" s="33" customFormat="1"/>
    <row r="228" s="33" customFormat="1"/>
    <row r="229" s="33" customFormat="1"/>
    <row r="230" s="33" customFormat="1"/>
    <row r="231" s="33" customFormat="1"/>
    <row r="232" s="33" customFormat="1"/>
    <row r="233" s="33" customFormat="1"/>
    <row r="234" s="33" customFormat="1"/>
    <row r="235" s="33" customFormat="1"/>
    <row r="236" s="33" customFormat="1"/>
    <row r="237" s="33" customFormat="1"/>
    <row r="238" s="33" customFormat="1"/>
    <row r="239" s="33" customFormat="1"/>
    <row r="240" s="33" customFormat="1"/>
    <row r="241" s="33" customFormat="1"/>
    <row r="242" s="33" customFormat="1"/>
    <row r="243" s="33" customFormat="1"/>
    <row r="244" s="33" customFormat="1"/>
    <row r="245" s="33" customFormat="1"/>
    <row r="246" s="33" customFormat="1"/>
    <row r="247" s="33" customFormat="1"/>
    <row r="248" s="33" customFormat="1"/>
    <row r="249" s="33" customFormat="1"/>
    <row r="250" s="33" customFormat="1"/>
    <row r="251" s="33" customFormat="1"/>
    <row r="252" s="33" customFormat="1"/>
    <row r="253" s="33" customFormat="1"/>
    <row r="254" s="33" customFormat="1"/>
    <row r="255" s="33" customFormat="1"/>
    <row r="256" s="33" customFormat="1"/>
    <row r="257" s="33" customFormat="1"/>
    <row r="258" s="33" customFormat="1"/>
    <row r="259" s="33" customFormat="1"/>
    <row r="260" s="33" customFormat="1"/>
    <row r="261" s="33" customFormat="1"/>
    <row r="262" s="33" customFormat="1"/>
    <row r="263" s="33" customFormat="1"/>
    <row r="264" s="33" customFormat="1"/>
    <row r="265" s="33" customFormat="1"/>
    <row r="266" s="33" customFormat="1"/>
    <row r="267" s="33" customFormat="1"/>
    <row r="268" s="33" customFormat="1"/>
    <row r="269" s="33" customFormat="1"/>
    <row r="270" s="33" customFormat="1"/>
    <row r="271" s="33" customFormat="1"/>
    <row r="272" s="33" customFormat="1"/>
    <row r="273" s="33" customFormat="1"/>
    <row r="274" s="33" customFormat="1"/>
    <row r="275" s="33" customFormat="1"/>
    <row r="276" s="33" customFormat="1"/>
    <row r="277" s="33" customFormat="1"/>
    <row r="278" s="33" customFormat="1"/>
    <row r="279" s="33" customFormat="1"/>
    <row r="280" s="33" customFormat="1"/>
    <row r="281" s="33" customFormat="1"/>
    <row r="282" s="33" customFormat="1"/>
    <row r="283" s="33" customFormat="1"/>
    <row r="284" s="33" customFormat="1"/>
    <row r="285" s="33" customFormat="1"/>
    <row r="286" s="33" customFormat="1"/>
    <row r="287" s="33" customFormat="1"/>
    <row r="288" s="33" customFormat="1"/>
    <row r="289" s="33" customFormat="1"/>
    <row r="290" s="33" customFormat="1"/>
    <row r="291" s="33" customFormat="1"/>
    <row r="292" s="33" customFormat="1"/>
    <row r="293" s="33" customFormat="1"/>
    <row r="294" s="33" customFormat="1"/>
    <row r="295" s="33" customFormat="1"/>
    <row r="296" s="33" customFormat="1"/>
    <row r="297" s="33" customFormat="1"/>
    <row r="298" s="33" customFormat="1"/>
    <row r="299" s="33" customFormat="1"/>
    <row r="300" s="33" customFormat="1"/>
    <row r="301" s="33" customFormat="1"/>
    <row r="302" s="33" customFormat="1"/>
    <row r="303" s="33" customFormat="1"/>
    <row r="304" s="33" customFormat="1"/>
    <row r="305" s="33" customFormat="1"/>
    <row r="306" s="33" customFormat="1"/>
    <row r="307" s="33" customFormat="1"/>
    <row r="308" s="33" customFormat="1"/>
    <row r="309" s="33" customFormat="1"/>
    <row r="310" s="33" customFormat="1"/>
    <row r="311" s="33" customFormat="1"/>
    <row r="312" s="33" customFormat="1"/>
    <row r="313" s="33" customFormat="1"/>
    <row r="314" s="33" customFormat="1"/>
    <row r="315" s="33" customFormat="1"/>
    <row r="316" s="33" customFormat="1"/>
    <row r="317" s="33" customFormat="1"/>
    <row r="318" s="33" customFormat="1"/>
    <row r="319" s="33" customFormat="1"/>
    <row r="320" s="33" customFormat="1"/>
    <row r="321" s="33" customFormat="1"/>
    <row r="322" s="33" customFormat="1"/>
    <row r="323" s="33" customFormat="1"/>
    <row r="324" s="33" customFormat="1"/>
    <row r="325" s="33" customFormat="1"/>
    <row r="326" s="33" customFormat="1"/>
    <row r="327" s="33" customFormat="1"/>
    <row r="328" s="33" customFormat="1"/>
    <row r="329" s="33" customFormat="1"/>
    <row r="330" s="33" customFormat="1"/>
    <row r="331" s="33" customFormat="1"/>
    <row r="332" s="33" customFormat="1"/>
    <row r="333" s="33" customFormat="1"/>
    <row r="334" s="33" customFormat="1"/>
    <row r="335" s="33" customFormat="1"/>
    <row r="336" s="33" customFormat="1"/>
    <row r="337" s="33" customFormat="1"/>
    <row r="338" s="33" customFormat="1"/>
    <row r="339" s="33" customFormat="1"/>
    <row r="340" s="33" customFormat="1"/>
    <row r="341" s="33" customFormat="1"/>
    <row r="342" s="33" customFormat="1"/>
    <row r="343" s="33" customFormat="1"/>
    <row r="344" s="33" customFormat="1"/>
    <row r="345" s="33" customFormat="1"/>
    <row r="346" s="33" customFormat="1"/>
    <row r="347" s="33" customFormat="1"/>
    <row r="348" s="33" customFormat="1"/>
    <row r="349" s="33" customFormat="1"/>
    <row r="350" s="33" customFormat="1"/>
    <row r="351" s="33" customFormat="1"/>
    <row r="352" s="33" customFormat="1"/>
    <row r="353" s="33" customFormat="1"/>
    <row r="354" s="33" customFormat="1"/>
    <row r="355" s="33" customFormat="1"/>
    <row r="356" s="33" customFormat="1"/>
    <row r="357" s="33" customFormat="1"/>
    <row r="358" s="33" customFormat="1"/>
    <row r="359" s="33" customFormat="1"/>
    <row r="360" s="33" customFormat="1"/>
    <row r="361" s="33" customFormat="1"/>
    <row r="362" s="33" customFormat="1"/>
    <row r="363" s="33" customFormat="1"/>
    <row r="364" s="33" customFormat="1"/>
    <row r="365" s="33" customFormat="1"/>
    <row r="366" s="33" customFormat="1"/>
    <row r="367" s="33" customFormat="1"/>
    <row r="368" s="33" customFormat="1"/>
    <row r="369" s="33" customFormat="1"/>
    <row r="370" s="33" customFormat="1"/>
    <row r="371" s="33" customFormat="1"/>
    <row r="372" s="33" customFormat="1"/>
    <row r="373" s="33" customFormat="1"/>
    <row r="374" s="33" customFormat="1"/>
    <row r="375" s="33" customFormat="1"/>
    <row r="376" s="33" customFormat="1"/>
    <row r="377" s="33" customFormat="1"/>
    <row r="378" s="33" customFormat="1"/>
    <row r="379" s="33" customFormat="1"/>
    <row r="380" s="33" customFormat="1"/>
    <row r="381" s="33" customFormat="1"/>
    <row r="382" s="33" customFormat="1"/>
    <row r="383" s="33" customFormat="1"/>
    <row r="384" s="33" customFormat="1"/>
    <row r="385" s="33" customFormat="1"/>
    <row r="386" s="33" customFormat="1"/>
    <row r="387" s="33" customFormat="1"/>
    <row r="388" s="33" customFormat="1"/>
    <row r="389" s="33" customFormat="1"/>
    <row r="390" s="33" customFormat="1"/>
    <row r="391" s="33" customFormat="1"/>
    <row r="392" s="33" customFormat="1"/>
    <row r="393" s="33" customFormat="1"/>
    <row r="394" s="33" customFormat="1"/>
    <row r="395" s="33" customFormat="1"/>
    <row r="396" s="33" customFormat="1"/>
    <row r="397" s="33" customFormat="1"/>
    <row r="398" s="33" customFormat="1"/>
    <row r="399" s="33" customFormat="1"/>
    <row r="400" s="33" customFormat="1"/>
    <row r="401" s="33" customFormat="1"/>
    <row r="402" s="33" customFormat="1"/>
    <row r="403" s="33" customFormat="1"/>
    <row r="404" s="33" customFormat="1"/>
    <row r="405" s="33" customFormat="1"/>
    <row r="406" s="33" customFormat="1"/>
    <row r="407" s="33" customFormat="1"/>
    <row r="408" s="33" customFormat="1"/>
    <row r="409" s="33" customFormat="1"/>
    <row r="410" s="33" customFormat="1"/>
    <row r="411" s="33" customFormat="1"/>
    <row r="412" s="33" customFormat="1"/>
    <row r="413" s="33" customFormat="1"/>
    <row r="414" s="33" customFormat="1"/>
    <row r="415" s="33" customFormat="1"/>
    <row r="416" s="33" customFormat="1"/>
    <row r="417" s="33" customFormat="1"/>
    <row r="418" s="33" customFormat="1"/>
    <row r="419" s="33" customFormat="1"/>
    <row r="420" s="33" customFormat="1"/>
    <row r="421" s="33" customFormat="1"/>
    <row r="422" s="33" customFormat="1"/>
    <row r="423" s="33" customFormat="1"/>
    <row r="424" s="33" customFormat="1"/>
    <row r="425" s="33" customFormat="1"/>
    <row r="426" s="33" customFormat="1"/>
    <row r="427" s="33" customFormat="1"/>
    <row r="428" s="33" customFormat="1"/>
    <row r="429" s="33" customFormat="1"/>
    <row r="430" s="33" customFormat="1"/>
    <row r="431" s="33" customFormat="1"/>
    <row r="432" s="33" customFormat="1"/>
    <row r="433" s="33" customFormat="1"/>
    <row r="434" s="33" customFormat="1"/>
    <row r="435" s="33" customFormat="1"/>
    <row r="436" s="33" customFormat="1"/>
    <row r="437" s="33" customFormat="1"/>
    <row r="438" s="33" customFormat="1"/>
    <row r="439" s="33" customFormat="1"/>
    <row r="440" s="33" customFormat="1"/>
    <row r="441" s="33" customFormat="1"/>
    <row r="442" s="33" customFormat="1"/>
    <row r="443" s="33" customFormat="1"/>
    <row r="444" s="33" customFormat="1"/>
    <row r="445" s="33" customFormat="1"/>
    <row r="446" s="33" customFormat="1"/>
    <row r="447" s="33" customFormat="1"/>
    <row r="448" s="33" customFormat="1"/>
    <row r="449" s="33" customFormat="1"/>
    <row r="450" s="33" customFormat="1"/>
    <row r="451" s="33" customFormat="1"/>
    <row r="452" s="33" customFormat="1"/>
    <row r="453" s="33" customFormat="1"/>
    <row r="454" s="33" customFormat="1"/>
    <row r="455" s="33" customFormat="1"/>
    <row r="456" s="33" customFormat="1"/>
    <row r="457" s="33" customFormat="1"/>
    <row r="458" s="33" customFormat="1"/>
    <row r="459" s="33" customFormat="1"/>
    <row r="460" s="33" customFormat="1"/>
    <row r="461" s="33" customFormat="1"/>
    <row r="462" s="33" customFormat="1"/>
    <row r="463" s="33" customFormat="1"/>
    <row r="464" s="33" customFormat="1"/>
    <row r="465" s="33" customFormat="1"/>
    <row r="466" s="33" customFormat="1"/>
    <row r="467" s="33" customFormat="1"/>
    <row r="468" s="33" customFormat="1"/>
    <row r="469" s="33" customFormat="1"/>
    <row r="470" s="33" customFormat="1"/>
    <row r="471" s="33" customFormat="1"/>
    <row r="472" s="33" customFormat="1"/>
    <row r="473" s="33" customFormat="1"/>
    <row r="474" s="33" customFormat="1"/>
    <row r="475" s="33" customFormat="1"/>
    <row r="476" s="33" customFormat="1"/>
    <row r="477" s="33" customFormat="1"/>
    <row r="478" s="33" customFormat="1"/>
    <row r="479" s="33" customFormat="1"/>
    <row r="480" s="33" customFormat="1"/>
    <row r="481" s="33" customFormat="1"/>
    <row r="482" s="33" customFormat="1"/>
    <row r="483" s="33" customFormat="1"/>
    <row r="484" s="33" customFormat="1"/>
    <row r="485" s="33" customFormat="1"/>
    <row r="486" s="33" customFormat="1"/>
    <row r="487" s="33" customFormat="1"/>
    <row r="488" s="33" customFormat="1"/>
    <row r="489" s="33" customFormat="1"/>
    <row r="490" s="33" customFormat="1"/>
    <row r="491" s="33" customFormat="1"/>
    <row r="492" s="33" customFormat="1"/>
    <row r="493" s="33" customFormat="1"/>
    <row r="494" s="33" customFormat="1"/>
    <row r="495" s="33" customFormat="1"/>
    <row r="496" s="33" customFormat="1"/>
    <row r="497" s="33" customFormat="1"/>
    <row r="498" s="33" customFormat="1"/>
    <row r="499" s="33" customFormat="1"/>
    <row r="500" s="33" customFormat="1"/>
    <row r="501" s="33" customFormat="1"/>
    <row r="502" s="33" customFormat="1"/>
    <row r="503" s="33" customFormat="1"/>
    <row r="504" s="33" customFormat="1"/>
    <row r="505" s="33" customFormat="1"/>
    <row r="506" s="33" customFormat="1"/>
    <row r="507" s="33" customFormat="1"/>
    <row r="508" s="33" customFormat="1"/>
    <row r="509" s="33" customFormat="1"/>
    <row r="510" s="33" customFormat="1"/>
    <row r="511" s="33" customFormat="1"/>
    <row r="512" s="33" customFormat="1"/>
    <row r="513" s="33" customFormat="1"/>
    <row r="514" s="33" customFormat="1"/>
    <row r="515" s="33" customFormat="1"/>
  </sheetData>
  <sheetProtection password="CB8D" sheet="1" objects="1" scenarios="1" selectLockedCells="1"/>
  <mergeCells count="22">
    <mergeCell ref="B18:I18"/>
    <mergeCell ref="F10:G10"/>
    <mergeCell ref="H10:J10"/>
    <mergeCell ref="H11:J11"/>
    <mergeCell ref="B12:J12"/>
    <mergeCell ref="B13:J13"/>
    <mergeCell ref="B14:D14"/>
    <mergeCell ref="E14:E15"/>
    <mergeCell ref="F14:F15"/>
    <mergeCell ref="G14:J14"/>
    <mergeCell ref="F7:G7"/>
    <mergeCell ref="H7:J7"/>
    <mergeCell ref="F8:G8"/>
    <mergeCell ref="H8:J8"/>
    <mergeCell ref="F9:G9"/>
    <mergeCell ref="H9:J9"/>
    <mergeCell ref="B1:J2"/>
    <mergeCell ref="B4:J4"/>
    <mergeCell ref="B5:E5"/>
    <mergeCell ref="F5:J5"/>
    <mergeCell ref="F6:G6"/>
    <mergeCell ref="H6:J6"/>
  </mergeCells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517"/>
  <sheetViews>
    <sheetView topLeftCell="A5" workbookViewId="0">
      <selection activeCell="F16" sqref="F16"/>
    </sheetView>
  </sheetViews>
  <sheetFormatPr defaultRowHeight="15"/>
  <cols>
    <col min="1" max="1" width="3.7109375" style="33" customWidth="1"/>
    <col min="5" max="5" width="12.7109375" customWidth="1"/>
    <col min="6" max="6" width="12.28515625" customWidth="1"/>
    <col min="7" max="7" width="13" customWidth="1"/>
    <col min="11" max="65" width="8.85546875" style="33"/>
  </cols>
  <sheetData>
    <row r="1" spans="1:65" ht="14.45" customHeight="1">
      <c r="A1" s="25" t="s">
        <v>22</v>
      </c>
      <c r="B1" s="53"/>
      <c r="C1" s="54"/>
      <c r="D1" s="54"/>
      <c r="E1" s="54"/>
      <c r="F1" s="54"/>
      <c r="G1" s="54"/>
      <c r="H1" s="54"/>
      <c r="I1" s="54"/>
      <c r="J1" s="55"/>
      <c r="K1" s="26"/>
      <c r="L1" s="26"/>
      <c r="M1" s="26"/>
      <c r="N1" s="26"/>
      <c r="O1" s="26"/>
      <c r="P1" s="26"/>
      <c r="Q1" s="26"/>
      <c r="R1" s="26"/>
    </row>
    <row r="2" spans="1:65" ht="54.6" customHeight="1">
      <c r="A2" s="26"/>
      <c r="B2" s="56"/>
      <c r="C2" s="57"/>
      <c r="D2" s="57"/>
      <c r="E2" s="57"/>
      <c r="F2" s="57"/>
      <c r="G2" s="57"/>
      <c r="H2" s="57"/>
      <c r="I2" s="57"/>
      <c r="J2" s="58"/>
      <c r="K2" s="26"/>
      <c r="L2" s="26"/>
      <c r="M2" s="26"/>
      <c r="N2" s="26"/>
      <c r="O2" s="26"/>
      <c r="P2" s="26"/>
      <c r="Q2" s="26"/>
      <c r="R2" s="26"/>
    </row>
    <row r="3" spans="1:65" ht="14.45" hidden="1" customHeight="1">
      <c r="A3" s="26"/>
      <c r="B3" s="6"/>
      <c r="C3" s="7"/>
      <c r="D3" s="7"/>
      <c r="E3" s="7"/>
      <c r="F3" s="7"/>
      <c r="G3" s="7"/>
      <c r="H3" s="7"/>
      <c r="I3" s="7"/>
      <c r="J3" s="8"/>
      <c r="K3" s="26"/>
      <c r="L3" s="26"/>
      <c r="M3" s="26"/>
      <c r="N3" s="26"/>
      <c r="O3" s="26"/>
      <c r="P3" s="26"/>
      <c r="Q3" s="26"/>
      <c r="R3" s="26"/>
    </row>
    <row r="4" spans="1:65" ht="20.100000000000001" customHeight="1">
      <c r="A4" s="27"/>
      <c r="B4" s="59" t="s">
        <v>20</v>
      </c>
      <c r="C4" s="60"/>
      <c r="D4" s="60"/>
      <c r="E4" s="60"/>
      <c r="F4" s="60"/>
      <c r="G4" s="60"/>
      <c r="H4" s="60"/>
      <c r="I4" s="60"/>
      <c r="J4" s="61"/>
      <c r="K4" s="26"/>
      <c r="L4" s="26"/>
      <c r="M4" s="26"/>
      <c r="N4" s="26"/>
      <c r="O4" s="26"/>
      <c r="P4" s="26"/>
      <c r="Q4" s="26"/>
      <c r="R4" s="26"/>
    </row>
    <row r="5" spans="1:65" s="1" customFormat="1">
      <c r="A5" s="28"/>
      <c r="B5" s="62" t="s">
        <v>0</v>
      </c>
      <c r="C5" s="63"/>
      <c r="D5" s="63"/>
      <c r="E5" s="63"/>
      <c r="F5" s="63" t="s">
        <v>20</v>
      </c>
      <c r="G5" s="63"/>
      <c r="H5" s="63"/>
      <c r="I5" s="63"/>
      <c r="J5" s="64"/>
      <c r="K5" s="34"/>
      <c r="L5" s="34"/>
      <c r="M5" s="34"/>
      <c r="N5" s="34"/>
      <c r="O5" s="34"/>
      <c r="P5" s="34"/>
      <c r="Q5" s="34"/>
      <c r="R5" s="34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</row>
    <row r="6" spans="1:65" s="1" customFormat="1" ht="43.5" customHeight="1" thickBot="1">
      <c r="A6" s="29"/>
      <c r="B6" s="18" t="s">
        <v>1</v>
      </c>
      <c r="C6" s="19" t="s">
        <v>2</v>
      </c>
      <c r="D6" s="19" t="s">
        <v>3</v>
      </c>
      <c r="E6" s="19" t="s">
        <v>4</v>
      </c>
      <c r="F6" s="65" t="s">
        <v>5</v>
      </c>
      <c r="G6" s="65"/>
      <c r="H6" s="65" t="s">
        <v>6</v>
      </c>
      <c r="I6" s="65"/>
      <c r="J6" s="66"/>
      <c r="K6" s="35"/>
      <c r="L6" s="34"/>
      <c r="M6" s="34"/>
      <c r="N6" s="34"/>
      <c r="O6" s="34"/>
      <c r="P6" s="34"/>
      <c r="Q6" s="34"/>
      <c r="R6" s="34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</row>
    <row r="7" spans="1:65" s="1" customFormat="1" ht="19.899999999999999" customHeight="1" thickTop="1" thickBot="1">
      <c r="A7" s="30"/>
      <c r="B7" s="17"/>
      <c r="C7" s="17"/>
      <c r="D7" s="17"/>
      <c r="E7" s="21">
        <f>SQRT(B7^2+C7^2+D7^2)</f>
        <v>0</v>
      </c>
      <c r="F7" s="67"/>
      <c r="G7" s="67"/>
      <c r="H7" s="68">
        <f>E7*SQRT(F7/480)</f>
        <v>0</v>
      </c>
      <c r="I7" s="68"/>
      <c r="J7" s="68"/>
      <c r="K7" s="34"/>
      <c r="L7" s="34"/>
      <c r="M7" s="34"/>
      <c r="N7" s="34"/>
      <c r="O7" s="34"/>
      <c r="P7" s="34"/>
      <c r="Q7" s="34"/>
      <c r="R7" s="34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</row>
    <row r="8" spans="1:65" s="1" customFormat="1" ht="19.899999999999999" customHeight="1" thickTop="1" thickBot="1">
      <c r="A8" s="30"/>
      <c r="B8" s="17"/>
      <c r="C8" s="17"/>
      <c r="D8" s="17"/>
      <c r="E8" s="21">
        <f>SQRT(B8^2+C8^2+D8^2)</f>
        <v>0</v>
      </c>
      <c r="F8" s="67"/>
      <c r="G8" s="67"/>
      <c r="H8" s="68">
        <f>E8*SQRT(F8/480)</f>
        <v>0</v>
      </c>
      <c r="I8" s="68"/>
      <c r="J8" s="68"/>
      <c r="K8" s="34"/>
      <c r="L8" s="34"/>
      <c r="M8" s="34"/>
      <c r="N8" s="34"/>
      <c r="O8" s="34"/>
      <c r="P8" s="34"/>
      <c r="Q8" s="34"/>
      <c r="R8" s="34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</row>
    <row r="9" spans="1:65" s="1" customFormat="1" ht="19.899999999999999" customHeight="1" thickTop="1" thickBot="1">
      <c r="A9" s="30"/>
      <c r="B9" s="17"/>
      <c r="C9" s="17"/>
      <c r="D9" s="17"/>
      <c r="E9" s="21">
        <f>SQRT(B9^2+C9^2+D9^2)</f>
        <v>0</v>
      </c>
      <c r="F9" s="67"/>
      <c r="G9" s="67"/>
      <c r="H9" s="68">
        <f>E9*SQRT(F9/480)</f>
        <v>0</v>
      </c>
      <c r="I9" s="68"/>
      <c r="J9" s="68"/>
      <c r="K9" s="34"/>
      <c r="L9" s="34"/>
      <c r="M9" s="34"/>
      <c r="N9" s="34"/>
      <c r="O9" s="34"/>
      <c r="P9" s="34"/>
      <c r="Q9" s="34"/>
      <c r="R9" s="34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</row>
    <row r="10" spans="1:65" s="1" customFormat="1" ht="18" hidden="1" customHeight="1" thickTop="1" thickBot="1">
      <c r="A10" s="30"/>
      <c r="B10" s="17"/>
      <c r="C10" s="17"/>
      <c r="D10" s="17"/>
      <c r="E10" s="21">
        <f>SQRT(B10^2+C10^2+D10^2)</f>
        <v>0</v>
      </c>
      <c r="F10" s="67"/>
      <c r="G10" s="67"/>
      <c r="H10" s="68">
        <f>E10*SQRT(F10/480)</f>
        <v>0</v>
      </c>
      <c r="I10" s="68"/>
      <c r="J10" s="68"/>
      <c r="K10" s="34"/>
      <c r="L10" s="34"/>
      <c r="M10" s="34"/>
      <c r="N10" s="34"/>
      <c r="O10" s="34"/>
      <c r="P10" s="34"/>
      <c r="Q10" s="34"/>
      <c r="R10" s="34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</row>
    <row r="11" spans="1:65" s="1" customFormat="1" ht="16.5" thickTop="1" thickBot="1">
      <c r="A11" s="30"/>
      <c r="B11" s="13"/>
      <c r="C11" s="14"/>
      <c r="D11" s="14"/>
      <c r="E11" s="14"/>
      <c r="F11" s="22">
        <f>SUM(F7:G10)</f>
        <v>0</v>
      </c>
      <c r="G11" s="24" t="s">
        <v>20</v>
      </c>
      <c r="H11" s="71" t="e">
        <f>L13</f>
        <v>#DIV/0!</v>
      </c>
      <c r="I11" s="71"/>
      <c r="J11" s="72"/>
      <c r="K11" s="34"/>
      <c r="L11" s="42">
        <f>SQRT(((0.8^2*80)+(0.3^2*20)+(0.7^2*120)+(0.35^2*20))/240)</f>
        <v>0.68995772817373868</v>
      </c>
      <c r="M11" s="43"/>
      <c r="N11" s="34"/>
      <c r="O11" s="34"/>
      <c r="P11" s="34"/>
      <c r="Q11" s="34"/>
      <c r="R11" s="34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</row>
    <row r="12" spans="1:65" ht="20.100000000000001" customHeight="1" thickTop="1">
      <c r="A12" s="31" t="s">
        <v>19</v>
      </c>
      <c r="B12" s="59" t="s">
        <v>7</v>
      </c>
      <c r="C12" s="60"/>
      <c r="D12" s="60"/>
      <c r="E12" s="60"/>
      <c r="F12" s="60"/>
      <c r="G12" s="60"/>
      <c r="H12" s="60"/>
      <c r="I12" s="60"/>
      <c r="J12" s="61"/>
      <c r="K12" s="36"/>
      <c r="L12" s="44" t="e">
        <f>SQRT(((E7^2*F7)+(E8^2*F8)+(E9^2*F9)+(E10^2*F10))/F11)</f>
        <v>#DIV/0!</v>
      </c>
      <c r="M12" s="45"/>
      <c r="N12" s="36"/>
      <c r="O12" s="36"/>
      <c r="P12" s="36"/>
      <c r="Q12" s="36"/>
      <c r="R12" s="36"/>
    </row>
    <row r="13" spans="1:65" s="1" customFormat="1">
      <c r="A13" s="29"/>
      <c r="B13" s="62" t="s">
        <v>13</v>
      </c>
      <c r="C13" s="63"/>
      <c r="D13" s="63"/>
      <c r="E13" s="63"/>
      <c r="F13" s="63"/>
      <c r="G13" s="63"/>
      <c r="H13" s="63"/>
      <c r="I13" s="63"/>
      <c r="J13" s="64"/>
      <c r="K13" s="35"/>
      <c r="L13" s="46" t="e">
        <f>L12*(SQRT(F11/480))</f>
        <v>#DIV/0!</v>
      </c>
      <c r="M13" s="47"/>
      <c r="N13" s="35"/>
      <c r="O13" s="35"/>
      <c r="P13" s="35"/>
      <c r="Q13" s="35"/>
      <c r="R13" s="35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</row>
    <row r="14" spans="1:65" s="1" customFormat="1" ht="15" customHeight="1">
      <c r="A14" s="29"/>
      <c r="B14" s="73" t="s">
        <v>17</v>
      </c>
      <c r="C14" s="74"/>
      <c r="D14" s="74"/>
      <c r="E14" s="65" t="s">
        <v>11</v>
      </c>
      <c r="F14" s="65" t="s">
        <v>12</v>
      </c>
      <c r="G14" s="74" t="s">
        <v>18</v>
      </c>
      <c r="H14" s="74"/>
      <c r="I14" s="74"/>
      <c r="J14" s="75"/>
      <c r="K14" s="35"/>
      <c r="L14" s="37"/>
      <c r="M14" s="35"/>
      <c r="N14" s="35"/>
      <c r="O14" s="35"/>
      <c r="P14" s="35"/>
      <c r="Q14" s="35"/>
      <c r="R14" s="35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</row>
    <row r="15" spans="1:65" s="1" customFormat="1" ht="31.5" customHeight="1" thickBot="1">
      <c r="A15" s="29"/>
      <c r="B15" s="18" t="s">
        <v>8</v>
      </c>
      <c r="C15" s="19" t="s">
        <v>9</v>
      </c>
      <c r="D15" s="19" t="s">
        <v>10</v>
      </c>
      <c r="E15" s="65"/>
      <c r="F15" s="65"/>
      <c r="G15" s="19" t="s">
        <v>14</v>
      </c>
      <c r="H15" s="19" t="s">
        <v>15</v>
      </c>
      <c r="I15" s="19" t="s">
        <v>16</v>
      </c>
      <c r="J15" s="20" t="s">
        <v>7</v>
      </c>
      <c r="K15" s="35"/>
      <c r="L15" s="35"/>
      <c r="M15" s="35"/>
      <c r="N15" s="35"/>
      <c r="O15" s="35"/>
      <c r="P15" s="35"/>
      <c r="Q15" s="35"/>
      <c r="R15" s="35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</row>
    <row r="16" spans="1:65" s="1" customFormat="1" ht="19.899999999999999" customHeight="1" thickTop="1" thickBot="1">
      <c r="A16" s="29"/>
      <c r="B16" s="17"/>
      <c r="C16" s="17"/>
      <c r="D16" s="17"/>
      <c r="E16" s="23">
        <f>F7</f>
        <v>0</v>
      </c>
      <c r="F16" s="48"/>
      <c r="G16" s="15" t="e">
        <f>B16*(E16/F16)^0.25</f>
        <v>#DIV/0!</v>
      </c>
      <c r="H16" s="15" t="e">
        <f>C16*(E16/F16)^0.25</f>
        <v>#DIV/0!</v>
      </c>
      <c r="I16" s="15" t="e">
        <f>D16*(E16/F16)^0.25</f>
        <v>#DIV/0!</v>
      </c>
      <c r="J16" s="15" t="e">
        <f>(G16^4+H16^4+I16^4)^0.25</f>
        <v>#DIV/0!</v>
      </c>
      <c r="K16" s="29"/>
      <c r="L16" s="29"/>
      <c r="M16" s="29"/>
      <c r="N16" s="29"/>
      <c r="O16" s="29"/>
      <c r="P16" s="29"/>
      <c r="Q16" s="29"/>
      <c r="R16" s="29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</row>
    <row r="17" spans="1:65" s="1" customFormat="1" ht="19.899999999999999" customHeight="1" thickTop="1" thickBot="1">
      <c r="A17" s="29"/>
      <c r="B17" s="17"/>
      <c r="C17" s="17"/>
      <c r="D17" s="17"/>
      <c r="E17" s="23">
        <f t="shared" ref="E17:E19" si="0">F8</f>
        <v>0</v>
      </c>
      <c r="F17" s="48"/>
      <c r="G17" s="15" t="e">
        <f>B17*(E17/F17)^0.25</f>
        <v>#DIV/0!</v>
      </c>
      <c r="H17" s="15" t="e">
        <f>C17*(E17/F17)^0.25</f>
        <v>#DIV/0!</v>
      </c>
      <c r="I17" s="15" t="e">
        <f>D17*(E17/F17)^0.25</f>
        <v>#DIV/0!</v>
      </c>
      <c r="J17" s="15" t="e">
        <f>(G17^4+H17^4+I17^4)^0.25</f>
        <v>#DIV/0!</v>
      </c>
      <c r="K17" s="29"/>
      <c r="L17" s="29"/>
      <c r="M17" s="29"/>
      <c r="N17" s="29"/>
      <c r="O17" s="29"/>
      <c r="P17" s="29"/>
      <c r="Q17" s="29"/>
      <c r="R17" s="29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</row>
    <row r="18" spans="1:65" s="1" customFormat="1" ht="19.899999999999999" customHeight="1" thickTop="1" thickBot="1">
      <c r="A18" s="29"/>
      <c r="B18" s="17"/>
      <c r="C18" s="17"/>
      <c r="D18" s="17"/>
      <c r="E18" s="23">
        <f t="shared" si="0"/>
        <v>0</v>
      </c>
      <c r="F18" s="48"/>
      <c r="G18" s="15" t="e">
        <f>B18*(E18/F18)^0.25</f>
        <v>#DIV/0!</v>
      </c>
      <c r="H18" s="15" t="e">
        <f>C18*(E18/F18)^0.25</f>
        <v>#DIV/0!</v>
      </c>
      <c r="I18" s="15" t="e">
        <f>D18*(E18/F18)^0.25</f>
        <v>#DIV/0!</v>
      </c>
      <c r="J18" s="15" t="e">
        <f>(G18^4+H18^4+I18^4)^0.25</f>
        <v>#DIV/0!</v>
      </c>
      <c r="K18" s="29"/>
      <c r="L18" s="29"/>
      <c r="M18" s="29"/>
      <c r="N18" s="29"/>
      <c r="O18" s="29"/>
      <c r="P18" s="29"/>
      <c r="Q18" s="29"/>
      <c r="R18" s="29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</row>
    <row r="19" spans="1:65" s="1" customFormat="1" ht="30" hidden="1" customHeight="1" thickTop="1" thickBot="1">
      <c r="A19" s="29"/>
      <c r="B19" s="9"/>
      <c r="C19" s="9"/>
      <c r="D19" s="9"/>
      <c r="E19" s="12">
        <f t="shared" si="0"/>
        <v>0</v>
      </c>
      <c r="F19" s="9"/>
      <c r="G19" s="15" t="e">
        <f>B19*(E19/F19)^0.25</f>
        <v>#DIV/0!</v>
      </c>
      <c r="H19" s="15" t="e">
        <f>C19*(E19/F19)^0.25</f>
        <v>#DIV/0!</v>
      </c>
      <c r="I19" s="15" t="e">
        <f>D19*(E19/F19)^0.25</f>
        <v>#DIV/0!</v>
      </c>
      <c r="J19" s="16" t="e">
        <f>(G19^4+H19^4+I19^4)^0.25</f>
        <v>#DIV/0!</v>
      </c>
      <c r="K19" s="29"/>
      <c r="L19" s="29"/>
      <c r="M19" s="29"/>
      <c r="N19" s="29"/>
      <c r="O19" s="29"/>
      <c r="P19" s="29"/>
      <c r="Q19" s="29"/>
      <c r="R19" s="29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</row>
    <row r="20" spans="1:65" s="1" customFormat="1" ht="27.75" customHeight="1" thickTop="1" thickBot="1">
      <c r="A20" s="29"/>
      <c r="B20" s="69" t="s">
        <v>21</v>
      </c>
      <c r="C20" s="70"/>
      <c r="D20" s="70"/>
      <c r="E20" s="70"/>
      <c r="F20" s="70"/>
      <c r="G20" s="70"/>
      <c r="H20" s="70"/>
      <c r="I20" s="70"/>
      <c r="J20" s="5" t="e">
        <f>(J16^4+J17^4+J18^4)^0.25</f>
        <v>#DIV/0!</v>
      </c>
      <c r="K20" s="29"/>
      <c r="L20" s="29"/>
      <c r="M20" s="29"/>
      <c r="N20" s="38"/>
      <c r="O20" s="29"/>
      <c r="P20" s="29"/>
      <c r="Q20" s="29"/>
      <c r="R20" s="29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</row>
    <row r="21" spans="1:65" s="40" customFormat="1" ht="110.1" customHeight="1">
      <c r="A21" s="32"/>
      <c r="B21" s="29"/>
      <c r="C21" s="29"/>
      <c r="D21" s="29"/>
      <c r="E21" s="29"/>
      <c r="F21" s="29"/>
      <c r="G21" s="29"/>
      <c r="H21" s="29"/>
      <c r="I21" s="29"/>
      <c r="J21" s="29"/>
      <c r="K21" s="39"/>
      <c r="L21" s="39"/>
    </row>
    <row r="22" spans="1:65" s="33" customFormat="1">
      <c r="A22" s="29"/>
      <c r="B22" s="41"/>
      <c r="C22" s="41"/>
      <c r="D22" s="41"/>
      <c r="E22" s="41"/>
      <c r="F22" s="41"/>
      <c r="G22" s="41"/>
      <c r="H22" s="41"/>
      <c r="I22" s="41"/>
      <c r="J22" s="41"/>
      <c r="K22" s="29"/>
      <c r="L22" s="29"/>
      <c r="M22" s="41"/>
      <c r="N22" s="41"/>
    </row>
    <row r="23" spans="1:65" s="33" customFormat="1"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</row>
    <row r="24" spans="1:65" s="33" customFormat="1"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</row>
    <row r="25" spans="1:65" s="33" customFormat="1"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</row>
    <row r="26" spans="1:65" s="33" customFormat="1"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</row>
    <row r="27" spans="1:65" s="33" customFormat="1"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</row>
    <row r="28" spans="1:65" s="33" customFormat="1"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</row>
    <row r="29" spans="1:65" s="33" customFormat="1">
      <c r="K29" s="41"/>
      <c r="L29" s="41"/>
      <c r="M29" s="41"/>
      <c r="N29" s="41"/>
    </row>
    <row r="30" spans="1:65" s="33" customFormat="1"/>
    <row r="31" spans="1:65" s="33" customFormat="1"/>
    <row r="32" spans="1:65" s="33" customFormat="1"/>
    <row r="33" s="33" customFormat="1"/>
    <row r="34" s="33" customFormat="1"/>
    <row r="35" s="33" customFormat="1"/>
    <row r="36" s="33" customFormat="1"/>
    <row r="37" s="33" customFormat="1"/>
    <row r="38" s="33" customFormat="1"/>
    <row r="39" s="33" customFormat="1"/>
    <row r="40" s="33" customFormat="1"/>
    <row r="41" s="33" customFormat="1"/>
    <row r="42" s="33" customFormat="1"/>
    <row r="43" s="33" customFormat="1"/>
    <row r="44" s="33" customFormat="1"/>
    <row r="45" s="33" customFormat="1"/>
    <row r="46" s="33" customFormat="1"/>
    <row r="47" s="33" customFormat="1"/>
    <row r="48" s="33" customFormat="1"/>
    <row r="49" s="33" customFormat="1"/>
    <row r="50" s="33" customFormat="1"/>
    <row r="51" s="33" customFormat="1"/>
    <row r="52" s="33" customFormat="1"/>
    <row r="53" s="33" customFormat="1"/>
    <row r="54" s="33" customFormat="1"/>
    <row r="55" s="33" customFormat="1"/>
    <row r="56" s="33" customFormat="1"/>
    <row r="57" s="33" customFormat="1"/>
    <row r="58" s="33" customFormat="1"/>
    <row r="59" s="33" customFormat="1"/>
    <row r="60" s="33" customFormat="1"/>
    <row r="61" s="33" customFormat="1"/>
    <row r="62" s="33" customFormat="1"/>
    <row r="63" s="33" customFormat="1"/>
    <row r="64" s="33" customFormat="1"/>
    <row r="65" s="33" customFormat="1"/>
    <row r="66" s="33" customFormat="1"/>
    <row r="67" s="33" customFormat="1"/>
    <row r="68" s="33" customFormat="1"/>
    <row r="69" s="33" customFormat="1"/>
    <row r="70" s="33" customFormat="1"/>
    <row r="71" s="33" customFormat="1"/>
    <row r="72" s="33" customFormat="1"/>
    <row r="73" s="33" customFormat="1"/>
    <row r="74" s="33" customFormat="1"/>
    <row r="75" s="33" customFormat="1"/>
    <row r="76" s="33" customFormat="1"/>
    <row r="77" s="33" customFormat="1"/>
    <row r="78" s="33" customFormat="1"/>
    <row r="79" s="33" customFormat="1"/>
    <row r="80" s="33" customFormat="1"/>
    <row r="81" s="33" customFormat="1"/>
    <row r="82" s="33" customFormat="1"/>
    <row r="83" s="33" customFormat="1"/>
    <row r="84" s="33" customFormat="1"/>
    <row r="85" s="33" customFormat="1"/>
    <row r="86" s="33" customFormat="1"/>
    <row r="87" s="33" customFormat="1"/>
    <row r="88" s="33" customFormat="1"/>
    <row r="89" s="33" customFormat="1"/>
    <row r="90" s="33" customFormat="1"/>
    <row r="91" s="33" customFormat="1"/>
    <row r="92" s="33" customFormat="1"/>
    <row r="93" s="33" customFormat="1"/>
    <row r="94" s="33" customFormat="1"/>
    <row r="95" s="33" customFormat="1"/>
    <row r="96" s="33" customFormat="1"/>
    <row r="97" s="33" customFormat="1"/>
    <row r="98" s="33" customFormat="1"/>
    <row r="99" s="33" customFormat="1"/>
    <row r="100" s="33" customFormat="1"/>
    <row r="101" s="33" customFormat="1"/>
    <row r="102" s="33" customFormat="1"/>
    <row r="103" s="33" customFormat="1"/>
    <row r="104" s="33" customFormat="1"/>
    <row r="105" s="33" customFormat="1"/>
    <row r="106" s="33" customFormat="1"/>
    <row r="107" s="33" customFormat="1"/>
    <row r="108" s="33" customFormat="1"/>
    <row r="109" s="33" customFormat="1"/>
    <row r="110" s="33" customFormat="1"/>
    <row r="111" s="33" customFormat="1"/>
    <row r="112" s="33" customFormat="1"/>
    <row r="113" s="33" customFormat="1"/>
    <row r="114" s="33" customFormat="1"/>
    <row r="115" s="33" customFormat="1"/>
    <row r="116" s="33" customFormat="1"/>
    <row r="117" s="33" customFormat="1"/>
    <row r="118" s="33" customFormat="1"/>
    <row r="119" s="33" customFormat="1"/>
    <row r="120" s="33" customFormat="1"/>
    <row r="121" s="33" customFormat="1"/>
    <row r="122" s="33" customFormat="1"/>
    <row r="123" s="33" customFormat="1"/>
    <row r="124" s="33" customFormat="1"/>
    <row r="125" s="33" customFormat="1"/>
    <row r="126" s="33" customFormat="1"/>
    <row r="127" s="33" customFormat="1"/>
    <row r="128" s="33" customFormat="1"/>
    <row r="129" s="33" customFormat="1"/>
    <row r="130" s="33" customFormat="1"/>
    <row r="131" s="33" customFormat="1"/>
    <row r="132" s="33" customFormat="1"/>
    <row r="133" s="33" customFormat="1"/>
    <row r="134" s="33" customFormat="1"/>
    <row r="135" s="33" customFormat="1"/>
    <row r="136" s="33" customFormat="1"/>
    <row r="137" s="33" customFormat="1"/>
    <row r="138" s="33" customFormat="1"/>
    <row r="139" s="33" customFormat="1"/>
    <row r="140" s="33" customFormat="1"/>
    <row r="141" s="33" customFormat="1"/>
    <row r="142" s="33" customFormat="1"/>
    <row r="143" s="33" customFormat="1"/>
    <row r="144" s="33" customFormat="1"/>
    <row r="145" s="33" customFormat="1"/>
    <row r="146" s="33" customFormat="1"/>
    <row r="147" s="33" customFormat="1"/>
    <row r="148" s="33" customFormat="1"/>
    <row r="149" s="33" customFormat="1"/>
    <row r="150" s="33" customFormat="1"/>
    <row r="151" s="33" customFormat="1"/>
    <row r="152" s="33" customFormat="1"/>
    <row r="153" s="33" customFormat="1"/>
    <row r="154" s="33" customFormat="1"/>
    <row r="155" s="33" customFormat="1"/>
    <row r="156" s="33" customFormat="1"/>
    <row r="157" s="33" customFormat="1"/>
    <row r="158" s="33" customFormat="1"/>
    <row r="159" s="33" customFormat="1"/>
    <row r="160" s="33" customFormat="1"/>
    <row r="161" s="33" customFormat="1"/>
    <row r="162" s="33" customFormat="1"/>
    <row r="163" s="33" customFormat="1"/>
    <row r="164" s="33" customFormat="1"/>
    <row r="165" s="33" customFormat="1"/>
    <row r="166" s="33" customFormat="1"/>
    <row r="167" s="33" customFormat="1"/>
    <row r="168" s="33" customFormat="1"/>
    <row r="169" s="33" customFormat="1"/>
    <row r="170" s="33" customFormat="1"/>
    <row r="171" s="33" customFormat="1"/>
    <row r="172" s="33" customFormat="1"/>
    <row r="173" s="33" customFormat="1"/>
    <row r="174" s="33" customFormat="1"/>
    <row r="175" s="33" customFormat="1"/>
    <row r="176" s="33" customFormat="1"/>
    <row r="177" s="33" customFormat="1"/>
    <row r="178" s="33" customFormat="1"/>
    <row r="179" s="33" customFormat="1"/>
    <row r="180" s="33" customFormat="1"/>
    <row r="181" s="33" customFormat="1"/>
    <row r="182" s="33" customFormat="1"/>
    <row r="183" s="33" customFormat="1"/>
    <row r="184" s="33" customFormat="1"/>
    <row r="185" s="33" customFormat="1"/>
    <row r="186" s="33" customFormat="1"/>
    <row r="187" s="33" customFormat="1"/>
    <row r="188" s="33" customFormat="1"/>
    <row r="189" s="33" customFormat="1"/>
    <row r="190" s="33" customFormat="1"/>
    <row r="191" s="33" customFormat="1"/>
    <row r="192" s="33" customFormat="1"/>
    <row r="193" s="33" customFormat="1"/>
    <row r="194" s="33" customFormat="1"/>
    <row r="195" s="33" customFormat="1"/>
    <row r="196" s="33" customFormat="1"/>
    <row r="197" s="33" customFormat="1"/>
    <row r="198" s="33" customFormat="1"/>
    <row r="199" s="33" customFormat="1"/>
    <row r="200" s="33" customFormat="1"/>
    <row r="201" s="33" customFormat="1"/>
    <row r="202" s="33" customFormat="1"/>
    <row r="203" s="33" customFormat="1"/>
    <row r="204" s="33" customFormat="1"/>
    <row r="205" s="33" customFormat="1"/>
    <row r="206" s="33" customFormat="1"/>
    <row r="207" s="33" customFormat="1"/>
    <row r="208" s="33" customFormat="1"/>
    <row r="209" s="33" customFormat="1"/>
    <row r="210" s="33" customFormat="1"/>
    <row r="211" s="33" customFormat="1"/>
    <row r="212" s="33" customFormat="1"/>
    <row r="213" s="33" customFormat="1"/>
    <row r="214" s="33" customFormat="1"/>
    <row r="215" s="33" customFormat="1"/>
    <row r="216" s="33" customFormat="1"/>
    <row r="217" s="33" customFormat="1"/>
    <row r="218" s="33" customFormat="1"/>
    <row r="219" s="33" customFormat="1"/>
    <row r="220" s="33" customFormat="1"/>
    <row r="221" s="33" customFormat="1"/>
    <row r="222" s="33" customFormat="1"/>
    <row r="223" s="33" customFormat="1"/>
    <row r="224" s="33" customFormat="1"/>
    <row r="225" s="33" customFormat="1"/>
    <row r="226" s="33" customFormat="1"/>
    <row r="227" s="33" customFormat="1"/>
    <row r="228" s="33" customFormat="1"/>
    <row r="229" s="33" customFormat="1"/>
    <row r="230" s="33" customFormat="1"/>
    <row r="231" s="33" customFormat="1"/>
    <row r="232" s="33" customFormat="1"/>
    <row r="233" s="33" customFormat="1"/>
    <row r="234" s="33" customFormat="1"/>
    <row r="235" s="33" customFormat="1"/>
    <row r="236" s="33" customFormat="1"/>
    <row r="237" s="33" customFormat="1"/>
    <row r="238" s="33" customFormat="1"/>
    <row r="239" s="33" customFormat="1"/>
    <row r="240" s="33" customFormat="1"/>
    <row r="241" s="33" customFormat="1"/>
    <row r="242" s="33" customFormat="1"/>
    <row r="243" s="33" customFormat="1"/>
    <row r="244" s="33" customFormat="1"/>
    <row r="245" s="33" customFormat="1"/>
    <row r="246" s="33" customFormat="1"/>
    <row r="247" s="33" customFormat="1"/>
    <row r="248" s="33" customFormat="1"/>
    <row r="249" s="33" customFormat="1"/>
    <row r="250" s="33" customFormat="1"/>
    <row r="251" s="33" customFormat="1"/>
    <row r="252" s="33" customFormat="1"/>
    <row r="253" s="33" customFormat="1"/>
    <row r="254" s="33" customFormat="1"/>
    <row r="255" s="33" customFormat="1"/>
    <row r="256" s="33" customFormat="1"/>
    <row r="257" s="33" customFormat="1"/>
    <row r="258" s="33" customFormat="1"/>
    <row r="259" s="33" customFormat="1"/>
    <row r="260" s="33" customFormat="1"/>
    <row r="261" s="33" customFormat="1"/>
    <row r="262" s="33" customFormat="1"/>
    <row r="263" s="33" customFormat="1"/>
    <row r="264" s="33" customFormat="1"/>
    <row r="265" s="33" customFormat="1"/>
    <row r="266" s="33" customFormat="1"/>
    <row r="267" s="33" customFormat="1"/>
    <row r="268" s="33" customFormat="1"/>
    <row r="269" s="33" customFormat="1"/>
    <row r="270" s="33" customFormat="1"/>
    <row r="271" s="33" customFormat="1"/>
    <row r="272" s="33" customFormat="1"/>
    <row r="273" s="33" customFormat="1"/>
    <row r="274" s="33" customFormat="1"/>
    <row r="275" s="33" customFormat="1"/>
    <row r="276" s="33" customFormat="1"/>
    <row r="277" s="33" customFormat="1"/>
    <row r="278" s="33" customFormat="1"/>
    <row r="279" s="33" customFormat="1"/>
    <row r="280" s="33" customFormat="1"/>
    <row r="281" s="33" customFormat="1"/>
    <row r="282" s="33" customFormat="1"/>
    <row r="283" s="33" customFormat="1"/>
    <row r="284" s="33" customFormat="1"/>
    <row r="285" s="33" customFormat="1"/>
    <row r="286" s="33" customFormat="1"/>
    <row r="287" s="33" customFormat="1"/>
    <row r="288" s="33" customFormat="1"/>
    <row r="289" s="33" customFormat="1"/>
    <row r="290" s="33" customFormat="1"/>
    <row r="291" s="33" customFormat="1"/>
    <row r="292" s="33" customFormat="1"/>
    <row r="293" s="33" customFormat="1"/>
    <row r="294" s="33" customFormat="1"/>
    <row r="295" s="33" customFormat="1"/>
    <row r="296" s="33" customFormat="1"/>
    <row r="297" s="33" customFormat="1"/>
    <row r="298" s="33" customFormat="1"/>
    <row r="299" s="33" customFormat="1"/>
    <row r="300" s="33" customFormat="1"/>
    <row r="301" s="33" customFormat="1"/>
    <row r="302" s="33" customFormat="1"/>
    <row r="303" s="33" customFormat="1"/>
    <row r="304" s="33" customFormat="1"/>
    <row r="305" s="33" customFormat="1"/>
    <row r="306" s="33" customFormat="1"/>
    <row r="307" s="33" customFormat="1"/>
    <row r="308" s="33" customFormat="1"/>
    <row r="309" s="33" customFormat="1"/>
    <row r="310" s="33" customFormat="1"/>
    <row r="311" s="33" customFormat="1"/>
    <row r="312" s="33" customFormat="1"/>
    <row r="313" s="33" customFormat="1"/>
    <row r="314" s="33" customFormat="1"/>
    <row r="315" s="33" customFormat="1"/>
    <row r="316" s="33" customFormat="1"/>
    <row r="317" s="33" customFormat="1"/>
    <row r="318" s="33" customFormat="1"/>
    <row r="319" s="33" customFormat="1"/>
    <row r="320" s="33" customFormat="1"/>
    <row r="321" s="33" customFormat="1"/>
    <row r="322" s="33" customFormat="1"/>
    <row r="323" s="33" customFormat="1"/>
    <row r="324" s="33" customFormat="1"/>
    <row r="325" s="33" customFormat="1"/>
    <row r="326" s="33" customFormat="1"/>
    <row r="327" s="33" customFormat="1"/>
    <row r="328" s="33" customFormat="1"/>
    <row r="329" s="33" customFormat="1"/>
    <row r="330" s="33" customFormat="1"/>
    <row r="331" s="33" customFormat="1"/>
    <row r="332" s="33" customFormat="1"/>
    <row r="333" s="33" customFormat="1"/>
    <row r="334" s="33" customFormat="1"/>
    <row r="335" s="33" customFormat="1"/>
    <row r="336" s="33" customFormat="1"/>
    <row r="337" s="33" customFormat="1"/>
    <row r="338" s="33" customFormat="1"/>
    <row r="339" s="33" customFormat="1"/>
    <row r="340" s="33" customFormat="1"/>
    <row r="341" s="33" customFormat="1"/>
    <row r="342" s="33" customFormat="1"/>
    <row r="343" s="33" customFormat="1"/>
    <row r="344" s="33" customFormat="1"/>
    <row r="345" s="33" customFormat="1"/>
    <row r="346" s="33" customFormat="1"/>
    <row r="347" s="33" customFormat="1"/>
    <row r="348" s="33" customFormat="1"/>
    <row r="349" s="33" customFormat="1"/>
    <row r="350" s="33" customFormat="1"/>
    <row r="351" s="33" customFormat="1"/>
    <row r="352" s="33" customFormat="1"/>
    <row r="353" s="33" customFormat="1"/>
    <row r="354" s="33" customFormat="1"/>
    <row r="355" s="33" customFormat="1"/>
    <row r="356" s="33" customFormat="1"/>
    <row r="357" s="33" customFormat="1"/>
    <row r="358" s="33" customFormat="1"/>
    <row r="359" s="33" customFormat="1"/>
    <row r="360" s="33" customFormat="1"/>
    <row r="361" s="33" customFormat="1"/>
    <row r="362" s="33" customFormat="1"/>
    <row r="363" s="33" customFormat="1"/>
    <row r="364" s="33" customFormat="1"/>
    <row r="365" s="33" customFormat="1"/>
    <row r="366" s="33" customFormat="1"/>
    <row r="367" s="33" customFormat="1"/>
    <row r="368" s="33" customFormat="1"/>
    <row r="369" s="33" customFormat="1"/>
    <row r="370" s="33" customFormat="1"/>
    <row r="371" s="33" customFormat="1"/>
    <row r="372" s="33" customFormat="1"/>
    <row r="373" s="33" customFormat="1"/>
    <row r="374" s="33" customFormat="1"/>
    <row r="375" s="33" customFormat="1"/>
    <row r="376" s="33" customFormat="1"/>
    <row r="377" s="33" customFormat="1"/>
    <row r="378" s="33" customFormat="1"/>
    <row r="379" s="33" customFormat="1"/>
    <row r="380" s="33" customFormat="1"/>
    <row r="381" s="33" customFormat="1"/>
    <row r="382" s="33" customFormat="1"/>
    <row r="383" s="33" customFormat="1"/>
    <row r="384" s="33" customFormat="1"/>
    <row r="385" s="33" customFormat="1"/>
    <row r="386" s="33" customFormat="1"/>
    <row r="387" s="33" customFormat="1"/>
    <row r="388" s="33" customFormat="1"/>
    <row r="389" s="33" customFormat="1"/>
    <row r="390" s="33" customFormat="1"/>
    <row r="391" s="33" customFormat="1"/>
    <row r="392" s="33" customFormat="1"/>
    <row r="393" s="33" customFormat="1"/>
    <row r="394" s="33" customFormat="1"/>
    <row r="395" s="33" customFormat="1"/>
    <row r="396" s="33" customFormat="1"/>
    <row r="397" s="33" customFormat="1"/>
    <row r="398" s="33" customFormat="1"/>
    <row r="399" s="33" customFormat="1"/>
    <row r="400" s="33" customFormat="1"/>
    <row r="401" s="33" customFormat="1"/>
    <row r="402" s="33" customFormat="1"/>
    <row r="403" s="33" customFormat="1"/>
    <row r="404" s="33" customFormat="1"/>
    <row r="405" s="33" customFormat="1"/>
    <row r="406" s="33" customFormat="1"/>
    <row r="407" s="33" customFormat="1"/>
    <row r="408" s="33" customFormat="1"/>
    <row r="409" s="33" customFormat="1"/>
    <row r="410" s="33" customFormat="1"/>
    <row r="411" s="33" customFormat="1"/>
    <row r="412" s="33" customFormat="1"/>
    <row r="413" s="33" customFormat="1"/>
    <row r="414" s="33" customFormat="1"/>
    <row r="415" s="33" customFormat="1"/>
    <row r="416" s="33" customFormat="1"/>
    <row r="417" s="33" customFormat="1"/>
    <row r="418" s="33" customFormat="1"/>
    <row r="419" s="33" customFormat="1"/>
    <row r="420" s="33" customFormat="1"/>
    <row r="421" s="33" customFormat="1"/>
    <row r="422" s="33" customFormat="1"/>
    <row r="423" s="33" customFormat="1"/>
    <row r="424" s="33" customFormat="1"/>
    <row r="425" s="33" customFormat="1"/>
    <row r="426" s="33" customFormat="1"/>
    <row r="427" s="33" customFormat="1"/>
    <row r="428" s="33" customFormat="1"/>
    <row r="429" s="33" customFormat="1"/>
    <row r="430" s="33" customFormat="1"/>
    <row r="431" s="33" customFormat="1"/>
    <row r="432" s="33" customFormat="1"/>
    <row r="433" s="33" customFormat="1"/>
    <row r="434" s="33" customFormat="1"/>
    <row r="435" s="33" customFormat="1"/>
    <row r="436" s="33" customFormat="1"/>
    <row r="437" s="33" customFormat="1"/>
    <row r="438" s="33" customFormat="1"/>
    <row r="439" s="33" customFormat="1"/>
    <row r="440" s="33" customFormat="1"/>
    <row r="441" s="33" customFormat="1"/>
    <row r="442" s="33" customFormat="1"/>
    <row r="443" s="33" customFormat="1"/>
    <row r="444" s="33" customFormat="1"/>
    <row r="445" s="33" customFormat="1"/>
    <row r="446" s="33" customFormat="1"/>
    <row r="447" s="33" customFormat="1"/>
    <row r="448" s="33" customFormat="1"/>
    <row r="449" s="33" customFormat="1"/>
    <row r="450" s="33" customFormat="1"/>
    <row r="451" s="33" customFormat="1"/>
    <row r="452" s="33" customFormat="1"/>
    <row r="453" s="33" customFormat="1"/>
    <row r="454" s="33" customFormat="1"/>
    <row r="455" s="33" customFormat="1"/>
    <row r="456" s="33" customFormat="1"/>
    <row r="457" s="33" customFormat="1"/>
    <row r="458" s="33" customFormat="1"/>
    <row r="459" s="33" customFormat="1"/>
    <row r="460" s="33" customFormat="1"/>
    <row r="461" s="33" customFormat="1"/>
    <row r="462" s="33" customFormat="1"/>
    <row r="463" s="33" customFormat="1"/>
    <row r="464" s="33" customFormat="1"/>
    <row r="465" s="33" customFormat="1"/>
    <row r="466" s="33" customFormat="1"/>
    <row r="467" s="33" customFormat="1"/>
    <row r="468" s="33" customFormat="1"/>
    <row r="469" s="33" customFormat="1"/>
    <row r="470" s="33" customFormat="1"/>
    <row r="471" s="33" customFormat="1"/>
    <row r="472" s="33" customFormat="1"/>
    <row r="473" s="33" customFormat="1"/>
    <row r="474" s="33" customFormat="1"/>
    <row r="475" s="33" customFormat="1"/>
    <row r="476" s="33" customFormat="1"/>
    <row r="477" s="33" customFormat="1"/>
    <row r="478" s="33" customFormat="1"/>
    <row r="479" s="33" customFormat="1"/>
    <row r="480" s="33" customFormat="1"/>
    <row r="481" s="33" customFormat="1"/>
    <row r="482" s="33" customFormat="1"/>
    <row r="483" s="33" customFormat="1"/>
    <row r="484" s="33" customFormat="1"/>
    <row r="485" s="33" customFormat="1"/>
    <row r="486" s="33" customFormat="1"/>
    <row r="487" s="33" customFormat="1"/>
    <row r="488" s="33" customFormat="1"/>
    <row r="489" s="33" customFormat="1"/>
    <row r="490" s="33" customFormat="1"/>
    <row r="491" s="33" customFormat="1"/>
    <row r="492" s="33" customFormat="1"/>
    <row r="493" s="33" customFormat="1"/>
    <row r="494" s="33" customFormat="1"/>
    <row r="495" s="33" customFormat="1"/>
    <row r="496" s="33" customFormat="1"/>
    <row r="497" s="33" customFormat="1"/>
    <row r="498" s="33" customFormat="1"/>
    <row r="499" s="33" customFormat="1"/>
    <row r="500" s="33" customFormat="1"/>
    <row r="501" s="33" customFormat="1"/>
    <row r="502" s="33" customFormat="1"/>
    <row r="503" s="33" customFormat="1"/>
    <row r="504" s="33" customFormat="1"/>
    <row r="505" s="33" customFormat="1"/>
    <row r="506" s="33" customFormat="1"/>
    <row r="507" s="33" customFormat="1"/>
    <row r="508" s="33" customFormat="1"/>
    <row r="509" s="33" customFormat="1"/>
    <row r="510" s="33" customFormat="1"/>
    <row r="511" s="33" customFormat="1"/>
    <row r="512" s="33" customFormat="1"/>
    <row r="513" s="33" customFormat="1"/>
    <row r="514" s="33" customFormat="1"/>
    <row r="515" s="33" customFormat="1"/>
    <row r="516" s="33" customFormat="1"/>
    <row r="517" s="33" customFormat="1"/>
  </sheetData>
  <sheetProtection password="CB8D" sheet="1" objects="1" scenarios="1" selectLockedCells="1"/>
  <mergeCells count="22">
    <mergeCell ref="B20:I20"/>
    <mergeCell ref="F10:G10"/>
    <mergeCell ref="H10:J10"/>
    <mergeCell ref="H11:J11"/>
    <mergeCell ref="B12:J12"/>
    <mergeCell ref="B13:J13"/>
    <mergeCell ref="B14:D14"/>
    <mergeCell ref="E14:E15"/>
    <mergeCell ref="F14:F15"/>
    <mergeCell ref="G14:J14"/>
    <mergeCell ref="F7:G7"/>
    <mergeCell ref="H7:J7"/>
    <mergeCell ref="F8:G8"/>
    <mergeCell ref="H8:J8"/>
    <mergeCell ref="F9:G9"/>
    <mergeCell ref="H9:J9"/>
    <mergeCell ref="B1:J2"/>
    <mergeCell ref="B4:J4"/>
    <mergeCell ref="B5:E5"/>
    <mergeCell ref="F5:J5"/>
    <mergeCell ref="F6:G6"/>
    <mergeCell ref="H6:J6"/>
  </mergeCells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BM517"/>
  <sheetViews>
    <sheetView topLeftCell="A4" workbookViewId="0">
      <selection activeCell="B7" sqref="B7"/>
    </sheetView>
  </sheetViews>
  <sheetFormatPr defaultRowHeight="15"/>
  <cols>
    <col min="1" max="1" width="3.7109375" style="33" customWidth="1"/>
    <col min="5" max="5" width="12.7109375" customWidth="1"/>
    <col min="6" max="6" width="12.28515625" customWidth="1"/>
    <col min="7" max="7" width="13" customWidth="1"/>
    <col min="11" max="65" width="8.85546875" style="33"/>
  </cols>
  <sheetData>
    <row r="1" spans="1:65" ht="14.45" customHeight="1">
      <c r="A1" s="25" t="s">
        <v>22</v>
      </c>
      <c r="B1" s="53"/>
      <c r="C1" s="54"/>
      <c r="D1" s="54"/>
      <c r="E1" s="54"/>
      <c r="F1" s="54"/>
      <c r="G1" s="54"/>
      <c r="H1" s="54"/>
      <c r="I1" s="54"/>
      <c r="J1" s="55"/>
      <c r="K1" s="26"/>
      <c r="L1" s="26"/>
      <c r="M1" s="26"/>
      <c r="N1" s="26"/>
      <c r="O1" s="26"/>
      <c r="P1" s="26"/>
      <c r="Q1" s="26"/>
      <c r="R1" s="26"/>
    </row>
    <row r="2" spans="1:65" ht="54.6" customHeight="1">
      <c r="A2" s="26"/>
      <c r="B2" s="56"/>
      <c r="C2" s="57"/>
      <c r="D2" s="57"/>
      <c r="E2" s="57"/>
      <c r="F2" s="57"/>
      <c r="G2" s="57"/>
      <c r="H2" s="57"/>
      <c r="I2" s="57"/>
      <c r="J2" s="58"/>
      <c r="K2" s="26"/>
      <c r="L2" s="26"/>
      <c r="M2" s="26"/>
      <c r="N2" s="26"/>
      <c r="O2" s="26"/>
      <c r="P2" s="26"/>
      <c r="Q2" s="26"/>
      <c r="R2" s="26"/>
    </row>
    <row r="3" spans="1:65" ht="14.45" hidden="1" customHeight="1">
      <c r="A3" s="26"/>
      <c r="B3" s="6"/>
      <c r="C3" s="7"/>
      <c r="D3" s="7"/>
      <c r="E3" s="7"/>
      <c r="F3" s="7"/>
      <c r="G3" s="7"/>
      <c r="H3" s="7"/>
      <c r="I3" s="7"/>
      <c r="J3" s="8"/>
      <c r="K3" s="26"/>
      <c r="L3" s="26"/>
      <c r="M3" s="26"/>
      <c r="N3" s="26"/>
      <c r="O3" s="26"/>
      <c r="P3" s="26"/>
      <c r="Q3" s="26"/>
      <c r="R3" s="26"/>
    </row>
    <row r="4" spans="1:65" ht="20.100000000000001" customHeight="1">
      <c r="A4" s="27"/>
      <c r="B4" s="59" t="s">
        <v>20</v>
      </c>
      <c r="C4" s="60"/>
      <c r="D4" s="60"/>
      <c r="E4" s="60"/>
      <c r="F4" s="60"/>
      <c r="G4" s="60"/>
      <c r="H4" s="60"/>
      <c r="I4" s="60"/>
      <c r="J4" s="61"/>
      <c r="K4" s="26"/>
      <c r="L4" s="26"/>
      <c r="M4" s="26"/>
      <c r="N4" s="26"/>
      <c r="O4" s="26"/>
      <c r="P4" s="26"/>
      <c r="Q4" s="26"/>
      <c r="R4" s="26"/>
    </row>
    <row r="5" spans="1:65" s="1" customFormat="1">
      <c r="A5" s="28"/>
      <c r="B5" s="62" t="s">
        <v>0</v>
      </c>
      <c r="C5" s="63"/>
      <c r="D5" s="63"/>
      <c r="E5" s="63"/>
      <c r="F5" s="63" t="s">
        <v>20</v>
      </c>
      <c r="G5" s="63"/>
      <c r="H5" s="63"/>
      <c r="I5" s="63"/>
      <c r="J5" s="64"/>
      <c r="K5" s="34"/>
      <c r="L5" s="34"/>
      <c r="M5" s="34"/>
      <c r="N5" s="34"/>
      <c r="O5" s="34"/>
      <c r="P5" s="34"/>
      <c r="Q5" s="34"/>
      <c r="R5" s="34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</row>
    <row r="6" spans="1:65" s="1" customFormat="1" ht="43.5" customHeight="1" thickBot="1">
      <c r="A6" s="29"/>
      <c r="B6" s="3" t="s">
        <v>1</v>
      </c>
      <c r="C6" s="2" t="s">
        <v>2</v>
      </c>
      <c r="D6" s="2" t="s">
        <v>3</v>
      </c>
      <c r="E6" s="2" t="s">
        <v>4</v>
      </c>
      <c r="F6" s="65" t="s">
        <v>5</v>
      </c>
      <c r="G6" s="65"/>
      <c r="H6" s="65" t="s">
        <v>6</v>
      </c>
      <c r="I6" s="65"/>
      <c r="J6" s="66"/>
      <c r="K6" s="35"/>
      <c r="L6" s="34"/>
      <c r="M6" s="34"/>
      <c r="N6" s="34"/>
      <c r="O6" s="34"/>
      <c r="P6" s="34"/>
      <c r="Q6" s="34"/>
      <c r="R6" s="34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</row>
    <row r="7" spans="1:65" s="1" customFormat="1" ht="18" customHeight="1" thickTop="1" thickBot="1">
      <c r="A7" s="30"/>
      <c r="B7" s="17"/>
      <c r="C7" s="17"/>
      <c r="D7" s="17"/>
      <c r="E7" s="10">
        <f>SQRT(B7^2+C7^2+D7^2)</f>
        <v>0</v>
      </c>
      <c r="F7" s="67"/>
      <c r="G7" s="67"/>
      <c r="H7" s="68">
        <f>E7*SQRT(F7/480)</f>
        <v>0</v>
      </c>
      <c r="I7" s="68"/>
      <c r="J7" s="68"/>
      <c r="K7" s="34"/>
      <c r="L7" s="34"/>
      <c r="M7" s="34"/>
      <c r="N7" s="34"/>
      <c r="O7" s="34"/>
      <c r="P7" s="34"/>
      <c r="Q7" s="34"/>
      <c r="R7" s="34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</row>
    <row r="8" spans="1:65" s="1" customFormat="1" ht="18" customHeight="1" thickTop="1" thickBot="1">
      <c r="A8" s="30"/>
      <c r="B8" s="17"/>
      <c r="C8" s="17"/>
      <c r="D8" s="17"/>
      <c r="E8" s="10">
        <f>SQRT(B8^2+C8^2+D8^2)</f>
        <v>0</v>
      </c>
      <c r="F8" s="67"/>
      <c r="G8" s="67"/>
      <c r="H8" s="68">
        <f>E8*SQRT(F8/480)</f>
        <v>0</v>
      </c>
      <c r="I8" s="68"/>
      <c r="J8" s="68"/>
      <c r="K8" s="34"/>
      <c r="L8" s="34"/>
      <c r="M8" s="34"/>
      <c r="N8" s="34"/>
      <c r="O8" s="34"/>
      <c r="P8" s="34"/>
      <c r="Q8" s="34"/>
      <c r="R8" s="34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</row>
    <row r="9" spans="1:65" s="1" customFormat="1" ht="18" customHeight="1" thickTop="1" thickBot="1">
      <c r="A9" s="30"/>
      <c r="B9" s="17"/>
      <c r="C9" s="17"/>
      <c r="D9" s="17"/>
      <c r="E9" s="10">
        <f>SQRT(B9^2+C9^2+D9^2)</f>
        <v>0</v>
      </c>
      <c r="F9" s="67"/>
      <c r="G9" s="67"/>
      <c r="H9" s="68">
        <f>E9*SQRT(F9/480)</f>
        <v>0</v>
      </c>
      <c r="I9" s="68"/>
      <c r="J9" s="68"/>
      <c r="K9" s="34"/>
      <c r="L9" s="34"/>
      <c r="M9" s="34"/>
      <c r="N9" s="34"/>
      <c r="O9" s="34"/>
      <c r="P9" s="34"/>
      <c r="Q9" s="34"/>
      <c r="R9" s="34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</row>
    <row r="10" spans="1:65" s="1" customFormat="1" ht="18" customHeight="1" thickTop="1" thickBot="1">
      <c r="A10" s="30"/>
      <c r="B10" s="17"/>
      <c r="C10" s="17"/>
      <c r="D10" s="17"/>
      <c r="E10" s="10">
        <f>SQRT(B10^2+C10^2+D10^2)</f>
        <v>0</v>
      </c>
      <c r="F10" s="67"/>
      <c r="G10" s="67"/>
      <c r="H10" s="68">
        <f>E10*SQRT(F10/480)</f>
        <v>0</v>
      </c>
      <c r="I10" s="68"/>
      <c r="J10" s="68"/>
      <c r="K10" s="34"/>
      <c r="L10" s="34"/>
      <c r="M10" s="34"/>
      <c r="N10" s="34"/>
      <c r="O10" s="34"/>
      <c r="P10" s="34"/>
      <c r="Q10" s="34"/>
      <c r="R10" s="34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</row>
    <row r="11" spans="1:65" s="1" customFormat="1" ht="16.5" thickTop="1" thickBot="1">
      <c r="A11" s="30"/>
      <c r="B11" s="13"/>
      <c r="C11" s="14"/>
      <c r="D11" s="14"/>
      <c r="E11" s="14"/>
      <c r="F11" s="22">
        <f>SUM(F7:G10)</f>
        <v>0</v>
      </c>
      <c r="G11" s="24" t="s">
        <v>20</v>
      </c>
      <c r="H11" s="71" t="e">
        <f>L13</f>
        <v>#DIV/0!</v>
      </c>
      <c r="I11" s="71"/>
      <c r="J11" s="72"/>
      <c r="K11" s="34"/>
      <c r="L11" s="42">
        <f>SQRT(((0.8^2*80)+(0.3^2*20)+(0.7^2*120)+(0.35^2*20))/240)</f>
        <v>0.68995772817373868</v>
      </c>
      <c r="M11" s="43"/>
      <c r="N11" s="34"/>
      <c r="O11" s="34"/>
      <c r="P11" s="34"/>
      <c r="Q11" s="34"/>
      <c r="R11" s="34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</row>
    <row r="12" spans="1:65" ht="20.100000000000001" customHeight="1" thickTop="1">
      <c r="A12" s="31" t="s">
        <v>19</v>
      </c>
      <c r="B12" s="59" t="s">
        <v>7</v>
      </c>
      <c r="C12" s="60"/>
      <c r="D12" s="60"/>
      <c r="E12" s="60"/>
      <c r="F12" s="60"/>
      <c r="G12" s="60"/>
      <c r="H12" s="60"/>
      <c r="I12" s="60"/>
      <c r="J12" s="61"/>
      <c r="K12" s="36"/>
      <c r="L12" s="44" t="e">
        <f>SQRT(((E7^2*F7)+(E8^2*F8)+(E9^2*F9)+(E10^2*F10))/F11)</f>
        <v>#DIV/0!</v>
      </c>
      <c r="M12" s="45"/>
      <c r="N12" s="36"/>
      <c r="O12" s="36"/>
      <c r="P12" s="36"/>
      <c r="Q12" s="36"/>
      <c r="R12" s="36"/>
    </row>
    <row r="13" spans="1:65" s="1" customFormat="1">
      <c r="A13" s="29"/>
      <c r="B13" s="62" t="s">
        <v>13</v>
      </c>
      <c r="C13" s="63"/>
      <c r="D13" s="63"/>
      <c r="E13" s="63"/>
      <c r="F13" s="63"/>
      <c r="G13" s="63"/>
      <c r="H13" s="63"/>
      <c r="I13" s="63"/>
      <c r="J13" s="64"/>
      <c r="K13" s="35"/>
      <c r="L13" s="46" t="e">
        <f>L12*(SQRT(F11/480))</f>
        <v>#DIV/0!</v>
      </c>
      <c r="M13" s="47"/>
      <c r="N13" s="35"/>
      <c r="O13" s="35"/>
      <c r="P13" s="35"/>
      <c r="Q13" s="35"/>
      <c r="R13" s="35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</row>
    <row r="14" spans="1:65" s="1" customFormat="1" ht="15" customHeight="1">
      <c r="A14" s="29"/>
      <c r="B14" s="73" t="s">
        <v>17</v>
      </c>
      <c r="C14" s="74"/>
      <c r="D14" s="74"/>
      <c r="E14" s="65" t="s">
        <v>11</v>
      </c>
      <c r="F14" s="65" t="s">
        <v>12</v>
      </c>
      <c r="G14" s="74" t="s">
        <v>18</v>
      </c>
      <c r="H14" s="74"/>
      <c r="I14" s="74"/>
      <c r="J14" s="75"/>
      <c r="K14" s="35"/>
      <c r="L14" s="37"/>
      <c r="M14" s="35"/>
      <c r="N14" s="35"/>
      <c r="O14" s="35"/>
      <c r="P14" s="35"/>
      <c r="Q14" s="35"/>
      <c r="R14" s="35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</row>
    <row r="15" spans="1:65" s="1" customFormat="1" ht="31.5" customHeight="1" thickBot="1">
      <c r="A15" s="29"/>
      <c r="B15" s="3" t="s">
        <v>8</v>
      </c>
      <c r="C15" s="2" t="s">
        <v>9</v>
      </c>
      <c r="D15" s="2" t="s">
        <v>10</v>
      </c>
      <c r="E15" s="65"/>
      <c r="F15" s="65"/>
      <c r="G15" s="2" t="s">
        <v>14</v>
      </c>
      <c r="H15" s="2" t="s">
        <v>15</v>
      </c>
      <c r="I15" s="2" t="s">
        <v>16</v>
      </c>
      <c r="J15" s="4" t="s">
        <v>7</v>
      </c>
      <c r="K15" s="35"/>
      <c r="L15" s="35"/>
      <c r="M15" s="35"/>
      <c r="N15" s="35"/>
      <c r="O15" s="35"/>
      <c r="P15" s="35"/>
      <c r="Q15" s="35"/>
      <c r="R15" s="35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</row>
    <row r="16" spans="1:65" s="1" customFormat="1" ht="30" customHeight="1" thickTop="1" thickBot="1">
      <c r="A16" s="29"/>
      <c r="B16" s="17"/>
      <c r="C16" s="17"/>
      <c r="D16" s="17"/>
      <c r="E16" s="23">
        <f>F7</f>
        <v>0</v>
      </c>
      <c r="F16" s="48"/>
      <c r="G16" s="15" t="e">
        <f>B16*(E16/F16)^0.25</f>
        <v>#DIV/0!</v>
      </c>
      <c r="H16" s="15" t="e">
        <f>C16*(E16/F16)^0.25</f>
        <v>#DIV/0!</v>
      </c>
      <c r="I16" s="15" t="e">
        <f>D16*(E16/F16)^0.25</f>
        <v>#DIV/0!</v>
      </c>
      <c r="J16" s="15" t="e">
        <f>(G16^4+H16^4+I16^4)^0.25</f>
        <v>#DIV/0!</v>
      </c>
      <c r="K16" s="29"/>
      <c r="L16" s="29"/>
      <c r="M16" s="29"/>
      <c r="N16" s="29"/>
      <c r="O16" s="29"/>
      <c r="P16" s="29"/>
      <c r="Q16" s="29"/>
      <c r="R16" s="29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</row>
    <row r="17" spans="1:65" s="1" customFormat="1" ht="30" customHeight="1" thickTop="1" thickBot="1">
      <c r="A17" s="29"/>
      <c r="B17" s="17"/>
      <c r="C17" s="17"/>
      <c r="D17" s="17"/>
      <c r="E17" s="23">
        <f t="shared" ref="E17:E19" si="0">F8</f>
        <v>0</v>
      </c>
      <c r="F17" s="48"/>
      <c r="G17" s="15" t="e">
        <f>B17*(E17/F17)^0.25</f>
        <v>#DIV/0!</v>
      </c>
      <c r="H17" s="15" t="e">
        <f>C17*(E17/F17)^0.25</f>
        <v>#DIV/0!</v>
      </c>
      <c r="I17" s="15" t="e">
        <f>D17*(E17/F17)^0.25</f>
        <v>#DIV/0!</v>
      </c>
      <c r="J17" s="15" t="e">
        <f>(G17^4+H17^4+I17^4)^0.25</f>
        <v>#DIV/0!</v>
      </c>
      <c r="K17" s="29"/>
      <c r="L17" s="29"/>
      <c r="M17" s="29"/>
      <c r="N17" s="29"/>
      <c r="O17" s="29"/>
      <c r="P17" s="29"/>
      <c r="Q17" s="29"/>
      <c r="R17" s="29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</row>
    <row r="18" spans="1:65" s="1" customFormat="1" ht="30" customHeight="1" thickTop="1" thickBot="1">
      <c r="A18" s="29"/>
      <c r="B18" s="17"/>
      <c r="C18" s="17"/>
      <c r="D18" s="17"/>
      <c r="E18" s="23">
        <f t="shared" si="0"/>
        <v>0</v>
      </c>
      <c r="F18" s="48"/>
      <c r="G18" s="15" t="e">
        <f>B18*(E18/F18)^0.25</f>
        <v>#DIV/0!</v>
      </c>
      <c r="H18" s="15" t="e">
        <f>C18*(E18/F18)^0.25</f>
        <v>#DIV/0!</v>
      </c>
      <c r="I18" s="15" t="e">
        <f>D18*(E18/F18)^0.25</f>
        <v>#DIV/0!</v>
      </c>
      <c r="J18" s="15" t="e">
        <f>(G18^4+H18^4+I18^4)^0.25</f>
        <v>#DIV/0!</v>
      </c>
      <c r="K18" s="29"/>
      <c r="L18" s="29"/>
      <c r="M18" s="29"/>
      <c r="N18" s="29"/>
      <c r="O18" s="29"/>
      <c r="P18" s="29"/>
      <c r="Q18" s="29"/>
      <c r="R18" s="29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</row>
    <row r="19" spans="1:65" s="1" customFormat="1" ht="30" customHeight="1" thickTop="1" thickBot="1">
      <c r="A19" s="29"/>
      <c r="B19" s="17"/>
      <c r="C19" s="17"/>
      <c r="D19" s="17"/>
      <c r="E19" s="23">
        <f t="shared" si="0"/>
        <v>0</v>
      </c>
      <c r="F19" s="48"/>
      <c r="G19" s="15" t="e">
        <f>B19*(E19/F19)^0.25</f>
        <v>#DIV/0!</v>
      </c>
      <c r="H19" s="15" t="e">
        <f>C19*(E19/F19)^0.25</f>
        <v>#DIV/0!</v>
      </c>
      <c r="I19" s="15" t="e">
        <f>D19*(E19/F19)^0.25</f>
        <v>#DIV/0!</v>
      </c>
      <c r="J19" s="16" t="e">
        <f>(G19^4+H19^4+I19^4)^0.25</f>
        <v>#DIV/0!</v>
      </c>
      <c r="K19" s="29"/>
      <c r="L19" s="29"/>
      <c r="M19" s="29"/>
      <c r="N19" s="29"/>
      <c r="O19" s="29"/>
      <c r="P19" s="29"/>
      <c r="Q19" s="29"/>
      <c r="R19" s="29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</row>
    <row r="20" spans="1:65" s="1" customFormat="1" ht="27.75" customHeight="1" thickTop="1" thickBot="1">
      <c r="A20" s="29"/>
      <c r="B20" s="69" t="s">
        <v>21</v>
      </c>
      <c r="C20" s="70"/>
      <c r="D20" s="70"/>
      <c r="E20" s="70"/>
      <c r="F20" s="70"/>
      <c r="G20" s="70"/>
      <c r="H20" s="70"/>
      <c r="I20" s="70"/>
      <c r="J20" s="5" t="e">
        <f>(J16^4+J17^4+J18^4+J19^4)^0.25</f>
        <v>#DIV/0!</v>
      </c>
      <c r="K20" s="29"/>
      <c r="L20" s="29"/>
      <c r="M20" s="29"/>
      <c r="N20" s="38"/>
      <c r="O20" s="29"/>
      <c r="P20" s="29"/>
      <c r="Q20" s="29"/>
      <c r="R20" s="29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</row>
    <row r="21" spans="1:65" s="40" customFormat="1" ht="110.1" customHeight="1">
      <c r="A21" s="32"/>
      <c r="B21" s="29"/>
      <c r="C21" s="29"/>
      <c r="D21" s="29"/>
      <c r="E21" s="29"/>
      <c r="F21" s="29"/>
      <c r="G21" s="29"/>
      <c r="H21" s="29"/>
      <c r="I21" s="29"/>
      <c r="J21" s="29"/>
      <c r="K21" s="39"/>
      <c r="L21" s="39"/>
    </row>
    <row r="22" spans="1:65" s="33" customFormat="1">
      <c r="A22" s="29"/>
      <c r="B22" s="41"/>
      <c r="C22" s="41"/>
      <c r="D22" s="41"/>
      <c r="E22" s="41"/>
      <c r="F22" s="41"/>
      <c r="G22" s="41"/>
      <c r="H22" s="41"/>
      <c r="I22" s="41"/>
      <c r="J22" s="41"/>
      <c r="K22" s="29"/>
      <c r="L22" s="29"/>
      <c r="M22" s="41"/>
      <c r="N22" s="41"/>
    </row>
    <row r="23" spans="1:65" s="33" customFormat="1"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</row>
    <row r="24" spans="1:65" s="33" customFormat="1"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</row>
    <row r="25" spans="1:65" s="33" customFormat="1"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</row>
    <row r="26" spans="1:65" s="33" customFormat="1"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</row>
    <row r="27" spans="1:65" s="33" customFormat="1"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</row>
    <row r="28" spans="1:65" s="33" customFormat="1"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</row>
    <row r="29" spans="1:65" s="33" customFormat="1">
      <c r="K29" s="41"/>
      <c r="L29" s="41"/>
      <c r="M29" s="41"/>
      <c r="N29" s="41"/>
    </row>
    <row r="30" spans="1:65" s="33" customFormat="1"/>
    <row r="31" spans="1:65" s="33" customFormat="1"/>
    <row r="32" spans="1:65" s="33" customFormat="1"/>
    <row r="33" s="33" customFormat="1"/>
    <row r="34" s="33" customFormat="1"/>
    <row r="35" s="33" customFormat="1"/>
    <row r="36" s="33" customFormat="1"/>
    <row r="37" s="33" customFormat="1"/>
    <row r="38" s="33" customFormat="1"/>
    <row r="39" s="33" customFormat="1"/>
    <row r="40" s="33" customFormat="1"/>
    <row r="41" s="33" customFormat="1"/>
    <row r="42" s="33" customFormat="1"/>
    <row r="43" s="33" customFormat="1"/>
    <row r="44" s="33" customFormat="1"/>
    <row r="45" s="33" customFormat="1"/>
    <row r="46" s="33" customFormat="1"/>
    <row r="47" s="33" customFormat="1"/>
    <row r="48" s="33" customFormat="1"/>
    <row r="49" s="33" customFormat="1"/>
    <row r="50" s="33" customFormat="1"/>
    <row r="51" s="33" customFormat="1"/>
    <row r="52" s="33" customFormat="1"/>
    <row r="53" s="33" customFormat="1"/>
    <row r="54" s="33" customFormat="1"/>
    <row r="55" s="33" customFormat="1"/>
    <row r="56" s="33" customFormat="1"/>
    <row r="57" s="33" customFormat="1"/>
    <row r="58" s="33" customFormat="1"/>
    <row r="59" s="33" customFormat="1"/>
    <row r="60" s="33" customFormat="1"/>
    <row r="61" s="33" customFormat="1"/>
    <row r="62" s="33" customFormat="1"/>
    <row r="63" s="33" customFormat="1"/>
    <row r="64" s="33" customFormat="1"/>
    <row r="65" s="33" customFormat="1"/>
    <row r="66" s="33" customFormat="1"/>
    <row r="67" s="33" customFormat="1"/>
    <row r="68" s="33" customFormat="1"/>
    <row r="69" s="33" customFormat="1"/>
    <row r="70" s="33" customFormat="1"/>
    <row r="71" s="33" customFormat="1"/>
    <row r="72" s="33" customFormat="1"/>
    <row r="73" s="33" customFormat="1"/>
    <row r="74" s="33" customFormat="1"/>
    <row r="75" s="33" customFormat="1"/>
    <row r="76" s="33" customFormat="1"/>
    <row r="77" s="33" customFormat="1"/>
    <row r="78" s="33" customFormat="1"/>
    <row r="79" s="33" customFormat="1"/>
    <row r="80" s="33" customFormat="1"/>
    <row r="81" s="33" customFormat="1"/>
    <row r="82" s="33" customFormat="1"/>
    <row r="83" s="33" customFormat="1"/>
    <row r="84" s="33" customFormat="1"/>
    <row r="85" s="33" customFormat="1"/>
    <row r="86" s="33" customFormat="1"/>
    <row r="87" s="33" customFormat="1"/>
    <row r="88" s="33" customFormat="1"/>
    <row r="89" s="33" customFormat="1"/>
    <row r="90" s="33" customFormat="1"/>
    <row r="91" s="33" customFormat="1"/>
    <row r="92" s="33" customFormat="1"/>
    <row r="93" s="33" customFormat="1"/>
    <row r="94" s="33" customFormat="1"/>
    <row r="95" s="33" customFormat="1"/>
    <row r="96" s="33" customFormat="1"/>
    <row r="97" s="33" customFormat="1"/>
    <row r="98" s="33" customFormat="1"/>
    <row r="99" s="33" customFormat="1"/>
    <row r="100" s="33" customFormat="1"/>
    <row r="101" s="33" customFormat="1"/>
    <row r="102" s="33" customFormat="1"/>
    <row r="103" s="33" customFormat="1"/>
    <row r="104" s="33" customFormat="1"/>
    <row r="105" s="33" customFormat="1"/>
    <row r="106" s="33" customFormat="1"/>
    <row r="107" s="33" customFormat="1"/>
    <row r="108" s="33" customFormat="1"/>
    <row r="109" s="33" customFormat="1"/>
    <row r="110" s="33" customFormat="1"/>
    <row r="111" s="33" customFormat="1"/>
    <row r="112" s="33" customFormat="1"/>
    <row r="113" s="33" customFormat="1"/>
    <row r="114" s="33" customFormat="1"/>
    <row r="115" s="33" customFormat="1"/>
    <row r="116" s="33" customFormat="1"/>
    <row r="117" s="33" customFormat="1"/>
    <row r="118" s="33" customFormat="1"/>
    <row r="119" s="33" customFormat="1"/>
    <row r="120" s="33" customFormat="1"/>
    <row r="121" s="33" customFormat="1"/>
    <row r="122" s="33" customFormat="1"/>
    <row r="123" s="33" customFormat="1"/>
    <row r="124" s="33" customFormat="1"/>
    <row r="125" s="33" customFormat="1"/>
    <row r="126" s="33" customFormat="1"/>
    <row r="127" s="33" customFormat="1"/>
    <row r="128" s="33" customFormat="1"/>
    <row r="129" s="33" customFormat="1"/>
    <row r="130" s="33" customFormat="1"/>
    <row r="131" s="33" customFormat="1"/>
    <row r="132" s="33" customFormat="1"/>
    <row r="133" s="33" customFormat="1"/>
    <row r="134" s="33" customFormat="1"/>
    <row r="135" s="33" customFormat="1"/>
    <row r="136" s="33" customFormat="1"/>
    <row r="137" s="33" customFormat="1"/>
    <row r="138" s="33" customFormat="1"/>
    <row r="139" s="33" customFormat="1"/>
    <row r="140" s="33" customFormat="1"/>
    <row r="141" s="33" customFormat="1"/>
    <row r="142" s="33" customFormat="1"/>
    <row r="143" s="33" customFormat="1"/>
    <row r="144" s="33" customFormat="1"/>
    <row r="145" s="33" customFormat="1"/>
    <row r="146" s="33" customFormat="1"/>
    <row r="147" s="33" customFormat="1"/>
    <row r="148" s="33" customFormat="1"/>
    <row r="149" s="33" customFormat="1"/>
    <row r="150" s="33" customFormat="1"/>
    <row r="151" s="33" customFormat="1"/>
    <row r="152" s="33" customFormat="1"/>
    <row r="153" s="33" customFormat="1"/>
    <row r="154" s="33" customFormat="1"/>
    <row r="155" s="33" customFormat="1"/>
    <row r="156" s="33" customFormat="1"/>
    <row r="157" s="33" customFormat="1"/>
    <row r="158" s="33" customFormat="1"/>
    <row r="159" s="33" customFormat="1"/>
    <row r="160" s="33" customFormat="1"/>
    <row r="161" s="33" customFormat="1"/>
    <row r="162" s="33" customFormat="1"/>
    <row r="163" s="33" customFormat="1"/>
    <row r="164" s="33" customFormat="1"/>
    <row r="165" s="33" customFormat="1"/>
    <row r="166" s="33" customFormat="1"/>
    <row r="167" s="33" customFormat="1"/>
    <row r="168" s="33" customFormat="1"/>
    <row r="169" s="33" customFormat="1"/>
    <row r="170" s="33" customFormat="1"/>
    <row r="171" s="33" customFormat="1"/>
    <row r="172" s="33" customFormat="1"/>
    <row r="173" s="33" customFormat="1"/>
    <row r="174" s="33" customFormat="1"/>
    <row r="175" s="33" customFormat="1"/>
    <row r="176" s="33" customFormat="1"/>
    <row r="177" s="33" customFormat="1"/>
    <row r="178" s="33" customFormat="1"/>
    <row r="179" s="33" customFormat="1"/>
    <row r="180" s="33" customFormat="1"/>
    <row r="181" s="33" customFormat="1"/>
    <row r="182" s="33" customFormat="1"/>
    <row r="183" s="33" customFormat="1"/>
    <row r="184" s="33" customFormat="1"/>
    <row r="185" s="33" customFormat="1"/>
    <row r="186" s="33" customFormat="1"/>
    <row r="187" s="33" customFormat="1"/>
    <row r="188" s="33" customFormat="1"/>
    <row r="189" s="33" customFormat="1"/>
    <row r="190" s="33" customFormat="1"/>
    <row r="191" s="33" customFormat="1"/>
    <row r="192" s="33" customFormat="1"/>
    <row r="193" s="33" customFormat="1"/>
    <row r="194" s="33" customFormat="1"/>
    <row r="195" s="33" customFormat="1"/>
    <row r="196" s="33" customFormat="1"/>
    <row r="197" s="33" customFormat="1"/>
    <row r="198" s="33" customFormat="1"/>
    <row r="199" s="33" customFormat="1"/>
    <row r="200" s="33" customFormat="1"/>
    <row r="201" s="33" customFormat="1"/>
    <row r="202" s="33" customFormat="1"/>
    <row r="203" s="33" customFormat="1"/>
    <row r="204" s="33" customFormat="1"/>
    <row r="205" s="33" customFormat="1"/>
    <row r="206" s="33" customFormat="1"/>
    <row r="207" s="33" customFormat="1"/>
    <row r="208" s="33" customFormat="1"/>
    <row r="209" s="33" customFormat="1"/>
    <row r="210" s="33" customFormat="1"/>
    <row r="211" s="33" customFormat="1"/>
    <row r="212" s="33" customFormat="1"/>
    <row r="213" s="33" customFormat="1"/>
    <row r="214" s="33" customFormat="1"/>
    <row r="215" s="33" customFormat="1"/>
    <row r="216" s="33" customFormat="1"/>
    <row r="217" s="33" customFormat="1"/>
    <row r="218" s="33" customFormat="1"/>
    <row r="219" s="33" customFormat="1"/>
    <row r="220" s="33" customFormat="1"/>
    <row r="221" s="33" customFormat="1"/>
    <row r="222" s="33" customFormat="1"/>
    <row r="223" s="33" customFormat="1"/>
    <row r="224" s="33" customFormat="1"/>
    <row r="225" s="33" customFormat="1"/>
    <row r="226" s="33" customFormat="1"/>
    <row r="227" s="33" customFormat="1"/>
    <row r="228" s="33" customFormat="1"/>
    <row r="229" s="33" customFormat="1"/>
    <row r="230" s="33" customFormat="1"/>
    <row r="231" s="33" customFormat="1"/>
    <row r="232" s="33" customFormat="1"/>
    <row r="233" s="33" customFormat="1"/>
    <row r="234" s="33" customFormat="1"/>
    <row r="235" s="33" customFormat="1"/>
    <row r="236" s="33" customFormat="1"/>
    <row r="237" s="33" customFormat="1"/>
    <row r="238" s="33" customFormat="1"/>
    <row r="239" s="33" customFormat="1"/>
    <row r="240" s="33" customFormat="1"/>
    <row r="241" s="33" customFormat="1"/>
    <row r="242" s="33" customFormat="1"/>
    <row r="243" s="33" customFormat="1"/>
    <row r="244" s="33" customFormat="1"/>
    <row r="245" s="33" customFormat="1"/>
    <row r="246" s="33" customFormat="1"/>
    <row r="247" s="33" customFormat="1"/>
    <row r="248" s="33" customFormat="1"/>
    <row r="249" s="33" customFormat="1"/>
    <row r="250" s="33" customFormat="1"/>
    <row r="251" s="33" customFormat="1"/>
    <row r="252" s="33" customFormat="1"/>
    <row r="253" s="33" customFormat="1"/>
    <row r="254" s="33" customFormat="1"/>
    <row r="255" s="33" customFormat="1"/>
    <row r="256" s="33" customFormat="1"/>
    <row r="257" s="33" customFormat="1"/>
    <row r="258" s="33" customFormat="1"/>
    <row r="259" s="33" customFormat="1"/>
    <row r="260" s="33" customFormat="1"/>
    <row r="261" s="33" customFormat="1"/>
    <row r="262" s="33" customFormat="1"/>
    <row r="263" s="33" customFormat="1"/>
    <row r="264" s="33" customFormat="1"/>
    <row r="265" s="33" customFormat="1"/>
    <row r="266" s="33" customFormat="1"/>
    <row r="267" s="33" customFormat="1"/>
    <row r="268" s="33" customFormat="1"/>
    <row r="269" s="33" customFormat="1"/>
    <row r="270" s="33" customFormat="1"/>
    <row r="271" s="33" customFormat="1"/>
    <row r="272" s="33" customFormat="1"/>
    <row r="273" s="33" customFormat="1"/>
    <row r="274" s="33" customFormat="1"/>
    <row r="275" s="33" customFormat="1"/>
    <row r="276" s="33" customFormat="1"/>
    <row r="277" s="33" customFormat="1"/>
    <row r="278" s="33" customFormat="1"/>
    <row r="279" s="33" customFormat="1"/>
    <row r="280" s="33" customFormat="1"/>
    <row r="281" s="33" customFormat="1"/>
    <row r="282" s="33" customFormat="1"/>
    <row r="283" s="33" customFormat="1"/>
    <row r="284" s="33" customFormat="1"/>
    <row r="285" s="33" customFormat="1"/>
    <row r="286" s="33" customFormat="1"/>
    <row r="287" s="33" customFormat="1"/>
    <row r="288" s="33" customFormat="1"/>
    <row r="289" s="33" customFormat="1"/>
    <row r="290" s="33" customFormat="1"/>
    <row r="291" s="33" customFormat="1"/>
    <row r="292" s="33" customFormat="1"/>
    <row r="293" s="33" customFormat="1"/>
    <row r="294" s="33" customFormat="1"/>
    <row r="295" s="33" customFormat="1"/>
    <row r="296" s="33" customFormat="1"/>
    <row r="297" s="33" customFormat="1"/>
    <row r="298" s="33" customFormat="1"/>
    <row r="299" s="33" customFormat="1"/>
    <row r="300" s="33" customFormat="1"/>
    <row r="301" s="33" customFormat="1"/>
    <row r="302" s="33" customFormat="1"/>
    <row r="303" s="33" customFormat="1"/>
    <row r="304" s="33" customFormat="1"/>
    <row r="305" s="33" customFormat="1"/>
    <row r="306" s="33" customFormat="1"/>
    <row r="307" s="33" customFormat="1"/>
    <row r="308" s="33" customFormat="1"/>
    <row r="309" s="33" customFormat="1"/>
    <row r="310" s="33" customFormat="1"/>
    <row r="311" s="33" customFormat="1"/>
    <row r="312" s="33" customFormat="1"/>
    <row r="313" s="33" customFormat="1"/>
    <row r="314" s="33" customFormat="1"/>
    <row r="315" s="33" customFormat="1"/>
    <row r="316" s="33" customFormat="1"/>
    <row r="317" s="33" customFormat="1"/>
    <row r="318" s="33" customFormat="1"/>
    <row r="319" s="33" customFormat="1"/>
    <row r="320" s="33" customFormat="1"/>
    <row r="321" s="33" customFormat="1"/>
    <row r="322" s="33" customFormat="1"/>
    <row r="323" s="33" customFormat="1"/>
    <row r="324" s="33" customFormat="1"/>
    <row r="325" s="33" customFormat="1"/>
    <row r="326" s="33" customFormat="1"/>
    <row r="327" s="33" customFormat="1"/>
    <row r="328" s="33" customFormat="1"/>
    <row r="329" s="33" customFormat="1"/>
    <row r="330" s="33" customFormat="1"/>
    <row r="331" s="33" customFormat="1"/>
    <row r="332" s="33" customFormat="1"/>
    <row r="333" s="33" customFormat="1"/>
    <row r="334" s="33" customFormat="1"/>
    <row r="335" s="33" customFormat="1"/>
    <row r="336" s="33" customFormat="1"/>
    <row r="337" s="33" customFormat="1"/>
    <row r="338" s="33" customFormat="1"/>
    <row r="339" s="33" customFormat="1"/>
    <row r="340" s="33" customFormat="1"/>
    <row r="341" s="33" customFormat="1"/>
    <row r="342" s="33" customFormat="1"/>
    <row r="343" s="33" customFormat="1"/>
    <row r="344" s="33" customFormat="1"/>
    <row r="345" s="33" customFormat="1"/>
    <row r="346" s="33" customFormat="1"/>
    <row r="347" s="33" customFormat="1"/>
    <row r="348" s="33" customFormat="1"/>
    <row r="349" s="33" customFormat="1"/>
    <row r="350" s="33" customFormat="1"/>
    <row r="351" s="33" customFormat="1"/>
    <row r="352" s="33" customFormat="1"/>
    <row r="353" s="33" customFormat="1"/>
    <row r="354" s="33" customFormat="1"/>
    <row r="355" s="33" customFormat="1"/>
    <row r="356" s="33" customFormat="1"/>
    <row r="357" s="33" customFormat="1"/>
    <row r="358" s="33" customFormat="1"/>
    <row r="359" s="33" customFormat="1"/>
    <row r="360" s="33" customFormat="1"/>
    <row r="361" s="33" customFormat="1"/>
    <row r="362" s="33" customFormat="1"/>
    <row r="363" s="33" customFormat="1"/>
    <row r="364" s="33" customFormat="1"/>
    <row r="365" s="33" customFormat="1"/>
    <row r="366" s="33" customFormat="1"/>
    <row r="367" s="33" customFormat="1"/>
    <row r="368" s="33" customFormat="1"/>
    <row r="369" s="33" customFormat="1"/>
    <row r="370" s="33" customFormat="1"/>
    <row r="371" s="33" customFormat="1"/>
    <row r="372" s="33" customFormat="1"/>
    <row r="373" s="33" customFormat="1"/>
    <row r="374" s="33" customFormat="1"/>
    <row r="375" s="33" customFormat="1"/>
    <row r="376" s="33" customFormat="1"/>
    <row r="377" s="33" customFormat="1"/>
    <row r="378" s="33" customFormat="1"/>
    <row r="379" s="33" customFormat="1"/>
    <row r="380" s="33" customFormat="1"/>
    <row r="381" s="33" customFormat="1"/>
    <row r="382" s="33" customFormat="1"/>
    <row r="383" s="33" customFormat="1"/>
    <row r="384" s="33" customFormat="1"/>
    <row r="385" s="33" customFormat="1"/>
    <row r="386" s="33" customFormat="1"/>
    <row r="387" s="33" customFormat="1"/>
    <row r="388" s="33" customFormat="1"/>
    <row r="389" s="33" customFormat="1"/>
    <row r="390" s="33" customFormat="1"/>
    <row r="391" s="33" customFormat="1"/>
    <row r="392" s="33" customFormat="1"/>
    <row r="393" s="33" customFormat="1"/>
    <row r="394" s="33" customFormat="1"/>
    <row r="395" s="33" customFormat="1"/>
    <row r="396" s="33" customFormat="1"/>
    <row r="397" s="33" customFormat="1"/>
    <row r="398" s="33" customFormat="1"/>
    <row r="399" s="33" customFormat="1"/>
    <row r="400" s="33" customFormat="1"/>
    <row r="401" s="33" customFormat="1"/>
    <row r="402" s="33" customFormat="1"/>
    <row r="403" s="33" customFormat="1"/>
    <row r="404" s="33" customFormat="1"/>
    <row r="405" s="33" customFormat="1"/>
    <row r="406" s="33" customFormat="1"/>
    <row r="407" s="33" customFormat="1"/>
    <row r="408" s="33" customFormat="1"/>
    <row r="409" s="33" customFormat="1"/>
    <row r="410" s="33" customFormat="1"/>
    <row r="411" s="33" customFormat="1"/>
    <row r="412" s="33" customFormat="1"/>
    <row r="413" s="33" customFormat="1"/>
    <row r="414" s="33" customFormat="1"/>
    <row r="415" s="33" customFormat="1"/>
    <row r="416" s="33" customFormat="1"/>
    <row r="417" s="33" customFormat="1"/>
    <row r="418" s="33" customFormat="1"/>
    <row r="419" s="33" customFormat="1"/>
    <row r="420" s="33" customFormat="1"/>
    <row r="421" s="33" customFormat="1"/>
    <row r="422" s="33" customFormat="1"/>
    <row r="423" s="33" customFormat="1"/>
    <row r="424" s="33" customFormat="1"/>
    <row r="425" s="33" customFormat="1"/>
    <row r="426" s="33" customFormat="1"/>
    <row r="427" s="33" customFormat="1"/>
    <row r="428" s="33" customFormat="1"/>
    <row r="429" s="33" customFormat="1"/>
    <row r="430" s="33" customFormat="1"/>
    <row r="431" s="33" customFormat="1"/>
    <row r="432" s="33" customFormat="1"/>
    <row r="433" s="33" customFormat="1"/>
    <row r="434" s="33" customFormat="1"/>
    <row r="435" s="33" customFormat="1"/>
    <row r="436" s="33" customFormat="1"/>
    <row r="437" s="33" customFormat="1"/>
    <row r="438" s="33" customFormat="1"/>
    <row r="439" s="33" customFormat="1"/>
    <row r="440" s="33" customFormat="1"/>
    <row r="441" s="33" customFormat="1"/>
    <row r="442" s="33" customFormat="1"/>
    <row r="443" s="33" customFormat="1"/>
    <row r="444" s="33" customFormat="1"/>
    <row r="445" s="33" customFormat="1"/>
    <row r="446" s="33" customFormat="1"/>
    <row r="447" s="33" customFormat="1"/>
    <row r="448" s="33" customFormat="1"/>
    <row r="449" s="33" customFormat="1"/>
    <row r="450" s="33" customFormat="1"/>
    <row r="451" s="33" customFormat="1"/>
    <row r="452" s="33" customFormat="1"/>
    <row r="453" s="33" customFormat="1"/>
    <row r="454" s="33" customFormat="1"/>
    <row r="455" s="33" customFormat="1"/>
    <row r="456" s="33" customFormat="1"/>
    <row r="457" s="33" customFormat="1"/>
    <row r="458" s="33" customFormat="1"/>
    <row r="459" s="33" customFormat="1"/>
    <row r="460" s="33" customFormat="1"/>
    <row r="461" s="33" customFormat="1"/>
    <row r="462" s="33" customFormat="1"/>
    <row r="463" s="33" customFormat="1"/>
    <row r="464" s="33" customFormat="1"/>
    <row r="465" s="33" customFormat="1"/>
    <row r="466" s="33" customFormat="1"/>
    <row r="467" s="33" customFormat="1"/>
    <row r="468" s="33" customFormat="1"/>
    <row r="469" s="33" customFormat="1"/>
    <row r="470" s="33" customFormat="1"/>
    <row r="471" s="33" customFormat="1"/>
    <row r="472" s="33" customFormat="1"/>
    <row r="473" s="33" customFormat="1"/>
    <row r="474" s="33" customFormat="1"/>
    <row r="475" s="33" customFormat="1"/>
    <row r="476" s="33" customFormat="1"/>
    <row r="477" s="33" customFormat="1"/>
    <row r="478" s="33" customFormat="1"/>
    <row r="479" s="33" customFormat="1"/>
    <row r="480" s="33" customFormat="1"/>
    <row r="481" s="33" customFormat="1"/>
    <row r="482" s="33" customFormat="1"/>
    <row r="483" s="33" customFormat="1"/>
    <row r="484" s="33" customFormat="1"/>
    <row r="485" s="33" customFormat="1"/>
    <row r="486" s="33" customFormat="1"/>
    <row r="487" s="33" customFormat="1"/>
    <row r="488" s="33" customFormat="1"/>
    <row r="489" s="33" customFormat="1"/>
    <row r="490" s="33" customFormat="1"/>
    <row r="491" s="33" customFormat="1"/>
    <row r="492" s="33" customFormat="1"/>
    <row r="493" s="33" customFormat="1"/>
    <row r="494" s="33" customFormat="1"/>
    <row r="495" s="33" customFormat="1"/>
    <row r="496" s="33" customFormat="1"/>
    <row r="497" s="33" customFormat="1"/>
    <row r="498" s="33" customFormat="1"/>
    <row r="499" s="33" customFormat="1"/>
    <row r="500" s="33" customFormat="1"/>
    <row r="501" s="33" customFormat="1"/>
    <row r="502" s="33" customFormat="1"/>
    <row r="503" s="33" customFormat="1"/>
    <row r="504" s="33" customFormat="1"/>
    <row r="505" s="33" customFormat="1"/>
    <row r="506" s="33" customFormat="1"/>
    <row r="507" s="33" customFormat="1"/>
    <row r="508" s="33" customFormat="1"/>
    <row r="509" s="33" customFormat="1"/>
    <row r="510" s="33" customFormat="1"/>
    <row r="511" s="33" customFormat="1"/>
    <row r="512" s="33" customFormat="1"/>
    <row r="513" s="33" customFormat="1"/>
    <row r="514" s="33" customFormat="1"/>
    <row r="515" s="33" customFormat="1"/>
    <row r="516" s="33" customFormat="1"/>
    <row r="517" s="33" customFormat="1"/>
  </sheetData>
  <sheetProtection password="CB8D" sheet="1" objects="1" scenarios="1" selectLockedCells="1"/>
  <mergeCells count="22">
    <mergeCell ref="B14:D14"/>
    <mergeCell ref="E14:E15"/>
    <mergeCell ref="F14:F15"/>
    <mergeCell ref="G14:J14"/>
    <mergeCell ref="B20:I20"/>
    <mergeCell ref="F10:G10"/>
    <mergeCell ref="B12:J12"/>
    <mergeCell ref="B13:J13"/>
    <mergeCell ref="B4:J4"/>
    <mergeCell ref="F5:J5"/>
    <mergeCell ref="H6:J6"/>
    <mergeCell ref="H9:J9"/>
    <mergeCell ref="H10:J10"/>
    <mergeCell ref="H11:J11"/>
    <mergeCell ref="F6:G6"/>
    <mergeCell ref="F9:G9"/>
    <mergeCell ref="B1:J2"/>
    <mergeCell ref="B5:E5"/>
    <mergeCell ref="F7:G7"/>
    <mergeCell ref="H7:J7"/>
    <mergeCell ref="F8:G8"/>
    <mergeCell ref="H8:J8"/>
  </mergeCells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BM519"/>
  <sheetViews>
    <sheetView topLeftCell="A10" workbookViewId="0">
      <selection activeCell="B7" sqref="B7"/>
    </sheetView>
  </sheetViews>
  <sheetFormatPr defaultRowHeight="15"/>
  <cols>
    <col min="1" max="1" width="3.7109375" style="33" customWidth="1"/>
    <col min="5" max="5" width="12.7109375" customWidth="1"/>
    <col min="6" max="6" width="12.28515625" customWidth="1"/>
    <col min="7" max="7" width="13" customWidth="1"/>
    <col min="11" max="65" width="8.85546875" style="33"/>
  </cols>
  <sheetData>
    <row r="1" spans="1:65" ht="14.45" customHeight="1">
      <c r="A1" s="25" t="s">
        <v>22</v>
      </c>
      <c r="B1" s="53"/>
      <c r="C1" s="54"/>
      <c r="D1" s="54"/>
      <c r="E1" s="54"/>
      <c r="F1" s="54"/>
      <c r="G1" s="54"/>
      <c r="H1" s="54"/>
      <c r="I1" s="54"/>
      <c r="J1" s="55"/>
      <c r="K1" s="26"/>
      <c r="L1" s="26"/>
      <c r="M1" s="26"/>
      <c r="N1" s="26"/>
      <c r="O1" s="26"/>
      <c r="P1" s="26"/>
      <c r="Q1" s="26"/>
      <c r="R1" s="26"/>
    </row>
    <row r="2" spans="1:65" ht="54.6" customHeight="1">
      <c r="A2" s="26"/>
      <c r="B2" s="56"/>
      <c r="C2" s="57"/>
      <c r="D2" s="57"/>
      <c r="E2" s="57"/>
      <c r="F2" s="57"/>
      <c r="G2" s="57"/>
      <c r="H2" s="57"/>
      <c r="I2" s="57"/>
      <c r="J2" s="58"/>
      <c r="K2" s="26"/>
      <c r="L2" s="26"/>
      <c r="M2" s="26"/>
      <c r="N2" s="26"/>
      <c r="O2" s="26"/>
      <c r="P2" s="26"/>
      <c r="Q2" s="26"/>
      <c r="R2" s="26"/>
    </row>
    <row r="3" spans="1:65" ht="14.45" hidden="1" customHeight="1">
      <c r="A3" s="26"/>
      <c r="B3" s="6"/>
      <c r="C3" s="7"/>
      <c r="D3" s="7"/>
      <c r="E3" s="7"/>
      <c r="F3" s="7"/>
      <c r="G3" s="7"/>
      <c r="H3" s="7"/>
      <c r="I3" s="7"/>
      <c r="J3" s="8"/>
      <c r="K3" s="26"/>
      <c r="L3" s="26"/>
      <c r="M3" s="26"/>
      <c r="N3" s="26"/>
      <c r="O3" s="26"/>
      <c r="P3" s="26"/>
      <c r="Q3" s="26"/>
      <c r="R3" s="26"/>
    </row>
    <row r="4" spans="1:65" ht="20.100000000000001" customHeight="1">
      <c r="A4" s="27"/>
      <c r="B4" s="59" t="s">
        <v>20</v>
      </c>
      <c r="C4" s="60"/>
      <c r="D4" s="60"/>
      <c r="E4" s="60"/>
      <c r="F4" s="60"/>
      <c r="G4" s="60"/>
      <c r="H4" s="60"/>
      <c r="I4" s="60"/>
      <c r="J4" s="61"/>
      <c r="K4" s="26"/>
      <c r="L4" s="26"/>
      <c r="M4" s="26"/>
      <c r="N4" s="26"/>
      <c r="O4" s="26"/>
      <c r="P4" s="26"/>
      <c r="Q4" s="26"/>
      <c r="R4" s="26"/>
    </row>
    <row r="5" spans="1:65" s="1" customFormat="1">
      <c r="A5" s="28"/>
      <c r="B5" s="62" t="s">
        <v>0</v>
      </c>
      <c r="C5" s="63"/>
      <c r="D5" s="63"/>
      <c r="E5" s="63"/>
      <c r="F5" s="63" t="s">
        <v>20</v>
      </c>
      <c r="G5" s="63"/>
      <c r="H5" s="63"/>
      <c r="I5" s="63"/>
      <c r="J5" s="64"/>
      <c r="K5" s="34"/>
      <c r="L5" s="34"/>
      <c r="M5" s="34"/>
      <c r="N5" s="34"/>
      <c r="O5" s="34"/>
      <c r="P5" s="34"/>
      <c r="Q5" s="34"/>
      <c r="R5" s="34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</row>
    <row r="6" spans="1:65" s="1" customFormat="1" ht="43.5" customHeight="1" thickBot="1">
      <c r="A6" s="29"/>
      <c r="B6" s="18" t="s">
        <v>1</v>
      </c>
      <c r="C6" s="19" t="s">
        <v>2</v>
      </c>
      <c r="D6" s="19" t="s">
        <v>3</v>
      </c>
      <c r="E6" s="19" t="s">
        <v>4</v>
      </c>
      <c r="F6" s="65" t="s">
        <v>5</v>
      </c>
      <c r="G6" s="65"/>
      <c r="H6" s="65" t="s">
        <v>6</v>
      </c>
      <c r="I6" s="65"/>
      <c r="J6" s="66"/>
      <c r="K6" s="35"/>
      <c r="L6" s="34"/>
      <c r="M6" s="34"/>
      <c r="N6" s="34"/>
      <c r="O6" s="34"/>
      <c r="P6" s="34"/>
      <c r="Q6" s="34"/>
      <c r="R6" s="34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</row>
    <row r="7" spans="1:65" s="1" customFormat="1" ht="18" customHeight="1" thickTop="1" thickBot="1">
      <c r="A7" s="30"/>
      <c r="B7" s="17"/>
      <c r="C7" s="17"/>
      <c r="D7" s="17"/>
      <c r="E7" s="21">
        <f>SQRT(B7^2+C7^2+D7^2)</f>
        <v>0</v>
      </c>
      <c r="F7" s="67"/>
      <c r="G7" s="67"/>
      <c r="H7" s="68">
        <f>E7*SQRT(F7/480)</f>
        <v>0</v>
      </c>
      <c r="I7" s="68"/>
      <c r="J7" s="68"/>
      <c r="K7" s="34"/>
      <c r="L7" s="34"/>
      <c r="M7" s="34"/>
      <c r="N7" s="34"/>
      <c r="O7" s="34"/>
      <c r="P7" s="34"/>
      <c r="Q7" s="34"/>
      <c r="R7" s="34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</row>
    <row r="8" spans="1:65" s="1" customFormat="1" ht="18" customHeight="1" thickTop="1" thickBot="1">
      <c r="A8" s="30"/>
      <c r="B8" s="17"/>
      <c r="C8" s="17"/>
      <c r="D8" s="17"/>
      <c r="E8" s="21">
        <f>SQRT(B8^2+C8^2+D8^2)</f>
        <v>0</v>
      </c>
      <c r="F8" s="67"/>
      <c r="G8" s="67"/>
      <c r="H8" s="68">
        <f>E8*SQRT(F8/480)</f>
        <v>0</v>
      </c>
      <c r="I8" s="68"/>
      <c r="J8" s="68"/>
      <c r="K8" s="34"/>
      <c r="L8" s="34"/>
      <c r="M8" s="34"/>
      <c r="N8" s="34"/>
      <c r="O8" s="34"/>
      <c r="P8" s="34"/>
      <c r="Q8" s="34"/>
      <c r="R8" s="34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</row>
    <row r="9" spans="1:65" s="1" customFormat="1" ht="18" customHeight="1" thickTop="1" thickBot="1">
      <c r="A9" s="30"/>
      <c r="B9" s="17"/>
      <c r="C9" s="17"/>
      <c r="D9" s="17"/>
      <c r="E9" s="21">
        <f>SQRT(B9^2+C9^2+D9^2)</f>
        <v>0</v>
      </c>
      <c r="F9" s="67"/>
      <c r="G9" s="67"/>
      <c r="H9" s="68">
        <f>E9*SQRT(F9/480)</f>
        <v>0</v>
      </c>
      <c r="I9" s="68"/>
      <c r="J9" s="68"/>
      <c r="K9" s="34"/>
      <c r="L9" s="34"/>
      <c r="M9" s="34"/>
      <c r="N9" s="34"/>
      <c r="O9" s="34"/>
      <c r="P9" s="34"/>
      <c r="Q9" s="34"/>
      <c r="R9" s="34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</row>
    <row r="10" spans="1:65" s="1" customFormat="1" ht="18" customHeight="1" thickTop="1" thickBot="1">
      <c r="A10" s="30"/>
      <c r="B10" s="17"/>
      <c r="C10" s="17"/>
      <c r="D10" s="17"/>
      <c r="E10" s="21">
        <f>SQRT(B10^2+C10^2+D10^2)</f>
        <v>0</v>
      </c>
      <c r="F10" s="67"/>
      <c r="G10" s="67"/>
      <c r="H10" s="68">
        <f>E10*SQRT(F10/480)</f>
        <v>0</v>
      </c>
      <c r="I10" s="68"/>
      <c r="J10" s="68"/>
      <c r="K10" s="34"/>
      <c r="L10" s="34"/>
      <c r="M10" s="34"/>
      <c r="N10" s="34"/>
      <c r="O10" s="34"/>
      <c r="P10" s="34"/>
      <c r="Q10" s="34"/>
      <c r="R10" s="34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</row>
    <row r="11" spans="1:65" s="1" customFormat="1" ht="18" customHeight="1" thickTop="1" thickBot="1">
      <c r="A11" s="30"/>
      <c r="B11" s="17"/>
      <c r="C11" s="17"/>
      <c r="D11" s="17"/>
      <c r="E11" s="21">
        <f>SQRT(B11^2+C11^2+D11^2)</f>
        <v>0</v>
      </c>
      <c r="F11" s="67"/>
      <c r="G11" s="67"/>
      <c r="H11" s="68">
        <f>E11*SQRT(F11/480)</f>
        <v>0</v>
      </c>
      <c r="I11" s="68"/>
      <c r="J11" s="68"/>
      <c r="K11" s="34"/>
      <c r="L11" s="34"/>
      <c r="M11" s="34"/>
      <c r="N11" s="34"/>
      <c r="O11" s="34"/>
      <c r="P11" s="34"/>
      <c r="Q11" s="34"/>
      <c r="R11" s="34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</row>
    <row r="12" spans="1:65" s="1" customFormat="1" ht="16.5" thickTop="1" thickBot="1">
      <c r="A12" s="30"/>
      <c r="B12" s="13"/>
      <c r="C12" s="14"/>
      <c r="D12" s="14"/>
      <c r="E12" s="14"/>
      <c r="F12" s="22">
        <f>SUM(F7:G11)</f>
        <v>0</v>
      </c>
      <c r="G12" s="24" t="s">
        <v>20</v>
      </c>
      <c r="H12" s="71" t="e">
        <f>L14</f>
        <v>#DIV/0!</v>
      </c>
      <c r="I12" s="71"/>
      <c r="J12" s="72"/>
      <c r="K12" s="34"/>
      <c r="L12" s="42">
        <f>SQRT(((0.8^2*80)+(0.3^2*20)+(0.7^2*120)+(0.35^2*20))/240)</f>
        <v>0.68995772817373868</v>
      </c>
      <c r="M12" s="34"/>
      <c r="N12" s="34"/>
      <c r="O12" s="34"/>
      <c r="P12" s="34"/>
      <c r="Q12" s="34"/>
      <c r="R12" s="34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</row>
    <row r="13" spans="1:65" ht="20.100000000000001" customHeight="1" thickTop="1">
      <c r="A13" s="31" t="s">
        <v>19</v>
      </c>
      <c r="B13" s="59" t="s">
        <v>7</v>
      </c>
      <c r="C13" s="60"/>
      <c r="D13" s="60"/>
      <c r="E13" s="60"/>
      <c r="F13" s="60"/>
      <c r="G13" s="60"/>
      <c r="H13" s="60"/>
      <c r="I13" s="60"/>
      <c r="J13" s="61"/>
      <c r="K13" s="36"/>
      <c r="L13" s="44" t="e">
        <f>SQRT(((E7^2*F7)+(E8^2*F8)+(E9^2*F9)+(E10^2*F10)+(E11^2*F11))/F12)</f>
        <v>#DIV/0!</v>
      </c>
      <c r="M13" s="36"/>
      <c r="N13" s="36"/>
      <c r="O13" s="36"/>
      <c r="P13" s="36"/>
      <c r="Q13" s="36"/>
      <c r="R13" s="36"/>
    </row>
    <row r="14" spans="1:65" s="1" customFormat="1">
      <c r="A14" s="29"/>
      <c r="B14" s="62" t="s">
        <v>13</v>
      </c>
      <c r="C14" s="63"/>
      <c r="D14" s="63"/>
      <c r="E14" s="63"/>
      <c r="F14" s="63"/>
      <c r="G14" s="63"/>
      <c r="H14" s="63"/>
      <c r="I14" s="63"/>
      <c r="J14" s="64"/>
      <c r="K14" s="35"/>
      <c r="L14" s="46" t="e">
        <f>L13*(SQRT(F12/480))</f>
        <v>#DIV/0!</v>
      </c>
      <c r="M14" s="35"/>
      <c r="N14" s="35"/>
      <c r="O14" s="35"/>
      <c r="P14" s="35"/>
      <c r="Q14" s="35"/>
      <c r="R14" s="35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</row>
    <row r="15" spans="1:65" s="1" customFormat="1" ht="15" customHeight="1">
      <c r="A15" s="29"/>
      <c r="B15" s="73" t="s">
        <v>17</v>
      </c>
      <c r="C15" s="74"/>
      <c r="D15" s="74"/>
      <c r="E15" s="65" t="s">
        <v>11</v>
      </c>
      <c r="F15" s="65" t="s">
        <v>12</v>
      </c>
      <c r="G15" s="74" t="s">
        <v>18</v>
      </c>
      <c r="H15" s="74"/>
      <c r="I15" s="74"/>
      <c r="J15" s="75"/>
      <c r="K15" s="35"/>
      <c r="L15" s="37"/>
      <c r="M15" s="35"/>
      <c r="N15" s="35"/>
      <c r="O15" s="35"/>
      <c r="P15" s="35"/>
      <c r="Q15" s="35"/>
      <c r="R15" s="35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</row>
    <row r="16" spans="1:65" s="1" customFormat="1" ht="31.5" customHeight="1" thickBot="1">
      <c r="A16" s="29"/>
      <c r="B16" s="18" t="s">
        <v>8</v>
      </c>
      <c r="C16" s="19" t="s">
        <v>9</v>
      </c>
      <c r="D16" s="19" t="s">
        <v>10</v>
      </c>
      <c r="E16" s="65"/>
      <c r="F16" s="65"/>
      <c r="G16" s="19" t="s">
        <v>14</v>
      </c>
      <c r="H16" s="19" t="s">
        <v>15</v>
      </c>
      <c r="I16" s="19" t="s">
        <v>16</v>
      </c>
      <c r="J16" s="20" t="s">
        <v>7</v>
      </c>
      <c r="K16" s="35"/>
      <c r="L16" s="35"/>
      <c r="M16" s="35"/>
      <c r="N16" s="35"/>
      <c r="O16" s="35"/>
      <c r="P16" s="35"/>
      <c r="Q16" s="35"/>
      <c r="R16" s="35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</row>
    <row r="17" spans="1:65" s="1" customFormat="1" ht="30" customHeight="1" thickTop="1" thickBot="1">
      <c r="A17" s="29"/>
      <c r="B17" s="11"/>
      <c r="C17" s="11"/>
      <c r="D17" s="17"/>
      <c r="E17" s="23">
        <f>F7</f>
        <v>0</v>
      </c>
      <c r="F17" s="48"/>
      <c r="G17" s="15" t="e">
        <f>B17*(E17/F17)^0.25</f>
        <v>#DIV/0!</v>
      </c>
      <c r="H17" s="15" t="e">
        <f>C17*(E17/F17)^0.25</f>
        <v>#DIV/0!</v>
      </c>
      <c r="I17" s="15" t="e">
        <f>D17*(E17/F17)^0.25</f>
        <v>#DIV/0!</v>
      </c>
      <c r="J17" s="15" t="e">
        <f>(G17^4+H17^4+I17^4)^0.25</f>
        <v>#DIV/0!</v>
      </c>
      <c r="K17" s="29"/>
      <c r="L17" s="29"/>
      <c r="M17" s="29"/>
      <c r="N17" s="29"/>
      <c r="O17" s="29"/>
      <c r="P17" s="29"/>
      <c r="Q17" s="29"/>
      <c r="R17" s="29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</row>
    <row r="18" spans="1:65" s="1" customFormat="1" ht="30" customHeight="1" thickTop="1" thickBot="1">
      <c r="A18" s="29"/>
      <c r="B18" s="9"/>
      <c r="C18" s="9"/>
      <c r="D18" s="17"/>
      <c r="E18" s="23">
        <f>F8</f>
        <v>0</v>
      </c>
      <c r="F18" s="48"/>
      <c r="G18" s="15" t="e">
        <f>B18*(E18/F18)^0.25</f>
        <v>#DIV/0!</v>
      </c>
      <c r="H18" s="15" t="e">
        <f>C18*(E18/F18)^0.25</f>
        <v>#DIV/0!</v>
      </c>
      <c r="I18" s="15" t="e">
        <f>D18*(E18/F18)^0.25</f>
        <v>#DIV/0!</v>
      </c>
      <c r="J18" s="15" t="e">
        <f>(G18^4+H18^4+I18^4)^0.25</f>
        <v>#DIV/0!</v>
      </c>
      <c r="K18" s="29"/>
      <c r="L18" s="29"/>
      <c r="M18" s="29"/>
      <c r="N18" s="29"/>
      <c r="O18" s="29"/>
      <c r="P18" s="29"/>
      <c r="Q18" s="29"/>
      <c r="R18" s="29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</row>
    <row r="19" spans="1:65" s="1" customFormat="1" ht="30" customHeight="1" thickTop="1" thickBot="1">
      <c r="A19" s="29"/>
      <c r="B19" s="11"/>
      <c r="C19" s="11"/>
      <c r="D19" s="17"/>
      <c r="E19" s="23">
        <f>F9</f>
        <v>0</v>
      </c>
      <c r="F19" s="48"/>
      <c r="G19" s="15" t="e">
        <f>B19*(E19/F19)^0.25</f>
        <v>#DIV/0!</v>
      </c>
      <c r="H19" s="15" t="e">
        <f>C19*(E19/F19)^0.25</f>
        <v>#DIV/0!</v>
      </c>
      <c r="I19" s="15" t="e">
        <f>D19*(E19/F19)^0.25</f>
        <v>#DIV/0!</v>
      </c>
      <c r="J19" s="15" t="e">
        <f>(G19^4+H19^4+I19^4)^0.25</f>
        <v>#DIV/0!</v>
      </c>
      <c r="K19" s="29"/>
      <c r="L19" s="29"/>
      <c r="M19" s="29"/>
      <c r="N19" s="29"/>
      <c r="O19" s="29"/>
      <c r="P19" s="29"/>
      <c r="Q19" s="29"/>
      <c r="R19" s="29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</row>
    <row r="20" spans="1:65" s="1" customFormat="1" ht="30" customHeight="1" thickTop="1" thickBot="1">
      <c r="A20" s="29"/>
      <c r="B20" s="9"/>
      <c r="C20" s="9"/>
      <c r="D20" s="17"/>
      <c r="E20" s="23">
        <f t="shared" ref="E20" si="0">F10</f>
        <v>0</v>
      </c>
      <c r="F20" s="48"/>
      <c r="G20" s="15" t="e">
        <f>B20*(E20/F20)^0.25</f>
        <v>#DIV/0!</v>
      </c>
      <c r="H20" s="15" t="e">
        <f>C20*(E20/F20)^0.25</f>
        <v>#DIV/0!</v>
      </c>
      <c r="I20" s="15" t="e">
        <f>D20*(E20/F20)^0.25</f>
        <v>#DIV/0!</v>
      </c>
      <c r="J20" s="16" t="e">
        <f>(G20^4+H20^4+I20^4)^0.25</f>
        <v>#DIV/0!</v>
      </c>
      <c r="K20" s="29"/>
      <c r="L20" s="29"/>
      <c r="M20" s="29"/>
      <c r="N20" s="29"/>
      <c r="O20" s="29"/>
      <c r="P20" s="29"/>
      <c r="Q20" s="29"/>
      <c r="R20" s="29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</row>
    <row r="21" spans="1:65" s="1" customFormat="1" ht="30" customHeight="1" thickTop="1" thickBot="1">
      <c r="A21" s="29"/>
      <c r="B21" s="9"/>
      <c r="C21" s="9"/>
      <c r="D21" s="17"/>
      <c r="E21" s="23">
        <f t="shared" ref="E21" si="1">F11</f>
        <v>0</v>
      </c>
      <c r="F21" s="48"/>
      <c r="G21" s="15" t="e">
        <f>B21*(E21/F21)^0.25</f>
        <v>#DIV/0!</v>
      </c>
      <c r="H21" s="15" t="e">
        <f>C21*(E21/F21)^0.25</f>
        <v>#DIV/0!</v>
      </c>
      <c r="I21" s="15" t="e">
        <f>D21*(E21/F21)^0.25</f>
        <v>#DIV/0!</v>
      </c>
      <c r="J21" s="16" t="e">
        <f>(G21^4+H21^4+I21^4)^0.25</f>
        <v>#DIV/0!</v>
      </c>
      <c r="K21" s="29"/>
      <c r="L21" s="29"/>
      <c r="M21" s="29"/>
      <c r="N21" s="29"/>
      <c r="O21" s="29"/>
      <c r="P21" s="29"/>
      <c r="Q21" s="29"/>
      <c r="R21" s="29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</row>
    <row r="22" spans="1:65" s="1" customFormat="1" ht="27.75" customHeight="1" thickTop="1" thickBot="1">
      <c r="A22" s="29"/>
      <c r="B22" s="69" t="s">
        <v>21</v>
      </c>
      <c r="C22" s="70"/>
      <c r="D22" s="70"/>
      <c r="E22" s="70"/>
      <c r="F22" s="70"/>
      <c r="G22" s="70"/>
      <c r="H22" s="70"/>
      <c r="I22" s="70"/>
      <c r="J22" s="5" t="e">
        <f>(J17^4+J18^4+J19^4+J20^4+J21^4)^0.25</f>
        <v>#DIV/0!</v>
      </c>
      <c r="K22" s="29"/>
      <c r="L22" s="29"/>
      <c r="M22" s="29"/>
      <c r="N22" s="38"/>
      <c r="O22" s="29"/>
      <c r="P22" s="29"/>
      <c r="Q22" s="29"/>
      <c r="R22" s="29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</row>
    <row r="23" spans="1:65" s="40" customFormat="1" ht="110.1" customHeight="1">
      <c r="A23" s="32"/>
      <c r="B23" s="29"/>
      <c r="C23" s="29"/>
      <c r="D23" s="29"/>
      <c r="E23" s="29"/>
      <c r="F23" s="29"/>
      <c r="G23" s="29"/>
      <c r="H23" s="29"/>
      <c r="I23" s="29"/>
      <c r="J23" s="29"/>
      <c r="K23" s="39"/>
      <c r="L23" s="39"/>
    </row>
    <row r="24" spans="1:65" s="33" customFormat="1">
      <c r="A24" s="29"/>
      <c r="B24" s="41"/>
      <c r="C24" s="41"/>
      <c r="D24" s="41"/>
      <c r="E24" s="41"/>
      <c r="F24" s="41"/>
      <c r="G24" s="41"/>
      <c r="H24" s="41"/>
      <c r="I24" s="41"/>
      <c r="J24" s="41"/>
      <c r="K24" s="29"/>
      <c r="L24" s="29"/>
      <c r="M24" s="41"/>
      <c r="N24" s="41"/>
    </row>
    <row r="25" spans="1:65" s="33" customFormat="1"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</row>
    <row r="26" spans="1:65" s="33" customFormat="1"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</row>
    <row r="27" spans="1:65" s="33" customFormat="1"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</row>
    <row r="28" spans="1:65" s="33" customFormat="1"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</row>
    <row r="29" spans="1:65" s="33" customFormat="1"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</row>
    <row r="30" spans="1:65" s="33" customFormat="1"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</row>
    <row r="31" spans="1:65" s="33" customFormat="1">
      <c r="K31" s="41"/>
      <c r="L31" s="41"/>
      <c r="M31" s="41"/>
      <c r="N31" s="41"/>
    </row>
    <row r="32" spans="1:65" s="33" customFormat="1"/>
    <row r="33" s="33" customFormat="1"/>
    <row r="34" s="33" customFormat="1"/>
    <row r="35" s="33" customFormat="1"/>
    <row r="36" s="33" customFormat="1"/>
    <row r="37" s="33" customFormat="1"/>
    <row r="38" s="33" customFormat="1"/>
    <row r="39" s="33" customFormat="1"/>
    <row r="40" s="33" customFormat="1"/>
    <row r="41" s="33" customFormat="1"/>
    <row r="42" s="33" customFormat="1"/>
    <row r="43" s="33" customFormat="1"/>
    <row r="44" s="33" customFormat="1"/>
    <row r="45" s="33" customFormat="1"/>
    <row r="46" s="33" customFormat="1"/>
    <row r="47" s="33" customFormat="1"/>
    <row r="48" s="33" customFormat="1"/>
    <row r="49" s="33" customFormat="1"/>
    <row r="50" s="33" customFormat="1"/>
    <row r="51" s="33" customFormat="1"/>
    <row r="52" s="33" customFormat="1"/>
    <row r="53" s="33" customFormat="1"/>
    <row r="54" s="33" customFormat="1"/>
    <row r="55" s="33" customFormat="1"/>
    <row r="56" s="33" customFormat="1"/>
    <row r="57" s="33" customFormat="1"/>
    <row r="58" s="33" customFormat="1"/>
    <row r="59" s="33" customFormat="1"/>
    <row r="60" s="33" customFormat="1"/>
    <row r="61" s="33" customFormat="1"/>
    <row r="62" s="33" customFormat="1"/>
    <row r="63" s="33" customFormat="1"/>
    <row r="64" s="33" customFormat="1"/>
    <row r="65" s="33" customFormat="1"/>
    <row r="66" s="33" customFormat="1"/>
    <row r="67" s="33" customFormat="1"/>
    <row r="68" s="33" customFormat="1"/>
    <row r="69" s="33" customFormat="1"/>
    <row r="70" s="33" customFormat="1"/>
    <row r="71" s="33" customFormat="1"/>
    <row r="72" s="33" customFormat="1"/>
    <row r="73" s="33" customFormat="1"/>
    <row r="74" s="33" customFormat="1"/>
    <row r="75" s="33" customFormat="1"/>
    <row r="76" s="33" customFormat="1"/>
    <row r="77" s="33" customFormat="1"/>
    <row r="78" s="33" customFormat="1"/>
    <row r="79" s="33" customFormat="1"/>
    <row r="80" s="33" customFormat="1"/>
    <row r="81" s="33" customFormat="1"/>
    <row r="82" s="33" customFormat="1"/>
    <row r="83" s="33" customFormat="1"/>
    <row r="84" s="33" customFormat="1"/>
    <row r="85" s="33" customFormat="1"/>
    <row r="86" s="33" customFormat="1"/>
    <row r="87" s="33" customFormat="1"/>
    <row r="88" s="33" customFormat="1"/>
    <row r="89" s="33" customFormat="1"/>
    <row r="90" s="33" customFormat="1"/>
    <row r="91" s="33" customFormat="1"/>
    <row r="92" s="33" customFormat="1"/>
    <row r="93" s="33" customFormat="1"/>
    <row r="94" s="33" customFormat="1"/>
    <row r="95" s="33" customFormat="1"/>
    <row r="96" s="33" customFormat="1"/>
    <row r="97" s="33" customFormat="1"/>
    <row r="98" s="33" customFormat="1"/>
    <row r="99" s="33" customFormat="1"/>
    <row r="100" s="33" customFormat="1"/>
    <row r="101" s="33" customFormat="1"/>
    <row r="102" s="33" customFormat="1"/>
    <row r="103" s="33" customFormat="1"/>
    <row r="104" s="33" customFormat="1"/>
    <row r="105" s="33" customFormat="1"/>
    <row r="106" s="33" customFormat="1"/>
    <row r="107" s="33" customFormat="1"/>
    <row r="108" s="33" customFormat="1"/>
    <row r="109" s="33" customFormat="1"/>
    <row r="110" s="33" customFormat="1"/>
    <row r="111" s="33" customFormat="1"/>
    <row r="112" s="33" customFormat="1"/>
    <row r="113" s="33" customFormat="1"/>
    <row r="114" s="33" customFormat="1"/>
    <row r="115" s="33" customFormat="1"/>
    <row r="116" s="33" customFormat="1"/>
    <row r="117" s="33" customFormat="1"/>
    <row r="118" s="33" customFormat="1"/>
    <row r="119" s="33" customFormat="1"/>
    <row r="120" s="33" customFormat="1"/>
    <row r="121" s="33" customFormat="1"/>
    <row r="122" s="33" customFormat="1"/>
    <row r="123" s="33" customFormat="1"/>
    <row r="124" s="33" customFormat="1"/>
    <row r="125" s="33" customFormat="1"/>
    <row r="126" s="33" customFormat="1"/>
    <row r="127" s="33" customFormat="1"/>
    <row r="128" s="33" customFormat="1"/>
    <row r="129" s="33" customFormat="1"/>
    <row r="130" s="33" customFormat="1"/>
    <row r="131" s="33" customFormat="1"/>
    <row r="132" s="33" customFormat="1"/>
    <row r="133" s="33" customFormat="1"/>
    <row r="134" s="33" customFormat="1"/>
    <row r="135" s="33" customFormat="1"/>
    <row r="136" s="33" customFormat="1"/>
    <row r="137" s="33" customFormat="1"/>
    <row r="138" s="33" customFormat="1"/>
    <row r="139" s="33" customFormat="1"/>
    <row r="140" s="33" customFormat="1"/>
    <row r="141" s="33" customFormat="1"/>
    <row r="142" s="33" customFormat="1"/>
    <row r="143" s="33" customFormat="1"/>
    <row r="144" s="33" customFormat="1"/>
    <row r="145" s="33" customFormat="1"/>
    <row r="146" s="33" customFormat="1"/>
    <row r="147" s="33" customFormat="1"/>
    <row r="148" s="33" customFormat="1"/>
    <row r="149" s="33" customFormat="1"/>
    <row r="150" s="33" customFormat="1"/>
    <row r="151" s="33" customFormat="1"/>
    <row r="152" s="33" customFormat="1"/>
    <row r="153" s="33" customFormat="1"/>
    <row r="154" s="33" customFormat="1"/>
    <row r="155" s="33" customFormat="1"/>
    <row r="156" s="33" customFormat="1"/>
    <row r="157" s="33" customFormat="1"/>
    <row r="158" s="33" customFormat="1"/>
    <row r="159" s="33" customFormat="1"/>
    <row r="160" s="33" customFormat="1"/>
    <row r="161" s="33" customFormat="1"/>
    <row r="162" s="33" customFormat="1"/>
    <row r="163" s="33" customFormat="1"/>
    <row r="164" s="33" customFormat="1"/>
    <row r="165" s="33" customFormat="1"/>
    <row r="166" s="33" customFormat="1"/>
    <row r="167" s="33" customFormat="1"/>
    <row r="168" s="33" customFormat="1"/>
    <row r="169" s="33" customFormat="1"/>
    <row r="170" s="33" customFormat="1"/>
    <row r="171" s="33" customFormat="1"/>
    <row r="172" s="33" customFormat="1"/>
    <row r="173" s="33" customFormat="1"/>
    <row r="174" s="33" customFormat="1"/>
    <row r="175" s="33" customFormat="1"/>
    <row r="176" s="33" customFormat="1"/>
    <row r="177" s="33" customFormat="1"/>
    <row r="178" s="33" customFormat="1"/>
    <row r="179" s="33" customFormat="1"/>
    <row r="180" s="33" customFormat="1"/>
    <row r="181" s="33" customFormat="1"/>
    <row r="182" s="33" customFormat="1"/>
    <row r="183" s="33" customFormat="1"/>
    <row r="184" s="33" customFormat="1"/>
    <row r="185" s="33" customFormat="1"/>
    <row r="186" s="33" customFormat="1"/>
    <row r="187" s="33" customFormat="1"/>
    <row r="188" s="33" customFormat="1"/>
    <row r="189" s="33" customFormat="1"/>
    <row r="190" s="33" customFormat="1"/>
    <row r="191" s="33" customFormat="1"/>
    <row r="192" s="33" customFormat="1"/>
    <row r="193" s="33" customFormat="1"/>
    <row r="194" s="33" customFormat="1"/>
    <row r="195" s="33" customFormat="1"/>
    <row r="196" s="33" customFormat="1"/>
    <row r="197" s="33" customFormat="1"/>
    <row r="198" s="33" customFormat="1"/>
    <row r="199" s="33" customFormat="1"/>
    <row r="200" s="33" customFormat="1"/>
    <row r="201" s="33" customFormat="1"/>
    <row r="202" s="33" customFormat="1"/>
    <row r="203" s="33" customFormat="1"/>
    <row r="204" s="33" customFormat="1"/>
    <row r="205" s="33" customFormat="1"/>
    <row r="206" s="33" customFormat="1"/>
    <row r="207" s="33" customFormat="1"/>
    <row r="208" s="33" customFormat="1"/>
    <row r="209" s="33" customFormat="1"/>
    <row r="210" s="33" customFormat="1"/>
    <row r="211" s="33" customFormat="1"/>
    <row r="212" s="33" customFormat="1"/>
    <row r="213" s="33" customFormat="1"/>
    <row r="214" s="33" customFormat="1"/>
    <row r="215" s="33" customFormat="1"/>
    <row r="216" s="33" customFormat="1"/>
    <row r="217" s="33" customFormat="1"/>
    <row r="218" s="33" customFormat="1"/>
    <row r="219" s="33" customFormat="1"/>
    <row r="220" s="33" customFormat="1"/>
    <row r="221" s="33" customFormat="1"/>
    <row r="222" s="33" customFormat="1"/>
    <row r="223" s="33" customFormat="1"/>
    <row r="224" s="33" customFormat="1"/>
    <row r="225" s="33" customFormat="1"/>
    <row r="226" s="33" customFormat="1"/>
    <row r="227" s="33" customFormat="1"/>
    <row r="228" s="33" customFormat="1"/>
    <row r="229" s="33" customFormat="1"/>
    <row r="230" s="33" customFormat="1"/>
    <row r="231" s="33" customFormat="1"/>
    <row r="232" s="33" customFormat="1"/>
    <row r="233" s="33" customFormat="1"/>
    <row r="234" s="33" customFormat="1"/>
    <row r="235" s="33" customFormat="1"/>
    <row r="236" s="33" customFormat="1"/>
    <row r="237" s="33" customFormat="1"/>
    <row r="238" s="33" customFormat="1"/>
    <row r="239" s="33" customFormat="1"/>
    <row r="240" s="33" customFormat="1"/>
    <row r="241" s="33" customFormat="1"/>
    <row r="242" s="33" customFormat="1"/>
    <row r="243" s="33" customFormat="1"/>
    <row r="244" s="33" customFormat="1"/>
    <row r="245" s="33" customFormat="1"/>
    <row r="246" s="33" customFormat="1"/>
    <row r="247" s="33" customFormat="1"/>
    <row r="248" s="33" customFormat="1"/>
    <row r="249" s="33" customFormat="1"/>
    <row r="250" s="33" customFormat="1"/>
    <row r="251" s="33" customFormat="1"/>
    <row r="252" s="33" customFormat="1"/>
    <row r="253" s="33" customFormat="1"/>
    <row r="254" s="33" customFormat="1"/>
    <row r="255" s="33" customFormat="1"/>
    <row r="256" s="33" customFormat="1"/>
    <row r="257" s="33" customFormat="1"/>
    <row r="258" s="33" customFormat="1"/>
    <row r="259" s="33" customFormat="1"/>
    <row r="260" s="33" customFormat="1"/>
    <row r="261" s="33" customFormat="1"/>
    <row r="262" s="33" customFormat="1"/>
    <row r="263" s="33" customFormat="1"/>
    <row r="264" s="33" customFormat="1"/>
    <row r="265" s="33" customFormat="1"/>
    <row r="266" s="33" customFormat="1"/>
    <row r="267" s="33" customFormat="1"/>
    <row r="268" s="33" customFormat="1"/>
    <row r="269" s="33" customFormat="1"/>
    <row r="270" s="33" customFormat="1"/>
    <row r="271" s="33" customFormat="1"/>
    <row r="272" s="33" customFormat="1"/>
    <row r="273" s="33" customFormat="1"/>
    <row r="274" s="33" customFormat="1"/>
    <row r="275" s="33" customFormat="1"/>
    <row r="276" s="33" customFormat="1"/>
    <row r="277" s="33" customFormat="1"/>
    <row r="278" s="33" customFormat="1"/>
    <row r="279" s="33" customFormat="1"/>
    <row r="280" s="33" customFormat="1"/>
    <row r="281" s="33" customFormat="1"/>
    <row r="282" s="33" customFormat="1"/>
    <row r="283" s="33" customFormat="1"/>
    <row r="284" s="33" customFormat="1"/>
    <row r="285" s="33" customFormat="1"/>
    <row r="286" s="33" customFormat="1"/>
    <row r="287" s="33" customFormat="1"/>
    <row r="288" s="33" customFormat="1"/>
    <row r="289" s="33" customFormat="1"/>
    <row r="290" s="33" customFormat="1"/>
    <row r="291" s="33" customFormat="1"/>
    <row r="292" s="33" customFormat="1"/>
    <row r="293" s="33" customFormat="1"/>
    <row r="294" s="33" customFormat="1"/>
    <row r="295" s="33" customFormat="1"/>
    <row r="296" s="33" customFormat="1"/>
    <row r="297" s="33" customFormat="1"/>
    <row r="298" s="33" customFormat="1"/>
    <row r="299" s="33" customFormat="1"/>
    <row r="300" s="33" customFormat="1"/>
    <row r="301" s="33" customFormat="1"/>
    <row r="302" s="33" customFormat="1"/>
    <row r="303" s="33" customFormat="1"/>
    <row r="304" s="33" customFormat="1"/>
    <row r="305" s="33" customFormat="1"/>
    <row r="306" s="33" customFormat="1"/>
    <row r="307" s="33" customFormat="1"/>
    <row r="308" s="33" customFormat="1"/>
    <row r="309" s="33" customFormat="1"/>
    <row r="310" s="33" customFormat="1"/>
    <row r="311" s="33" customFormat="1"/>
    <row r="312" s="33" customFormat="1"/>
    <row r="313" s="33" customFormat="1"/>
    <row r="314" s="33" customFormat="1"/>
    <row r="315" s="33" customFormat="1"/>
    <row r="316" s="33" customFormat="1"/>
    <row r="317" s="33" customFormat="1"/>
    <row r="318" s="33" customFormat="1"/>
    <row r="319" s="33" customFormat="1"/>
    <row r="320" s="33" customFormat="1"/>
    <row r="321" s="33" customFormat="1"/>
    <row r="322" s="33" customFormat="1"/>
    <row r="323" s="33" customFormat="1"/>
    <row r="324" s="33" customFormat="1"/>
    <row r="325" s="33" customFormat="1"/>
    <row r="326" s="33" customFormat="1"/>
    <row r="327" s="33" customFormat="1"/>
    <row r="328" s="33" customFormat="1"/>
    <row r="329" s="33" customFormat="1"/>
    <row r="330" s="33" customFormat="1"/>
    <row r="331" s="33" customFormat="1"/>
    <row r="332" s="33" customFormat="1"/>
    <row r="333" s="33" customFormat="1"/>
    <row r="334" s="33" customFormat="1"/>
    <row r="335" s="33" customFormat="1"/>
    <row r="336" s="33" customFormat="1"/>
    <row r="337" s="33" customFormat="1"/>
    <row r="338" s="33" customFormat="1"/>
    <row r="339" s="33" customFormat="1"/>
    <row r="340" s="33" customFormat="1"/>
    <row r="341" s="33" customFormat="1"/>
    <row r="342" s="33" customFormat="1"/>
    <row r="343" s="33" customFormat="1"/>
    <row r="344" s="33" customFormat="1"/>
    <row r="345" s="33" customFormat="1"/>
    <row r="346" s="33" customFormat="1"/>
    <row r="347" s="33" customFormat="1"/>
    <row r="348" s="33" customFormat="1"/>
    <row r="349" s="33" customFormat="1"/>
    <row r="350" s="33" customFormat="1"/>
    <row r="351" s="33" customFormat="1"/>
    <row r="352" s="33" customFormat="1"/>
    <row r="353" s="33" customFormat="1"/>
    <row r="354" s="33" customFormat="1"/>
    <row r="355" s="33" customFormat="1"/>
    <row r="356" s="33" customFormat="1"/>
    <row r="357" s="33" customFormat="1"/>
    <row r="358" s="33" customFormat="1"/>
    <row r="359" s="33" customFormat="1"/>
    <row r="360" s="33" customFormat="1"/>
    <row r="361" s="33" customFormat="1"/>
    <row r="362" s="33" customFormat="1"/>
    <row r="363" s="33" customFormat="1"/>
    <row r="364" s="33" customFormat="1"/>
    <row r="365" s="33" customFormat="1"/>
    <row r="366" s="33" customFormat="1"/>
    <row r="367" s="33" customFormat="1"/>
    <row r="368" s="33" customFormat="1"/>
    <row r="369" s="33" customFormat="1"/>
    <row r="370" s="33" customFormat="1"/>
    <row r="371" s="33" customFormat="1"/>
    <row r="372" s="33" customFormat="1"/>
    <row r="373" s="33" customFormat="1"/>
    <row r="374" s="33" customFormat="1"/>
    <row r="375" s="33" customFormat="1"/>
    <row r="376" s="33" customFormat="1"/>
    <row r="377" s="33" customFormat="1"/>
    <row r="378" s="33" customFormat="1"/>
    <row r="379" s="33" customFormat="1"/>
    <row r="380" s="33" customFormat="1"/>
    <row r="381" s="33" customFormat="1"/>
    <row r="382" s="33" customFormat="1"/>
    <row r="383" s="33" customFormat="1"/>
    <row r="384" s="33" customFormat="1"/>
    <row r="385" s="33" customFormat="1"/>
    <row r="386" s="33" customFormat="1"/>
    <row r="387" s="33" customFormat="1"/>
    <row r="388" s="33" customFormat="1"/>
    <row r="389" s="33" customFormat="1"/>
    <row r="390" s="33" customFormat="1"/>
    <row r="391" s="33" customFormat="1"/>
    <row r="392" s="33" customFormat="1"/>
    <row r="393" s="33" customFormat="1"/>
    <row r="394" s="33" customFormat="1"/>
    <row r="395" s="33" customFormat="1"/>
    <row r="396" s="33" customFormat="1"/>
    <row r="397" s="33" customFormat="1"/>
    <row r="398" s="33" customFormat="1"/>
    <row r="399" s="33" customFormat="1"/>
    <row r="400" s="33" customFormat="1"/>
    <row r="401" s="33" customFormat="1"/>
    <row r="402" s="33" customFormat="1"/>
    <row r="403" s="33" customFormat="1"/>
    <row r="404" s="33" customFormat="1"/>
    <row r="405" s="33" customFormat="1"/>
    <row r="406" s="33" customFormat="1"/>
    <row r="407" s="33" customFormat="1"/>
    <row r="408" s="33" customFormat="1"/>
    <row r="409" s="33" customFormat="1"/>
    <row r="410" s="33" customFormat="1"/>
    <row r="411" s="33" customFormat="1"/>
    <row r="412" s="33" customFormat="1"/>
    <row r="413" s="33" customFormat="1"/>
    <row r="414" s="33" customFormat="1"/>
    <row r="415" s="33" customFormat="1"/>
    <row r="416" s="33" customFormat="1"/>
    <row r="417" s="33" customFormat="1"/>
    <row r="418" s="33" customFormat="1"/>
    <row r="419" s="33" customFormat="1"/>
    <row r="420" s="33" customFormat="1"/>
    <row r="421" s="33" customFormat="1"/>
    <row r="422" s="33" customFormat="1"/>
    <row r="423" s="33" customFormat="1"/>
    <row r="424" s="33" customFormat="1"/>
    <row r="425" s="33" customFormat="1"/>
    <row r="426" s="33" customFormat="1"/>
    <row r="427" s="33" customFormat="1"/>
    <row r="428" s="33" customFormat="1"/>
    <row r="429" s="33" customFormat="1"/>
    <row r="430" s="33" customFormat="1"/>
    <row r="431" s="33" customFormat="1"/>
    <row r="432" s="33" customFormat="1"/>
    <row r="433" s="33" customFormat="1"/>
    <row r="434" s="33" customFormat="1"/>
    <row r="435" s="33" customFormat="1"/>
    <row r="436" s="33" customFormat="1"/>
    <row r="437" s="33" customFormat="1"/>
    <row r="438" s="33" customFormat="1"/>
    <row r="439" s="33" customFormat="1"/>
    <row r="440" s="33" customFormat="1"/>
    <row r="441" s="33" customFormat="1"/>
    <row r="442" s="33" customFormat="1"/>
    <row r="443" s="33" customFormat="1"/>
    <row r="444" s="33" customFormat="1"/>
    <row r="445" s="33" customFormat="1"/>
    <row r="446" s="33" customFormat="1"/>
    <row r="447" s="33" customFormat="1"/>
    <row r="448" s="33" customFormat="1"/>
    <row r="449" s="33" customFormat="1"/>
    <row r="450" s="33" customFormat="1"/>
    <row r="451" s="33" customFormat="1"/>
    <row r="452" s="33" customFormat="1"/>
    <row r="453" s="33" customFormat="1"/>
    <row r="454" s="33" customFormat="1"/>
    <row r="455" s="33" customFormat="1"/>
    <row r="456" s="33" customFormat="1"/>
    <row r="457" s="33" customFormat="1"/>
    <row r="458" s="33" customFormat="1"/>
    <row r="459" s="33" customFormat="1"/>
    <row r="460" s="33" customFormat="1"/>
    <row r="461" s="33" customFormat="1"/>
    <row r="462" s="33" customFormat="1"/>
    <row r="463" s="33" customFormat="1"/>
    <row r="464" s="33" customFormat="1"/>
    <row r="465" s="33" customFormat="1"/>
    <row r="466" s="33" customFormat="1"/>
    <row r="467" s="33" customFormat="1"/>
    <row r="468" s="33" customFormat="1"/>
    <row r="469" s="33" customFormat="1"/>
    <row r="470" s="33" customFormat="1"/>
    <row r="471" s="33" customFormat="1"/>
    <row r="472" s="33" customFormat="1"/>
    <row r="473" s="33" customFormat="1"/>
    <row r="474" s="33" customFormat="1"/>
    <row r="475" s="33" customFormat="1"/>
    <row r="476" s="33" customFormat="1"/>
    <row r="477" s="33" customFormat="1"/>
    <row r="478" s="33" customFormat="1"/>
    <row r="479" s="33" customFormat="1"/>
    <row r="480" s="33" customFormat="1"/>
    <row r="481" s="33" customFormat="1"/>
    <row r="482" s="33" customFormat="1"/>
    <row r="483" s="33" customFormat="1"/>
    <row r="484" s="33" customFormat="1"/>
    <row r="485" s="33" customFormat="1"/>
    <row r="486" s="33" customFormat="1"/>
    <row r="487" s="33" customFormat="1"/>
    <row r="488" s="33" customFormat="1"/>
    <row r="489" s="33" customFormat="1"/>
    <row r="490" s="33" customFormat="1"/>
    <row r="491" s="33" customFormat="1"/>
    <row r="492" s="33" customFormat="1"/>
    <row r="493" s="33" customFormat="1"/>
    <row r="494" s="33" customFormat="1"/>
    <row r="495" s="33" customFormat="1"/>
    <row r="496" s="33" customFormat="1"/>
    <row r="497" s="33" customFormat="1"/>
    <row r="498" s="33" customFormat="1"/>
    <row r="499" s="33" customFormat="1"/>
    <row r="500" s="33" customFormat="1"/>
    <row r="501" s="33" customFormat="1"/>
    <row r="502" s="33" customFormat="1"/>
    <row r="503" s="33" customFormat="1"/>
    <row r="504" s="33" customFormat="1"/>
    <row r="505" s="33" customFormat="1"/>
    <row r="506" s="33" customFormat="1"/>
    <row r="507" s="33" customFormat="1"/>
    <row r="508" s="33" customFormat="1"/>
    <row r="509" s="33" customFormat="1"/>
    <row r="510" s="33" customFormat="1"/>
    <row r="511" s="33" customFormat="1"/>
    <row r="512" s="33" customFormat="1"/>
    <row r="513" s="33" customFormat="1"/>
    <row r="514" s="33" customFormat="1"/>
    <row r="515" s="33" customFormat="1"/>
    <row r="516" s="33" customFormat="1"/>
    <row r="517" s="33" customFormat="1"/>
    <row r="518" s="33" customFormat="1"/>
    <row r="519" s="33" customFormat="1"/>
  </sheetData>
  <sheetProtection password="CB8D" sheet="1" objects="1" scenarios="1" selectLockedCells="1"/>
  <mergeCells count="24">
    <mergeCell ref="B22:I22"/>
    <mergeCell ref="F10:G10"/>
    <mergeCell ref="H10:J10"/>
    <mergeCell ref="F11:G11"/>
    <mergeCell ref="H11:J11"/>
    <mergeCell ref="H12:J12"/>
    <mergeCell ref="B13:J13"/>
    <mergeCell ref="B14:J14"/>
    <mergeCell ref="B15:D15"/>
    <mergeCell ref="E15:E16"/>
    <mergeCell ref="F15:F16"/>
    <mergeCell ref="G15:J15"/>
    <mergeCell ref="F7:G7"/>
    <mergeCell ref="H7:J7"/>
    <mergeCell ref="F8:G8"/>
    <mergeCell ref="H8:J8"/>
    <mergeCell ref="F9:G9"/>
    <mergeCell ref="H9:J9"/>
    <mergeCell ref="B1:J2"/>
    <mergeCell ref="B4:J4"/>
    <mergeCell ref="B5:E5"/>
    <mergeCell ref="F5:J5"/>
    <mergeCell ref="F6:G6"/>
    <mergeCell ref="H6:J6"/>
  </mergeCells>
  <pageMargins left="0.511811024" right="0.511811024" top="0.78740157499999996" bottom="0.78740157499999996" header="0.31496062000000002" footer="0.31496062000000002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Valor por eixos (2 ciclos)</vt:lpstr>
      <vt:lpstr>Valor por eixos (3 ciclos)</vt:lpstr>
      <vt:lpstr>Valor por eixos (4 ciclos)</vt:lpstr>
      <vt:lpstr>Valor por eixos (5 ciclos)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astec02</dc:creator>
  <cp:lastModifiedBy>Thiago</cp:lastModifiedBy>
  <dcterms:created xsi:type="dcterms:W3CDTF">2014-09-29T16:00:33Z</dcterms:created>
  <dcterms:modified xsi:type="dcterms:W3CDTF">2018-02-04T15:11:12Z</dcterms:modified>
</cp:coreProperties>
</file>