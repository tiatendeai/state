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75" yWindow="-30" windowWidth="6840" windowHeight="4035"/>
  </bookViews>
  <sheets>
    <sheet name="Caroço de Algodão  com a PLuma" sheetId="34" r:id="rId1"/>
    <sheet name="Caroço de Algodão" sheetId="33" r:id="rId2"/>
  </sheets>
  <definedNames>
    <definedName name="_xlnm.Print_Area" localSheetId="1">'Caroço de Algodão'!$A$1:$W$90</definedName>
    <definedName name="_xlnm.Print_Area" localSheetId="0">'Caroço de Algodão  com a PLuma'!$A$1:$W$90</definedName>
  </definedNames>
  <calcPr calcId="125725"/>
</workbook>
</file>

<file path=xl/calcChain.xml><?xml version="1.0" encoding="utf-8"?>
<calcChain xmlns="http://schemas.openxmlformats.org/spreadsheetml/2006/main">
  <c r="H26" i="33"/>
  <c r="I26"/>
  <c r="J26"/>
  <c r="K26"/>
  <c r="L26"/>
  <c r="M26"/>
  <c r="N7" i="34"/>
  <c r="N8"/>
  <c r="N9"/>
  <c r="N10"/>
  <c r="N11"/>
  <c r="N12"/>
  <c r="B12"/>
  <c r="C12"/>
  <c r="D12"/>
  <c r="E12"/>
  <c r="F12"/>
  <c r="G12"/>
  <c r="H12"/>
  <c r="I12"/>
  <c r="J12"/>
  <c r="K12"/>
  <c r="L12"/>
  <c r="M12"/>
  <c r="N13"/>
  <c r="N14"/>
  <c r="N15"/>
  <c r="N16"/>
  <c r="N17"/>
  <c r="N18"/>
  <c r="B19"/>
  <c r="C19"/>
  <c r="D19"/>
  <c r="E19"/>
  <c r="F19"/>
  <c r="G19"/>
  <c r="H19"/>
  <c r="I19"/>
  <c r="J19"/>
  <c r="K19"/>
  <c r="L19"/>
  <c r="M19"/>
  <c r="N19"/>
  <c r="N23"/>
  <c r="N24"/>
  <c r="B26"/>
  <c r="C26"/>
  <c r="D26"/>
  <c r="E26"/>
  <c r="F26"/>
  <c r="G26"/>
  <c r="H26"/>
  <c r="I26"/>
  <c r="J26"/>
  <c r="K26"/>
  <c r="L26"/>
  <c r="M26"/>
  <c r="N26"/>
  <c r="B27"/>
  <c r="C27"/>
  <c r="D27"/>
  <c r="E27"/>
  <c r="F27"/>
  <c r="G27"/>
  <c r="H27"/>
  <c r="I27"/>
  <c r="J27"/>
  <c r="K27"/>
  <c r="L27"/>
  <c r="M27"/>
  <c r="N27"/>
  <c r="B28"/>
  <c r="C28"/>
  <c r="D28"/>
  <c r="E28"/>
  <c r="F28"/>
  <c r="G28"/>
  <c r="H28"/>
  <c r="I28"/>
  <c r="J28"/>
  <c r="K28"/>
  <c r="L28"/>
  <c r="M28"/>
  <c r="N28"/>
  <c r="N30"/>
  <c r="N31"/>
  <c r="N32"/>
  <c r="N33"/>
  <c r="N34"/>
  <c r="B35"/>
  <c r="C35"/>
  <c r="D35"/>
  <c r="E35"/>
  <c r="F35"/>
  <c r="G35"/>
  <c r="H35"/>
  <c r="I35"/>
  <c r="J35"/>
  <c r="K35"/>
  <c r="L35"/>
  <c r="M35"/>
  <c r="N35"/>
  <c r="N36"/>
  <c r="N37"/>
  <c r="N38"/>
  <c r="N39"/>
  <c r="N40"/>
  <c r="N41"/>
  <c r="B42"/>
  <c r="C42"/>
  <c r="D42"/>
  <c r="E42"/>
  <c r="F42"/>
  <c r="G42"/>
  <c r="H42"/>
  <c r="I42"/>
  <c r="J42"/>
  <c r="K42"/>
  <c r="L42"/>
  <c r="M42"/>
  <c r="N42"/>
  <c r="N45"/>
  <c r="N46"/>
  <c r="N48"/>
  <c r="N49"/>
  <c r="B50"/>
  <c r="C50"/>
  <c r="D50"/>
  <c r="E50"/>
  <c r="F50"/>
  <c r="G50"/>
  <c r="H50"/>
  <c r="I50"/>
  <c r="J50"/>
  <c r="K50"/>
  <c r="L50"/>
  <c r="M50"/>
  <c r="N51"/>
  <c r="N52"/>
  <c r="N53"/>
  <c r="N54"/>
  <c r="N55"/>
  <c r="N56"/>
  <c r="B57"/>
  <c r="C57"/>
  <c r="D57"/>
  <c r="E57"/>
  <c r="F57"/>
  <c r="G57"/>
  <c r="H57"/>
  <c r="I57"/>
  <c r="J57"/>
  <c r="K57"/>
  <c r="L57"/>
  <c r="M57"/>
  <c r="N57"/>
  <c r="N58"/>
  <c r="N59"/>
  <c r="B61"/>
  <c r="C61"/>
  <c r="D61"/>
  <c r="E61"/>
  <c r="F61"/>
  <c r="G61"/>
  <c r="H61"/>
  <c r="I61"/>
  <c r="J61"/>
  <c r="K61"/>
  <c r="L61"/>
  <c r="M61"/>
  <c r="N61"/>
  <c r="B62"/>
  <c r="C62"/>
  <c r="D62"/>
  <c r="E62"/>
  <c r="F62"/>
  <c r="G62"/>
  <c r="H62"/>
  <c r="I62"/>
  <c r="J62"/>
  <c r="K62"/>
  <c r="L62"/>
  <c r="M62"/>
  <c r="N62"/>
  <c r="B63"/>
  <c r="C63"/>
  <c r="D63"/>
  <c r="E63"/>
  <c r="F63"/>
  <c r="G63"/>
  <c r="H63"/>
  <c r="I63"/>
  <c r="J63"/>
  <c r="K63"/>
  <c r="L63"/>
  <c r="M63"/>
  <c r="N63"/>
  <c r="Q83"/>
  <c r="T83"/>
  <c r="Q85"/>
  <c r="Q87"/>
  <c r="Q89"/>
  <c r="J12" i="33"/>
  <c r="J28"/>
  <c r="K12"/>
  <c r="K28"/>
  <c r="L12"/>
  <c r="L28"/>
  <c r="M12"/>
  <c r="M28"/>
  <c r="B12"/>
  <c r="C12"/>
  <c r="C26"/>
  <c r="D12"/>
  <c r="D26"/>
  <c r="D19"/>
  <c r="D27"/>
  <c r="E12"/>
  <c r="E26"/>
  <c r="F12"/>
  <c r="F26"/>
  <c r="G12"/>
  <c r="G26"/>
  <c r="H12"/>
  <c r="H19"/>
  <c r="H28"/>
  <c r="I12"/>
  <c r="I28"/>
  <c r="J27"/>
  <c r="K27"/>
  <c r="L27"/>
  <c r="M27"/>
  <c r="H27"/>
  <c r="I27"/>
  <c r="B26"/>
  <c r="Q89"/>
  <c r="Q87"/>
  <c r="Q85"/>
  <c r="N49"/>
  <c r="N48"/>
  <c r="N46"/>
  <c r="N45"/>
  <c r="N41"/>
  <c r="N40"/>
  <c r="N39"/>
  <c r="N38"/>
  <c r="N37"/>
  <c r="N36"/>
  <c r="N34"/>
  <c r="N33"/>
  <c r="N32"/>
  <c r="N31"/>
  <c r="N30"/>
  <c r="N23"/>
  <c r="N18"/>
  <c r="N17"/>
  <c r="N16"/>
  <c r="N15"/>
  <c r="N13"/>
  <c r="N7"/>
  <c r="N8"/>
  <c r="N9"/>
  <c r="N11"/>
  <c r="N10"/>
  <c r="N24"/>
  <c r="B19"/>
  <c r="B27"/>
  <c r="C19"/>
  <c r="C28"/>
  <c r="E19"/>
  <c r="F19"/>
  <c r="F27"/>
  <c r="G19"/>
  <c r="G27"/>
  <c r="I19"/>
  <c r="J19"/>
  <c r="K19"/>
  <c r="L19"/>
  <c r="M19"/>
  <c r="N14"/>
  <c r="D35"/>
  <c r="B57"/>
  <c r="C57"/>
  <c r="D57"/>
  <c r="E57"/>
  <c r="F57"/>
  <c r="G57"/>
  <c r="H57"/>
  <c r="I57"/>
  <c r="J57"/>
  <c r="K57"/>
  <c r="L57"/>
  <c r="M57"/>
  <c r="B50"/>
  <c r="C50"/>
  <c r="D50"/>
  <c r="E50"/>
  <c r="F50"/>
  <c r="G50"/>
  <c r="H50"/>
  <c r="I50"/>
  <c r="J50"/>
  <c r="K50"/>
  <c r="L50"/>
  <c r="M50"/>
  <c r="B42"/>
  <c r="C42"/>
  <c r="D42"/>
  <c r="E42"/>
  <c r="F42"/>
  <c r="G42"/>
  <c r="H42"/>
  <c r="I42"/>
  <c r="J42"/>
  <c r="K42"/>
  <c r="L42"/>
  <c r="M42"/>
  <c r="B35"/>
  <c r="C35"/>
  <c r="E35"/>
  <c r="F35"/>
  <c r="G35"/>
  <c r="H35"/>
  <c r="I35"/>
  <c r="J35"/>
  <c r="K35"/>
  <c r="L35"/>
  <c r="M35"/>
  <c r="N51"/>
  <c r="N52"/>
  <c r="N54"/>
  <c r="N55"/>
  <c r="N56"/>
  <c r="N57"/>
  <c r="N42"/>
  <c r="N35"/>
  <c r="N53"/>
  <c r="M63"/>
  <c r="L63"/>
  <c r="K63"/>
  <c r="J63"/>
  <c r="I63"/>
  <c r="H63"/>
  <c r="G63"/>
  <c r="F63"/>
  <c r="E63"/>
  <c r="D63"/>
  <c r="C63"/>
  <c r="B63"/>
  <c r="M62"/>
  <c r="L62"/>
  <c r="K62"/>
  <c r="J62"/>
  <c r="I62"/>
  <c r="H62"/>
  <c r="G62"/>
  <c r="F62"/>
  <c r="E62"/>
  <c r="D62"/>
  <c r="C62"/>
  <c r="B62"/>
  <c r="M61"/>
  <c r="L61"/>
  <c r="K61"/>
  <c r="J61"/>
  <c r="I61"/>
  <c r="H61"/>
  <c r="G61"/>
  <c r="F61"/>
  <c r="E61"/>
  <c r="D61"/>
  <c r="C61"/>
  <c r="B61"/>
  <c r="N58"/>
  <c r="N59"/>
  <c r="N62"/>
  <c r="N61"/>
  <c r="N63"/>
  <c r="D28"/>
  <c r="F28"/>
  <c r="G28"/>
  <c r="E28"/>
  <c r="T83"/>
  <c r="Q83"/>
  <c r="N19"/>
  <c r="N12"/>
  <c r="N26"/>
  <c r="C27"/>
  <c r="B28"/>
  <c r="E27"/>
  <c r="N27"/>
  <c r="N28"/>
  <c r="N50" i="34"/>
  <c r="N47"/>
  <c r="N50" i="33"/>
  <c r="N47"/>
</calcChain>
</file>

<file path=xl/sharedStrings.xml><?xml version="1.0" encoding="utf-8"?>
<sst xmlns="http://schemas.openxmlformats.org/spreadsheetml/2006/main" count="162" uniqueCount="53">
  <si>
    <t>TOTAL DE ACIDENTES COM LESÃO</t>
  </si>
  <si>
    <t>INCIDENTES (QUASE ACIDENTES)</t>
  </si>
  <si>
    <t>NÚMERO DE FUNCIONÁRIOS</t>
  </si>
  <si>
    <t>DIAS RESTRITOS</t>
  </si>
  <si>
    <t>TOTAL TEMPO PERDIDO</t>
  </si>
  <si>
    <t>ACIDENTES COM TERCEIROS</t>
  </si>
  <si>
    <t>JAN</t>
  </si>
  <si>
    <t>FEV</t>
  </si>
  <si>
    <t>MAR</t>
  </si>
  <si>
    <t>ABR</t>
  </si>
  <si>
    <t>JUN</t>
  </si>
  <si>
    <t>JUL</t>
  </si>
  <si>
    <t>AGO</t>
  </si>
  <si>
    <t>SET</t>
  </si>
  <si>
    <t>OUT</t>
  </si>
  <si>
    <t>NOV</t>
  </si>
  <si>
    <t>DEZ</t>
  </si>
  <si>
    <t>TOTAL</t>
  </si>
  <si>
    <t>PIRÂMIDE DE FRANK BIRD JR.</t>
  </si>
  <si>
    <t>INCIDENTES ( QUASE ACIDENTES )</t>
  </si>
  <si>
    <t>Modelo</t>
  </si>
  <si>
    <t>Acumulado</t>
  </si>
  <si>
    <t>MAI</t>
  </si>
  <si>
    <t>ACIDENTES COM PERDAS MATERIAIS / MEIO AMBIENTE</t>
  </si>
  <si>
    <t>DIAS TRANSPORTADOS</t>
  </si>
  <si>
    <t xml:space="preserve">TOTAL DE ACIDENTES DE TRAJETO </t>
  </si>
  <si>
    <t>ACIDENTE TÍPICO</t>
  </si>
  <si>
    <t xml:space="preserve">ACIDENTE DE TRAJETO </t>
  </si>
  <si>
    <t>TOTAL DE ACIDENTES COM LESÃO - TERCEIROS</t>
  </si>
  <si>
    <t xml:space="preserve">INDICADORES DE SEGURANÇA </t>
  </si>
  <si>
    <t>TAXA DE FREQUÊNCIA (base 200.000)</t>
  </si>
  <si>
    <t>TAXA DE GRAVIDADE (base 200.000)</t>
  </si>
  <si>
    <t>SAFETY INDEX (base 200.000)</t>
  </si>
  <si>
    <t>DANOS MATERIAIS / AMBIENTE / QUASE ACIDENTES</t>
  </si>
  <si>
    <t>HOMENS HORAS TRABALHADAS</t>
  </si>
  <si>
    <t>Real - Mês</t>
  </si>
  <si>
    <t>ACIDENTE COM LESÃO GRAVE (Afast.&gt; 7 dias / sem dias restritos)</t>
  </si>
  <si>
    <t>ACIDENTE COM LESÃO LEVE (Afast &lt; 7 dias / dias restritos)</t>
  </si>
  <si>
    <t>ACIDENTES FATAIS + ACIDENTES GRAVÍSSIMOS</t>
  </si>
  <si>
    <t xml:space="preserve">ACIDENTES COM LESÃO GRAVE + LESÃO LEVE + SEM AFASTAMENTO </t>
  </si>
  <si>
    <t>ACIDENTES  COM DANOS MATERIAIS, EQUIPAMENTOS E MEIO AMBIENTE</t>
  </si>
  <si>
    <t>INDICADORES DE SEGURANÇA FUNCIONÁRIOS</t>
  </si>
  <si>
    <t>CONSOLIDADO INDUSTRIAS</t>
  </si>
  <si>
    <t>DIAS PERDIDOS COM ACIDENTES COM Afast.&gt; 7 dias</t>
  </si>
  <si>
    <t>DIAS PERDIDOS COM ACIDENTES LEVE COM Afast &lt; 7 dias</t>
  </si>
  <si>
    <t>DIAS PERDIDOS COM ACIDENTES GRAVÍSSIMOS</t>
  </si>
  <si>
    <t>DIAS PERDIDOS COM ACIDNETE FATAL</t>
  </si>
  <si>
    <t xml:space="preserve">ACIDENTE FATAL </t>
  </si>
  <si>
    <t xml:space="preserve">ACIDENTE GRAVÍSSIMO  </t>
  </si>
  <si>
    <t xml:space="preserve">ACIDENTES SEM AFASTAMENTO  </t>
  </si>
  <si>
    <t>ESTATÍSTICAS DE SEGURANÇA - ÚLTIMOS 12 MESES</t>
  </si>
  <si>
    <t>JANEIRO À DEZEMBRO 2010</t>
  </si>
  <si>
    <t>JANEIRO À DEZEMBRO 2011</t>
  </si>
</sst>
</file>

<file path=xl/styles.xml><?xml version="1.0" encoding="utf-8"?>
<styleSheet xmlns="http://schemas.openxmlformats.org/spreadsheetml/2006/main">
  <numFmts count="2">
    <numFmt numFmtId="186" formatCode="0.0"/>
    <numFmt numFmtId="192" formatCode="mm/yyyy"/>
  </numFmts>
  <fonts count="23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62"/>
      <name val="Arial"/>
      <family val="2"/>
    </font>
    <font>
      <b/>
      <sz val="12"/>
      <color indexed="62"/>
      <name val="Arial"/>
      <family val="2"/>
    </font>
    <font>
      <sz val="8"/>
      <name val="Arial"/>
      <family val="2"/>
    </font>
    <font>
      <b/>
      <sz val="12"/>
      <color indexed="10"/>
      <name val="Arial"/>
      <family val="2"/>
    </font>
    <font>
      <b/>
      <sz val="9"/>
      <name val="Arial"/>
      <family val="2"/>
    </font>
    <font>
      <sz val="10"/>
      <color indexed="12"/>
      <name val="Arial"/>
    </font>
    <font>
      <b/>
      <sz val="11"/>
      <color indexed="12"/>
      <name val="Arial"/>
      <family val="2"/>
    </font>
    <font>
      <sz val="11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4"/>
      <color indexed="12"/>
      <name val="Arial"/>
      <family val="2"/>
    </font>
    <font>
      <sz val="10"/>
      <color indexed="10"/>
      <name val="Arial"/>
    </font>
    <font>
      <b/>
      <sz val="14"/>
      <color indexed="10"/>
      <name val="Arial"/>
      <family val="2"/>
    </font>
    <font>
      <b/>
      <sz val="12"/>
      <color indexed="14"/>
      <name val="Arial"/>
      <family val="2"/>
    </font>
    <font>
      <sz val="12"/>
      <color indexed="14"/>
      <name val="Arial"/>
      <family val="2"/>
    </font>
    <font>
      <b/>
      <sz val="8"/>
      <color indexed="12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0" fillId="2" borderId="1" xfId="0" applyFill="1" applyBorder="1"/>
    <xf numFmtId="0" fontId="3" fillId="2" borderId="0" xfId="0" applyFont="1" applyFill="1"/>
    <xf numFmtId="0" fontId="5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" fontId="9" fillId="2" borderId="0" xfId="0" applyNumberFormat="1" applyFont="1" applyFill="1" applyBorder="1" applyAlignment="1">
      <alignment horizontal="center"/>
    </xf>
    <xf numFmtId="0" fontId="6" fillId="2" borderId="0" xfId="0" applyFont="1" applyFill="1" applyBorder="1"/>
    <xf numFmtId="0" fontId="2" fillId="2" borderId="0" xfId="0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10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0" fillId="2" borderId="4" xfId="0" applyFont="1" applyFill="1" applyBorder="1"/>
    <xf numFmtId="0" fontId="0" fillId="2" borderId="5" xfId="0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0" fillId="2" borderId="2" xfId="0" applyFill="1" applyBorder="1"/>
    <xf numFmtId="0" fontId="0" fillId="2" borderId="8" xfId="0" applyFill="1" applyBorder="1"/>
    <xf numFmtId="0" fontId="8" fillId="2" borderId="6" xfId="0" applyFont="1" applyFill="1" applyBorder="1" applyAlignment="1">
      <alignment horizontal="right"/>
    </xf>
    <xf numFmtId="0" fontId="10" fillId="2" borderId="0" xfId="0" applyFont="1" applyFill="1" applyBorder="1" applyAlignment="1"/>
    <xf numFmtId="0" fontId="8" fillId="2" borderId="7" xfId="0" applyFont="1" applyFill="1" applyBorder="1" applyAlignment="1">
      <alignment horizontal="right"/>
    </xf>
    <xf numFmtId="0" fontId="9" fillId="2" borderId="4" xfId="0" applyFont="1" applyFill="1" applyBorder="1" applyAlignment="1">
      <alignment horizontal="center"/>
    </xf>
    <xf numFmtId="0" fontId="6" fillId="2" borderId="4" xfId="0" applyFont="1" applyFill="1" applyBorder="1"/>
    <xf numFmtId="0" fontId="9" fillId="2" borderId="2" xfId="0" applyFont="1" applyFill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0" fontId="6" fillId="2" borderId="2" xfId="0" applyFont="1" applyFill="1" applyBorder="1"/>
    <xf numFmtId="0" fontId="2" fillId="2" borderId="4" xfId="0" applyFont="1" applyFill="1" applyBorder="1"/>
    <xf numFmtId="0" fontId="8" fillId="2" borderId="9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right"/>
    </xf>
    <xf numFmtId="0" fontId="11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1" fontId="11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11" fillId="3" borderId="1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12" fillId="2" borderId="1" xfId="0" applyFont="1" applyFill="1" applyBorder="1"/>
    <xf numFmtId="0" fontId="13" fillId="2" borderId="0" xfId="0" applyFont="1" applyFill="1"/>
    <xf numFmtId="0" fontId="15" fillId="2" borderId="0" xfId="0" applyFont="1" applyFill="1"/>
    <xf numFmtId="186" fontId="4" fillId="2" borderId="1" xfId="0" applyNumberFormat="1" applyFont="1" applyFill="1" applyBorder="1" applyAlignment="1">
      <alignment horizontal="center"/>
    </xf>
    <xf numFmtId="0" fontId="2" fillId="2" borderId="0" xfId="0" applyFont="1" applyFill="1"/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1" fontId="14" fillId="3" borderId="1" xfId="0" applyNumberFormat="1" applyFont="1" applyFill="1" applyBorder="1" applyAlignment="1">
      <alignment horizontal="center"/>
    </xf>
    <xf numFmtId="1" fontId="16" fillId="2" borderId="1" xfId="0" applyNumberFormat="1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2" fillId="2" borderId="10" xfId="0" applyFont="1" applyFill="1" applyBorder="1"/>
    <xf numFmtId="0" fontId="3" fillId="2" borderId="4" xfId="0" applyFont="1" applyFill="1" applyBorder="1"/>
    <xf numFmtId="1" fontId="6" fillId="2" borderId="2" xfId="0" quotePrefix="1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9" fillId="2" borderId="1" xfId="0" applyFont="1" applyFill="1" applyBorder="1"/>
    <xf numFmtId="0" fontId="18" fillId="2" borderId="1" xfId="0" applyFont="1" applyFill="1" applyBorder="1" applyAlignment="1">
      <alignment horizontal="center"/>
    </xf>
    <xf numFmtId="0" fontId="5" fillId="3" borderId="10" xfId="0" applyFont="1" applyFill="1" applyBorder="1" applyAlignment="1"/>
    <xf numFmtId="0" fontId="5" fillId="3" borderId="11" xfId="0" applyFont="1" applyFill="1" applyBorder="1" applyAlignment="1"/>
    <xf numFmtId="186" fontId="5" fillId="3" borderId="10" xfId="0" applyNumberFormat="1" applyFont="1" applyFill="1" applyBorder="1" applyAlignment="1"/>
    <xf numFmtId="186" fontId="5" fillId="3" borderId="11" xfId="0" applyNumberFormat="1" applyFont="1" applyFill="1" applyBorder="1" applyAlignment="1"/>
    <xf numFmtId="2" fontId="5" fillId="3" borderId="10" xfId="0" applyNumberFormat="1" applyFont="1" applyFill="1" applyBorder="1" applyAlignment="1"/>
    <xf numFmtId="2" fontId="5" fillId="3" borderId="11" xfId="0" applyNumberFormat="1" applyFont="1" applyFill="1" applyBorder="1" applyAlignment="1"/>
    <xf numFmtId="0" fontId="0" fillId="3" borderId="10" xfId="0" applyFill="1" applyBorder="1" applyAlignment="1"/>
    <xf numFmtId="0" fontId="0" fillId="3" borderId="11" xfId="0" applyFill="1" applyBorder="1" applyAlignment="1"/>
    <xf numFmtId="1" fontId="19" fillId="3" borderId="1" xfId="0" applyNumberFormat="1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7" fillId="0" borderId="0" xfId="0" applyFont="1" applyFill="1" applyBorder="1" applyAlignment="1"/>
    <xf numFmtId="186" fontId="21" fillId="3" borderId="1" xfId="0" applyNumberFormat="1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92" fontId="10" fillId="2" borderId="0" xfId="0" applyNumberFormat="1" applyFont="1" applyFill="1" applyAlignment="1">
      <alignment horizontal="right"/>
    </xf>
    <xf numFmtId="0" fontId="17" fillId="4" borderId="13" xfId="0" applyFont="1" applyFill="1" applyBorder="1" applyAlignment="1">
      <alignment horizontal="center"/>
    </xf>
    <xf numFmtId="0" fontId="17" fillId="4" borderId="10" xfId="0" applyFont="1" applyFill="1" applyBorder="1" applyAlignment="1">
      <alignment horizontal="center"/>
    </xf>
    <xf numFmtId="0" fontId="17" fillId="4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TAXA DE FREQUENCIA</a:t>
            </a:r>
          </a:p>
        </c:rich>
      </c:tx>
      <c:layout>
        <c:manualLayout>
          <c:xMode val="edge"/>
          <c:yMode val="edge"/>
          <c:x val="0.3468998744302968"/>
          <c:y val="4.621853136525137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8.9072623494016415E-2"/>
          <c:y val="0.22829581993569131"/>
          <c:w val="0.86225972640083937"/>
          <c:h val="0.729903536977492"/>
        </c:manualLayout>
      </c:layout>
      <c:lineChart>
        <c:grouping val="standard"/>
        <c:ser>
          <c:idx val="0"/>
          <c:order val="0"/>
          <c:tx>
            <c:v>TAXA DE FREQUENCIA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</c:trendline>
          <c:cat>
            <c:strRef>
              <c:f>'Caroço de Algodão  com a PLuma'!$B$5:$M$5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'Caroço de Algodão  com a PLuma'!$B$26:$M$26</c:f>
              <c:numCache>
                <c:formatCode>0.0</c:formatCode>
                <c:ptCount val="12"/>
                <c:pt idx="0">
                  <c:v>0.21684465547043499</c:v>
                </c:pt>
                <c:pt idx="1">
                  <c:v>0.24029486582985982</c:v>
                </c:pt>
                <c:pt idx="2">
                  <c:v>0.15061314611784574</c:v>
                </c:pt>
                <c:pt idx="3">
                  <c:v>0.10570522828629626</c:v>
                </c:pt>
                <c:pt idx="4">
                  <c:v>0.11910869770420963</c:v>
                </c:pt>
                <c:pt idx="5">
                  <c:v>7.1111009975452485E-2</c:v>
                </c:pt>
                <c:pt idx="6">
                  <c:v>0.1688381599004305</c:v>
                </c:pt>
                <c:pt idx="7">
                  <c:v>0.16640282574185153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85209856"/>
        <c:axId val="85211392"/>
      </c:lineChart>
      <c:catAx>
        <c:axId val="8520985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5211392"/>
        <c:crosses val="autoZero"/>
        <c:auto val="1"/>
        <c:lblAlgn val="ctr"/>
        <c:lblOffset val="100"/>
        <c:tickLblSkip val="1"/>
        <c:tickMarkSkip val="1"/>
      </c:catAx>
      <c:valAx>
        <c:axId val="8521139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Safety Index </a:t>
                </a:r>
              </a:p>
            </c:rich>
          </c:tx>
          <c:layout>
            <c:manualLayout>
              <c:xMode val="edge"/>
              <c:yMode val="edge"/>
              <c:x val="9.689932009187557E-3"/>
              <c:y val="0.26470634900540968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52098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TAXA DE GRAVIDADE/SAFETY INDEX</a:t>
            </a:r>
          </a:p>
        </c:rich>
      </c:tx>
      <c:layout>
        <c:manualLayout>
          <c:xMode val="edge"/>
          <c:yMode val="edge"/>
          <c:x val="0.35270580107375882"/>
          <c:y val="4.201667829495996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257081287814815E-2"/>
          <c:y val="0.18354458740943219"/>
          <c:w val="0.87576980964816076"/>
          <c:h val="0.66772255074810671"/>
        </c:manualLayout>
      </c:layout>
      <c:lineChart>
        <c:grouping val="standard"/>
        <c:ser>
          <c:idx val="0"/>
          <c:order val="0"/>
          <c:tx>
            <c:v>TAXA DE GRAVIDADE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</c:trendline>
          <c:cat>
            <c:strRef>
              <c:f>'Caroço de Algodão  com a PLuma'!$B$5:$M$5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'Caroço de Algodão  com a PLuma'!$B$27:$M$27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0.15061314611784574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0.22511754653390734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SAFETY DAY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'Caroço de Algodão  com a PLuma'!$B$28:$M$28</c:f>
              <c:numCache>
                <c:formatCode>0.0</c:formatCode>
                <c:ptCount val="12"/>
                <c:pt idx="0">
                  <c:v>2.8912620729391332E-2</c:v>
                </c:pt>
                <c:pt idx="1">
                  <c:v>3.2039315443981309E-2</c:v>
                </c:pt>
                <c:pt idx="2">
                  <c:v>0.10040876407856383</c:v>
                </c:pt>
                <c:pt idx="3">
                  <c:v>1.4094030438172835E-2</c:v>
                </c:pt>
                <c:pt idx="4">
                  <c:v>1.5881159693894618E-2</c:v>
                </c:pt>
                <c:pt idx="5">
                  <c:v>9.4814679967269982E-3</c:v>
                </c:pt>
                <c:pt idx="6">
                  <c:v>0.18009403722712589</c:v>
                </c:pt>
                <c:pt idx="7">
                  <c:v>2.218704343224687E-2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85244928"/>
        <c:axId val="85255296"/>
      </c:lineChart>
      <c:catAx>
        <c:axId val="8524492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5255296"/>
        <c:crosses val="autoZero"/>
        <c:auto val="1"/>
        <c:lblAlgn val="ctr"/>
        <c:lblOffset val="100"/>
        <c:tickLblSkip val="1"/>
        <c:tickMarkSkip val="1"/>
      </c:catAx>
      <c:valAx>
        <c:axId val="85255296"/>
        <c:scaling>
          <c:orientation val="minMax"/>
          <c:min val="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Safety Index</a:t>
                </a:r>
              </a:p>
            </c:rich>
          </c:tx>
          <c:layout>
            <c:manualLayout>
              <c:xMode val="edge"/>
              <c:yMode val="edge"/>
              <c:x val="1.0019983664403573E-2"/>
              <c:y val="0.21428618890993056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52449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TAXA DE FREQUENCIA</a:t>
            </a:r>
          </a:p>
        </c:rich>
      </c:tx>
      <c:layout>
        <c:manualLayout>
          <c:xMode val="edge"/>
          <c:yMode val="edge"/>
          <c:x val="0.34689990878799726"/>
          <c:y val="4.621853136525137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8.4481251148964029E-2"/>
          <c:y val="0.22508038585209003"/>
          <c:w val="0.86685109874589172"/>
          <c:h val="0.73311897106109325"/>
        </c:manualLayout>
      </c:layout>
      <c:lineChart>
        <c:grouping val="standard"/>
        <c:ser>
          <c:idx val="0"/>
          <c:order val="0"/>
          <c:tx>
            <c:v>TAXA DE FREQUENCIA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</c:trendline>
          <c:cat>
            <c:strRef>
              <c:f>'Caroço de Algodão'!$B$5:$M$5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'Caroço de Algodão'!$B$26:$M$26</c:f>
              <c:numCache>
                <c:formatCode>0.0</c:formatCode>
                <c:ptCount val="12"/>
                <c:pt idx="0">
                  <c:v>0.1240986944507097</c:v>
                </c:pt>
                <c:pt idx="1">
                  <c:v>0.17030470634217565</c:v>
                </c:pt>
                <c:pt idx="2">
                  <c:v>0.16971435941880753</c:v>
                </c:pt>
                <c:pt idx="3">
                  <c:v>0</c:v>
                </c:pt>
                <c:pt idx="4">
                  <c:v>5.4077672843057943E-2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77933952"/>
        <c:axId val="77939840"/>
      </c:lineChart>
      <c:catAx>
        <c:axId val="7793395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77939840"/>
        <c:crosses val="autoZero"/>
        <c:auto val="1"/>
        <c:lblAlgn val="ctr"/>
        <c:lblOffset val="100"/>
        <c:tickLblSkip val="1"/>
        <c:tickMarkSkip val="1"/>
      </c:catAx>
      <c:valAx>
        <c:axId val="7793984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Safety Index </a:t>
                </a:r>
              </a:p>
            </c:rich>
          </c:tx>
          <c:layout>
            <c:manualLayout>
              <c:xMode val="edge"/>
              <c:yMode val="edge"/>
              <c:x val="9.6899722641052843E-3"/>
              <c:y val="0.26470634900540968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7793395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TAXA DE GRAVIDADE/SAFETY INDEX</a:t>
            </a:r>
          </a:p>
        </c:rich>
      </c:tx>
      <c:layout>
        <c:manualLayout>
          <c:xMode val="edge"/>
          <c:yMode val="edge"/>
          <c:x val="0.35270580107375882"/>
          <c:y val="4.201667829495996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1340799100552424E-2"/>
          <c:y val="0.18038002555754543"/>
          <c:w val="0.87699982342575655"/>
          <c:h val="0.67088711259999356"/>
        </c:manualLayout>
      </c:layout>
      <c:lineChart>
        <c:grouping val="standard"/>
        <c:ser>
          <c:idx val="0"/>
          <c:order val="0"/>
          <c:tx>
            <c:v>TAXA DE GRAVIDADE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</c:trendline>
          <c:cat>
            <c:strRef>
              <c:f>'Caroço de Algodão'!$B$5:$M$5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'Caroço de Algodão'!$B$27:$M$27</c:f>
              <c:numCache>
                <c:formatCode>0.0</c:formatCode>
                <c:ptCount val="12"/>
                <c:pt idx="0">
                  <c:v>1.9235297639860005</c:v>
                </c:pt>
                <c:pt idx="1">
                  <c:v>1.5895105925269728</c:v>
                </c:pt>
                <c:pt idx="2">
                  <c:v>1.7537150473276777</c:v>
                </c:pt>
                <c:pt idx="3">
                  <c:v>1.7899953579453718</c:v>
                </c:pt>
                <c:pt idx="4">
                  <c:v>1.6764078581347961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SAFETY DAY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'Caroço de Algodão'!$B$28:$M$28</c:f>
              <c:numCache>
                <c:formatCode>0.0</c:formatCode>
                <c:ptCount val="12"/>
                <c:pt idx="0">
                  <c:v>0.40125244539062804</c:v>
                </c:pt>
                <c:pt idx="1">
                  <c:v>0.3406094126843513</c:v>
                </c:pt>
                <c:pt idx="2">
                  <c:v>0.37337159072137655</c:v>
                </c:pt>
                <c:pt idx="3">
                  <c:v>0.35799907158907435</c:v>
                </c:pt>
                <c:pt idx="4">
                  <c:v>0.34249192800603367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84084608"/>
        <c:axId val="84103168"/>
      </c:lineChart>
      <c:catAx>
        <c:axId val="8408460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4103168"/>
        <c:crosses val="autoZero"/>
        <c:auto val="1"/>
        <c:lblAlgn val="ctr"/>
        <c:lblOffset val="100"/>
        <c:tickLblSkip val="1"/>
        <c:tickMarkSkip val="1"/>
      </c:catAx>
      <c:valAx>
        <c:axId val="84103168"/>
        <c:scaling>
          <c:orientation val="minMax"/>
          <c:min val="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Safety Index</a:t>
                </a:r>
              </a:p>
            </c:rich>
          </c:tx>
          <c:layout>
            <c:manualLayout>
              <c:xMode val="edge"/>
              <c:yMode val="edge"/>
              <c:x val="1.0019983664403573E-2"/>
              <c:y val="0.21428618890993056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40846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64</xdr:row>
      <xdr:rowOff>9525</xdr:rowOff>
    </xdr:from>
    <xdr:to>
      <xdr:col>9</xdr:col>
      <xdr:colOff>504825</xdr:colOff>
      <xdr:row>78</xdr:row>
      <xdr:rowOff>85725</xdr:rowOff>
    </xdr:to>
    <xdr:graphicFrame macro="">
      <xdr:nvGraphicFramePr>
        <xdr:cNvPr id="1646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63</xdr:row>
      <xdr:rowOff>152400</xdr:rowOff>
    </xdr:from>
    <xdr:to>
      <xdr:col>23</xdr:col>
      <xdr:colOff>9525</xdr:colOff>
      <xdr:row>78</xdr:row>
      <xdr:rowOff>104775</xdr:rowOff>
    </xdr:to>
    <xdr:graphicFrame macro="">
      <xdr:nvGraphicFramePr>
        <xdr:cNvPr id="16464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88</xdr:row>
      <xdr:rowOff>200025</xdr:rowOff>
    </xdr:from>
    <xdr:to>
      <xdr:col>4</xdr:col>
      <xdr:colOff>228600</xdr:colOff>
      <xdr:row>88</xdr:row>
      <xdr:rowOff>200025</xdr:rowOff>
    </xdr:to>
    <xdr:sp macro="" textlink="">
      <xdr:nvSpPr>
        <xdr:cNvPr id="164643" name="Line 3"/>
        <xdr:cNvSpPr>
          <a:spLocks noChangeShapeType="1"/>
        </xdr:cNvSpPr>
      </xdr:nvSpPr>
      <xdr:spPr bwMode="auto">
        <a:xfrm flipV="1">
          <a:off x="3695700" y="19459575"/>
          <a:ext cx="2533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219075</xdr:colOff>
      <xdr:row>81</xdr:row>
      <xdr:rowOff>123825</xdr:rowOff>
    </xdr:from>
    <xdr:to>
      <xdr:col>4</xdr:col>
      <xdr:colOff>257175</xdr:colOff>
      <xdr:row>89</xdr:row>
      <xdr:rowOff>9525</xdr:rowOff>
    </xdr:to>
    <xdr:sp macro="" textlink="">
      <xdr:nvSpPr>
        <xdr:cNvPr id="164644" name="Line 4"/>
        <xdr:cNvSpPr>
          <a:spLocks noChangeShapeType="1"/>
        </xdr:cNvSpPr>
      </xdr:nvSpPr>
      <xdr:spPr bwMode="auto">
        <a:xfrm>
          <a:off x="4705350" y="17916525"/>
          <a:ext cx="1552575" cy="1562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81</xdr:row>
      <xdr:rowOff>142875</xdr:rowOff>
    </xdr:from>
    <xdr:to>
      <xdr:col>2</xdr:col>
      <xdr:colOff>219075</xdr:colOff>
      <xdr:row>89</xdr:row>
      <xdr:rowOff>0</xdr:rowOff>
    </xdr:to>
    <xdr:sp macro="" textlink="">
      <xdr:nvSpPr>
        <xdr:cNvPr id="164645" name="Line 5"/>
        <xdr:cNvSpPr>
          <a:spLocks noChangeShapeType="1"/>
        </xdr:cNvSpPr>
      </xdr:nvSpPr>
      <xdr:spPr bwMode="auto">
        <a:xfrm flipH="1">
          <a:off x="3695700" y="17935575"/>
          <a:ext cx="1009650" cy="1533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81</xdr:row>
      <xdr:rowOff>152400</xdr:rowOff>
    </xdr:from>
    <xdr:to>
      <xdr:col>18</xdr:col>
      <xdr:colOff>257175</xdr:colOff>
      <xdr:row>89</xdr:row>
      <xdr:rowOff>0</xdr:rowOff>
    </xdr:to>
    <xdr:sp macro="" textlink="">
      <xdr:nvSpPr>
        <xdr:cNvPr id="164646" name="Line 7"/>
        <xdr:cNvSpPr>
          <a:spLocks noChangeShapeType="1"/>
        </xdr:cNvSpPr>
      </xdr:nvSpPr>
      <xdr:spPr bwMode="auto">
        <a:xfrm>
          <a:off x="15420975" y="17945100"/>
          <a:ext cx="116205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200025</xdr:rowOff>
    </xdr:from>
    <xdr:to>
      <xdr:col>4</xdr:col>
      <xdr:colOff>228600</xdr:colOff>
      <xdr:row>88</xdr:row>
      <xdr:rowOff>200025</xdr:rowOff>
    </xdr:to>
    <xdr:sp macro="" textlink="">
      <xdr:nvSpPr>
        <xdr:cNvPr id="164647" name="Line 9"/>
        <xdr:cNvSpPr>
          <a:spLocks noChangeShapeType="1"/>
        </xdr:cNvSpPr>
      </xdr:nvSpPr>
      <xdr:spPr bwMode="auto">
        <a:xfrm flipV="1">
          <a:off x="3695700" y="19459575"/>
          <a:ext cx="2533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219075</xdr:colOff>
      <xdr:row>81</xdr:row>
      <xdr:rowOff>123825</xdr:rowOff>
    </xdr:from>
    <xdr:to>
      <xdr:col>4</xdr:col>
      <xdr:colOff>257175</xdr:colOff>
      <xdr:row>89</xdr:row>
      <xdr:rowOff>9525</xdr:rowOff>
    </xdr:to>
    <xdr:sp macro="" textlink="">
      <xdr:nvSpPr>
        <xdr:cNvPr id="164648" name="Line 10"/>
        <xdr:cNvSpPr>
          <a:spLocks noChangeShapeType="1"/>
        </xdr:cNvSpPr>
      </xdr:nvSpPr>
      <xdr:spPr bwMode="auto">
        <a:xfrm>
          <a:off x="4705350" y="17916525"/>
          <a:ext cx="1552575" cy="1562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81</xdr:row>
      <xdr:rowOff>142875</xdr:rowOff>
    </xdr:from>
    <xdr:to>
      <xdr:col>2</xdr:col>
      <xdr:colOff>219075</xdr:colOff>
      <xdr:row>89</xdr:row>
      <xdr:rowOff>0</xdr:rowOff>
    </xdr:to>
    <xdr:sp macro="" textlink="">
      <xdr:nvSpPr>
        <xdr:cNvPr id="164649" name="Line 11"/>
        <xdr:cNvSpPr>
          <a:spLocks noChangeShapeType="1"/>
        </xdr:cNvSpPr>
      </xdr:nvSpPr>
      <xdr:spPr bwMode="auto">
        <a:xfrm flipH="1">
          <a:off x="3695700" y="17935575"/>
          <a:ext cx="1009650" cy="1533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419100</xdr:colOff>
      <xdr:row>81</xdr:row>
      <xdr:rowOff>123825</xdr:rowOff>
    </xdr:from>
    <xdr:to>
      <xdr:col>16</xdr:col>
      <xdr:colOff>228600</xdr:colOff>
      <xdr:row>88</xdr:row>
      <xdr:rowOff>180975</xdr:rowOff>
    </xdr:to>
    <xdr:sp macro="" textlink="">
      <xdr:nvSpPr>
        <xdr:cNvPr id="164650" name="Line 12"/>
        <xdr:cNvSpPr>
          <a:spLocks noChangeShapeType="1"/>
        </xdr:cNvSpPr>
      </xdr:nvSpPr>
      <xdr:spPr bwMode="auto">
        <a:xfrm flipH="1">
          <a:off x="14601825" y="17916525"/>
          <a:ext cx="809625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81</xdr:row>
      <xdr:rowOff>152400</xdr:rowOff>
    </xdr:from>
    <xdr:to>
      <xdr:col>18</xdr:col>
      <xdr:colOff>257175</xdr:colOff>
      <xdr:row>89</xdr:row>
      <xdr:rowOff>0</xdr:rowOff>
    </xdr:to>
    <xdr:sp macro="" textlink="">
      <xdr:nvSpPr>
        <xdr:cNvPr id="164651" name="Line 13"/>
        <xdr:cNvSpPr>
          <a:spLocks noChangeShapeType="1"/>
        </xdr:cNvSpPr>
      </xdr:nvSpPr>
      <xdr:spPr bwMode="auto">
        <a:xfrm>
          <a:off x="15420975" y="17945100"/>
          <a:ext cx="116205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352425</xdr:colOff>
      <xdr:row>88</xdr:row>
      <xdr:rowOff>190500</xdr:rowOff>
    </xdr:from>
    <xdr:to>
      <xdr:col>18</xdr:col>
      <xdr:colOff>228600</xdr:colOff>
      <xdr:row>89</xdr:row>
      <xdr:rowOff>0</xdr:rowOff>
    </xdr:to>
    <xdr:sp macro="" textlink="">
      <xdr:nvSpPr>
        <xdr:cNvPr id="164652" name="Line 14"/>
        <xdr:cNvSpPr>
          <a:spLocks noChangeShapeType="1"/>
        </xdr:cNvSpPr>
      </xdr:nvSpPr>
      <xdr:spPr bwMode="auto">
        <a:xfrm>
          <a:off x="14535150" y="19450050"/>
          <a:ext cx="20193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81</xdr:row>
      <xdr:rowOff>152400</xdr:rowOff>
    </xdr:from>
    <xdr:to>
      <xdr:col>18</xdr:col>
      <xdr:colOff>257175</xdr:colOff>
      <xdr:row>89</xdr:row>
      <xdr:rowOff>0</xdr:rowOff>
    </xdr:to>
    <xdr:sp macro="" textlink="">
      <xdr:nvSpPr>
        <xdr:cNvPr id="164653" name="Line 15"/>
        <xdr:cNvSpPr>
          <a:spLocks noChangeShapeType="1"/>
        </xdr:cNvSpPr>
      </xdr:nvSpPr>
      <xdr:spPr bwMode="auto">
        <a:xfrm>
          <a:off x="15420975" y="17945100"/>
          <a:ext cx="116205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81</xdr:row>
      <xdr:rowOff>152400</xdr:rowOff>
    </xdr:from>
    <xdr:to>
      <xdr:col>18</xdr:col>
      <xdr:colOff>257175</xdr:colOff>
      <xdr:row>89</xdr:row>
      <xdr:rowOff>0</xdr:rowOff>
    </xdr:to>
    <xdr:sp macro="" textlink="">
      <xdr:nvSpPr>
        <xdr:cNvPr id="164654" name="Line 16"/>
        <xdr:cNvSpPr>
          <a:spLocks noChangeShapeType="1"/>
        </xdr:cNvSpPr>
      </xdr:nvSpPr>
      <xdr:spPr bwMode="auto">
        <a:xfrm>
          <a:off x="15420975" y="17945100"/>
          <a:ext cx="116205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64</xdr:row>
      <xdr:rowOff>9525</xdr:rowOff>
    </xdr:from>
    <xdr:to>
      <xdr:col>9</xdr:col>
      <xdr:colOff>504825</xdr:colOff>
      <xdr:row>78</xdr:row>
      <xdr:rowOff>85725</xdr:rowOff>
    </xdr:to>
    <xdr:graphicFrame macro="">
      <xdr:nvGraphicFramePr>
        <xdr:cNvPr id="32272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63</xdr:row>
      <xdr:rowOff>152400</xdr:rowOff>
    </xdr:from>
    <xdr:to>
      <xdr:col>23</xdr:col>
      <xdr:colOff>9525</xdr:colOff>
      <xdr:row>78</xdr:row>
      <xdr:rowOff>104775</xdr:rowOff>
    </xdr:to>
    <xdr:graphicFrame macro="">
      <xdr:nvGraphicFramePr>
        <xdr:cNvPr id="32272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88</xdr:row>
      <xdr:rowOff>200025</xdr:rowOff>
    </xdr:from>
    <xdr:to>
      <xdr:col>4</xdr:col>
      <xdr:colOff>228600</xdr:colOff>
      <xdr:row>88</xdr:row>
      <xdr:rowOff>200025</xdr:rowOff>
    </xdr:to>
    <xdr:sp macro="" textlink="">
      <xdr:nvSpPr>
        <xdr:cNvPr id="322730" name="Line 3"/>
        <xdr:cNvSpPr>
          <a:spLocks noChangeShapeType="1"/>
        </xdr:cNvSpPr>
      </xdr:nvSpPr>
      <xdr:spPr bwMode="auto">
        <a:xfrm flipV="1">
          <a:off x="4067175" y="19459575"/>
          <a:ext cx="2533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219075</xdr:colOff>
      <xdr:row>81</xdr:row>
      <xdr:rowOff>123825</xdr:rowOff>
    </xdr:from>
    <xdr:to>
      <xdr:col>4</xdr:col>
      <xdr:colOff>257175</xdr:colOff>
      <xdr:row>89</xdr:row>
      <xdr:rowOff>9525</xdr:rowOff>
    </xdr:to>
    <xdr:sp macro="" textlink="">
      <xdr:nvSpPr>
        <xdr:cNvPr id="322731" name="Line 4"/>
        <xdr:cNvSpPr>
          <a:spLocks noChangeShapeType="1"/>
        </xdr:cNvSpPr>
      </xdr:nvSpPr>
      <xdr:spPr bwMode="auto">
        <a:xfrm>
          <a:off x="5076825" y="17916525"/>
          <a:ext cx="1552575" cy="1562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81</xdr:row>
      <xdr:rowOff>142875</xdr:rowOff>
    </xdr:from>
    <xdr:to>
      <xdr:col>2</xdr:col>
      <xdr:colOff>219075</xdr:colOff>
      <xdr:row>89</xdr:row>
      <xdr:rowOff>0</xdr:rowOff>
    </xdr:to>
    <xdr:sp macro="" textlink="">
      <xdr:nvSpPr>
        <xdr:cNvPr id="322732" name="Line 5"/>
        <xdr:cNvSpPr>
          <a:spLocks noChangeShapeType="1"/>
        </xdr:cNvSpPr>
      </xdr:nvSpPr>
      <xdr:spPr bwMode="auto">
        <a:xfrm flipH="1">
          <a:off x="4067175" y="17935575"/>
          <a:ext cx="1009650" cy="1533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81</xdr:row>
      <xdr:rowOff>152400</xdr:rowOff>
    </xdr:from>
    <xdr:to>
      <xdr:col>18</xdr:col>
      <xdr:colOff>257175</xdr:colOff>
      <xdr:row>89</xdr:row>
      <xdr:rowOff>0</xdr:rowOff>
    </xdr:to>
    <xdr:sp macro="" textlink="">
      <xdr:nvSpPr>
        <xdr:cNvPr id="322733" name="Line 7"/>
        <xdr:cNvSpPr>
          <a:spLocks noChangeShapeType="1"/>
        </xdr:cNvSpPr>
      </xdr:nvSpPr>
      <xdr:spPr bwMode="auto">
        <a:xfrm>
          <a:off x="15792450" y="17945100"/>
          <a:ext cx="116205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200025</xdr:rowOff>
    </xdr:from>
    <xdr:to>
      <xdr:col>4</xdr:col>
      <xdr:colOff>228600</xdr:colOff>
      <xdr:row>88</xdr:row>
      <xdr:rowOff>200025</xdr:rowOff>
    </xdr:to>
    <xdr:sp macro="" textlink="">
      <xdr:nvSpPr>
        <xdr:cNvPr id="322734" name="Line 9"/>
        <xdr:cNvSpPr>
          <a:spLocks noChangeShapeType="1"/>
        </xdr:cNvSpPr>
      </xdr:nvSpPr>
      <xdr:spPr bwMode="auto">
        <a:xfrm flipV="1">
          <a:off x="4067175" y="19459575"/>
          <a:ext cx="2533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219075</xdr:colOff>
      <xdr:row>81</xdr:row>
      <xdr:rowOff>123825</xdr:rowOff>
    </xdr:from>
    <xdr:to>
      <xdr:col>4</xdr:col>
      <xdr:colOff>257175</xdr:colOff>
      <xdr:row>89</xdr:row>
      <xdr:rowOff>9525</xdr:rowOff>
    </xdr:to>
    <xdr:sp macro="" textlink="">
      <xdr:nvSpPr>
        <xdr:cNvPr id="322735" name="Line 10"/>
        <xdr:cNvSpPr>
          <a:spLocks noChangeShapeType="1"/>
        </xdr:cNvSpPr>
      </xdr:nvSpPr>
      <xdr:spPr bwMode="auto">
        <a:xfrm>
          <a:off x="5076825" y="17916525"/>
          <a:ext cx="1552575" cy="1562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81</xdr:row>
      <xdr:rowOff>142875</xdr:rowOff>
    </xdr:from>
    <xdr:to>
      <xdr:col>2</xdr:col>
      <xdr:colOff>219075</xdr:colOff>
      <xdr:row>89</xdr:row>
      <xdr:rowOff>0</xdr:rowOff>
    </xdr:to>
    <xdr:sp macro="" textlink="">
      <xdr:nvSpPr>
        <xdr:cNvPr id="322736" name="Line 11"/>
        <xdr:cNvSpPr>
          <a:spLocks noChangeShapeType="1"/>
        </xdr:cNvSpPr>
      </xdr:nvSpPr>
      <xdr:spPr bwMode="auto">
        <a:xfrm flipH="1">
          <a:off x="4067175" y="17935575"/>
          <a:ext cx="1009650" cy="1533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419100</xdr:colOff>
      <xdr:row>81</xdr:row>
      <xdr:rowOff>123825</xdr:rowOff>
    </xdr:from>
    <xdr:to>
      <xdr:col>16</xdr:col>
      <xdr:colOff>228600</xdr:colOff>
      <xdr:row>88</xdr:row>
      <xdr:rowOff>180975</xdr:rowOff>
    </xdr:to>
    <xdr:sp macro="" textlink="">
      <xdr:nvSpPr>
        <xdr:cNvPr id="322737" name="Line 12"/>
        <xdr:cNvSpPr>
          <a:spLocks noChangeShapeType="1"/>
        </xdr:cNvSpPr>
      </xdr:nvSpPr>
      <xdr:spPr bwMode="auto">
        <a:xfrm flipH="1">
          <a:off x="14973300" y="17916525"/>
          <a:ext cx="809625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81</xdr:row>
      <xdr:rowOff>152400</xdr:rowOff>
    </xdr:from>
    <xdr:to>
      <xdr:col>18</xdr:col>
      <xdr:colOff>257175</xdr:colOff>
      <xdr:row>89</xdr:row>
      <xdr:rowOff>0</xdr:rowOff>
    </xdr:to>
    <xdr:sp macro="" textlink="">
      <xdr:nvSpPr>
        <xdr:cNvPr id="322738" name="Line 13"/>
        <xdr:cNvSpPr>
          <a:spLocks noChangeShapeType="1"/>
        </xdr:cNvSpPr>
      </xdr:nvSpPr>
      <xdr:spPr bwMode="auto">
        <a:xfrm>
          <a:off x="15792450" y="17945100"/>
          <a:ext cx="116205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352425</xdr:colOff>
      <xdr:row>88</xdr:row>
      <xdr:rowOff>190500</xdr:rowOff>
    </xdr:from>
    <xdr:to>
      <xdr:col>18</xdr:col>
      <xdr:colOff>228600</xdr:colOff>
      <xdr:row>89</xdr:row>
      <xdr:rowOff>0</xdr:rowOff>
    </xdr:to>
    <xdr:sp macro="" textlink="">
      <xdr:nvSpPr>
        <xdr:cNvPr id="322739" name="Line 14"/>
        <xdr:cNvSpPr>
          <a:spLocks noChangeShapeType="1"/>
        </xdr:cNvSpPr>
      </xdr:nvSpPr>
      <xdr:spPr bwMode="auto">
        <a:xfrm>
          <a:off x="14906625" y="19450050"/>
          <a:ext cx="20193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81</xdr:row>
      <xdr:rowOff>152400</xdr:rowOff>
    </xdr:from>
    <xdr:to>
      <xdr:col>18</xdr:col>
      <xdr:colOff>257175</xdr:colOff>
      <xdr:row>89</xdr:row>
      <xdr:rowOff>0</xdr:rowOff>
    </xdr:to>
    <xdr:sp macro="" textlink="">
      <xdr:nvSpPr>
        <xdr:cNvPr id="322740" name="Line 15"/>
        <xdr:cNvSpPr>
          <a:spLocks noChangeShapeType="1"/>
        </xdr:cNvSpPr>
      </xdr:nvSpPr>
      <xdr:spPr bwMode="auto">
        <a:xfrm>
          <a:off x="15792450" y="17945100"/>
          <a:ext cx="116205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81</xdr:row>
      <xdr:rowOff>152400</xdr:rowOff>
    </xdr:from>
    <xdr:to>
      <xdr:col>18</xdr:col>
      <xdr:colOff>257175</xdr:colOff>
      <xdr:row>89</xdr:row>
      <xdr:rowOff>0</xdr:rowOff>
    </xdr:to>
    <xdr:sp macro="" textlink="">
      <xdr:nvSpPr>
        <xdr:cNvPr id="322741" name="Line 16"/>
        <xdr:cNvSpPr>
          <a:spLocks noChangeShapeType="1"/>
        </xdr:cNvSpPr>
      </xdr:nvSpPr>
      <xdr:spPr bwMode="auto">
        <a:xfrm>
          <a:off x="15792450" y="17945100"/>
          <a:ext cx="116205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99"/>
  <sheetViews>
    <sheetView showGridLines="0" tabSelected="1" topLeftCell="A4" zoomScale="75" zoomScaleNormal="75" zoomScaleSheetLayoutView="75" workbookViewId="0">
      <selection activeCell="B28" sqref="B28"/>
    </sheetView>
  </sheetViews>
  <sheetFormatPr defaultRowHeight="12.75"/>
  <cols>
    <col min="1" max="1" width="55.42578125" style="1" customWidth="1"/>
    <col min="2" max="3" width="11.85546875" style="9" customWidth="1"/>
    <col min="4" max="4" width="10.85546875" style="9" customWidth="1"/>
    <col min="5" max="5" width="11.7109375" style="9" customWidth="1"/>
    <col min="6" max="11" width="11.85546875" style="9" customWidth="1"/>
    <col min="12" max="12" width="11.7109375" style="9" customWidth="1"/>
    <col min="13" max="13" width="11.85546875" style="9" customWidth="1"/>
    <col min="14" max="14" width="16.28515625" style="9" customWidth="1"/>
    <col min="15" max="15" width="7.85546875" style="9" customWidth="1"/>
    <col min="16" max="16" width="7.140625" style="9" customWidth="1"/>
    <col min="17" max="17" width="9.28515625" style="9" customWidth="1"/>
    <col min="18" max="18" width="7.85546875" style="9" customWidth="1"/>
    <col min="19" max="19" width="8.7109375" style="9" customWidth="1"/>
    <col min="20" max="20" width="7.7109375" style="9" customWidth="1"/>
    <col min="21" max="22" width="8.85546875" style="9" bestFit="1" customWidth="1"/>
    <col min="23" max="23" width="12.7109375" style="9" customWidth="1"/>
    <col min="24" max="24" width="10.7109375" style="1" customWidth="1"/>
    <col min="25" max="25" width="30.5703125" style="1" customWidth="1"/>
    <col min="26" max="31" width="9.140625" style="1"/>
    <col min="32" max="32" width="7.28515625" style="1" customWidth="1"/>
    <col min="33" max="16384" width="9.140625" style="1"/>
  </cols>
  <sheetData>
    <row r="1" spans="1:23">
      <c r="T1" s="65"/>
      <c r="U1" s="65"/>
    </row>
    <row r="2" spans="1:23">
      <c r="A2" s="85" t="s">
        <v>50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  <c r="V2" s="86"/>
      <c r="W2" s="86"/>
    </row>
    <row r="4" spans="1:23">
      <c r="B4" s="87" t="s">
        <v>51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9"/>
      <c r="O4" s="80"/>
      <c r="P4" s="80"/>
      <c r="Q4" s="80"/>
      <c r="R4" s="80"/>
      <c r="S4" s="80"/>
      <c r="T4" s="80"/>
      <c r="U4" s="80"/>
      <c r="V4" s="80"/>
    </row>
    <row r="5" spans="1:23" ht="18" customHeight="1">
      <c r="A5" s="56" t="s">
        <v>42</v>
      </c>
      <c r="B5" s="78" t="s">
        <v>6</v>
      </c>
      <c r="C5" s="78" t="s">
        <v>7</v>
      </c>
      <c r="D5" s="78" t="s">
        <v>8</v>
      </c>
      <c r="E5" s="78" t="s">
        <v>9</v>
      </c>
      <c r="F5" s="78" t="s">
        <v>22</v>
      </c>
      <c r="G5" s="78" t="s">
        <v>10</v>
      </c>
      <c r="H5" s="78" t="s">
        <v>11</v>
      </c>
      <c r="I5" s="78" t="s">
        <v>12</v>
      </c>
      <c r="J5" s="78" t="s">
        <v>13</v>
      </c>
      <c r="K5" s="78" t="s">
        <v>14</v>
      </c>
      <c r="L5" s="78" t="s">
        <v>15</v>
      </c>
      <c r="M5" s="78" t="s">
        <v>16</v>
      </c>
      <c r="N5" s="79" t="s">
        <v>17</v>
      </c>
      <c r="O5" s="1"/>
      <c r="P5" s="1"/>
      <c r="Q5" s="1"/>
      <c r="R5" s="1"/>
      <c r="S5" s="1"/>
      <c r="T5" s="1"/>
      <c r="U5" s="1"/>
      <c r="V5" s="1"/>
      <c r="W5" s="1"/>
    </row>
    <row r="6" spans="1:23" ht="18" customHeight="1">
      <c r="A6" s="64" t="s">
        <v>26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0"/>
      <c r="O6" s="1"/>
      <c r="P6" s="1"/>
      <c r="Q6" s="1"/>
      <c r="R6" s="1"/>
      <c r="S6" s="1"/>
      <c r="T6" s="1"/>
      <c r="U6" s="1"/>
      <c r="V6" s="1"/>
      <c r="W6" s="1"/>
    </row>
    <row r="7" spans="1:23" ht="18" customHeight="1">
      <c r="A7" s="2" t="s">
        <v>47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37">
        <f>SUM(B7:M7)</f>
        <v>0</v>
      </c>
      <c r="O7" s="1"/>
      <c r="P7" s="1"/>
      <c r="Q7" s="1"/>
      <c r="R7" s="1"/>
      <c r="S7" s="1"/>
      <c r="T7" s="1"/>
      <c r="U7" s="1"/>
      <c r="V7" s="1"/>
      <c r="W7" s="1"/>
    </row>
    <row r="8" spans="1:23" ht="18" customHeight="1">
      <c r="A8" s="2" t="s">
        <v>48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37">
        <f>SUM(B8:M8)</f>
        <v>0</v>
      </c>
      <c r="O8" s="1"/>
      <c r="P8" s="1"/>
      <c r="Q8" s="1"/>
      <c r="R8" s="1"/>
      <c r="S8" s="1"/>
      <c r="T8" s="1"/>
      <c r="U8" s="1"/>
      <c r="V8" s="1"/>
      <c r="W8" s="1"/>
    </row>
    <row r="9" spans="1:23" ht="18" customHeight="1">
      <c r="A9" s="2" t="s">
        <v>36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37">
        <f>SUM(B9:M9)</f>
        <v>0</v>
      </c>
      <c r="O9" s="1"/>
      <c r="P9" s="1"/>
      <c r="Q9" s="1"/>
      <c r="R9" s="1"/>
      <c r="S9" s="1"/>
      <c r="T9" s="1"/>
      <c r="U9" s="1"/>
      <c r="V9" s="1"/>
      <c r="W9" s="1"/>
    </row>
    <row r="10" spans="1:23" ht="18" customHeight="1">
      <c r="A10" s="2" t="s">
        <v>37</v>
      </c>
      <c r="B10" s="5"/>
      <c r="C10" s="5"/>
      <c r="D10" s="5">
        <v>1</v>
      </c>
      <c r="E10" s="5"/>
      <c r="F10" s="5"/>
      <c r="G10" s="5"/>
      <c r="H10" s="5">
        <v>2</v>
      </c>
      <c r="I10" s="5"/>
      <c r="J10" s="5"/>
      <c r="K10" s="5"/>
      <c r="L10" s="5"/>
      <c r="M10" s="5"/>
      <c r="N10" s="37">
        <f>SUM(B10:M10)</f>
        <v>3</v>
      </c>
      <c r="O10" s="1"/>
      <c r="P10" s="1"/>
      <c r="Q10" s="1"/>
      <c r="R10" s="1"/>
      <c r="S10" s="1"/>
      <c r="T10" s="1"/>
      <c r="U10" s="1"/>
      <c r="V10" s="1"/>
      <c r="W10" s="1"/>
    </row>
    <row r="11" spans="1:23" ht="18" customHeight="1">
      <c r="A11" s="2" t="s">
        <v>49</v>
      </c>
      <c r="B11" s="5">
        <v>4</v>
      </c>
      <c r="C11" s="5">
        <v>4</v>
      </c>
      <c r="D11" s="5">
        <v>2</v>
      </c>
      <c r="E11" s="5">
        <v>2</v>
      </c>
      <c r="F11" s="5">
        <v>2</v>
      </c>
      <c r="G11" s="5">
        <v>1</v>
      </c>
      <c r="H11" s="5">
        <v>1</v>
      </c>
      <c r="I11" s="5">
        <v>3</v>
      </c>
      <c r="J11" s="5"/>
      <c r="K11" s="5"/>
      <c r="L11" s="5"/>
      <c r="M11" s="5"/>
      <c r="N11" s="37">
        <f>SUM(B11:M11)</f>
        <v>19</v>
      </c>
      <c r="O11" s="1"/>
      <c r="P11" s="1"/>
      <c r="Q11" s="1"/>
      <c r="R11" s="1"/>
      <c r="S11" s="1"/>
      <c r="T11" s="1"/>
      <c r="U11" s="1"/>
      <c r="V11" s="1"/>
      <c r="W11" s="1"/>
    </row>
    <row r="12" spans="1:23" ht="18" customHeight="1">
      <c r="A12" s="4" t="s">
        <v>0</v>
      </c>
      <c r="B12" s="57">
        <f t="shared" ref="B12:N12" si="0">SUM(B7:B11)</f>
        <v>4</v>
      </c>
      <c r="C12" s="57">
        <f t="shared" si="0"/>
        <v>4</v>
      </c>
      <c r="D12" s="57">
        <f t="shared" si="0"/>
        <v>3</v>
      </c>
      <c r="E12" s="57">
        <f t="shared" si="0"/>
        <v>2</v>
      </c>
      <c r="F12" s="57">
        <f t="shared" si="0"/>
        <v>2</v>
      </c>
      <c r="G12" s="57">
        <f t="shared" si="0"/>
        <v>1</v>
      </c>
      <c r="H12" s="57">
        <f t="shared" si="0"/>
        <v>3</v>
      </c>
      <c r="I12" s="57">
        <f t="shared" si="0"/>
        <v>3</v>
      </c>
      <c r="J12" s="57">
        <f t="shared" si="0"/>
        <v>0</v>
      </c>
      <c r="K12" s="57">
        <f t="shared" si="0"/>
        <v>0</v>
      </c>
      <c r="L12" s="57">
        <f t="shared" si="0"/>
        <v>0</v>
      </c>
      <c r="M12" s="57">
        <f t="shared" si="0"/>
        <v>0</v>
      </c>
      <c r="N12" s="57">
        <f t="shared" si="0"/>
        <v>22</v>
      </c>
      <c r="O12" s="3"/>
      <c r="P12" s="1"/>
      <c r="Q12" s="1"/>
      <c r="R12" s="1"/>
      <c r="S12" s="1"/>
      <c r="T12" s="1"/>
      <c r="U12" s="1"/>
      <c r="V12" s="1"/>
      <c r="W12" s="1"/>
    </row>
    <row r="13" spans="1:23" ht="18" customHeight="1">
      <c r="A13" s="2" t="s">
        <v>43</v>
      </c>
      <c r="B13" s="5"/>
      <c r="C13" s="5"/>
      <c r="D13" s="5">
        <v>3</v>
      </c>
      <c r="E13" s="5"/>
      <c r="F13" s="5"/>
      <c r="G13" s="5"/>
      <c r="H13" s="5"/>
      <c r="I13" s="5"/>
      <c r="J13" s="5"/>
      <c r="K13" s="5"/>
      <c r="L13" s="5"/>
      <c r="M13" s="5"/>
      <c r="N13" s="37">
        <f>SUM(B13:M13)</f>
        <v>3</v>
      </c>
      <c r="O13" s="3"/>
      <c r="P13" s="1"/>
      <c r="Q13" s="1"/>
      <c r="R13" s="1"/>
      <c r="S13" s="1"/>
      <c r="T13" s="1"/>
      <c r="U13" s="1"/>
      <c r="V13" s="1"/>
      <c r="W13" s="1"/>
    </row>
    <row r="14" spans="1:23" ht="18" customHeight="1">
      <c r="A14" s="2" t="s">
        <v>44</v>
      </c>
      <c r="B14" s="5"/>
      <c r="C14" s="5"/>
      <c r="D14" s="5"/>
      <c r="E14" s="5"/>
      <c r="F14" s="5"/>
      <c r="G14" s="5"/>
      <c r="H14" s="5">
        <v>4</v>
      </c>
      <c r="I14" s="5"/>
      <c r="J14" s="5"/>
      <c r="K14" s="5"/>
      <c r="L14" s="5"/>
      <c r="M14" s="5"/>
      <c r="N14" s="37">
        <f>SUM(E14:M14)</f>
        <v>4</v>
      </c>
      <c r="O14" s="1"/>
      <c r="P14" s="1"/>
      <c r="Q14" s="1"/>
      <c r="R14" s="1"/>
      <c r="S14" s="1"/>
      <c r="T14" s="1"/>
      <c r="U14" s="1"/>
      <c r="V14" s="1"/>
      <c r="W14" s="1"/>
    </row>
    <row r="15" spans="1:23" ht="18" customHeight="1">
      <c r="A15" s="2" t="s">
        <v>3</v>
      </c>
      <c r="B15" s="5"/>
      <c r="C15" s="5"/>
      <c r="D15" s="5"/>
      <c r="E15" s="5"/>
      <c r="F15" s="5"/>
      <c r="G15" s="5"/>
      <c r="H15" s="5">
        <v>7</v>
      </c>
      <c r="I15" s="5"/>
      <c r="J15" s="5"/>
      <c r="K15" s="5"/>
      <c r="L15" s="5"/>
      <c r="M15" s="5"/>
      <c r="N15" s="37">
        <f>SUM(B15:M15)</f>
        <v>7</v>
      </c>
      <c r="O15" s="1"/>
      <c r="P15" s="50"/>
      <c r="Q15" s="1"/>
      <c r="R15" s="1"/>
      <c r="S15" s="1"/>
      <c r="T15" s="1"/>
      <c r="U15" s="1"/>
      <c r="V15" s="1"/>
      <c r="W15" s="1"/>
    </row>
    <row r="16" spans="1:23" ht="18" customHeight="1">
      <c r="A16" s="2" t="s">
        <v>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37">
        <f>SUM(B16:M16)</f>
        <v>0</v>
      </c>
      <c r="O16" s="1"/>
      <c r="P16" s="50"/>
      <c r="Q16" s="1"/>
      <c r="R16" s="1"/>
      <c r="S16" s="1"/>
      <c r="T16" s="1"/>
      <c r="U16" s="1"/>
      <c r="V16" s="1"/>
      <c r="W16" s="1"/>
    </row>
    <row r="17" spans="1:24" ht="18" customHeight="1">
      <c r="A17" s="2" t="s">
        <v>45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37">
        <f>SUM(B17:M17)</f>
        <v>0</v>
      </c>
      <c r="O17" s="1"/>
      <c r="P17" s="50"/>
      <c r="Q17" s="1"/>
      <c r="R17" s="1"/>
      <c r="S17" s="1"/>
      <c r="T17" s="1"/>
      <c r="U17" s="1"/>
      <c r="V17" s="1"/>
      <c r="W17" s="1"/>
    </row>
    <row r="18" spans="1:24" ht="18" customHeight="1">
      <c r="A18" s="2" t="s">
        <v>46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37">
        <f>SUM(B18:M18)</f>
        <v>0</v>
      </c>
      <c r="O18" s="1"/>
      <c r="P18" s="50"/>
      <c r="Q18" s="1"/>
      <c r="R18" s="1"/>
      <c r="S18" s="1"/>
      <c r="T18" s="1"/>
      <c r="U18" s="1"/>
      <c r="V18" s="1"/>
      <c r="W18" s="1"/>
    </row>
    <row r="19" spans="1:24" s="50" customFormat="1" ht="18" customHeight="1">
      <c r="A19" s="66" t="s">
        <v>4</v>
      </c>
      <c r="B19" s="67">
        <f t="shared" ref="B19:N19" si="1">B13+B14+B16+B17+B18</f>
        <v>0</v>
      </c>
      <c r="C19" s="67">
        <f t="shared" si="1"/>
        <v>0</v>
      </c>
      <c r="D19" s="67">
        <f t="shared" si="1"/>
        <v>3</v>
      </c>
      <c r="E19" s="67">
        <f t="shared" si="1"/>
        <v>0</v>
      </c>
      <c r="F19" s="67">
        <f t="shared" si="1"/>
        <v>0</v>
      </c>
      <c r="G19" s="67">
        <f t="shared" si="1"/>
        <v>0</v>
      </c>
      <c r="H19" s="67">
        <f t="shared" si="1"/>
        <v>4</v>
      </c>
      <c r="I19" s="67">
        <f t="shared" si="1"/>
        <v>0</v>
      </c>
      <c r="J19" s="67">
        <f t="shared" si="1"/>
        <v>0</v>
      </c>
      <c r="K19" s="67">
        <f t="shared" si="1"/>
        <v>0</v>
      </c>
      <c r="L19" s="67">
        <f t="shared" si="1"/>
        <v>0</v>
      </c>
      <c r="M19" s="67">
        <f t="shared" si="1"/>
        <v>0</v>
      </c>
      <c r="N19" s="67">
        <f t="shared" si="1"/>
        <v>7</v>
      </c>
    </row>
    <row r="20" spans="1:24" ht="18" customHeight="1">
      <c r="A20" s="40" t="s">
        <v>33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9"/>
      <c r="O20" s="1"/>
      <c r="P20" s="50"/>
      <c r="Q20" s="1"/>
      <c r="R20" s="1"/>
      <c r="S20" s="1"/>
      <c r="T20" s="1"/>
      <c r="U20" s="1"/>
      <c r="V20" s="1"/>
      <c r="W20" s="1"/>
    </row>
    <row r="21" spans="1:24" ht="18" customHeight="1">
      <c r="A21" s="42" t="s">
        <v>23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4">
        <v>0</v>
      </c>
      <c r="O21" s="1"/>
      <c r="P21" s="1"/>
      <c r="Q21" s="1"/>
      <c r="R21" s="1"/>
      <c r="S21" s="1"/>
      <c r="T21" s="1"/>
      <c r="U21" s="1"/>
      <c r="V21" s="1"/>
      <c r="W21" s="1"/>
    </row>
    <row r="22" spans="1:24" ht="18" customHeight="1">
      <c r="A22" s="42" t="s">
        <v>1</v>
      </c>
      <c r="B22" s="5">
        <v>391</v>
      </c>
      <c r="C22" s="5">
        <v>258</v>
      </c>
      <c r="D22" s="5">
        <v>240</v>
      </c>
      <c r="E22" s="5">
        <v>370</v>
      </c>
      <c r="F22" s="5">
        <v>429</v>
      </c>
      <c r="G22" s="5">
        <v>129</v>
      </c>
      <c r="H22" s="5">
        <v>192</v>
      </c>
      <c r="I22" s="5">
        <v>161</v>
      </c>
      <c r="J22" s="5">
        <v>0</v>
      </c>
      <c r="K22" s="5">
        <v>0</v>
      </c>
      <c r="L22" s="5">
        <v>0</v>
      </c>
      <c r="M22" s="5">
        <v>0</v>
      </c>
      <c r="N22" s="44">
        <v>2170</v>
      </c>
      <c r="O22" s="1"/>
      <c r="P22" s="1"/>
      <c r="Q22" s="1"/>
      <c r="R22" s="52"/>
      <c r="S22" s="1"/>
      <c r="T22" s="1"/>
      <c r="U22" s="1"/>
      <c r="V22" s="1"/>
      <c r="W22" s="1"/>
      <c r="X22" s="52"/>
    </row>
    <row r="23" spans="1:24" ht="18" customHeight="1">
      <c r="A23" s="40" t="s">
        <v>2</v>
      </c>
      <c r="B23" s="77">
        <v>228</v>
      </c>
      <c r="C23" s="77">
        <v>227</v>
      </c>
      <c r="D23" s="77">
        <v>234</v>
      </c>
      <c r="E23" s="77">
        <v>227</v>
      </c>
      <c r="F23" s="77">
        <v>206</v>
      </c>
      <c r="G23" s="77">
        <v>202</v>
      </c>
      <c r="H23" s="77">
        <v>201</v>
      </c>
      <c r="I23" s="77">
        <v>205</v>
      </c>
      <c r="J23" s="77"/>
      <c r="K23" s="77"/>
      <c r="L23" s="77"/>
      <c r="M23" s="77"/>
      <c r="N23" s="76">
        <f>SUM(B23:M23)</f>
        <v>1730</v>
      </c>
      <c r="O23" s="1"/>
      <c r="P23" s="1"/>
      <c r="Q23" s="1"/>
      <c r="R23" s="1"/>
      <c r="S23" s="1"/>
      <c r="T23" s="1"/>
      <c r="U23" s="1"/>
      <c r="V23" s="1"/>
      <c r="W23" s="1"/>
    </row>
    <row r="24" spans="1:24" ht="18" customHeight="1">
      <c r="A24" s="40" t="s">
        <v>34</v>
      </c>
      <c r="B24" s="43">
        <v>3689277</v>
      </c>
      <c r="C24" s="43">
        <v>3329243</v>
      </c>
      <c r="D24" s="43">
        <v>3983716</v>
      </c>
      <c r="E24" s="43">
        <v>3784108</v>
      </c>
      <c r="F24" s="45">
        <v>3358277</v>
      </c>
      <c r="G24" s="45">
        <v>2812504</v>
      </c>
      <c r="H24" s="45">
        <v>3553699</v>
      </c>
      <c r="I24" s="45">
        <v>3605708</v>
      </c>
      <c r="J24" s="45"/>
      <c r="K24" s="45"/>
      <c r="L24" s="45"/>
      <c r="M24" s="45"/>
      <c r="N24" s="58">
        <f>SUM(B24:M24)</f>
        <v>28116532</v>
      </c>
      <c r="O24" s="1"/>
      <c r="P24" s="1"/>
      <c r="Q24" s="1"/>
      <c r="R24" s="1"/>
      <c r="S24" s="1"/>
      <c r="T24" s="1"/>
      <c r="U24" s="1"/>
      <c r="V24" s="1"/>
      <c r="W24" s="1"/>
    </row>
    <row r="25" spans="1:24" ht="18" customHeight="1">
      <c r="A25" s="40" t="s">
        <v>41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1"/>
      <c r="O25" s="1"/>
      <c r="P25" s="1"/>
      <c r="Q25" s="1"/>
      <c r="R25" s="1"/>
      <c r="S25" s="1"/>
      <c r="T25" s="1"/>
      <c r="U25" s="1"/>
      <c r="V25" s="1"/>
      <c r="W25" s="1"/>
    </row>
    <row r="26" spans="1:24" s="50" customFormat="1" ht="18" customHeight="1">
      <c r="A26" s="47" t="s">
        <v>30</v>
      </c>
      <c r="B26" s="51">
        <f t="shared" ref="B26:M26" si="2">IF(B24=0,0,SUM((B12*200000)/B24))</f>
        <v>0.21684465547043499</v>
      </c>
      <c r="C26" s="51">
        <f t="shared" si="2"/>
        <v>0.24029486582985982</v>
      </c>
      <c r="D26" s="51">
        <f t="shared" si="2"/>
        <v>0.15061314611784574</v>
      </c>
      <c r="E26" s="51">
        <f t="shared" si="2"/>
        <v>0.10570522828629626</v>
      </c>
      <c r="F26" s="51">
        <f t="shared" si="2"/>
        <v>0.11910869770420963</v>
      </c>
      <c r="G26" s="51">
        <f t="shared" si="2"/>
        <v>7.1111009975452485E-2</v>
      </c>
      <c r="H26" s="51">
        <f t="shared" si="2"/>
        <v>0.1688381599004305</v>
      </c>
      <c r="I26" s="51">
        <f t="shared" si="2"/>
        <v>0.16640282574185153</v>
      </c>
      <c r="J26" s="51">
        <f t="shared" si="2"/>
        <v>0</v>
      </c>
      <c r="K26" s="51">
        <f t="shared" si="2"/>
        <v>0</v>
      </c>
      <c r="L26" s="51">
        <f t="shared" si="2"/>
        <v>0</v>
      </c>
      <c r="M26" s="51">
        <f t="shared" si="2"/>
        <v>0</v>
      </c>
      <c r="N26" s="81">
        <f>SUM(B26:M26)</f>
        <v>1.238918589026381</v>
      </c>
      <c r="P26" s="1"/>
    </row>
    <row r="27" spans="1:24" s="50" customFormat="1" ht="18" customHeight="1">
      <c r="A27" s="47" t="s">
        <v>31</v>
      </c>
      <c r="B27" s="51">
        <f t="shared" ref="B27:M27" si="3">IF(B24=0,0,SUM(((B19*200000)/(B24))))</f>
        <v>0</v>
      </c>
      <c r="C27" s="51">
        <f t="shared" si="3"/>
        <v>0</v>
      </c>
      <c r="D27" s="51">
        <f t="shared" si="3"/>
        <v>0.15061314611784574</v>
      </c>
      <c r="E27" s="51">
        <f t="shared" si="3"/>
        <v>0</v>
      </c>
      <c r="F27" s="51">
        <f t="shared" si="3"/>
        <v>0</v>
      </c>
      <c r="G27" s="51">
        <f t="shared" si="3"/>
        <v>0</v>
      </c>
      <c r="H27" s="51">
        <f t="shared" si="3"/>
        <v>0.22511754653390734</v>
      </c>
      <c r="I27" s="51">
        <f t="shared" si="3"/>
        <v>0</v>
      </c>
      <c r="J27" s="51">
        <f t="shared" si="3"/>
        <v>0</v>
      </c>
      <c r="K27" s="51">
        <f t="shared" si="3"/>
        <v>0</v>
      </c>
      <c r="L27" s="51">
        <f t="shared" si="3"/>
        <v>0</v>
      </c>
      <c r="M27" s="51">
        <f t="shared" si="3"/>
        <v>0</v>
      </c>
      <c r="N27" s="81">
        <f>SUM(B27:M27)</f>
        <v>0.37573069265175307</v>
      </c>
      <c r="P27" s="1"/>
    </row>
    <row r="28" spans="1:24" s="50" customFormat="1" ht="18" customHeight="1">
      <c r="A28" s="47" t="s">
        <v>32</v>
      </c>
      <c r="B28" s="51">
        <f t="shared" ref="B28:M28" si="4">IF(B24=0,0,((B12/7.5)+(B7+B8+B9+B10)+B19/5)*(200000/(B24)))</f>
        <v>2.8912620729391332E-2</v>
      </c>
      <c r="C28" s="51">
        <f t="shared" si="4"/>
        <v>3.2039315443981309E-2</v>
      </c>
      <c r="D28" s="51">
        <f t="shared" si="4"/>
        <v>0.10040876407856383</v>
      </c>
      <c r="E28" s="51">
        <f t="shared" si="4"/>
        <v>1.4094030438172835E-2</v>
      </c>
      <c r="F28" s="51">
        <f t="shared" si="4"/>
        <v>1.5881159693894618E-2</v>
      </c>
      <c r="G28" s="51">
        <f t="shared" si="4"/>
        <v>9.4814679967269982E-3</v>
      </c>
      <c r="H28" s="51">
        <f t="shared" si="4"/>
        <v>0.18009403722712589</v>
      </c>
      <c r="I28" s="51">
        <f t="shared" si="4"/>
        <v>2.218704343224687E-2</v>
      </c>
      <c r="J28" s="51">
        <f t="shared" si="4"/>
        <v>0</v>
      </c>
      <c r="K28" s="51">
        <f t="shared" si="4"/>
        <v>0</v>
      </c>
      <c r="L28" s="51">
        <f t="shared" si="4"/>
        <v>0</v>
      </c>
      <c r="M28" s="51">
        <f t="shared" si="4"/>
        <v>0</v>
      </c>
      <c r="N28" s="81">
        <f>SUM(B28:M28)</f>
        <v>0.40309843904010367</v>
      </c>
      <c r="P28" s="1"/>
    </row>
    <row r="29" spans="1:24" ht="18" customHeight="1">
      <c r="A29" s="64" t="s">
        <v>27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3"/>
      <c r="O29" s="1"/>
      <c r="P29" s="1"/>
      <c r="Q29" s="1"/>
      <c r="R29" s="1"/>
      <c r="S29" s="1"/>
      <c r="T29" s="1"/>
      <c r="U29" s="1"/>
      <c r="V29" s="1"/>
      <c r="W29" s="1"/>
    </row>
    <row r="30" spans="1:24" ht="18" customHeight="1">
      <c r="A30" s="2" t="s">
        <v>47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46">
        <f>SUM(B30:M30)</f>
        <v>0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8" customHeight="1">
      <c r="A31" s="2" t="s">
        <v>48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46">
        <f>SUM(B31:M31)</f>
        <v>0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8" customHeight="1">
      <c r="A32" s="2" t="s">
        <v>36</v>
      </c>
      <c r="B32" s="5"/>
      <c r="C32" s="5"/>
      <c r="D32" s="5"/>
      <c r="E32" s="5">
        <v>1</v>
      </c>
      <c r="F32" s="5"/>
      <c r="G32" s="5"/>
      <c r="H32" s="5"/>
      <c r="I32" s="5"/>
      <c r="J32" s="5"/>
      <c r="K32" s="5"/>
      <c r="L32" s="5"/>
      <c r="M32" s="5"/>
      <c r="N32" s="46">
        <f>SUM(B32:M32)</f>
        <v>1</v>
      </c>
      <c r="O32" s="1"/>
      <c r="P32" s="1"/>
      <c r="Q32" s="1"/>
      <c r="R32" s="1"/>
      <c r="S32" s="1"/>
      <c r="T32" s="1"/>
      <c r="U32" s="1"/>
      <c r="V32" s="1"/>
      <c r="W32" s="1"/>
    </row>
    <row r="33" spans="1:23" ht="18" customHeight="1">
      <c r="A33" s="2" t="s">
        <v>37</v>
      </c>
      <c r="B33" s="5"/>
      <c r="C33" s="5"/>
      <c r="D33" s="5">
        <v>1</v>
      </c>
      <c r="E33" s="5"/>
      <c r="F33" s="5"/>
      <c r="G33" s="5"/>
      <c r="H33" s="5"/>
      <c r="I33" s="5"/>
      <c r="J33" s="5"/>
      <c r="K33" s="5"/>
      <c r="L33" s="5"/>
      <c r="M33" s="5"/>
      <c r="N33" s="46">
        <f>SUM(B33:M33)</f>
        <v>1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ht="18" customHeight="1">
      <c r="A34" s="2" t="s">
        <v>49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46">
        <f>SUM(B34:M34)</f>
        <v>0</v>
      </c>
      <c r="O34" s="1"/>
      <c r="P34" s="1"/>
      <c r="Q34" s="1"/>
      <c r="R34" s="1"/>
      <c r="S34" s="1"/>
      <c r="T34" s="1"/>
      <c r="U34" s="1"/>
      <c r="V34" s="1"/>
      <c r="W34" s="1"/>
    </row>
    <row r="35" spans="1:23" ht="18" customHeight="1">
      <c r="A35" s="39" t="s">
        <v>25</v>
      </c>
      <c r="B35" s="59">
        <f>SUM(B30:B33)</f>
        <v>0</v>
      </c>
      <c r="C35" s="59">
        <f>SUM(C30:C33)</f>
        <v>0</v>
      </c>
      <c r="D35" s="59">
        <f>SUM(D30:D34)</f>
        <v>1</v>
      </c>
      <c r="E35" s="59">
        <f t="shared" ref="E35:M35" si="5">SUM(E30:E33)</f>
        <v>1</v>
      </c>
      <c r="F35" s="59">
        <f t="shared" si="5"/>
        <v>0</v>
      </c>
      <c r="G35" s="59">
        <f t="shared" si="5"/>
        <v>0</v>
      </c>
      <c r="H35" s="59">
        <f t="shared" si="5"/>
        <v>0</v>
      </c>
      <c r="I35" s="59">
        <f t="shared" si="5"/>
        <v>0</v>
      </c>
      <c r="J35" s="59">
        <f t="shared" si="5"/>
        <v>0</v>
      </c>
      <c r="K35" s="59">
        <f t="shared" si="5"/>
        <v>0</v>
      </c>
      <c r="L35" s="59">
        <f t="shared" si="5"/>
        <v>0</v>
      </c>
      <c r="M35" s="59">
        <f t="shared" si="5"/>
        <v>0</v>
      </c>
      <c r="N35" s="59">
        <f>SUM(N30:N34)</f>
        <v>2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ht="18" customHeight="1">
      <c r="A36" s="2" t="s">
        <v>43</v>
      </c>
      <c r="B36" s="5"/>
      <c r="C36" s="5"/>
      <c r="D36" s="5"/>
      <c r="E36" s="5">
        <v>90</v>
      </c>
      <c r="F36" s="5"/>
      <c r="G36" s="5"/>
      <c r="H36" s="5"/>
      <c r="I36" s="5"/>
      <c r="J36" s="5"/>
      <c r="K36" s="5"/>
      <c r="L36" s="5"/>
      <c r="M36" s="5"/>
      <c r="N36" s="37">
        <f t="shared" ref="N36:N41" si="6">SUM(B36:M36)</f>
        <v>90</v>
      </c>
      <c r="O36" s="1"/>
      <c r="P36" s="1"/>
      <c r="Q36" s="1"/>
      <c r="R36" s="1"/>
      <c r="S36" s="1"/>
      <c r="T36" s="1"/>
      <c r="U36" s="1"/>
      <c r="V36" s="1"/>
      <c r="W36" s="1"/>
    </row>
    <row r="37" spans="1:23" ht="18" customHeight="1">
      <c r="A37" s="2" t="s">
        <v>44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37">
        <f t="shared" si="6"/>
        <v>0</v>
      </c>
      <c r="O37" s="1"/>
      <c r="P37" s="1"/>
      <c r="Q37" s="1"/>
      <c r="R37" s="1"/>
      <c r="S37" s="1"/>
      <c r="T37" s="1"/>
      <c r="U37" s="1"/>
      <c r="V37" s="1"/>
      <c r="W37" s="1"/>
    </row>
    <row r="38" spans="1:23" ht="18" customHeight="1">
      <c r="A38" s="2" t="s">
        <v>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37">
        <f t="shared" si="6"/>
        <v>0</v>
      </c>
      <c r="O38" s="1"/>
      <c r="P38" s="1"/>
      <c r="Q38" s="1"/>
      <c r="R38" s="1"/>
      <c r="S38" s="1"/>
      <c r="T38" s="1"/>
      <c r="U38" s="1"/>
      <c r="V38" s="1"/>
      <c r="W38" s="1"/>
    </row>
    <row r="39" spans="1:23" ht="18" customHeight="1">
      <c r="A39" s="2" t="s">
        <v>24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37">
        <f t="shared" si="6"/>
        <v>0</v>
      </c>
      <c r="O39" s="1"/>
      <c r="P39" s="1"/>
      <c r="Q39" s="1"/>
      <c r="R39" s="1"/>
      <c r="S39" s="1"/>
      <c r="T39" s="1"/>
      <c r="U39" s="1"/>
      <c r="V39" s="1"/>
      <c r="W39" s="1"/>
    </row>
    <row r="40" spans="1:23" ht="18" customHeight="1">
      <c r="A40" s="2" t="s">
        <v>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37">
        <f t="shared" si="6"/>
        <v>0</v>
      </c>
      <c r="O40" s="1"/>
      <c r="P40" s="49"/>
      <c r="Q40" s="1"/>
      <c r="R40" s="1"/>
      <c r="S40" s="1"/>
      <c r="T40" s="1"/>
      <c r="U40" s="1"/>
      <c r="V40" s="1"/>
      <c r="W40" s="1"/>
    </row>
    <row r="41" spans="1:23" ht="18" customHeight="1">
      <c r="A41" s="2" t="s">
        <v>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37">
        <f t="shared" si="6"/>
        <v>0</v>
      </c>
      <c r="O41" s="1"/>
      <c r="P41" s="1"/>
      <c r="Q41" s="1"/>
      <c r="R41" s="1"/>
      <c r="S41" s="1"/>
      <c r="T41" s="1"/>
      <c r="U41" s="1"/>
      <c r="V41" s="1"/>
      <c r="W41" s="1"/>
    </row>
    <row r="42" spans="1:23" ht="18" customHeight="1">
      <c r="A42" s="66" t="s">
        <v>4</v>
      </c>
      <c r="B42" s="67">
        <f t="shared" ref="B42:N42" si="7">B36+B37+B39+B40+B41</f>
        <v>0</v>
      </c>
      <c r="C42" s="67">
        <f t="shared" si="7"/>
        <v>0</v>
      </c>
      <c r="D42" s="67">
        <f t="shared" si="7"/>
        <v>0</v>
      </c>
      <c r="E42" s="67">
        <f t="shared" si="7"/>
        <v>90</v>
      </c>
      <c r="F42" s="67">
        <f t="shared" si="7"/>
        <v>0</v>
      </c>
      <c r="G42" s="67">
        <f t="shared" si="7"/>
        <v>0</v>
      </c>
      <c r="H42" s="67">
        <f t="shared" si="7"/>
        <v>0</v>
      </c>
      <c r="I42" s="67">
        <f t="shared" si="7"/>
        <v>0</v>
      </c>
      <c r="J42" s="67">
        <f t="shared" si="7"/>
        <v>0</v>
      </c>
      <c r="K42" s="67">
        <f t="shared" si="7"/>
        <v>0</v>
      </c>
      <c r="L42" s="67">
        <f t="shared" si="7"/>
        <v>0</v>
      </c>
      <c r="M42" s="67">
        <f t="shared" si="7"/>
        <v>0</v>
      </c>
      <c r="N42" s="67">
        <f t="shared" si="7"/>
        <v>90</v>
      </c>
      <c r="O42" s="1"/>
      <c r="P42" s="1"/>
      <c r="Q42" s="1"/>
      <c r="R42" s="1"/>
      <c r="S42" s="1"/>
      <c r="T42" s="1"/>
      <c r="U42" s="1"/>
      <c r="V42" s="1"/>
      <c r="W42" s="1"/>
    </row>
    <row r="43" spans="1:23" ht="9.75" customHeight="1">
      <c r="A43" s="6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1"/>
      <c r="P43" s="1"/>
      <c r="Q43" s="1"/>
      <c r="R43" s="1"/>
      <c r="S43" s="1"/>
      <c r="T43" s="1"/>
      <c r="U43" s="1"/>
      <c r="V43" s="1"/>
      <c r="W43" s="1"/>
    </row>
    <row r="44" spans="1:23" ht="24" customHeight="1">
      <c r="A44" s="64" t="s">
        <v>5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/>
      <c r="O44" s="1"/>
      <c r="P44" s="1"/>
      <c r="Q44" s="1"/>
      <c r="R44" s="1"/>
      <c r="S44" s="1"/>
      <c r="T44" s="1"/>
      <c r="U44" s="1"/>
      <c r="V44" s="1"/>
      <c r="W44" s="1"/>
    </row>
    <row r="45" spans="1:23" ht="18" customHeight="1">
      <c r="A45" s="2" t="s">
        <v>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37">
        <f>SUM(B45:M45)</f>
        <v>0</v>
      </c>
      <c r="O45" s="1"/>
      <c r="P45" s="1"/>
      <c r="Q45" s="1"/>
      <c r="R45" s="1"/>
      <c r="S45" s="1"/>
      <c r="T45" s="1"/>
      <c r="U45" s="1"/>
      <c r="V45" s="1"/>
      <c r="W45" s="1"/>
    </row>
    <row r="46" spans="1:23" ht="18" customHeight="1">
      <c r="A46" s="2" t="s">
        <v>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37">
        <f>SUM(B46:M46)</f>
        <v>0</v>
      </c>
      <c r="O46" s="1"/>
      <c r="P46" s="1"/>
      <c r="Q46" s="1"/>
      <c r="R46" s="1"/>
      <c r="S46" s="1"/>
      <c r="T46" s="1"/>
      <c r="U46" s="1"/>
      <c r="V46" s="1"/>
      <c r="W46" s="1"/>
    </row>
    <row r="47" spans="1:23" ht="18" customHeight="1">
      <c r="A47" s="2" t="s">
        <v>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37">
        <f ca="1">SUM(N47:DY47)</f>
        <v>0</v>
      </c>
      <c r="O47" s="1"/>
      <c r="P47" s="1"/>
      <c r="Q47" s="1"/>
      <c r="R47" s="1"/>
      <c r="S47" s="1"/>
      <c r="T47" s="1"/>
      <c r="U47" s="1"/>
      <c r="V47" s="1"/>
      <c r="W47" s="1"/>
    </row>
    <row r="48" spans="1:23" ht="18" customHeight="1">
      <c r="A48" s="2" t="s">
        <v>37</v>
      </c>
      <c r="B48" s="5"/>
      <c r="C48" s="5"/>
      <c r="D48" s="5"/>
      <c r="E48" s="5"/>
      <c r="F48" s="5"/>
      <c r="G48" s="5"/>
      <c r="H48" s="5">
        <v>1</v>
      </c>
      <c r="I48" s="5"/>
      <c r="J48" s="5"/>
      <c r="K48" s="5"/>
      <c r="L48" s="5"/>
      <c r="M48" s="5"/>
      <c r="N48" s="37">
        <f>SUM(B48:M48)</f>
        <v>1</v>
      </c>
      <c r="O48" s="1"/>
      <c r="P48" s="50"/>
      <c r="Q48" s="1"/>
      <c r="R48" s="1"/>
      <c r="S48" s="1"/>
      <c r="T48" s="1"/>
      <c r="U48" s="1"/>
      <c r="V48" s="1"/>
      <c r="W48" s="1"/>
    </row>
    <row r="49" spans="1:23" ht="18" customHeight="1">
      <c r="A49" s="2" t="s">
        <v>49</v>
      </c>
      <c r="B49" s="5"/>
      <c r="C49" s="5"/>
      <c r="D49" s="5"/>
      <c r="E49" s="5"/>
      <c r="F49" s="5">
        <v>1</v>
      </c>
      <c r="G49" s="5"/>
      <c r="H49" s="5"/>
      <c r="I49" s="5"/>
      <c r="J49" s="5"/>
      <c r="K49" s="5"/>
      <c r="L49" s="5"/>
      <c r="M49" s="5"/>
      <c r="N49" s="37">
        <f>SUM(B49:M49)</f>
        <v>1</v>
      </c>
      <c r="O49" s="1"/>
      <c r="P49" s="50"/>
      <c r="Q49" s="1"/>
      <c r="R49" s="1"/>
      <c r="S49" s="1"/>
      <c r="T49" s="1"/>
      <c r="U49" s="1"/>
      <c r="V49" s="1"/>
      <c r="W49" s="1"/>
    </row>
    <row r="50" spans="1:23" s="49" customFormat="1" ht="18" customHeight="1">
      <c r="A50" s="48" t="s">
        <v>28</v>
      </c>
      <c r="B50" s="57">
        <f t="shared" ref="B50:N50" si="8">SUM(B45:B49)</f>
        <v>0</v>
      </c>
      <c r="C50" s="57">
        <f t="shared" si="8"/>
        <v>0</v>
      </c>
      <c r="D50" s="57">
        <f t="shared" si="8"/>
        <v>0</v>
      </c>
      <c r="E50" s="57">
        <f t="shared" si="8"/>
        <v>0</v>
      </c>
      <c r="F50" s="57">
        <f t="shared" si="8"/>
        <v>1</v>
      </c>
      <c r="G50" s="57">
        <f t="shared" si="8"/>
        <v>0</v>
      </c>
      <c r="H50" s="57">
        <f t="shared" si="8"/>
        <v>1</v>
      </c>
      <c r="I50" s="57">
        <f t="shared" si="8"/>
        <v>0</v>
      </c>
      <c r="J50" s="57">
        <f t="shared" si="8"/>
        <v>0</v>
      </c>
      <c r="K50" s="57">
        <f t="shared" si="8"/>
        <v>0</v>
      </c>
      <c r="L50" s="57">
        <f t="shared" si="8"/>
        <v>0</v>
      </c>
      <c r="M50" s="57">
        <f t="shared" si="8"/>
        <v>0</v>
      </c>
      <c r="N50" s="57">
        <f t="shared" ca="1" si="8"/>
        <v>0</v>
      </c>
      <c r="P50" s="50"/>
    </row>
    <row r="51" spans="1:23" s="49" customFormat="1" ht="18" customHeight="1">
      <c r="A51" s="2" t="s">
        <v>43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37">
        <f t="shared" ref="N51:N56" si="9">SUM(E51:M51)</f>
        <v>0</v>
      </c>
      <c r="P51" s="50"/>
    </row>
    <row r="52" spans="1:23" s="49" customFormat="1" ht="18" customHeight="1">
      <c r="A52" s="2" t="s">
        <v>44</v>
      </c>
      <c r="B52" s="5"/>
      <c r="C52" s="5"/>
      <c r="D52" s="5"/>
      <c r="E52" s="5"/>
      <c r="F52" s="5"/>
      <c r="G52" s="5"/>
      <c r="H52" s="5">
        <v>7</v>
      </c>
      <c r="I52" s="5"/>
      <c r="J52" s="5"/>
      <c r="K52" s="5"/>
      <c r="L52" s="5"/>
      <c r="M52" s="5"/>
      <c r="N52" s="37">
        <f t="shared" si="9"/>
        <v>7</v>
      </c>
      <c r="P52" s="50"/>
    </row>
    <row r="53" spans="1:23" ht="18" customHeight="1">
      <c r="A53" s="2" t="s">
        <v>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37">
        <f t="shared" si="9"/>
        <v>0</v>
      </c>
      <c r="O53" s="1"/>
      <c r="P53" s="50"/>
      <c r="Q53" s="1"/>
      <c r="R53" s="1"/>
      <c r="S53" s="1"/>
      <c r="T53" s="1"/>
      <c r="U53" s="1"/>
      <c r="V53" s="1"/>
      <c r="W53" s="1"/>
    </row>
    <row r="54" spans="1:23" ht="18" customHeight="1">
      <c r="A54" s="2" t="s">
        <v>24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37">
        <f t="shared" si="9"/>
        <v>0</v>
      </c>
      <c r="O54" s="1"/>
      <c r="P54" s="50"/>
      <c r="Q54" s="1"/>
      <c r="R54" s="1"/>
      <c r="S54" s="1"/>
      <c r="T54" s="1"/>
      <c r="U54" s="1"/>
      <c r="V54" s="1"/>
      <c r="W54" s="1"/>
    </row>
    <row r="55" spans="1:23" ht="18" customHeight="1">
      <c r="A55" s="2" t="s">
        <v>45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37">
        <f t="shared" si="9"/>
        <v>0</v>
      </c>
      <c r="O55" s="1"/>
      <c r="P55" s="50"/>
      <c r="Q55" s="1"/>
      <c r="R55" s="1"/>
      <c r="S55" s="1"/>
      <c r="T55" s="1"/>
      <c r="U55" s="1"/>
      <c r="V55" s="1"/>
      <c r="W55" s="1"/>
    </row>
    <row r="56" spans="1:23" ht="18" customHeight="1">
      <c r="A56" s="2" t="s">
        <v>46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37">
        <f t="shared" si="9"/>
        <v>0</v>
      </c>
      <c r="O56" s="1"/>
      <c r="P56" s="1"/>
      <c r="Q56" s="1"/>
      <c r="R56" s="1"/>
      <c r="S56" s="1"/>
      <c r="T56" s="1"/>
      <c r="U56" s="1"/>
      <c r="V56" s="1"/>
      <c r="W56" s="1"/>
    </row>
    <row r="57" spans="1:23" ht="18" customHeight="1">
      <c r="A57" s="66" t="s">
        <v>4</v>
      </c>
      <c r="B57" s="67">
        <f t="shared" ref="B57:N57" si="10">B51+B52+B54+B55+B56</f>
        <v>0</v>
      </c>
      <c r="C57" s="67">
        <f t="shared" si="10"/>
        <v>0</v>
      </c>
      <c r="D57" s="67">
        <f t="shared" si="10"/>
        <v>0</v>
      </c>
      <c r="E57" s="67">
        <f t="shared" si="10"/>
        <v>0</v>
      </c>
      <c r="F57" s="67">
        <f t="shared" si="10"/>
        <v>0</v>
      </c>
      <c r="G57" s="67">
        <f t="shared" si="10"/>
        <v>0</v>
      </c>
      <c r="H57" s="67">
        <f t="shared" si="10"/>
        <v>7</v>
      </c>
      <c r="I57" s="67">
        <f t="shared" si="10"/>
        <v>0</v>
      </c>
      <c r="J57" s="67">
        <f t="shared" si="10"/>
        <v>0</v>
      </c>
      <c r="K57" s="67">
        <f t="shared" si="10"/>
        <v>0</v>
      </c>
      <c r="L57" s="67">
        <f t="shared" si="10"/>
        <v>0</v>
      </c>
      <c r="M57" s="67">
        <f t="shared" si="10"/>
        <v>0</v>
      </c>
      <c r="N57" s="67">
        <f t="shared" si="10"/>
        <v>7</v>
      </c>
      <c r="O57" s="1"/>
      <c r="P57" s="1"/>
      <c r="Q57" s="1"/>
      <c r="R57" s="1"/>
      <c r="S57" s="1"/>
      <c r="T57" s="1"/>
      <c r="U57" s="1"/>
      <c r="V57" s="1"/>
      <c r="W57" s="1"/>
    </row>
    <row r="58" spans="1:23" ht="18" customHeight="1">
      <c r="A58" s="40" t="s">
        <v>2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>
        <f>SUM(E58:M58)</f>
        <v>0</v>
      </c>
      <c r="O58" s="1"/>
      <c r="P58" s="1"/>
      <c r="Q58" s="1"/>
      <c r="R58" s="1"/>
      <c r="S58" s="1"/>
      <c r="T58" s="1"/>
      <c r="U58" s="1"/>
      <c r="V58" s="1"/>
      <c r="W58" s="1"/>
    </row>
    <row r="59" spans="1:23" ht="18" customHeight="1">
      <c r="A59" s="40" t="s">
        <v>34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3">
        <f>SUM(E59:M59)</f>
        <v>0</v>
      </c>
      <c r="O59" s="1"/>
      <c r="P59" s="1"/>
      <c r="Q59" s="1"/>
      <c r="R59" s="1"/>
      <c r="S59" s="1"/>
      <c r="T59" s="1"/>
      <c r="U59" s="1"/>
      <c r="V59" s="1"/>
      <c r="W59" s="1"/>
    </row>
    <row r="60" spans="1:23" ht="18" customHeight="1">
      <c r="A60" s="40" t="s">
        <v>29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1"/>
      <c r="O60" s="1"/>
      <c r="P60" s="1"/>
      <c r="Q60" s="1"/>
      <c r="R60" s="1"/>
      <c r="S60" s="1"/>
      <c r="T60" s="1"/>
      <c r="U60" s="1"/>
      <c r="V60" s="1"/>
      <c r="W60" s="1"/>
    </row>
    <row r="61" spans="1:23" s="50" customFormat="1" ht="18" customHeight="1">
      <c r="A61" s="47" t="s">
        <v>30</v>
      </c>
      <c r="B61" s="51">
        <f t="shared" ref="B61:N61" si="11">IF(B59=0,0,SUM((B50*200000)/B59))</f>
        <v>0</v>
      </c>
      <c r="C61" s="51">
        <f t="shared" si="11"/>
        <v>0</v>
      </c>
      <c r="D61" s="51">
        <f t="shared" si="11"/>
        <v>0</v>
      </c>
      <c r="E61" s="51">
        <f t="shared" si="11"/>
        <v>0</v>
      </c>
      <c r="F61" s="51">
        <f t="shared" si="11"/>
        <v>0</v>
      </c>
      <c r="G61" s="51">
        <f t="shared" si="11"/>
        <v>0</v>
      </c>
      <c r="H61" s="51">
        <f t="shared" si="11"/>
        <v>0</v>
      </c>
      <c r="I61" s="51">
        <f t="shared" si="11"/>
        <v>0</v>
      </c>
      <c r="J61" s="51">
        <f t="shared" si="11"/>
        <v>0</v>
      </c>
      <c r="K61" s="51">
        <f t="shared" si="11"/>
        <v>0</v>
      </c>
      <c r="L61" s="51">
        <f t="shared" si="11"/>
        <v>0</v>
      </c>
      <c r="M61" s="51">
        <f t="shared" si="11"/>
        <v>0</v>
      </c>
      <c r="N61" s="51">
        <f t="shared" si="11"/>
        <v>0</v>
      </c>
      <c r="P61" s="1"/>
    </row>
    <row r="62" spans="1:23" s="50" customFormat="1" ht="18" customHeight="1">
      <c r="A62" s="47" t="s">
        <v>31</v>
      </c>
      <c r="B62" s="51">
        <f t="shared" ref="B62:N62" si="12">IF(B59=0,0,SUM(((B44*200000)/(B59))))</f>
        <v>0</v>
      </c>
      <c r="C62" s="51">
        <f t="shared" si="12"/>
        <v>0</v>
      </c>
      <c r="D62" s="51">
        <f t="shared" si="12"/>
        <v>0</v>
      </c>
      <c r="E62" s="51">
        <f t="shared" si="12"/>
        <v>0</v>
      </c>
      <c r="F62" s="51">
        <f t="shared" si="12"/>
        <v>0</v>
      </c>
      <c r="G62" s="51">
        <f t="shared" si="12"/>
        <v>0</v>
      </c>
      <c r="H62" s="51">
        <f t="shared" si="12"/>
        <v>0</v>
      </c>
      <c r="I62" s="51">
        <f t="shared" si="12"/>
        <v>0</v>
      </c>
      <c r="J62" s="51">
        <f t="shared" si="12"/>
        <v>0</v>
      </c>
      <c r="K62" s="51">
        <f t="shared" si="12"/>
        <v>0</v>
      </c>
      <c r="L62" s="51">
        <f t="shared" si="12"/>
        <v>0</v>
      </c>
      <c r="M62" s="51">
        <f t="shared" si="12"/>
        <v>0</v>
      </c>
      <c r="N62" s="51">
        <f t="shared" si="12"/>
        <v>0</v>
      </c>
      <c r="P62" s="1"/>
    </row>
    <row r="63" spans="1:23" s="50" customFormat="1" ht="18" customHeight="1">
      <c r="A63" s="47" t="s">
        <v>32</v>
      </c>
      <c r="B63" s="51">
        <f t="shared" ref="B63:N63" si="13">IF(B59=0,0,((B50/7.5)+(B45+B46+B47+B48)+B57/5)*(200000/(B59)))</f>
        <v>0</v>
      </c>
      <c r="C63" s="51">
        <f t="shared" si="13"/>
        <v>0</v>
      </c>
      <c r="D63" s="51">
        <f t="shared" si="13"/>
        <v>0</v>
      </c>
      <c r="E63" s="51">
        <f t="shared" si="13"/>
        <v>0</v>
      </c>
      <c r="F63" s="51">
        <f t="shared" si="13"/>
        <v>0</v>
      </c>
      <c r="G63" s="51">
        <f t="shared" si="13"/>
        <v>0</v>
      </c>
      <c r="H63" s="51">
        <f t="shared" si="13"/>
        <v>0</v>
      </c>
      <c r="I63" s="51">
        <f t="shared" si="13"/>
        <v>0</v>
      </c>
      <c r="J63" s="51">
        <f t="shared" si="13"/>
        <v>0</v>
      </c>
      <c r="K63" s="51">
        <f t="shared" si="13"/>
        <v>0</v>
      </c>
      <c r="L63" s="51">
        <f t="shared" si="13"/>
        <v>0</v>
      </c>
      <c r="M63" s="51">
        <f t="shared" si="13"/>
        <v>0</v>
      </c>
      <c r="N63" s="51">
        <f t="shared" si="13"/>
        <v>0</v>
      </c>
      <c r="P63" s="1"/>
    </row>
    <row r="64" spans="1:23" ht="13.5" customHeight="1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16.5" customHeight="1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16.5" customHeight="1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6.5" customHeight="1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ht="16.5" customHeight="1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ht="16.5" customHeight="1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ht="16.5" customHeight="1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ht="16.5" customHeight="1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ht="16.5" customHeight="1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16.5" customHeight="1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ht="16.5" customHeight="1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ht="16.5" customHeight="1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16.5" customHeight="1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ht="16.5" customHeight="1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ht="16.5" customHeight="1">
      <c r="A79" s="62"/>
      <c r="B79" s="16"/>
      <c r="C79" s="17"/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7"/>
      <c r="Q79" s="17"/>
      <c r="R79" s="17"/>
      <c r="S79" s="17"/>
      <c r="T79" s="19"/>
      <c r="U79" s="18"/>
      <c r="V79" s="18"/>
      <c r="W79" s="16"/>
    </row>
    <row r="80" spans="1:23" ht="16.5" customHeight="1">
      <c r="A80" s="83" t="s">
        <v>18</v>
      </c>
      <c r="B80" s="84"/>
      <c r="C80" s="28" t="s">
        <v>20</v>
      </c>
      <c r="D80" s="7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3"/>
      <c r="Q80" s="23" t="s">
        <v>35</v>
      </c>
      <c r="R80" s="23"/>
      <c r="S80" s="23"/>
      <c r="T80" s="23" t="s">
        <v>21</v>
      </c>
      <c r="U80" s="7"/>
      <c r="V80" s="7"/>
      <c r="W80" s="14"/>
    </row>
    <row r="81" spans="1:23" ht="16.5" customHeight="1">
      <c r="A81" s="38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14"/>
    </row>
    <row r="82" spans="1:23" ht="16.5" customHeight="1">
      <c r="A82" s="2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14"/>
    </row>
    <row r="83" spans="1:23" ht="16.5" customHeight="1">
      <c r="A83" s="36" t="s">
        <v>38</v>
      </c>
      <c r="B83" s="25"/>
      <c r="C83" s="32">
        <v>1</v>
      </c>
      <c r="D83" s="13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33">
        <f>T83</f>
        <v>0</v>
      </c>
      <c r="R83" s="34"/>
      <c r="S83" s="34"/>
      <c r="T83" s="63">
        <f>N7+N8</f>
        <v>0</v>
      </c>
      <c r="U83" s="13"/>
      <c r="V83" s="13"/>
      <c r="W83" s="26"/>
    </row>
    <row r="84" spans="1:23" ht="16.5" customHeight="1">
      <c r="A84" s="29"/>
      <c r="B84" s="16"/>
      <c r="C84" s="30"/>
      <c r="D84" s="18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35"/>
      <c r="R84" s="31"/>
      <c r="S84" s="31"/>
      <c r="T84" s="54"/>
      <c r="U84" s="18"/>
      <c r="V84" s="18"/>
      <c r="W84" s="20"/>
    </row>
    <row r="85" spans="1:23" ht="16.5" customHeight="1">
      <c r="A85" s="27" t="s">
        <v>39</v>
      </c>
      <c r="B85" s="6"/>
      <c r="C85" s="8">
        <v>10</v>
      </c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10">
        <f>T85</f>
        <v>3</v>
      </c>
      <c r="R85" s="11"/>
      <c r="S85" s="11"/>
      <c r="T85" s="55">
        <v>3</v>
      </c>
      <c r="U85" s="7"/>
      <c r="V85" s="7"/>
      <c r="W85" s="15"/>
    </row>
    <row r="86" spans="1:23" ht="16.5" customHeight="1">
      <c r="A86" s="27"/>
      <c r="B86" s="6"/>
      <c r="C86" s="8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12"/>
      <c r="R86" s="11"/>
      <c r="S86" s="11"/>
      <c r="T86" s="55"/>
      <c r="U86" s="7"/>
      <c r="V86" s="7"/>
      <c r="W86" s="15"/>
    </row>
    <row r="87" spans="1:23" ht="16.5" customHeight="1">
      <c r="A87" s="36" t="s">
        <v>40</v>
      </c>
      <c r="B87" s="25"/>
      <c r="C87" s="32">
        <v>30</v>
      </c>
      <c r="D87" s="13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33">
        <f>T87</f>
        <v>0</v>
      </c>
      <c r="R87" s="34"/>
      <c r="S87" s="25"/>
      <c r="T87" s="53">
        <v>0</v>
      </c>
      <c r="U87" s="13"/>
      <c r="V87" s="13"/>
      <c r="W87" s="26"/>
    </row>
    <row r="88" spans="1:23" ht="16.5" customHeight="1">
      <c r="A88" s="27"/>
      <c r="B88" s="6"/>
      <c r="C88" s="8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12"/>
      <c r="R88" s="11"/>
      <c r="S88" s="11"/>
      <c r="T88" s="55"/>
      <c r="U88" s="7"/>
      <c r="V88" s="7"/>
      <c r="W88" s="15"/>
    </row>
    <row r="89" spans="1:23" ht="16.5" customHeight="1">
      <c r="A89" s="36" t="s">
        <v>19</v>
      </c>
      <c r="B89" s="25"/>
      <c r="C89" s="32">
        <v>600</v>
      </c>
      <c r="D89" s="13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33">
        <f>T89</f>
        <v>161</v>
      </c>
      <c r="R89" s="25"/>
      <c r="S89" s="25"/>
      <c r="T89" s="53">
        <v>161</v>
      </c>
      <c r="U89" s="13"/>
      <c r="V89" s="13"/>
      <c r="W89" s="26"/>
    </row>
    <row r="90" spans="1:23" ht="16.5" customHeight="1">
      <c r="A90" s="22"/>
      <c r="B90" s="16"/>
      <c r="C90" s="17"/>
      <c r="D90" s="1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7"/>
      <c r="Q90" s="17"/>
      <c r="R90" s="17"/>
      <c r="S90" s="17"/>
      <c r="T90" s="19"/>
      <c r="U90" s="18"/>
      <c r="V90" s="18"/>
      <c r="W90" s="20"/>
    </row>
    <row r="91" spans="1:23" ht="16.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6.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6.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6.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</sheetData>
  <mergeCells count="4">
    <mergeCell ref="A80:B80"/>
    <mergeCell ref="A2:T2"/>
    <mergeCell ref="U2:W2"/>
    <mergeCell ref="B4:N4"/>
  </mergeCells>
  <phoneticPr fontId="0" type="noConversion"/>
  <printOptions horizontalCentered="1" verticalCentered="1"/>
  <pageMargins left="0.39370078740157483" right="0.39370078740157483" top="0.39370078740157483" bottom="0.4" header="0.51181102362204722" footer="0.25"/>
  <pageSetup paperSize="9" scale="35" orientation="landscape" horizontalDpi="300" verticalDpi="300" r:id="rId1"/>
  <headerFooter alignWithMargins="0">
    <oddFooter>&amp;L&amp;F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99"/>
  <sheetViews>
    <sheetView showGridLines="0" topLeftCell="A10" zoomScale="70" zoomScaleNormal="70" zoomScaleSheetLayoutView="75" workbookViewId="0">
      <selection activeCell="A7" sqref="A7"/>
    </sheetView>
  </sheetViews>
  <sheetFormatPr defaultRowHeight="12.75"/>
  <cols>
    <col min="1" max="1" width="61" style="1" customWidth="1"/>
    <col min="2" max="3" width="11.85546875" style="9" customWidth="1"/>
    <col min="4" max="4" width="10.85546875" style="9" customWidth="1"/>
    <col min="5" max="5" width="11.7109375" style="9" customWidth="1"/>
    <col min="6" max="11" width="11.85546875" style="9" customWidth="1"/>
    <col min="12" max="12" width="11.7109375" style="9" customWidth="1"/>
    <col min="13" max="13" width="11.85546875" style="9" customWidth="1"/>
    <col min="14" max="14" width="16.28515625" style="9" customWidth="1"/>
    <col min="15" max="15" width="7.85546875" style="9" customWidth="1"/>
    <col min="16" max="16" width="7.140625" style="9" customWidth="1"/>
    <col min="17" max="17" width="9.28515625" style="9" customWidth="1"/>
    <col min="18" max="18" width="7.85546875" style="9" customWidth="1"/>
    <col min="19" max="19" width="8.7109375" style="9" customWidth="1"/>
    <col min="20" max="20" width="7.7109375" style="9" customWidth="1"/>
    <col min="21" max="22" width="8.85546875" style="9" bestFit="1" customWidth="1"/>
    <col min="23" max="23" width="12.7109375" style="9" customWidth="1"/>
    <col min="24" max="24" width="10.7109375" style="1" customWidth="1"/>
    <col min="25" max="25" width="30.5703125" style="1" customWidth="1"/>
    <col min="26" max="31" width="9.140625" style="1"/>
    <col min="32" max="32" width="7.28515625" style="1" customWidth="1"/>
    <col min="33" max="16384" width="9.140625" style="1"/>
  </cols>
  <sheetData>
    <row r="1" spans="1:23">
      <c r="T1" s="65"/>
      <c r="U1" s="65"/>
    </row>
    <row r="2" spans="1:23">
      <c r="A2" s="85" t="s">
        <v>50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  <c r="V2" s="86"/>
      <c r="W2" s="86"/>
    </row>
    <row r="4" spans="1:23">
      <c r="B4" s="87" t="s">
        <v>52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9"/>
      <c r="O4" s="80"/>
      <c r="P4" s="80"/>
      <c r="Q4" s="80"/>
      <c r="R4" s="80"/>
      <c r="S4" s="80"/>
      <c r="T4" s="80"/>
      <c r="U4" s="80"/>
      <c r="V4" s="80"/>
    </row>
    <row r="5" spans="1:23" ht="18" customHeight="1">
      <c r="A5" s="56" t="s">
        <v>42</v>
      </c>
      <c r="B5" s="78" t="s">
        <v>6</v>
      </c>
      <c r="C5" s="78" t="s">
        <v>7</v>
      </c>
      <c r="D5" s="78" t="s">
        <v>8</v>
      </c>
      <c r="E5" s="78" t="s">
        <v>9</v>
      </c>
      <c r="F5" s="78" t="s">
        <v>22</v>
      </c>
      <c r="G5" s="78" t="s">
        <v>10</v>
      </c>
      <c r="H5" s="78" t="s">
        <v>11</v>
      </c>
      <c r="I5" s="78" t="s">
        <v>12</v>
      </c>
      <c r="J5" s="78" t="s">
        <v>13</v>
      </c>
      <c r="K5" s="78" t="s">
        <v>14</v>
      </c>
      <c r="L5" s="78" t="s">
        <v>15</v>
      </c>
      <c r="M5" s="78" t="s">
        <v>16</v>
      </c>
      <c r="N5" s="79" t="s">
        <v>17</v>
      </c>
      <c r="O5" s="1"/>
      <c r="P5" s="1"/>
      <c r="Q5" s="1"/>
      <c r="R5" s="1"/>
      <c r="S5" s="1"/>
      <c r="T5" s="1"/>
      <c r="U5" s="1"/>
      <c r="V5" s="1"/>
      <c r="W5" s="1"/>
    </row>
    <row r="6" spans="1:23" ht="18" customHeight="1">
      <c r="A6" s="64" t="s">
        <v>26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0"/>
      <c r="O6" s="1"/>
      <c r="P6" s="1"/>
      <c r="Q6" s="1"/>
      <c r="R6" s="1"/>
      <c r="S6" s="1"/>
      <c r="T6" s="1"/>
      <c r="U6" s="1"/>
      <c r="V6" s="1"/>
      <c r="W6" s="1"/>
    </row>
    <row r="7" spans="1:23" ht="18" customHeight="1">
      <c r="A7" s="2" t="s">
        <v>47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/>
      <c r="I7" s="5"/>
      <c r="J7" s="5"/>
      <c r="K7" s="5"/>
      <c r="L7" s="5"/>
      <c r="M7" s="5"/>
      <c r="N7" s="37">
        <f>SUM(B7:M7)</f>
        <v>0</v>
      </c>
      <c r="O7" s="1"/>
      <c r="P7" s="1"/>
      <c r="Q7" s="1"/>
      <c r="R7" s="1"/>
      <c r="S7" s="1"/>
      <c r="T7" s="1"/>
      <c r="U7" s="1"/>
      <c r="V7" s="1"/>
      <c r="W7" s="1"/>
    </row>
    <row r="8" spans="1:23" ht="18" customHeight="1">
      <c r="A8" s="2" t="s">
        <v>48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/>
      <c r="I8" s="5"/>
      <c r="J8" s="5"/>
      <c r="K8" s="5"/>
      <c r="L8" s="5"/>
      <c r="M8" s="5"/>
      <c r="N8" s="37">
        <f>SUM(B8:M8)</f>
        <v>0</v>
      </c>
      <c r="O8" s="1"/>
      <c r="P8" s="1"/>
      <c r="Q8" s="1"/>
      <c r="R8" s="1"/>
      <c r="S8" s="1"/>
      <c r="T8" s="1"/>
      <c r="U8" s="1"/>
      <c r="V8" s="1"/>
      <c r="W8" s="1"/>
    </row>
    <row r="9" spans="1:23" ht="18" customHeight="1">
      <c r="A9" s="2" t="s">
        <v>36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/>
      <c r="I9" s="5"/>
      <c r="J9" s="5"/>
      <c r="K9" s="5"/>
      <c r="L9" s="5"/>
      <c r="M9" s="5"/>
      <c r="N9" s="37">
        <f>SUM(B9:M9)</f>
        <v>0</v>
      </c>
      <c r="O9" s="1"/>
      <c r="P9" s="1"/>
      <c r="Q9" s="1"/>
      <c r="R9" s="1"/>
      <c r="S9" s="1"/>
      <c r="T9" s="1"/>
      <c r="U9" s="1"/>
      <c r="V9" s="1"/>
      <c r="W9" s="1"/>
    </row>
    <row r="10" spans="1:23" ht="18" customHeight="1">
      <c r="A10" s="2" t="s">
        <v>37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/>
      <c r="I10" s="5"/>
      <c r="J10" s="5"/>
      <c r="K10" s="5"/>
      <c r="L10" s="5"/>
      <c r="M10" s="5"/>
      <c r="N10" s="37">
        <f>SUM(B10:M10)</f>
        <v>0</v>
      </c>
      <c r="O10" s="1"/>
      <c r="P10" s="1"/>
      <c r="Q10" s="1"/>
      <c r="R10" s="1"/>
      <c r="S10" s="1"/>
      <c r="T10" s="1"/>
      <c r="U10" s="1"/>
      <c r="V10" s="1"/>
      <c r="W10" s="1"/>
    </row>
    <row r="11" spans="1:23" ht="18" customHeight="1">
      <c r="A11" s="2" t="s">
        <v>49</v>
      </c>
      <c r="B11" s="5">
        <v>2</v>
      </c>
      <c r="C11" s="5">
        <v>3</v>
      </c>
      <c r="D11" s="5">
        <v>3</v>
      </c>
      <c r="E11" s="5">
        <v>0</v>
      </c>
      <c r="F11" s="5">
        <v>1</v>
      </c>
      <c r="G11" s="5">
        <v>0</v>
      </c>
      <c r="H11" s="5"/>
      <c r="I11" s="5"/>
      <c r="J11" s="5"/>
      <c r="K11" s="5"/>
      <c r="L11" s="5"/>
      <c r="M11" s="5"/>
      <c r="N11" s="37">
        <f>SUM(B11:M11)</f>
        <v>9</v>
      </c>
      <c r="O11" s="1"/>
      <c r="P11" s="1"/>
      <c r="Q11" s="1"/>
      <c r="R11" s="1"/>
      <c r="S11" s="1"/>
      <c r="T11" s="1"/>
      <c r="U11" s="1"/>
      <c r="V11" s="1"/>
      <c r="W11" s="1"/>
    </row>
    <row r="12" spans="1:23" ht="18" customHeight="1">
      <c r="A12" s="4" t="s">
        <v>0</v>
      </c>
      <c r="B12" s="57">
        <f t="shared" ref="B12:N12" si="0">SUM(B7:B11)</f>
        <v>2</v>
      </c>
      <c r="C12" s="57">
        <f t="shared" si="0"/>
        <v>3</v>
      </c>
      <c r="D12" s="57">
        <f t="shared" si="0"/>
        <v>3</v>
      </c>
      <c r="E12" s="57">
        <f t="shared" si="0"/>
        <v>0</v>
      </c>
      <c r="F12" s="57">
        <f t="shared" si="0"/>
        <v>1</v>
      </c>
      <c r="G12" s="57">
        <f t="shared" si="0"/>
        <v>0</v>
      </c>
      <c r="H12" s="57">
        <f t="shared" si="0"/>
        <v>0</v>
      </c>
      <c r="I12" s="57">
        <f t="shared" si="0"/>
        <v>0</v>
      </c>
      <c r="J12" s="57">
        <f t="shared" si="0"/>
        <v>0</v>
      </c>
      <c r="K12" s="57">
        <f t="shared" si="0"/>
        <v>0</v>
      </c>
      <c r="L12" s="57">
        <f t="shared" si="0"/>
        <v>0</v>
      </c>
      <c r="M12" s="57">
        <f t="shared" si="0"/>
        <v>0</v>
      </c>
      <c r="N12" s="57">
        <f t="shared" si="0"/>
        <v>9</v>
      </c>
      <c r="O12" s="3"/>
      <c r="P12" s="1"/>
      <c r="Q12" s="1"/>
      <c r="R12" s="1"/>
      <c r="S12" s="1"/>
      <c r="T12" s="1"/>
      <c r="U12" s="1"/>
      <c r="V12" s="1"/>
      <c r="W12" s="1"/>
    </row>
    <row r="13" spans="1:23" ht="18" customHeight="1">
      <c r="A13" s="2" t="s">
        <v>43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/>
      <c r="I13" s="5"/>
      <c r="J13" s="5"/>
      <c r="K13" s="5"/>
      <c r="L13" s="5"/>
      <c r="M13" s="5"/>
      <c r="N13" s="37">
        <f>SUM(B13:M13)</f>
        <v>0</v>
      </c>
      <c r="O13" s="3"/>
      <c r="P13" s="1"/>
      <c r="Q13" s="1"/>
      <c r="R13" s="1"/>
      <c r="S13" s="1"/>
      <c r="T13" s="1"/>
      <c r="U13" s="1"/>
      <c r="V13" s="1"/>
      <c r="W13" s="1"/>
    </row>
    <row r="14" spans="1:23" ht="18" customHeight="1">
      <c r="A14" s="2" t="s">
        <v>44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/>
      <c r="I14" s="5"/>
      <c r="J14" s="5"/>
      <c r="K14" s="5"/>
      <c r="L14" s="5"/>
      <c r="M14" s="5"/>
      <c r="N14" s="37">
        <f>SUM(E14:M14)</f>
        <v>0</v>
      </c>
      <c r="O14" s="1"/>
      <c r="P14" s="1"/>
      <c r="Q14" s="1"/>
      <c r="R14" s="1"/>
      <c r="S14" s="1"/>
      <c r="T14" s="1"/>
      <c r="U14" s="1"/>
      <c r="V14" s="1"/>
      <c r="W14" s="1"/>
    </row>
    <row r="15" spans="1:23" ht="18" customHeight="1">
      <c r="A15" s="2" t="s">
        <v>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/>
      <c r="I15" s="5"/>
      <c r="J15" s="5"/>
      <c r="K15" s="5"/>
      <c r="L15" s="5"/>
      <c r="M15" s="5"/>
      <c r="N15" s="37">
        <f>SUM(B15:M15)</f>
        <v>0</v>
      </c>
      <c r="O15" s="1"/>
      <c r="P15" s="50"/>
      <c r="Q15" s="1"/>
      <c r="R15" s="1"/>
      <c r="S15" s="1"/>
      <c r="T15" s="1"/>
      <c r="U15" s="1"/>
      <c r="V15" s="1"/>
      <c r="W15" s="1"/>
    </row>
    <row r="16" spans="1:23" ht="18" customHeight="1">
      <c r="A16" s="2" t="s">
        <v>24</v>
      </c>
      <c r="B16" s="82">
        <v>31</v>
      </c>
      <c r="C16" s="82">
        <v>28</v>
      </c>
      <c r="D16" s="82">
        <v>31</v>
      </c>
      <c r="E16" s="82">
        <v>30</v>
      </c>
      <c r="F16" s="82">
        <v>31</v>
      </c>
      <c r="G16" s="5">
        <v>0</v>
      </c>
      <c r="H16" s="5"/>
      <c r="I16" s="5"/>
      <c r="J16" s="5"/>
      <c r="K16" s="5"/>
      <c r="L16" s="5"/>
      <c r="M16" s="5"/>
      <c r="N16" s="37">
        <f>SUM(B16:M16)</f>
        <v>151</v>
      </c>
      <c r="O16" s="1"/>
      <c r="P16" s="50"/>
      <c r="Q16" s="1"/>
      <c r="R16" s="1"/>
      <c r="S16" s="1"/>
      <c r="T16" s="1"/>
      <c r="U16" s="1"/>
      <c r="V16" s="1"/>
      <c r="W16" s="1"/>
    </row>
    <row r="17" spans="1:24" ht="18" customHeight="1">
      <c r="A17" s="2" t="s">
        <v>45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/>
      <c r="I17" s="5"/>
      <c r="J17" s="5"/>
      <c r="K17" s="5"/>
      <c r="L17" s="5"/>
      <c r="M17" s="5"/>
      <c r="N17" s="37">
        <f>SUM(B17:M17)</f>
        <v>0</v>
      </c>
      <c r="O17" s="1"/>
      <c r="P17" s="50"/>
      <c r="Q17" s="1"/>
      <c r="R17" s="1"/>
      <c r="S17" s="1"/>
      <c r="T17" s="1"/>
      <c r="U17" s="1"/>
      <c r="V17" s="1"/>
      <c r="W17" s="1"/>
    </row>
    <row r="18" spans="1:24" ht="18" customHeight="1">
      <c r="A18" s="2" t="s">
        <v>46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/>
      <c r="I18" s="5"/>
      <c r="J18" s="5"/>
      <c r="K18" s="5"/>
      <c r="L18" s="5"/>
      <c r="M18" s="5"/>
      <c r="N18" s="37">
        <f>SUM(B18:M18)</f>
        <v>0</v>
      </c>
      <c r="O18" s="1"/>
      <c r="P18" s="50"/>
      <c r="Q18" s="1"/>
      <c r="R18" s="1"/>
      <c r="S18" s="1"/>
      <c r="T18" s="1"/>
      <c r="U18" s="1"/>
      <c r="V18" s="1"/>
      <c r="W18" s="1"/>
    </row>
    <row r="19" spans="1:24" s="50" customFormat="1" ht="18" customHeight="1">
      <c r="A19" s="66" t="s">
        <v>4</v>
      </c>
      <c r="B19" s="67">
        <f t="shared" ref="B19:N19" si="1">B13+B14+B16+B17+B18</f>
        <v>31</v>
      </c>
      <c r="C19" s="67">
        <f t="shared" si="1"/>
        <v>28</v>
      </c>
      <c r="D19" s="67">
        <f>D13+D14+D16+D17+D18</f>
        <v>31</v>
      </c>
      <c r="E19" s="67">
        <f t="shared" si="1"/>
        <v>30</v>
      </c>
      <c r="F19" s="67">
        <f t="shared" si="1"/>
        <v>31</v>
      </c>
      <c r="G19" s="67">
        <f t="shared" si="1"/>
        <v>0</v>
      </c>
      <c r="H19" s="67">
        <f t="shared" si="1"/>
        <v>0</v>
      </c>
      <c r="I19" s="67">
        <f t="shared" si="1"/>
        <v>0</v>
      </c>
      <c r="J19" s="67">
        <f t="shared" si="1"/>
        <v>0</v>
      </c>
      <c r="K19" s="67">
        <f t="shared" si="1"/>
        <v>0</v>
      </c>
      <c r="L19" s="67">
        <f t="shared" si="1"/>
        <v>0</v>
      </c>
      <c r="M19" s="67">
        <f t="shared" si="1"/>
        <v>0</v>
      </c>
      <c r="N19" s="67">
        <f t="shared" si="1"/>
        <v>151</v>
      </c>
    </row>
    <row r="20" spans="1:24" ht="18" customHeight="1">
      <c r="A20" s="40" t="s">
        <v>33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9"/>
      <c r="O20" s="1"/>
      <c r="P20" s="50"/>
      <c r="Q20" s="1"/>
      <c r="R20" s="1"/>
      <c r="S20" s="1"/>
      <c r="T20" s="1"/>
      <c r="U20" s="1"/>
      <c r="V20" s="1"/>
      <c r="W20" s="1"/>
    </row>
    <row r="21" spans="1:24" ht="18" customHeight="1">
      <c r="A21" s="42" t="s">
        <v>23</v>
      </c>
      <c r="B21" s="5">
        <v>0</v>
      </c>
      <c r="C21" s="5">
        <v>0</v>
      </c>
      <c r="D21" s="5">
        <v>0</v>
      </c>
      <c r="E21" s="5">
        <v>1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4">
        <v>0</v>
      </c>
      <c r="O21" s="1"/>
      <c r="P21" s="1"/>
      <c r="Q21" s="1"/>
      <c r="R21" s="1"/>
      <c r="S21" s="1"/>
      <c r="T21" s="1"/>
      <c r="U21" s="1"/>
      <c r="V21" s="1"/>
      <c r="W21" s="1"/>
    </row>
    <row r="22" spans="1:24" ht="18" customHeight="1">
      <c r="A22" s="42" t="s">
        <v>1</v>
      </c>
      <c r="B22" s="5">
        <v>127</v>
      </c>
      <c r="C22" s="5">
        <v>228</v>
      </c>
      <c r="D22" s="5">
        <v>110</v>
      </c>
      <c r="E22" s="5">
        <v>269</v>
      </c>
      <c r="F22" s="5">
        <v>223</v>
      </c>
      <c r="G22" s="5">
        <v>128</v>
      </c>
      <c r="H22" s="5"/>
      <c r="I22" s="5"/>
      <c r="J22" s="5"/>
      <c r="K22" s="5"/>
      <c r="L22" s="5"/>
      <c r="M22" s="5"/>
      <c r="N22" s="44"/>
      <c r="O22" s="1"/>
      <c r="P22" s="1"/>
      <c r="Q22" s="1"/>
      <c r="R22" s="52"/>
      <c r="S22" s="1"/>
      <c r="T22" s="1"/>
      <c r="U22" s="1"/>
      <c r="V22" s="1"/>
      <c r="W22" s="1"/>
      <c r="X22" s="52"/>
    </row>
    <row r="23" spans="1:24" ht="18" customHeight="1">
      <c r="A23" s="40" t="s">
        <v>2</v>
      </c>
      <c r="B23" s="77">
        <v>222</v>
      </c>
      <c r="C23" s="77">
        <v>231</v>
      </c>
      <c r="D23" s="77">
        <v>227</v>
      </c>
      <c r="E23" s="77">
        <v>236</v>
      </c>
      <c r="F23" s="77">
        <v>235</v>
      </c>
      <c r="G23" s="77">
        <v>225</v>
      </c>
      <c r="H23" s="77"/>
      <c r="I23" s="77"/>
      <c r="J23" s="77"/>
      <c r="K23" s="77"/>
      <c r="L23" s="77"/>
      <c r="M23" s="77"/>
      <c r="N23" s="76">
        <f>SUM(B23:M23)</f>
        <v>1376</v>
      </c>
      <c r="O23" s="1"/>
      <c r="P23" s="1"/>
      <c r="Q23" s="1"/>
      <c r="R23" s="1"/>
      <c r="S23" s="1"/>
      <c r="T23" s="1"/>
      <c r="U23" s="1"/>
      <c r="V23" s="1"/>
      <c r="W23" s="1"/>
    </row>
    <row r="24" spans="1:24" ht="18" customHeight="1">
      <c r="A24" s="40" t="s">
        <v>34</v>
      </c>
      <c r="B24" s="43">
        <v>3223241</v>
      </c>
      <c r="C24" s="43">
        <v>3523097</v>
      </c>
      <c r="D24" s="43">
        <v>3535352</v>
      </c>
      <c r="E24" s="43">
        <v>3351964</v>
      </c>
      <c r="F24" s="45">
        <v>3698384</v>
      </c>
      <c r="G24" s="45">
        <v>3151348</v>
      </c>
      <c r="H24" s="45"/>
      <c r="I24" s="45"/>
      <c r="J24" s="45"/>
      <c r="K24" s="45"/>
      <c r="L24" s="45"/>
      <c r="M24" s="45"/>
      <c r="N24" s="58">
        <f>SUM(B24:M24)</f>
        <v>20483386</v>
      </c>
      <c r="O24" s="1"/>
      <c r="P24" s="1"/>
      <c r="Q24" s="1"/>
      <c r="R24" s="1"/>
      <c r="S24" s="1"/>
      <c r="T24" s="1"/>
      <c r="U24" s="1"/>
      <c r="V24" s="1"/>
      <c r="W24" s="1"/>
    </row>
    <row r="25" spans="1:24" ht="18" customHeight="1">
      <c r="A25" s="40" t="s">
        <v>41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1"/>
      <c r="O25" s="1"/>
      <c r="P25" s="1"/>
      <c r="Q25" s="1"/>
      <c r="R25" s="1"/>
      <c r="S25" s="1"/>
      <c r="T25" s="1"/>
      <c r="U25" s="1"/>
      <c r="V25" s="1"/>
      <c r="W25" s="1"/>
    </row>
    <row r="26" spans="1:24" s="50" customFormat="1" ht="18" customHeight="1">
      <c r="A26" s="47" t="s">
        <v>30</v>
      </c>
      <c r="B26" s="51">
        <f t="shared" ref="B26:M26" si="2">IF(B24=0,0,SUM((B12*200000)/B24))</f>
        <v>0.1240986944507097</v>
      </c>
      <c r="C26" s="51">
        <f t="shared" si="2"/>
        <v>0.17030470634217565</v>
      </c>
      <c r="D26" s="51">
        <f t="shared" si="2"/>
        <v>0.16971435941880753</v>
      </c>
      <c r="E26" s="51">
        <f t="shared" si="2"/>
        <v>0</v>
      </c>
      <c r="F26" s="51">
        <f t="shared" si="2"/>
        <v>5.4077672843057943E-2</v>
      </c>
      <c r="G26" s="51">
        <f t="shared" si="2"/>
        <v>0</v>
      </c>
      <c r="H26" s="51">
        <f t="shared" si="2"/>
        <v>0</v>
      </c>
      <c r="I26" s="51">
        <f t="shared" si="2"/>
        <v>0</v>
      </c>
      <c r="J26" s="51">
        <f t="shared" si="2"/>
        <v>0</v>
      </c>
      <c r="K26" s="51">
        <f t="shared" si="2"/>
        <v>0</v>
      </c>
      <c r="L26" s="51">
        <f t="shared" si="2"/>
        <v>0</v>
      </c>
      <c r="M26" s="51">
        <f t="shared" si="2"/>
        <v>0</v>
      </c>
      <c r="N26" s="81">
        <f>SUM(B26:M26)</f>
        <v>0.5181954330547508</v>
      </c>
      <c r="P26" s="1"/>
    </row>
    <row r="27" spans="1:24" s="50" customFormat="1" ht="18" customHeight="1">
      <c r="A27" s="47" t="s">
        <v>31</v>
      </c>
      <c r="B27" s="51">
        <f t="shared" ref="B27:M27" si="3">IF(B24=0,0,SUM(((B19*200000)/(B24))))</f>
        <v>1.9235297639860005</v>
      </c>
      <c r="C27" s="51">
        <f t="shared" si="3"/>
        <v>1.5895105925269728</v>
      </c>
      <c r="D27" s="51">
        <f t="shared" si="3"/>
        <v>1.7537150473276777</v>
      </c>
      <c r="E27" s="51">
        <f t="shared" si="3"/>
        <v>1.7899953579453718</v>
      </c>
      <c r="F27" s="51">
        <f t="shared" si="3"/>
        <v>1.6764078581347961</v>
      </c>
      <c r="G27" s="51">
        <f t="shared" si="3"/>
        <v>0</v>
      </c>
      <c r="H27" s="51">
        <f t="shared" si="3"/>
        <v>0</v>
      </c>
      <c r="I27" s="51">
        <f t="shared" si="3"/>
        <v>0</v>
      </c>
      <c r="J27" s="51">
        <f t="shared" si="3"/>
        <v>0</v>
      </c>
      <c r="K27" s="51">
        <f t="shared" si="3"/>
        <v>0</v>
      </c>
      <c r="L27" s="51">
        <f t="shared" si="3"/>
        <v>0</v>
      </c>
      <c r="M27" s="51">
        <f t="shared" si="3"/>
        <v>0</v>
      </c>
      <c r="N27" s="81">
        <f>SUM(B27:M27)</f>
        <v>8.7331586199208182</v>
      </c>
      <c r="P27" s="1"/>
    </row>
    <row r="28" spans="1:24" s="50" customFormat="1" ht="18" customHeight="1">
      <c r="A28" s="47" t="s">
        <v>32</v>
      </c>
      <c r="B28" s="51">
        <f t="shared" ref="B28:M28" si="4">IF(B24=0,0,((B12/7.5)+(B7+B8+B9+B10)+B19/5)*(200000/(B24)))</f>
        <v>0.40125244539062804</v>
      </c>
      <c r="C28" s="51">
        <f t="shared" si="4"/>
        <v>0.3406094126843513</v>
      </c>
      <c r="D28" s="51">
        <f t="shared" si="4"/>
        <v>0.37337159072137655</v>
      </c>
      <c r="E28" s="51">
        <f t="shared" si="4"/>
        <v>0.35799907158907435</v>
      </c>
      <c r="F28" s="51">
        <f t="shared" si="4"/>
        <v>0.34249192800603367</v>
      </c>
      <c r="G28" s="51">
        <f t="shared" si="4"/>
        <v>0</v>
      </c>
      <c r="H28" s="51">
        <f t="shared" si="4"/>
        <v>0</v>
      </c>
      <c r="I28" s="51">
        <f t="shared" si="4"/>
        <v>0</v>
      </c>
      <c r="J28" s="51">
        <f t="shared" si="4"/>
        <v>0</v>
      </c>
      <c r="K28" s="51">
        <f t="shared" si="4"/>
        <v>0</v>
      </c>
      <c r="L28" s="51">
        <f t="shared" si="4"/>
        <v>0</v>
      </c>
      <c r="M28" s="51">
        <f t="shared" si="4"/>
        <v>0</v>
      </c>
      <c r="N28" s="81">
        <f>SUM(B28:M28)</f>
        <v>1.8157244483914641</v>
      </c>
      <c r="P28" s="1"/>
    </row>
    <row r="29" spans="1:24" ht="18" customHeight="1">
      <c r="A29" s="64" t="s">
        <v>27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3"/>
      <c r="O29" s="1"/>
      <c r="P29" s="1"/>
      <c r="Q29" s="1"/>
      <c r="R29" s="1"/>
      <c r="S29" s="1"/>
      <c r="T29" s="1"/>
      <c r="U29" s="1"/>
      <c r="V29" s="1"/>
      <c r="W29" s="1"/>
    </row>
    <row r="30" spans="1:24" ht="18" customHeight="1">
      <c r="A30" s="2" t="s">
        <v>47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46">
        <f>SUM(B30:M30)</f>
        <v>0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8" customHeight="1">
      <c r="A31" s="2" t="s">
        <v>48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46">
        <f>SUM(B31:M31)</f>
        <v>0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8" customHeight="1">
      <c r="A32" s="2" t="s">
        <v>36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46">
        <f>SUM(B32:M32)</f>
        <v>0</v>
      </c>
      <c r="O32" s="1"/>
      <c r="P32" s="1"/>
      <c r="Q32" s="1"/>
      <c r="R32" s="1"/>
      <c r="S32" s="1"/>
      <c r="T32" s="1"/>
      <c r="U32" s="1"/>
      <c r="V32" s="1"/>
      <c r="W32" s="1"/>
    </row>
    <row r="33" spans="1:23" ht="18" customHeight="1">
      <c r="A33" s="2" t="s">
        <v>37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46">
        <f>SUM(B33:M33)</f>
        <v>0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ht="18" customHeight="1">
      <c r="A34" s="2" t="s">
        <v>49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46">
        <f>SUM(B34:M34)</f>
        <v>0</v>
      </c>
      <c r="O34" s="1"/>
      <c r="P34" s="1"/>
      <c r="Q34" s="1"/>
      <c r="R34" s="1"/>
      <c r="S34" s="1"/>
      <c r="T34" s="1"/>
      <c r="U34" s="1"/>
      <c r="V34" s="1"/>
      <c r="W34" s="1"/>
    </row>
    <row r="35" spans="1:23" ht="18" customHeight="1">
      <c r="A35" s="39" t="s">
        <v>25</v>
      </c>
      <c r="B35" s="59">
        <f t="shared" ref="B35:M35" si="5">SUM(B30:B33)</f>
        <v>0</v>
      </c>
      <c r="C35" s="59">
        <f t="shared" si="5"/>
        <v>0</v>
      </c>
      <c r="D35" s="59">
        <f>SUM(D30:D34)</f>
        <v>0</v>
      </c>
      <c r="E35" s="59">
        <f t="shared" si="5"/>
        <v>0</v>
      </c>
      <c r="F35" s="59">
        <f t="shared" si="5"/>
        <v>0</v>
      </c>
      <c r="G35" s="59">
        <f t="shared" si="5"/>
        <v>0</v>
      </c>
      <c r="H35" s="59">
        <f t="shared" si="5"/>
        <v>0</v>
      </c>
      <c r="I35" s="59">
        <f t="shared" si="5"/>
        <v>0</v>
      </c>
      <c r="J35" s="59">
        <f t="shared" si="5"/>
        <v>0</v>
      </c>
      <c r="K35" s="59">
        <f t="shared" si="5"/>
        <v>0</v>
      </c>
      <c r="L35" s="59">
        <f t="shared" si="5"/>
        <v>0</v>
      </c>
      <c r="M35" s="59">
        <f t="shared" si="5"/>
        <v>0</v>
      </c>
      <c r="N35" s="59">
        <f>SUM(N30:N34)</f>
        <v>0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ht="18" customHeight="1">
      <c r="A36" s="2" t="s">
        <v>43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37">
        <f t="shared" ref="N36:N41" si="6">SUM(B36:M36)</f>
        <v>0</v>
      </c>
      <c r="O36" s="1"/>
      <c r="P36" s="1"/>
      <c r="Q36" s="1"/>
      <c r="R36" s="1"/>
      <c r="S36" s="1"/>
      <c r="T36" s="1"/>
      <c r="U36" s="1"/>
      <c r="V36" s="1"/>
      <c r="W36" s="1"/>
    </row>
    <row r="37" spans="1:23" ht="18" customHeight="1">
      <c r="A37" s="2" t="s">
        <v>44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37">
        <f t="shared" si="6"/>
        <v>0</v>
      </c>
      <c r="O37" s="1"/>
      <c r="P37" s="1"/>
      <c r="Q37" s="1"/>
      <c r="R37" s="1"/>
      <c r="S37" s="1"/>
      <c r="T37" s="1"/>
      <c r="U37" s="1"/>
      <c r="V37" s="1"/>
      <c r="W37" s="1"/>
    </row>
    <row r="38" spans="1:23" ht="18" customHeight="1">
      <c r="A38" s="2" t="s">
        <v>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37">
        <f t="shared" si="6"/>
        <v>0</v>
      </c>
      <c r="O38" s="1"/>
      <c r="P38" s="1"/>
      <c r="Q38" s="1"/>
      <c r="R38" s="1"/>
      <c r="S38" s="1"/>
      <c r="T38" s="1"/>
      <c r="U38" s="1"/>
      <c r="V38" s="1"/>
      <c r="W38" s="1"/>
    </row>
    <row r="39" spans="1:23" ht="18" customHeight="1">
      <c r="A39" s="2" t="s">
        <v>24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37">
        <f t="shared" si="6"/>
        <v>0</v>
      </c>
      <c r="O39" s="1"/>
      <c r="P39" s="1"/>
      <c r="Q39" s="1"/>
      <c r="R39" s="1"/>
      <c r="S39" s="1"/>
      <c r="T39" s="1"/>
      <c r="U39" s="1"/>
      <c r="V39" s="1"/>
      <c r="W39" s="1"/>
    </row>
    <row r="40" spans="1:23" ht="18" customHeight="1">
      <c r="A40" s="2" t="s">
        <v>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37">
        <f t="shared" si="6"/>
        <v>0</v>
      </c>
      <c r="O40" s="1"/>
      <c r="P40" s="49"/>
      <c r="Q40" s="1"/>
      <c r="R40" s="1"/>
      <c r="S40" s="1"/>
      <c r="T40" s="1"/>
      <c r="U40" s="1"/>
      <c r="V40" s="1"/>
      <c r="W40" s="1"/>
    </row>
    <row r="41" spans="1:23" ht="18" customHeight="1">
      <c r="A41" s="2" t="s">
        <v>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37">
        <f t="shared" si="6"/>
        <v>0</v>
      </c>
      <c r="O41" s="1"/>
      <c r="P41" s="1"/>
      <c r="Q41" s="1"/>
      <c r="R41" s="1"/>
      <c r="S41" s="1"/>
      <c r="T41" s="1"/>
      <c r="U41" s="1"/>
      <c r="V41" s="1"/>
      <c r="W41" s="1"/>
    </row>
    <row r="42" spans="1:23" ht="18" customHeight="1">
      <c r="A42" s="66" t="s">
        <v>4</v>
      </c>
      <c r="B42" s="67">
        <f t="shared" ref="B42:N42" si="7">B36+B37+B39+B40+B41</f>
        <v>0</v>
      </c>
      <c r="C42" s="67">
        <f t="shared" si="7"/>
        <v>0</v>
      </c>
      <c r="D42" s="67">
        <f t="shared" si="7"/>
        <v>0</v>
      </c>
      <c r="E42" s="67">
        <f t="shared" si="7"/>
        <v>0</v>
      </c>
      <c r="F42" s="67">
        <f t="shared" si="7"/>
        <v>0</v>
      </c>
      <c r="G42" s="67">
        <f t="shared" si="7"/>
        <v>0</v>
      </c>
      <c r="H42" s="67">
        <f t="shared" si="7"/>
        <v>0</v>
      </c>
      <c r="I42" s="67">
        <f t="shared" si="7"/>
        <v>0</v>
      </c>
      <c r="J42" s="67">
        <f t="shared" si="7"/>
        <v>0</v>
      </c>
      <c r="K42" s="67">
        <f t="shared" si="7"/>
        <v>0</v>
      </c>
      <c r="L42" s="67">
        <f t="shared" si="7"/>
        <v>0</v>
      </c>
      <c r="M42" s="67">
        <f t="shared" si="7"/>
        <v>0</v>
      </c>
      <c r="N42" s="67">
        <f t="shared" si="7"/>
        <v>0</v>
      </c>
      <c r="O42" s="1"/>
      <c r="P42" s="1"/>
      <c r="Q42" s="1"/>
      <c r="R42" s="1"/>
      <c r="S42" s="1"/>
      <c r="T42" s="1"/>
      <c r="U42" s="1"/>
      <c r="V42" s="1"/>
      <c r="W42" s="1"/>
    </row>
    <row r="43" spans="1:23" ht="9.75" customHeight="1">
      <c r="A43" s="6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1"/>
      <c r="P43" s="1"/>
      <c r="Q43" s="1"/>
      <c r="R43" s="1"/>
      <c r="S43" s="1"/>
      <c r="T43" s="1"/>
      <c r="U43" s="1"/>
      <c r="V43" s="1"/>
      <c r="W43" s="1"/>
    </row>
    <row r="44" spans="1:23" ht="24" customHeight="1">
      <c r="A44" s="64" t="s">
        <v>5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/>
      <c r="O44" s="1"/>
      <c r="P44" s="1"/>
      <c r="Q44" s="1"/>
      <c r="R44" s="1"/>
      <c r="S44" s="1"/>
      <c r="T44" s="1"/>
      <c r="U44" s="1"/>
      <c r="V44" s="1"/>
      <c r="W44" s="1"/>
    </row>
    <row r="45" spans="1:23" ht="18" customHeight="1">
      <c r="A45" s="2" t="s">
        <v>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37">
        <f>SUM(B45:M45)</f>
        <v>0</v>
      </c>
      <c r="O45" s="1"/>
      <c r="P45" s="1"/>
      <c r="Q45" s="1"/>
      <c r="R45" s="1"/>
      <c r="S45" s="1"/>
      <c r="T45" s="1"/>
      <c r="U45" s="1"/>
      <c r="V45" s="1"/>
      <c r="W45" s="1"/>
    </row>
    <row r="46" spans="1:23" ht="18" customHeight="1">
      <c r="A46" s="2" t="s">
        <v>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37">
        <f>SUM(B46:M46)</f>
        <v>0</v>
      </c>
      <c r="O46" s="1"/>
      <c r="P46" s="1"/>
      <c r="Q46" s="1"/>
      <c r="R46" s="1"/>
      <c r="S46" s="1"/>
      <c r="T46" s="1"/>
      <c r="U46" s="1"/>
      <c r="V46" s="1"/>
      <c r="W46" s="1"/>
    </row>
    <row r="47" spans="1:23" ht="18" customHeight="1">
      <c r="A47" s="2" t="s">
        <v>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37">
        <f ca="1">SUM(N47:DY47)</f>
        <v>0</v>
      </c>
      <c r="O47" s="1"/>
      <c r="P47" s="1"/>
      <c r="Q47" s="1"/>
      <c r="R47" s="1"/>
      <c r="S47" s="1"/>
      <c r="T47" s="1"/>
      <c r="U47" s="1"/>
      <c r="V47" s="1"/>
      <c r="W47" s="1"/>
    </row>
    <row r="48" spans="1:23" ht="18" customHeight="1">
      <c r="A48" s="2" t="s">
        <v>37</v>
      </c>
      <c r="B48" s="5">
        <v>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37">
        <f>SUM(B48:M48)</f>
        <v>1</v>
      </c>
      <c r="O48" s="1"/>
      <c r="P48" s="50"/>
      <c r="Q48" s="1"/>
      <c r="R48" s="1"/>
      <c r="S48" s="1"/>
      <c r="T48" s="1"/>
      <c r="U48" s="1"/>
      <c r="V48" s="1"/>
      <c r="W48" s="1"/>
    </row>
    <row r="49" spans="1:23" ht="18" customHeight="1">
      <c r="A49" s="2" t="s">
        <v>49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37">
        <f>SUM(B49:M49)</f>
        <v>0</v>
      </c>
      <c r="O49" s="1"/>
      <c r="P49" s="50"/>
      <c r="Q49" s="1"/>
      <c r="R49" s="1"/>
      <c r="S49" s="1"/>
      <c r="T49" s="1"/>
      <c r="U49" s="1"/>
      <c r="V49" s="1"/>
      <c r="W49" s="1"/>
    </row>
    <row r="50" spans="1:23" s="49" customFormat="1" ht="18" customHeight="1">
      <c r="A50" s="48" t="s">
        <v>28</v>
      </c>
      <c r="B50" s="57">
        <f t="shared" ref="B50:N50" si="8">SUM(B45:B49)</f>
        <v>1</v>
      </c>
      <c r="C50" s="57">
        <f t="shared" si="8"/>
        <v>0</v>
      </c>
      <c r="D50" s="57">
        <f t="shared" si="8"/>
        <v>0</v>
      </c>
      <c r="E50" s="57">
        <f t="shared" si="8"/>
        <v>0</v>
      </c>
      <c r="F50" s="57">
        <f t="shared" si="8"/>
        <v>0</v>
      </c>
      <c r="G50" s="57">
        <f t="shared" si="8"/>
        <v>0</v>
      </c>
      <c r="H50" s="57">
        <f t="shared" si="8"/>
        <v>0</v>
      </c>
      <c r="I50" s="57">
        <f t="shared" si="8"/>
        <v>0</v>
      </c>
      <c r="J50" s="57">
        <f t="shared" si="8"/>
        <v>0</v>
      </c>
      <c r="K50" s="57">
        <f t="shared" si="8"/>
        <v>0</v>
      </c>
      <c r="L50" s="57">
        <f t="shared" si="8"/>
        <v>0</v>
      </c>
      <c r="M50" s="57">
        <f t="shared" si="8"/>
        <v>0</v>
      </c>
      <c r="N50" s="57">
        <f t="shared" ca="1" si="8"/>
        <v>0</v>
      </c>
      <c r="P50" s="50"/>
    </row>
    <row r="51" spans="1:23" s="49" customFormat="1" ht="18" customHeight="1">
      <c r="A51" s="2" t="s">
        <v>43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37">
        <f t="shared" ref="N51:N56" si="9">SUM(E51:M51)</f>
        <v>0</v>
      </c>
      <c r="P51" s="50"/>
    </row>
    <row r="52" spans="1:23" s="49" customFormat="1" ht="18" customHeight="1">
      <c r="A52" s="2" t="s">
        <v>44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37">
        <f t="shared" si="9"/>
        <v>0</v>
      </c>
      <c r="P52" s="50"/>
    </row>
    <row r="53" spans="1:23" ht="18" customHeight="1">
      <c r="A53" s="2" t="s">
        <v>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37">
        <f t="shared" si="9"/>
        <v>0</v>
      </c>
      <c r="O53" s="1"/>
      <c r="P53" s="50"/>
      <c r="Q53" s="1"/>
      <c r="R53" s="1"/>
      <c r="S53" s="1"/>
      <c r="T53" s="1"/>
      <c r="U53" s="1"/>
      <c r="V53" s="1"/>
      <c r="W53" s="1"/>
    </row>
    <row r="54" spans="1:23" ht="18" customHeight="1">
      <c r="A54" s="2" t="s">
        <v>24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37">
        <f t="shared" si="9"/>
        <v>0</v>
      </c>
      <c r="O54" s="1"/>
      <c r="P54" s="50"/>
      <c r="Q54" s="1"/>
      <c r="R54" s="1"/>
      <c r="S54" s="1"/>
      <c r="T54" s="1"/>
      <c r="U54" s="1"/>
      <c r="V54" s="1"/>
      <c r="W54" s="1"/>
    </row>
    <row r="55" spans="1:23" ht="18" customHeight="1">
      <c r="A55" s="2" t="s">
        <v>45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37">
        <f t="shared" si="9"/>
        <v>0</v>
      </c>
      <c r="O55" s="1"/>
      <c r="P55" s="50"/>
      <c r="Q55" s="1"/>
      <c r="R55" s="1"/>
      <c r="S55" s="1"/>
      <c r="T55" s="1"/>
      <c r="U55" s="1"/>
      <c r="V55" s="1"/>
      <c r="W55" s="1"/>
    </row>
    <row r="56" spans="1:23" ht="18" customHeight="1">
      <c r="A56" s="2" t="s">
        <v>46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37">
        <f t="shared" si="9"/>
        <v>0</v>
      </c>
      <c r="O56" s="1"/>
      <c r="P56" s="1"/>
      <c r="Q56" s="1"/>
      <c r="R56" s="1"/>
      <c r="S56" s="1"/>
      <c r="T56" s="1"/>
      <c r="U56" s="1"/>
      <c r="V56" s="1"/>
      <c r="W56" s="1"/>
    </row>
    <row r="57" spans="1:23" ht="18" customHeight="1">
      <c r="A57" s="66" t="s">
        <v>4</v>
      </c>
      <c r="B57" s="67">
        <f t="shared" ref="B57:N57" si="10">B51+B52+B54+B55+B56</f>
        <v>0</v>
      </c>
      <c r="C57" s="67">
        <f t="shared" si="10"/>
        <v>0</v>
      </c>
      <c r="D57" s="67">
        <f t="shared" si="10"/>
        <v>0</v>
      </c>
      <c r="E57" s="67">
        <f t="shared" si="10"/>
        <v>0</v>
      </c>
      <c r="F57" s="67">
        <f t="shared" si="10"/>
        <v>0</v>
      </c>
      <c r="G57" s="67">
        <f t="shared" si="10"/>
        <v>0</v>
      </c>
      <c r="H57" s="67">
        <f t="shared" si="10"/>
        <v>0</v>
      </c>
      <c r="I57" s="67">
        <f t="shared" si="10"/>
        <v>0</v>
      </c>
      <c r="J57" s="67">
        <f t="shared" si="10"/>
        <v>0</v>
      </c>
      <c r="K57" s="67">
        <f t="shared" si="10"/>
        <v>0</v>
      </c>
      <c r="L57" s="67">
        <f t="shared" si="10"/>
        <v>0</v>
      </c>
      <c r="M57" s="67">
        <f t="shared" si="10"/>
        <v>0</v>
      </c>
      <c r="N57" s="67">
        <f t="shared" si="10"/>
        <v>0</v>
      </c>
      <c r="O57" s="1"/>
      <c r="P57" s="1"/>
      <c r="Q57" s="1"/>
      <c r="R57" s="1"/>
      <c r="S57" s="1"/>
      <c r="T57" s="1"/>
      <c r="U57" s="1"/>
      <c r="V57" s="1"/>
      <c r="W57" s="1"/>
    </row>
    <row r="58" spans="1:23" ht="18" customHeight="1">
      <c r="A58" s="40" t="s">
        <v>2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>
        <f>SUM(E58:M58)</f>
        <v>0</v>
      </c>
      <c r="O58" s="1"/>
      <c r="P58" s="1"/>
      <c r="Q58" s="1"/>
      <c r="R58" s="1"/>
      <c r="S58" s="1"/>
      <c r="T58" s="1"/>
      <c r="U58" s="1"/>
      <c r="V58" s="1"/>
      <c r="W58" s="1"/>
    </row>
    <row r="59" spans="1:23" ht="18" customHeight="1">
      <c r="A59" s="40" t="s">
        <v>34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3">
        <f>SUM(E59:M59)</f>
        <v>0</v>
      </c>
      <c r="O59" s="1"/>
      <c r="P59" s="1"/>
      <c r="Q59" s="1"/>
      <c r="R59" s="1"/>
      <c r="S59" s="1"/>
      <c r="T59" s="1"/>
      <c r="U59" s="1"/>
      <c r="V59" s="1"/>
      <c r="W59" s="1"/>
    </row>
    <row r="60" spans="1:23" ht="18" customHeight="1">
      <c r="A60" s="40" t="s">
        <v>29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1"/>
      <c r="O60" s="1"/>
      <c r="P60" s="1"/>
      <c r="Q60" s="1"/>
      <c r="R60" s="1"/>
      <c r="S60" s="1"/>
      <c r="T60" s="1"/>
      <c r="U60" s="1"/>
      <c r="V60" s="1"/>
      <c r="W60" s="1"/>
    </row>
    <row r="61" spans="1:23" s="50" customFormat="1" ht="18" customHeight="1">
      <c r="A61" s="47" t="s">
        <v>30</v>
      </c>
      <c r="B61" s="51">
        <f t="shared" ref="B61:M61" si="11">IF(B59=0,0,SUM((B50*200000)/B59))</f>
        <v>0</v>
      </c>
      <c r="C61" s="51">
        <f t="shared" si="11"/>
        <v>0</v>
      </c>
      <c r="D61" s="51">
        <f t="shared" si="11"/>
        <v>0</v>
      </c>
      <c r="E61" s="51">
        <f t="shared" si="11"/>
        <v>0</v>
      </c>
      <c r="F61" s="51">
        <f t="shared" si="11"/>
        <v>0</v>
      </c>
      <c r="G61" s="51">
        <f t="shared" si="11"/>
        <v>0</v>
      </c>
      <c r="H61" s="51">
        <f t="shared" si="11"/>
        <v>0</v>
      </c>
      <c r="I61" s="51">
        <f t="shared" si="11"/>
        <v>0</v>
      </c>
      <c r="J61" s="51">
        <f t="shared" si="11"/>
        <v>0</v>
      </c>
      <c r="K61" s="51">
        <f t="shared" si="11"/>
        <v>0</v>
      </c>
      <c r="L61" s="51">
        <f t="shared" si="11"/>
        <v>0</v>
      </c>
      <c r="M61" s="51">
        <f t="shared" si="11"/>
        <v>0</v>
      </c>
      <c r="N61" s="51">
        <f>IF(N59=0,0,SUM((N50*200000)/N59))</f>
        <v>0</v>
      </c>
      <c r="P61" s="1"/>
    </row>
    <row r="62" spans="1:23" s="50" customFormat="1" ht="18" customHeight="1">
      <c r="A62" s="47" t="s">
        <v>31</v>
      </c>
      <c r="B62" s="51">
        <f t="shared" ref="B62:M62" si="12">IF(B59=0,0,SUM(((B44*200000)/(B59))))</f>
        <v>0</v>
      </c>
      <c r="C62" s="51">
        <f t="shared" si="12"/>
        <v>0</v>
      </c>
      <c r="D62" s="51">
        <f t="shared" si="12"/>
        <v>0</v>
      </c>
      <c r="E62" s="51">
        <f t="shared" si="12"/>
        <v>0</v>
      </c>
      <c r="F62" s="51">
        <f t="shared" si="12"/>
        <v>0</v>
      </c>
      <c r="G62" s="51">
        <f t="shared" si="12"/>
        <v>0</v>
      </c>
      <c r="H62" s="51">
        <f t="shared" si="12"/>
        <v>0</v>
      </c>
      <c r="I62" s="51">
        <f t="shared" si="12"/>
        <v>0</v>
      </c>
      <c r="J62" s="51">
        <f t="shared" si="12"/>
        <v>0</v>
      </c>
      <c r="K62" s="51">
        <f t="shared" si="12"/>
        <v>0</v>
      </c>
      <c r="L62" s="51">
        <f t="shared" si="12"/>
        <v>0</v>
      </c>
      <c r="M62" s="51">
        <f t="shared" si="12"/>
        <v>0</v>
      </c>
      <c r="N62" s="51">
        <f>IF(N59=0,0,SUM(((N44*200000)/(N59))))</f>
        <v>0</v>
      </c>
      <c r="P62" s="1"/>
    </row>
    <row r="63" spans="1:23" s="50" customFormat="1" ht="18" customHeight="1">
      <c r="A63" s="47" t="s">
        <v>32</v>
      </c>
      <c r="B63" s="51">
        <f t="shared" ref="B63:M63" si="13">IF(B59=0,0,((B50/7.5)+(B45+B46+B47+B48)+B57/5)*(200000/(B59)))</f>
        <v>0</v>
      </c>
      <c r="C63" s="51">
        <f t="shared" si="13"/>
        <v>0</v>
      </c>
      <c r="D63" s="51">
        <f t="shared" si="13"/>
        <v>0</v>
      </c>
      <c r="E63" s="51">
        <f t="shared" si="13"/>
        <v>0</v>
      </c>
      <c r="F63" s="51">
        <f t="shared" si="13"/>
        <v>0</v>
      </c>
      <c r="G63" s="51">
        <f t="shared" si="13"/>
        <v>0</v>
      </c>
      <c r="H63" s="51">
        <f t="shared" si="13"/>
        <v>0</v>
      </c>
      <c r="I63" s="51">
        <f t="shared" si="13"/>
        <v>0</v>
      </c>
      <c r="J63" s="51">
        <f t="shared" si="13"/>
        <v>0</v>
      </c>
      <c r="K63" s="51">
        <f t="shared" si="13"/>
        <v>0</v>
      </c>
      <c r="L63" s="51">
        <f t="shared" si="13"/>
        <v>0</v>
      </c>
      <c r="M63" s="51">
        <f t="shared" si="13"/>
        <v>0</v>
      </c>
      <c r="N63" s="51">
        <f>IF(N59=0,0,((N50/7.5)+(N45+N46+N47+N48)+N57/5)*(200000/(N59)))</f>
        <v>0</v>
      </c>
      <c r="P63" s="1"/>
    </row>
    <row r="64" spans="1:23" ht="13.5" customHeight="1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16.5" customHeight="1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16.5" customHeight="1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6.5" customHeight="1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ht="16.5" customHeight="1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ht="16.5" customHeight="1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ht="16.5" customHeight="1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ht="16.5" customHeight="1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ht="16.5" customHeight="1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16.5" customHeight="1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ht="16.5" customHeight="1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ht="16.5" customHeight="1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16.5" customHeight="1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ht="16.5" customHeight="1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ht="16.5" customHeight="1">
      <c r="A79" s="62"/>
      <c r="B79" s="16"/>
      <c r="C79" s="17"/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7"/>
      <c r="Q79" s="17"/>
      <c r="R79" s="17"/>
      <c r="S79" s="17"/>
      <c r="T79" s="19"/>
      <c r="U79" s="18"/>
      <c r="V79" s="18"/>
      <c r="W79" s="16"/>
    </row>
    <row r="80" spans="1:23" ht="16.5" customHeight="1">
      <c r="A80" s="83" t="s">
        <v>18</v>
      </c>
      <c r="B80" s="84"/>
      <c r="C80" s="28" t="s">
        <v>20</v>
      </c>
      <c r="D80" s="7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3"/>
      <c r="Q80" s="23" t="s">
        <v>35</v>
      </c>
      <c r="R80" s="23"/>
      <c r="S80" s="23"/>
      <c r="T80" s="23" t="s">
        <v>21</v>
      </c>
      <c r="U80" s="7"/>
      <c r="V80" s="7"/>
      <c r="W80" s="14"/>
    </row>
    <row r="81" spans="1:23" ht="16.5" customHeight="1">
      <c r="A81" s="38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14"/>
    </row>
    <row r="82" spans="1:23" ht="16.5" customHeight="1">
      <c r="A82" s="2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14"/>
    </row>
    <row r="83" spans="1:23" ht="16.5" customHeight="1">
      <c r="A83" s="36" t="s">
        <v>38</v>
      </c>
      <c r="B83" s="25"/>
      <c r="C83" s="32">
        <v>1</v>
      </c>
      <c r="D83" s="13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33">
        <f>T83</f>
        <v>0</v>
      </c>
      <c r="R83" s="34"/>
      <c r="S83" s="34"/>
      <c r="T83" s="63">
        <f>N7+N8</f>
        <v>0</v>
      </c>
      <c r="U83" s="13"/>
      <c r="V83" s="13"/>
      <c r="W83" s="26"/>
    </row>
    <row r="84" spans="1:23" ht="16.5" customHeight="1">
      <c r="A84" s="29"/>
      <c r="B84" s="16"/>
      <c r="C84" s="30"/>
      <c r="D84" s="18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35"/>
      <c r="R84" s="31"/>
      <c r="S84" s="31"/>
      <c r="T84" s="54"/>
      <c r="U84" s="18"/>
      <c r="V84" s="18"/>
      <c r="W84" s="20"/>
    </row>
    <row r="85" spans="1:23" ht="16.5" customHeight="1">
      <c r="A85" s="27" t="s">
        <v>39</v>
      </c>
      <c r="B85" s="6"/>
      <c r="C85" s="8">
        <v>10</v>
      </c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10">
        <f>T85</f>
        <v>0</v>
      </c>
      <c r="R85" s="11"/>
      <c r="S85" s="11"/>
      <c r="T85" s="55">
        <v>0</v>
      </c>
      <c r="U85" s="7"/>
      <c r="V85" s="7"/>
      <c r="W85" s="15"/>
    </row>
    <row r="86" spans="1:23" ht="16.5" customHeight="1">
      <c r="A86" s="27"/>
      <c r="B86" s="6"/>
      <c r="C86" s="8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12"/>
      <c r="R86" s="11"/>
      <c r="S86" s="11"/>
      <c r="T86" s="55"/>
      <c r="U86" s="7"/>
      <c r="V86" s="7"/>
      <c r="W86" s="15"/>
    </row>
    <row r="87" spans="1:23" ht="16.5" customHeight="1">
      <c r="A87" s="36" t="s">
        <v>40</v>
      </c>
      <c r="B87" s="25"/>
      <c r="C87" s="32">
        <v>30</v>
      </c>
      <c r="D87" s="13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33">
        <f>T87</f>
        <v>0</v>
      </c>
      <c r="R87" s="34"/>
      <c r="S87" s="25"/>
      <c r="T87" s="53">
        <v>0</v>
      </c>
      <c r="U87" s="13"/>
      <c r="V87" s="13"/>
      <c r="W87" s="26"/>
    </row>
    <row r="88" spans="1:23" ht="16.5" customHeight="1">
      <c r="A88" s="27"/>
      <c r="B88" s="6"/>
      <c r="C88" s="8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12"/>
      <c r="R88" s="11"/>
      <c r="S88" s="11"/>
      <c r="T88" s="55"/>
      <c r="U88" s="7"/>
      <c r="V88" s="7"/>
      <c r="W88" s="15"/>
    </row>
    <row r="89" spans="1:23" ht="16.5" customHeight="1">
      <c r="A89" s="36" t="s">
        <v>19</v>
      </c>
      <c r="B89" s="25"/>
      <c r="C89" s="32">
        <v>600</v>
      </c>
      <c r="D89" s="13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33">
        <f>T89</f>
        <v>128</v>
      </c>
      <c r="R89" s="25"/>
      <c r="S89" s="25"/>
      <c r="T89" s="53">
        <v>128</v>
      </c>
      <c r="U89" s="13"/>
      <c r="V89" s="13"/>
      <c r="W89" s="26"/>
    </row>
    <row r="90" spans="1:23" ht="16.5" customHeight="1">
      <c r="A90" s="22"/>
      <c r="B90" s="16"/>
      <c r="C90" s="17"/>
      <c r="D90" s="1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7"/>
      <c r="Q90" s="17"/>
      <c r="R90" s="17"/>
      <c r="S90" s="17"/>
      <c r="T90" s="19"/>
      <c r="U90" s="18"/>
      <c r="V90" s="18"/>
      <c r="W90" s="20"/>
    </row>
    <row r="91" spans="1:23" ht="16.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6.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6.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6.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</sheetData>
  <mergeCells count="4">
    <mergeCell ref="A80:B80"/>
    <mergeCell ref="A2:T2"/>
    <mergeCell ref="U2:W2"/>
    <mergeCell ref="B4:N4"/>
  </mergeCells>
  <phoneticPr fontId="0" type="noConversion"/>
  <printOptions horizontalCentered="1" verticalCentered="1"/>
  <pageMargins left="0.39370078740157483" right="0.39370078740157483" top="0.39370078740157483" bottom="0.4" header="0.51181102362204722" footer="0.25"/>
  <pageSetup paperSize="9" scale="35" orientation="landscape" horizontalDpi="300" verticalDpi="300" r:id="rId1"/>
  <headerFooter alignWithMargins="0">
    <oddFooter>&amp;L&amp;F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Caroço de Algodão  com a PLuma</vt:lpstr>
      <vt:lpstr>Caroço de Algodão</vt:lpstr>
      <vt:lpstr>'Caroço de Algodão'!Area_de_impressao</vt:lpstr>
      <vt:lpstr>'Caroço de Algodão  com a PLuma'!Area_de_impressao</vt:lpstr>
    </vt:vector>
  </TitlesOfParts>
  <Company>CIAOM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SESMT</dc:creator>
  <cp:lastModifiedBy>Jose</cp:lastModifiedBy>
  <cp:lastPrinted>2011-03-24T20:12:04Z</cp:lastPrinted>
  <dcterms:created xsi:type="dcterms:W3CDTF">2001-06-13T17:17:46Z</dcterms:created>
  <dcterms:modified xsi:type="dcterms:W3CDTF">2016-09-07T19:50:58Z</dcterms:modified>
</cp:coreProperties>
</file>