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osé Leal\Desktop\"/>
    </mc:Choice>
  </mc:AlternateContent>
  <bookViews>
    <workbookView xWindow="2430" yWindow="60" windowWidth="11340" windowHeight="11640" tabRatio="601"/>
  </bookViews>
  <sheets>
    <sheet name="Radiografia de acidentes" sheetId="9" r:id="rId1"/>
  </sheets>
  <calcPr calcId="152511"/>
</workbook>
</file>

<file path=xl/calcChain.xml><?xml version="1.0" encoding="utf-8"?>
<calcChain xmlns="http://schemas.openxmlformats.org/spreadsheetml/2006/main">
  <c r="C9" i="9" l="1"/>
  <c r="C10" i="9"/>
  <c r="C11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2" i="9"/>
  <c r="C43" i="9"/>
  <c r="C44" i="9"/>
  <c r="C45" i="9"/>
  <c r="C46" i="9"/>
  <c r="B47" i="9"/>
  <c r="C47" i="9" s="1"/>
  <c r="C65" i="9"/>
  <c r="C66" i="9"/>
  <c r="B67" i="9"/>
  <c r="C67" i="9" s="1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B93" i="9"/>
  <c r="C93" i="9" s="1"/>
  <c r="C97" i="9"/>
  <c r="C98" i="9"/>
  <c r="C99" i="9"/>
  <c r="C100" i="9"/>
  <c r="C101" i="9"/>
  <c r="C102" i="9"/>
  <c r="C103" i="9"/>
  <c r="B104" i="9"/>
  <c r="C104" i="9"/>
  <c r="I101" i="9" l="1"/>
  <c r="J73" i="9"/>
  <c r="K73" i="9" s="1"/>
  <c r="H104" i="9"/>
  <c r="I104" i="9" s="1"/>
  <c r="D67" i="9"/>
  <c r="H73" i="9"/>
  <c r="J9" i="9"/>
  <c r="J32" i="9"/>
  <c r="H32" i="9"/>
  <c r="I32" i="9" s="1"/>
  <c r="H9" i="9"/>
  <c r="H47" i="9" s="1"/>
  <c r="I47" i="9" s="1"/>
  <c r="N24" i="9"/>
  <c r="K43" i="9"/>
  <c r="I43" i="9"/>
  <c r="P109" i="9"/>
  <c r="Q109" i="9" s="1"/>
  <c r="Q99" i="9"/>
  <c r="N109" i="9"/>
  <c r="O109" i="9" s="1"/>
  <c r="Q108" i="9"/>
  <c r="O108" i="9"/>
  <c r="Q107" i="9"/>
  <c r="O107" i="9"/>
  <c r="Q106" i="9"/>
  <c r="O106" i="9"/>
  <c r="Q105" i="9"/>
  <c r="O105" i="9"/>
  <c r="Q104" i="9"/>
  <c r="O104" i="9"/>
  <c r="J104" i="9"/>
  <c r="K102" i="9" s="1"/>
  <c r="K101" i="9"/>
  <c r="D104" i="9"/>
  <c r="E104" i="9" s="1"/>
  <c r="Q103" i="9"/>
  <c r="O103" i="9"/>
  <c r="K103" i="9"/>
  <c r="I103" i="9"/>
  <c r="Q102" i="9"/>
  <c r="O102" i="9"/>
  <c r="I102" i="9"/>
  <c r="E102" i="9"/>
  <c r="Q101" i="9"/>
  <c r="O101" i="9"/>
  <c r="E101" i="9"/>
  <c r="Q100" i="9"/>
  <c r="O100" i="9"/>
  <c r="E100" i="9"/>
  <c r="O99" i="9"/>
  <c r="E99" i="9"/>
  <c r="Q98" i="9"/>
  <c r="O98" i="9"/>
  <c r="E98" i="9"/>
  <c r="Q97" i="9"/>
  <c r="O97" i="9"/>
  <c r="E97" i="9"/>
  <c r="Q96" i="9"/>
  <c r="O96" i="9"/>
  <c r="J95" i="9"/>
  <c r="K95" i="9" s="1"/>
  <c r="H95" i="9"/>
  <c r="I95" i="9" s="1"/>
  <c r="I94" i="9"/>
  <c r="I93" i="9"/>
  <c r="D93" i="9"/>
  <c r="E93" i="9" s="1"/>
  <c r="P92" i="9"/>
  <c r="Q92" i="9" s="1"/>
  <c r="Q65" i="9"/>
  <c r="N92" i="9"/>
  <c r="O92" i="9" s="1"/>
  <c r="I92" i="9"/>
  <c r="Q91" i="9"/>
  <c r="O91" i="9"/>
  <c r="K91" i="9"/>
  <c r="I91" i="9"/>
  <c r="E91" i="9"/>
  <c r="Q90" i="9"/>
  <c r="O90" i="9"/>
  <c r="K90" i="9"/>
  <c r="I90" i="9"/>
  <c r="E90" i="9"/>
  <c r="Q89" i="9"/>
  <c r="O89" i="9"/>
  <c r="E89" i="9"/>
  <c r="Q88" i="9"/>
  <c r="O88" i="9"/>
  <c r="E88" i="9"/>
  <c r="Q87" i="9"/>
  <c r="O87" i="9"/>
  <c r="E87" i="9"/>
  <c r="Q86" i="9"/>
  <c r="O86" i="9"/>
  <c r="E86" i="9"/>
  <c r="Q85" i="9"/>
  <c r="O85" i="9"/>
  <c r="J85" i="9"/>
  <c r="K85" i="9" s="1"/>
  <c r="H85" i="9"/>
  <c r="I85" i="9" s="1"/>
  <c r="E85" i="9"/>
  <c r="Q84" i="9"/>
  <c r="O84" i="9"/>
  <c r="K84" i="9"/>
  <c r="I84" i="9"/>
  <c r="E84" i="9"/>
  <c r="Q83" i="9"/>
  <c r="O83" i="9"/>
  <c r="I83" i="9"/>
  <c r="E83" i="9"/>
  <c r="Q82" i="9"/>
  <c r="O82" i="9"/>
  <c r="K82" i="9"/>
  <c r="I82" i="9"/>
  <c r="Q81" i="9"/>
  <c r="O81" i="9"/>
  <c r="K81" i="9"/>
  <c r="I81" i="9"/>
  <c r="Q80" i="9"/>
  <c r="O80" i="9"/>
  <c r="K80" i="9"/>
  <c r="I80" i="9"/>
  <c r="E80" i="9"/>
  <c r="Q79" i="9"/>
  <c r="O79" i="9"/>
  <c r="K79" i="9"/>
  <c r="I79" i="9"/>
  <c r="E79" i="9"/>
  <c r="O78" i="9"/>
  <c r="K78" i="9"/>
  <c r="I78" i="9"/>
  <c r="E78" i="9"/>
  <c r="Q77" i="9"/>
  <c r="O77" i="9"/>
  <c r="K77" i="9"/>
  <c r="I77" i="9"/>
  <c r="E77" i="9"/>
  <c r="Q76" i="9"/>
  <c r="O76" i="9"/>
  <c r="E76" i="9"/>
  <c r="Q75" i="9"/>
  <c r="O75" i="9"/>
  <c r="E75" i="9"/>
  <c r="Q74" i="9"/>
  <c r="O74" i="9"/>
  <c r="E74" i="9"/>
  <c r="Q73" i="9"/>
  <c r="O73" i="9"/>
  <c r="I73" i="9"/>
  <c r="E73" i="9"/>
  <c r="Q72" i="9"/>
  <c r="O72" i="9"/>
  <c r="K72" i="9"/>
  <c r="I72" i="9"/>
  <c r="E72" i="9"/>
  <c r="Q71" i="9"/>
  <c r="O71" i="9"/>
  <c r="K71" i="9"/>
  <c r="I71" i="9"/>
  <c r="E71" i="9"/>
  <c r="Q70" i="9"/>
  <c r="O70" i="9"/>
  <c r="K70" i="9"/>
  <c r="I70" i="9"/>
  <c r="Q69" i="9"/>
  <c r="O69" i="9"/>
  <c r="K69" i="9"/>
  <c r="I69" i="9"/>
  <c r="Q68" i="9"/>
  <c r="O68" i="9"/>
  <c r="I68" i="9"/>
  <c r="Q67" i="9"/>
  <c r="O67" i="9"/>
  <c r="I67" i="9"/>
  <c r="E67" i="9"/>
  <c r="Q66" i="9"/>
  <c r="O66" i="9"/>
  <c r="K66" i="9"/>
  <c r="I66" i="9"/>
  <c r="E66" i="9"/>
  <c r="O65" i="9"/>
  <c r="K65" i="9"/>
  <c r="I65" i="9"/>
  <c r="E65" i="9"/>
  <c r="P9" i="9"/>
  <c r="Q9" i="9" s="1"/>
  <c r="P24" i="9"/>
  <c r="N9" i="9"/>
  <c r="N47" i="9" s="1"/>
  <c r="O47" i="9" s="1"/>
  <c r="D47" i="9"/>
  <c r="E47" i="9" s="1"/>
  <c r="E46" i="9"/>
  <c r="I45" i="9"/>
  <c r="E45" i="9"/>
  <c r="I44" i="9"/>
  <c r="E44" i="9"/>
  <c r="E42" i="9"/>
  <c r="K41" i="9"/>
  <c r="I41" i="9"/>
  <c r="E40" i="9"/>
  <c r="K39" i="9"/>
  <c r="I39" i="9"/>
  <c r="E39" i="9"/>
  <c r="E38" i="9"/>
  <c r="I37" i="9"/>
  <c r="E37" i="9"/>
  <c r="Q36" i="9"/>
  <c r="O36" i="9"/>
  <c r="I36" i="9"/>
  <c r="E36" i="9"/>
  <c r="Q35" i="9"/>
  <c r="O35" i="9"/>
  <c r="K35" i="9"/>
  <c r="I35" i="9"/>
  <c r="E35" i="9"/>
  <c r="K34" i="9"/>
  <c r="I34" i="9"/>
  <c r="E34" i="9"/>
  <c r="Q33" i="9"/>
  <c r="O33" i="9"/>
  <c r="E33" i="9"/>
  <c r="E32" i="9"/>
  <c r="O31" i="9"/>
  <c r="K31" i="9"/>
  <c r="I31" i="9"/>
  <c r="E31" i="9"/>
  <c r="Q30" i="9"/>
  <c r="O30" i="9"/>
  <c r="E30" i="9"/>
  <c r="Q29" i="9"/>
  <c r="O29" i="9"/>
  <c r="I29" i="9"/>
  <c r="E29" i="9"/>
  <c r="Q28" i="9"/>
  <c r="O28" i="9"/>
  <c r="E28" i="9"/>
  <c r="I27" i="9"/>
  <c r="E27" i="9"/>
  <c r="Q26" i="9"/>
  <c r="O26" i="9"/>
  <c r="E26" i="9"/>
  <c r="O24" i="9"/>
  <c r="K25" i="9"/>
  <c r="I25" i="9"/>
  <c r="E25" i="9"/>
  <c r="E24" i="9"/>
  <c r="Q23" i="9"/>
  <c r="O23" i="9"/>
  <c r="K23" i="9"/>
  <c r="I23" i="9"/>
  <c r="E23" i="9"/>
  <c r="O22" i="9"/>
  <c r="E22" i="9"/>
  <c r="Q21" i="9"/>
  <c r="O21" i="9"/>
  <c r="K21" i="9"/>
  <c r="I21" i="9"/>
  <c r="E21" i="9"/>
  <c r="Q20" i="9"/>
  <c r="O20" i="9"/>
  <c r="E20" i="9"/>
  <c r="Q19" i="9"/>
  <c r="O19" i="9"/>
  <c r="I19" i="9"/>
  <c r="E19" i="9"/>
  <c r="O18" i="9"/>
  <c r="K18" i="9"/>
  <c r="I18" i="9"/>
  <c r="E18" i="9"/>
  <c r="E17" i="9"/>
  <c r="Q16" i="9"/>
  <c r="O16" i="9"/>
  <c r="I16" i="9"/>
  <c r="E16" i="9"/>
  <c r="E15" i="9"/>
  <c r="Q14" i="9"/>
  <c r="O14" i="9"/>
  <c r="K14" i="9"/>
  <c r="I14" i="9"/>
  <c r="E14" i="9"/>
  <c r="E13" i="9"/>
  <c r="Q12" i="9"/>
  <c r="O12" i="9"/>
  <c r="K12" i="9"/>
  <c r="I12" i="9"/>
  <c r="E11" i="9"/>
  <c r="Q10" i="9"/>
  <c r="O10" i="9"/>
  <c r="K10" i="9"/>
  <c r="I10" i="9"/>
  <c r="E10" i="9"/>
  <c r="E9" i="9"/>
  <c r="K44" i="9"/>
  <c r="E92" i="9"/>
  <c r="Q18" i="9"/>
  <c r="Q24" i="9"/>
  <c r="Q31" i="9"/>
  <c r="K37" i="9"/>
  <c r="E43" i="9"/>
  <c r="Q22" i="9"/>
  <c r="K16" i="9"/>
  <c r="K19" i="9"/>
  <c r="K27" i="9"/>
  <c r="Q78" i="9"/>
  <c r="K94" i="9"/>
  <c r="K93" i="9"/>
  <c r="K92" i="9"/>
  <c r="K67" i="9"/>
  <c r="K68" i="9"/>
  <c r="E82" i="9"/>
  <c r="K45" i="9"/>
  <c r="K9" i="9"/>
  <c r="K29" i="9"/>
  <c r="I9" i="9" l="1"/>
  <c r="P47" i="9"/>
  <c r="Q47" i="9" s="1"/>
  <c r="J47" i="9"/>
  <c r="K47" i="9" s="1"/>
  <c r="O9" i="9"/>
  <c r="K36" i="9"/>
  <c r="K32" i="9"/>
  <c r="K104" i="9"/>
  <c r="K83" i="9"/>
  <c r="E81" i="9"/>
  <c r="E103" i="9"/>
</calcChain>
</file>

<file path=xl/comments1.xml><?xml version="1.0" encoding="utf-8"?>
<comments xmlns="http://schemas.openxmlformats.org/spreadsheetml/2006/main">
  <authors>
    <author>Jose Aparecido Leal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>Jose Aparecido Leal:</t>
        </r>
        <r>
          <rPr>
            <sz val="9"/>
            <color indexed="81"/>
            <rFont val="Tahoma"/>
            <family val="2"/>
          </rPr>
          <t xml:space="preserve">
Acrescentar os agentes da lesões que não constarem aqui. Ex. Buraco de Tatu.</t>
        </r>
      </text>
    </comment>
    <comment ref="M63" authorId="0" shapeId="0">
      <text>
        <r>
          <rPr>
            <b/>
            <sz val="9"/>
            <color indexed="81"/>
            <rFont val="Tahoma"/>
            <family val="2"/>
          </rPr>
          <t>Jose Aparecido Leal:</t>
        </r>
        <r>
          <rPr>
            <sz val="9"/>
            <color indexed="81"/>
            <rFont val="Tahoma"/>
            <family val="2"/>
          </rPr>
          <t xml:space="preserve">
Acrescentar os locais que ocorreram os acidentes.
</t>
        </r>
      </text>
    </comment>
  </commentList>
</comments>
</file>

<file path=xl/sharedStrings.xml><?xml version="1.0" encoding="utf-8"?>
<sst xmlns="http://schemas.openxmlformats.org/spreadsheetml/2006/main" count="264" uniqueCount="172">
  <si>
    <t xml:space="preserve">                  RADIOGRAFIA DE ACIDENTES</t>
  </si>
  <si>
    <t>AGENTE</t>
  </si>
  <si>
    <t xml:space="preserve">       MÊS</t>
  </si>
  <si>
    <t xml:space="preserve"> ACUMULADO</t>
  </si>
  <si>
    <t>CAUSAS</t>
  </si>
  <si>
    <t xml:space="preserve">        MÊS</t>
  </si>
  <si>
    <t>CAUSAS BÁSICAS</t>
  </si>
  <si>
    <t>DA LESÃO</t>
  </si>
  <si>
    <t>Nº</t>
  </si>
  <si>
    <t>%</t>
  </si>
  <si>
    <t>IMEDIATAS</t>
  </si>
  <si>
    <t>MAQUINA</t>
  </si>
  <si>
    <t>ATO ABAIXO DO PADRÃO (TOTAL 1)</t>
  </si>
  <si>
    <t>FATORES PESSOAIS (TOTAL 1)</t>
  </si>
  <si>
    <t>VENTILADOR</t>
  </si>
  <si>
    <t>USO NÃO AUTORIZADO OU INCOR-</t>
  </si>
  <si>
    <t>CAPACIDADE FÍSICA</t>
  </si>
  <si>
    <t>EQUIP. TRANSP.(ROSCAS,REDLERS,</t>
  </si>
  <si>
    <t>RETO DE EQUIPAMENTO</t>
  </si>
  <si>
    <t>INADEQUADA</t>
  </si>
  <si>
    <t>CORREIAS, ETC)</t>
  </si>
  <si>
    <t>DESATIVAÇÃO INDEVIDA DE SISTE-</t>
  </si>
  <si>
    <t>CAPACIDADE PSICOLÓGICA</t>
  </si>
  <si>
    <t>PONTE ROLANTE / TALHA</t>
  </si>
  <si>
    <t>MA DE SEGURANÇA</t>
  </si>
  <si>
    <t>DUTO / BICA</t>
  </si>
  <si>
    <t>USO DE EQUIPAMENTO INSEGURO</t>
  </si>
  <si>
    <t>CAPACIDADE MENTAL</t>
  </si>
  <si>
    <t>VEÍCULO INDUSTRIAL</t>
  </si>
  <si>
    <t>OU DANIFICADO</t>
  </si>
  <si>
    <t>VEÍCULO DE PASSAGEIRO</t>
  </si>
  <si>
    <t>POSTURA DE TRABALHO INADEQUA</t>
  </si>
  <si>
    <t>CAPACIDADE SOCIOLÓGICA</t>
  </si>
  <si>
    <t>EQUIPAMENTO SOB PRESSÃO</t>
  </si>
  <si>
    <t>DO</t>
  </si>
  <si>
    <t>TROCADOR DE CALOR</t>
  </si>
  <si>
    <t>EXPOSIÇÃO A RISCOS</t>
  </si>
  <si>
    <t>FALTA DE CONHECIMENTO</t>
  </si>
  <si>
    <t>FORNO / SECADOR</t>
  </si>
  <si>
    <t>CARREGAMENTO OU EMPILHAMEN-</t>
  </si>
  <si>
    <t>FALTA DE HABILIDADE</t>
  </si>
  <si>
    <t>GERADOR DE VAPOR</t>
  </si>
  <si>
    <t>TO INSEGURO DE MATERIAIS</t>
  </si>
  <si>
    <t>TENSÃO FÍSICA</t>
  </si>
  <si>
    <t>INSTALAÇÃO ELÉTRICA</t>
  </si>
  <si>
    <t xml:space="preserve">NÃO USO DO EQUIPAMENTO DE </t>
  </si>
  <si>
    <t>TENSÃO MENTAL</t>
  </si>
  <si>
    <t>MOTOR ELÉTRICO</t>
  </si>
  <si>
    <t>PROTEÇÃO</t>
  </si>
  <si>
    <t>MOTIVAÇÃO INADEQUADA</t>
  </si>
  <si>
    <t>FERRAMENTA ELÉTRICA</t>
  </si>
  <si>
    <t>BRINCADEIRAS, DISTRAINDO COLE-</t>
  </si>
  <si>
    <t>FALTA DE TREINAMENTO</t>
  </si>
  <si>
    <t>FERRAMENTA MANUAL</t>
  </si>
  <si>
    <t>GAS DE TRABALHO</t>
  </si>
  <si>
    <t>FATORES DO TRABALHO</t>
  </si>
  <si>
    <t>ESCADA PORTATIL / ANDAIME</t>
  </si>
  <si>
    <t>NÃO OBSERVÂNCIA DOS PROCED.</t>
  </si>
  <si>
    <t>(TOTAL 2)</t>
  </si>
  <si>
    <t>EQUIPAMENTO OXICORTE</t>
  </si>
  <si>
    <t>OPERACIONAIS DE TRABALHO</t>
  </si>
  <si>
    <t>LIDERANÇA OU SUPERVISÃO</t>
  </si>
  <si>
    <t>EQUIPAMENTO PNEUMÁTICO</t>
  </si>
  <si>
    <t xml:space="preserve">NÃO CUMPRIMENTO DE NORMAS </t>
  </si>
  <si>
    <t>PEÇA / MATERIAL</t>
  </si>
  <si>
    <t>DE SEGUR. OU PROCEDIMENTOS</t>
  </si>
  <si>
    <t>ENGENHARIA INADEQUADA</t>
  </si>
  <si>
    <t>ATOS INSEGUROS NÃO CLASSIFI-</t>
  </si>
  <si>
    <t>COMPRAS INADEQUADAS</t>
  </si>
  <si>
    <t>CADOS ACIMA</t>
  </si>
  <si>
    <t>MANUTENÇÃO INADEQUADA</t>
  </si>
  <si>
    <t>NÃO USO DE EPI´s ADEQUADOS</t>
  </si>
  <si>
    <t>FERRAMENTAS / EQUIPAMENTOS /</t>
  </si>
  <si>
    <t xml:space="preserve">CONDIÇÕES ABAIXO DO PADRÃO </t>
  </si>
  <si>
    <t>MATERIAIS INADEQUADOS</t>
  </si>
  <si>
    <t>TOTAL (2)</t>
  </si>
  <si>
    <t>MÉTODO DE TRABALHO</t>
  </si>
  <si>
    <t>NÃO FORNECIMENTO DE EPI´s</t>
  </si>
  <si>
    <t>INADEQUADO</t>
  </si>
  <si>
    <t>EPI´s INADEQUADOS/DEFEITUOSOS</t>
  </si>
  <si>
    <t>USO INCORRETO OU ABUSO</t>
  </si>
  <si>
    <t>PROTEÇ. INADEQU.DO MAQUINÁRIO</t>
  </si>
  <si>
    <t>USO E DESGASTE</t>
  </si>
  <si>
    <t>PROJETO DE CONSTRUÇÃO OU MA-</t>
  </si>
  <si>
    <t>NUTENÇÃO DEFEITUOSOS</t>
  </si>
  <si>
    <t>DEFEITOS NO EQUIPAMENTO, FER-</t>
  </si>
  <si>
    <t>RAMENTA OU MÁQUINAS</t>
  </si>
  <si>
    <t>VESTIMENTA INCORRETA PARA O</t>
  </si>
  <si>
    <t>TRABALHO</t>
  </si>
  <si>
    <t>FALTA DE LIMPEZA / ORGANIZAÇÃO</t>
  </si>
  <si>
    <t>SISTEMA DE TRABALHO INSEGURO</t>
  </si>
  <si>
    <t>CONDIÇÕES INSEGURAS QUAIS-</t>
  </si>
  <si>
    <t>QUER NÃO CLASSIFICADAS</t>
  </si>
  <si>
    <t>TOTAL</t>
  </si>
  <si>
    <t>TOTAL (1 + 2)</t>
  </si>
  <si>
    <t>COMENTÁRIOS:</t>
  </si>
  <si>
    <t>TIPO</t>
  </si>
  <si>
    <t>TEMPO DE EMPRESA</t>
  </si>
  <si>
    <t>LOCAL</t>
  </si>
  <si>
    <t>0 - 3 MESES</t>
  </si>
  <si>
    <t>LEVE</t>
  </si>
  <si>
    <t>3 - 6 MESES</t>
  </si>
  <si>
    <t>6 MESES - 1 ANO</t>
  </si>
  <si>
    <t>1 - 2 ANOS</t>
  </si>
  <si>
    <t>HORÁRIO</t>
  </si>
  <si>
    <t>2 - 5 ANOS</t>
  </si>
  <si>
    <t>5 - 10 ANOS</t>
  </si>
  <si>
    <t>1 - 2</t>
  </si>
  <si>
    <t>10 - 15 ANOS</t>
  </si>
  <si>
    <t>2 - 3</t>
  </si>
  <si>
    <t>20 - 30 ANOS</t>
  </si>
  <si>
    <t>3 - 4</t>
  </si>
  <si>
    <t>4 - 5</t>
  </si>
  <si>
    <t>5 - 6</t>
  </si>
  <si>
    <t>TEMPO NA FUNÇÃO</t>
  </si>
  <si>
    <t>6 - 7</t>
  </si>
  <si>
    <t>7 - 8</t>
  </si>
  <si>
    <t>9 - 10</t>
  </si>
  <si>
    <t>10 - 11</t>
  </si>
  <si>
    <t>11 - 12</t>
  </si>
  <si>
    <t>12 - 13</t>
  </si>
  <si>
    <t>13 - 14</t>
  </si>
  <si>
    <t>16 - 17</t>
  </si>
  <si>
    <t>17 - 18</t>
  </si>
  <si>
    <t>18 - 19</t>
  </si>
  <si>
    <t>19 - 20</t>
  </si>
  <si>
    <t/>
  </si>
  <si>
    <t>FAIXA ETÁRIA</t>
  </si>
  <si>
    <t>22 - 23</t>
  </si>
  <si>
    <t>16 - 20 ANOS</t>
  </si>
  <si>
    <t>21 - 30 ANOS</t>
  </si>
  <si>
    <t>31 - 40 ANOS</t>
  </si>
  <si>
    <t>41 - 50 ANOS</t>
  </si>
  <si>
    <t>51 - 60 ANOS</t>
  </si>
  <si>
    <t>PARTE DO CORPO</t>
  </si>
  <si>
    <t>DIA DA SEMANA</t>
  </si>
  <si>
    <t>CRÂNIO</t>
  </si>
  <si>
    <t>SEGUNDA</t>
  </si>
  <si>
    <t>FACE</t>
  </si>
  <si>
    <t>TERÇA</t>
  </si>
  <si>
    <t>OLHOS</t>
  </si>
  <si>
    <t>QUARTA</t>
  </si>
  <si>
    <t>ATIVIDADE</t>
  </si>
  <si>
    <t>BRAÇOS</t>
  </si>
  <si>
    <t>QUINTA</t>
  </si>
  <si>
    <t>MÃOS</t>
  </si>
  <si>
    <t>SEXTA</t>
  </si>
  <si>
    <t>HABITUAL</t>
  </si>
  <si>
    <t>DEDOS</t>
  </si>
  <si>
    <t>SÁBADO</t>
  </si>
  <si>
    <t>EVENTUAL</t>
  </si>
  <si>
    <t>PERNAS</t>
  </si>
  <si>
    <t>DOMINGO</t>
  </si>
  <si>
    <t>NOVA</t>
  </si>
  <si>
    <t>PÉS</t>
  </si>
  <si>
    <t>ARTELHOS</t>
  </si>
  <si>
    <t>DORSAL</t>
  </si>
  <si>
    <t>TORAX</t>
  </si>
  <si>
    <t>ABDOMEN</t>
  </si>
  <si>
    <t>FERIMENTOS INTERNOS</t>
  </si>
  <si>
    <t>Referência:</t>
  </si>
  <si>
    <t>Divisão</t>
  </si>
  <si>
    <t>8 - 9</t>
  </si>
  <si>
    <t>14 - 15</t>
  </si>
  <si>
    <t>15 - 16</t>
  </si>
  <si>
    <t>20 - 22</t>
  </si>
  <si>
    <t>23 - 1</t>
  </si>
  <si>
    <t>GRAVÍSSIMO/GRAVE</t>
  </si>
  <si>
    <t>Plataforma:</t>
  </si>
  <si>
    <t>Ex. colheita de laranja</t>
  </si>
  <si>
    <t>Ex. Buraco de tatu</t>
  </si>
  <si>
    <t>Janeiro e Fevereiro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</si>
</sst>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b/>
      <sz val="16"/>
      <name val="Arial"/>
      <family val="2"/>
    </font>
    <font>
      <sz val="12"/>
      <name val="Arial"/>
      <family val="2"/>
    </font>
    <font>
      <sz val="10"/>
      <color indexed="18"/>
      <name val="Arial"/>
      <family val="2"/>
    </font>
    <font>
      <b/>
      <sz val="16"/>
      <color indexed="18"/>
      <name val="Arial"/>
      <family val="2"/>
    </font>
    <font>
      <b/>
      <sz val="11"/>
      <color indexed="18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1" fillId="2" borderId="0" xfId="0" applyFont="1" applyFill="1"/>
    <xf numFmtId="0" fontId="2" fillId="2" borderId="0" xfId="0" applyFont="1" applyFill="1"/>
    <xf numFmtId="17" fontId="0" fillId="2" borderId="0" xfId="0" applyNumberForma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6" xfId="0" applyFill="1" applyBorder="1"/>
    <xf numFmtId="2" fontId="0" fillId="2" borderId="2" xfId="0" applyNumberFormat="1" applyFill="1" applyBorder="1"/>
    <xf numFmtId="0" fontId="0" fillId="2" borderId="7" xfId="0" applyFill="1" applyBorder="1"/>
    <xf numFmtId="0" fontId="0" fillId="2" borderId="8" xfId="0" applyFill="1" applyBorder="1"/>
    <xf numFmtId="2" fontId="0" fillId="2" borderId="8" xfId="0" applyNumberFormat="1" applyFill="1" applyBorder="1"/>
    <xf numFmtId="49" fontId="0" fillId="2" borderId="0" xfId="0" applyNumberFormat="1" applyFill="1"/>
    <xf numFmtId="0" fontId="4" fillId="2" borderId="0" xfId="0" applyFont="1" applyFill="1"/>
    <xf numFmtId="0" fontId="3" fillId="2" borderId="0" xfId="0" applyFont="1" applyFill="1"/>
    <xf numFmtId="0" fontId="3" fillId="2" borderId="0" xfId="0" quotePrefix="1" applyFont="1" applyFill="1"/>
    <xf numFmtId="0" fontId="0" fillId="2" borderId="9" xfId="0" applyFill="1" applyBorder="1" applyAlignment="1">
      <alignment horizontal="right"/>
    </xf>
    <xf numFmtId="2" fontId="0" fillId="2" borderId="10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0" xfId="0" applyFill="1" applyBorder="1"/>
    <xf numFmtId="0" fontId="0" fillId="2" borderId="9" xfId="0" applyFill="1" applyBorder="1"/>
    <xf numFmtId="0" fontId="0" fillId="2" borderId="9" xfId="0" applyFill="1" applyBorder="1" applyAlignment="1">
      <alignment horizontal="left"/>
    </xf>
    <xf numFmtId="49" fontId="0" fillId="2" borderId="9" xfId="0" applyNumberFormat="1" applyFill="1" applyBorder="1"/>
    <xf numFmtId="49" fontId="0" fillId="2" borderId="11" xfId="0" applyNumberFormat="1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0" fillId="2" borderId="13" xfId="0" applyFill="1" applyBorder="1" applyAlignment="1">
      <alignment horizontal="right"/>
    </xf>
    <xf numFmtId="0" fontId="0" fillId="2" borderId="10" xfId="0" applyFill="1" applyBorder="1"/>
    <xf numFmtId="0" fontId="0" fillId="2" borderId="14" xfId="0" applyFill="1" applyBorder="1"/>
    <xf numFmtId="0" fontId="0" fillId="3" borderId="9" xfId="0" applyFill="1" applyBorder="1" applyAlignment="1">
      <alignment horizontal="right"/>
    </xf>
    <xf numFmtId="0" fontId="0" fillId="3" borderId="5" xfId="0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/>
    <xf numFmtId="0" fontId="3" fillId="4" borderId="17" xfId="0" applyFont="1" applyFill="1" applyBorder="1"/>
    <xf numFmtId="0" fontId="3" fillId="4" borderId="18" xfId="0" applyFont="1" applyFill="1" applyBorder="1"/>
    <xf numFmtId="0" fontId="3" fillId="4" borderId="11" xfId="0" applyFont="1" applyFill="1" applyBorder="1"/>
    <xf numFmtId="0" fontId="3" fillId="4" borderId="5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0" fillId="3" borderId="12" xfId="0" applyFill="1" applyBorder="1" applyAlignment="1">
      <alignment horizontal="right"/>
    </xf>
    <xf numFmtId="0" fontId="0" fillId="3" borderId="11" xfId="0" applyFill="1" applyBorder="1" applyAlignment="1">
      <alignment horizontal="right"/>
    </xf>
    <xf numFmtId="0" fontId="0" fillId="4" borderId="20" xfId="0" applyFill="1" applyBorder="1"/>
    <xf numFmtId="0" fontId="0" fillId="4" borderId="21" xfId="0" applyFill="1" applyBorder="1" applyAlignment="1">
      <alignment horizontal="center"/>
    </xf>
    <xf numFmtId="2" fontId="0" fillId="4" borderId="22" xfId="0" applyNumberFormat="1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2" fontId="0" fillId="4" borderId="23" xfId="0" applyNumberFormat="1" applyFill="1" applyBorder="1" applyAlignment="1">
      <alignment horizontal="center"/>
    </xf>
    <xf numFmtId="0" fontId="0" fillId="4" borderId="24" xfId="0" applyFill="1" applyBorder="1" applyAlignment="1">
      <alignment horizontal="left"/>
    </xf>
    <xf numFmtId="2" fontId="3" fillId="4" borderId="17" xfId="0" applyNumberFormat="1" applyFont="1" applyFill="1" applyBorder="1"/>
    <xf numFmtId="0" fontId="3" fillId="4" borderId="25" xfId="0" applyFont="1" applyFill="1" applyBorder="1"/>
    <xf numFmtId="0" fontId="3" fillId="4" borderId="1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2" fontId="3" fillId="4" borderId="5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right"/>
    </xf>
    <xf numFmtId="0" fontId="0" fillId="4" borderId="24" xfId="0" applyFill="1" applyBorder="1"/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3" fillId="4" borderId="15" xfId="0" applyFont="1" applyFill="1" applyBorder="1"/>
    <xf numFmtId="49" fontId="0" fillId="4" borderId="20" xfId="0" applyNumberFormat="1" applyFill="1" applyBorder="1"/>
    <xf numFmtId="49" fontId="3" fillId="4" borderId="15" xfId="0" applyNumberFormat="1" applyFont="1" applyFill="1" applyBorder="1" applyAlignment="1">
      <alignment horizontal="center"/>
    </xf>
    <xf numFmtId="49" fontId="3" fillId="4" borderId="11" xfId="0" applyNumberFormat="1" applyFont="1" applyFill="1" applyBorder="1"/>
    <xf numFmtId="0" fontId="3" fillId="4" borderId="29" xfId="0" applyFont="1" applyFill="1" applyBorder="1" applyAlignment="1">
      <alignment horizontal="center"/>
    </xf>
    <xf numFmtId="0" fontId="0" fillId="4" borderId="18" xfId="0" applyFill="1" applyBorder="1"/>
    <xf numFmtId="0" fontId="0" fillId="4" borderId="30" xfId="0" applyFill="1" applyBorder="1"/>
    <xf numFmtId="0" fontId="0" fillId="4" borderId="5" xfId="0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2" fontId="0" fillId="2" borderId="0" xfId="0" applyNumberFormat="1" applyFill="1" applyBorder="1"/>
    <xf numFmtId="0" fontId="0" fillId="2" borderId="4" xfId="0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2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19" xfId="0" applyNumberFormat="1" applyFill="1" applyBorder="1" applyAlignment="1">
      <alignment horizontal="center" vertical="center"/>
    </xf>
    <xf numFmtId="49" fontId="7" fillId="2" borderId="9" xfId="0" applyNumberFormat="1" applyFont="1" applyFill="1" applyBorder="1"/>
    <xf numFmtId="0" fontId="10" fillId="2" borderId="9" xfId="0" applyFont="1" applyFill="1" applyBorder="1" applyAlignment="1">
      <alignment horizontal="right"/>
    </xf>
    <xf numFmtId="2" fontId="0" fillId="2" borderId="32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2" borderId="0" xfId="0" applyFont="1" applyFill="1" applyAlignment="1">
      <alignment horizontal="right"/>
    </xf>
    <xf numFmtId="17" fontId="6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  <xf numFmtId="2" fontId="0" fillId="2" borderId="33" xfId="0" applyNumberFormat="1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2" fontId="0" fillId="3" borderId="32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33" xfId="0" applyNumberFormat="1" applyFill="1" applyBorder="1" applyAlignment="1">
      <alignment horizontal="center" vertical="center"/>
    </xf>
    <xf numFmtId="2" fontId="0" fillId="3" borderId="3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3:AB119"/>
  <sheetViews>
    <sheetView tabSelected="1" view="pageBreakPreview" zoomScaleNormal="75" zoomScaleSheetLayoutView="50" workbookViewId="0">
      <selection activeCell="G4" sqref="G4:K4"/>
    </sheetView>
  </sheetViews>
  <sheetFormatPr defaultRowHeight="12.75" x14ac:dyDescent="0.2"/>
  <cols>
    <col min="1" max="1" width="34.140625" style="1" customWidth="1"/>
    <col min="2" max="2" width="5.7109375" style="1" customWidth="1"/>
    <col min="3" max="3" width="6.5703125" style="2" customWidth="1"/>
    <col min="4" max="4" width="5.7109375" style="1" customWidth="1"/>
    <col min="5" max="5" width="6.5703125" style="1" customWidth="1"/>
    <col min="6" max="6" width="0.5703125" style="1" customWidth="1"/>
    <col min="7" max="7" width="33.42578125" style="1" customWidth="1"/>
    <col min="8" max="11" width="6.42578125" style="1" customWidth="1"/>
    <col min="12" max="12" width="0.5703125" style="1" customWidth="1"/>
    <col min="13" max="13" width="34" style="1" customWidth="1"/>
    <col min="14" max="14" width="5.5703125" style="1" customWidth="1"/>
    <col min="15" max="15" width="6.42578125" style="1" customWidth="1"/>
    <col min="16" max="16" width="5.5703125" style="1" customWidth="1"/>
    <col min="17" max="17" width="8.28515625" style="1" customWidth="1"/>
    <col min="18" max="28" width="9.140625" style="1" hidden="1" customWidth="1"/>
    <col min="29" max="16384" width="9.140625" style="1"/>
  </cols>
  <sheetData>
    <row r="3" spans="1:28" ht="20.25" x14ac:dyDescent="0.3">
      <c r="D3" s="3"/>
      <c r="G3" s="20" t="s">
        <v>0</v>
      </c>
      <c r="H3" s="3"/>
    </row>
    <row r="4" spans="1:28" ht="15.75" x14ac:dyDescent="0.25">
      <c r="A4" s="4"/>
      <c r="D4" s="95" t="s">
        <v>168</v>
      </c>
      <c r="E4" s="95"/>
      <c r="F4" s="95"/>
      <c r="G4" s="97"/>
      <c r="H4" s="97"/>
      <c r="I4" s="97"/>
      <c r="J4" s="97"/>
      <c r="K4" s="97"/>
    </row>
    <row r="5" spans="1:28" ht="15" x14ac:dyDescent="0.25">
      <c r="B5" s="5"/>
      <c r="D5" s="95" t="s">
        <v>160</v>
      </c>
      <c r="E5" s="95"/>
      <c r="F5" s="95"/>
      <c r="G5" s="96" t="s">
        <v>171</v>
      </c>
      <c r="H5" s="97"/>
      <c r="I5" s="97"/>
      <c r="J5" s="97"/>
      <c r="K5" s="97"/>
      <c r="M5" s="5"/>
    </row>
    <row r="6" spans="1:28" ht="13.5" thickBot="1" x14ac:dyDescent="0.25"/>
    <row r="7" spans="1:28" x14ac:dyDescent="0.2">
      <c r="A7" s="41" t="s">
        <v>1</v>
      </c>
      <c r="B7" s="42" t="s">
        <v>2</v>
      </c>
      <c r="C7" s="56"/>
      <c r="D7" s="57" t="s">
        <v>3</v>
      </c>
      <c r="E7" s="44"/>
      <c r="G7" s="41" t="s">
        <v>4</v>
      </c>
      <c r="H7" s="42" t="s">
        <v>5</v>
      </c>
      <c r="I7" s="43"/>
      <c r="J7" s="42" t="s">
        <v>3</v>
      </c>
      <c r="K7" s="44"/>
      <c r="M7" s="41" t="s">
        <v>6</v>
      </c>
      <c r="N7" s="42" t="s">
        <v>2</v>
      </c>
      <c r="O7" s="43"/>
      <c r="P7" s="42" t="s">
        <v>3</v>
      </c>
      <c r="Q7" s="44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x14ac:dyDescent="0.2">
      <c r="A8" s="58" t="s">
        <v>7</v>
      </c>
      <c r="B8" s="59" t="s">
        <v>8</v>
      </c>
      <c r="C8" s="60" t="s">
        <v>9</v>
      </c>
      <c r="D8" s="61" t="s">
        <v>8</v>
      </c>
      <c r="E8" s="47" t="s">
        <v>9</v>
      </c>
      <c r="G8" s="58" t="s">
        <v>10</v>
      </c>
      <c r="H8" s="46" t="s">
        <v>8</v>
      </c>
      <c r="I8" s="46" t="s">
        <v>9</v>
      </c>
      <c r="J8" s="46" t="s">
        <v>8</v>
      </c>
      <c r="K8" s="47" t="s">
        <v>9</v>
      </c>
      <c r="M8" s="45"/>
      <c r="N8" s="46" t="s">
        <v>8</v>
      </c>
      <c r="O8" s="46" t="s">
        <v>9</v>
      </c>
      <c r="P8" s="46" t="s">
        <v>8</v>
      </c>
      <c r="Q8" s="47" t="s">
        <v>9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 x14ac:dyDescent="0.2">
      <c r="A9" s="23" t="s">
        <v>11</v>
      </c>
      <c r="B9" s="10"/>
      <c r="C9" s="11">
        <f>IF(B9=0,0,B9/B$47*100)</f>
        <v>0</v>
      </c>
      <c r="D9" s="12"/>
      <c r="E9" s="24">
        <f>IF(D9=0,0,D9/D$47*100)</f>
        <v>0</v>
      </c>
      <c r="G9" s="36" t="s">
        <v>12</v>
      </c>
      <c r="H9" s="37">
        <f>SUM(H10+H12+H14+H16+H18+H19+H21+H23+H25+H27+H29+H31)</f>
        <v>0</v>
      </c>
      <c r="I9" s="38">
        <f>IF(H9=0,0,H9/H$47*100)</f>
        <v>0</v>
      </c>
      <c r="J9" s="37">
        <f>SUM(J10+J12+J14+J16+J18+J19+J21+J23+J25+J27+J29+J31)</f>
        <v>0</v>
      </c>
      <c r="K9" s="40">
        <f>IF(J9=0,0,J9/J$47*100)</f>
        <v>0</v>
      </c>
      <c r="M9" s="36" t="s">
        <v>13</v>
      </c>
      <c r="N9" s="37">
        <f>SUM(N10:N23)</f>
        <v>0</v>
      </c>
      <c r="O9" s="38">
        <f>IF(N9=0,0,N9/N$47*100)</f>
        <v>0</v>
      </c>
      <c r="P9" s="39">
        <f>SUM(P10:P23)</f>
        <v>0</v>
      </c>
      <c r="Q9" s="40">
        <f>IF(P9=0,0,P9/P$47*100)</f>
        <v>0</v>
      </c>
    </row>
    <row r="10" spans="1:28" x14ac:dyDescent="0.2">
      <c r="A10" s="23" t="s">
        <v>14</v>
      </c>
      <c r="B10" s="9"/>
      <c r="C10" s="11">
        <f>IF(B10=0,0,B10/B$47*100)</f>
        <v>0</v>
      </c>
      <c r="D10" s="13"/>
      <c r="E10" s="24">
        <f>IF(D10=0,0,D10/D$47*100)</f>
        <v>0</v>
      </c>
      <c r="G10" s="32" t="s">
        <v>15</v>
      </c>
      <c r="H10" s="93"/>
      <c r="I10" s="91">
        <f>IF(H10=0,0,H10/H$47*100)</f>
        <v>0</v>
      </c>
      <c r="J10" s="93">
        <v>0</v>
      </c>
      <c r="K10" s="98">
        <f>IF(J10=0,0,J10/J$47*100)</f>
        <v>0</v>
      </c>
      <c r="M10" s="32" t="s">
        <v>16</v>
      </c>
      <c r="N10" s="93"/>
      <c r="O10" s="91">
        <f>IF(N10=0,0,N10/N$47*100)</f>
        <v>0</v>
      </c>
      <c r="P10" s="93"/>
      <c r="Q10" s="98">
        <f>IF(P10=0,0,P10/P$47*100)</f>
        <v>0</v>
      </c>
    </row>
    <row r="11" spans="1:28" x14ac:dyDescent="0.2">
      <c r="A11" s="33" t="s">
        <v>17</v>
      </c>
      <c r="B11" s="93"/>
      <c r="C11" s="91">
        <f>IF(B11=0,0,B11/B$47*100)</f>
        <v>0</v>
      </c>
      <c r="D11" s="93"/>
      <c r="E11" s="98">
        <f>IF(D11=0,0,D11/D$47*100)</f>
        <v>0</v>
      </c>
      <c r="G11" s="26" t="s">
        <v>18</v>
      </c>
      <c r="H11" s="94"/>
      <c r="I11" s="92"/>
      <c r="J11" s="94"/>
      <c r="K11" s="99"/>
      <c r="M11" s="26" t="s">
        <v>19</v>
      </c>
      <c r="N11" s="94"/>
      <c r="O11" s="92"/>
      <c r="P11" s="94"/>
      <c r="Q11" s="99"/>
    </row>
    <row r="12" spans="1:28" x14ac:dyDescent="0.2">
      <c r="A12" s="26" t="s">
        <v>20</v>
      </c>
      <c r="B12" s="94"/>
      <c r="C12" s="92"/>
      <c r="D12" s="94"/>
      <c r="E12" s="99"/>
      <c r="G12" s="32" t="s">
        <v>21</v>
      </c>
      <c r="H12" s="93"/>
      <c r="I12" s="91">
        <f>IF(H12=0,0,H12/H$47*100)</f>
        <v>0</v>
      </c>
      <c r="J12" s="93">
        <v>0</v>
      </c>
      <c r="K12" s="98">
        <f>IF(J12=0,0,J12/J$47*100)</f>
        <v>0</v>
      </c>
      <c r="M12" s="32" t="s">
        <v>22</v>
      </c>
      <c r="N12" s="93"/>
      <c r="O12" s="91">
        <f>IF(N12=0,0,N12/N$47*100)</f>
        <v>0</v>
      </c>
      <c r="P12" s="93"/>
      <c r="Q12" s="98">
        <f>IF(P12=0,0,P12/P$47*100)</f>
        <v>0</v>
      </c>
    </row>
    <row r="13" spans="1:28" x14ac:dyDescent="0.2">
      <c r="A13" s="23" t="s">
        <v>23</v>
      </c>
      <c r="B13" s="9"/>
      <c r="C13" s="11">
        <f t="shared" ref="C13:C40" si="0">IF(B13=0,0,B13/B$47*100)</f>
        <v>0</v>
      </c>
      <c r="D13" s="13"/>
      <c r="E13" s="24">
        <f t="shared" ref="E13:E40" si="1">IF(D13=0,0,D13/D$47*100)</f>
        <v>0</v>
      </c>
      <c r="G13" s="26" t="s">
        <v>24</v>
      </c>
      <c r="H13" s="94"/>
      <c r="I13" s="92"/>
      <c r="J13" s="94"/>
      <c r="K13" s="99"/>
      <c r="M13" s="26" t="s">
        <v>19</v>
      </c>
      <c r="N13" s="94"/>
      <c r="O13" s="92"/>
      <c r="P13" s="94"/>
      <c r="Q13" s="99"/>
    </row>
    <row r="14" spans="1:28" x14ac:dyDescent="0.2">
      <c r="A14" s="23" t="s">
        <v>25</v>
      </c>
      <c r="B14" s="9"/>
      <c r="C14" s="11">
        <f t="shared" si="0"/>
        <v>0</v>
      </c>
      <c r="D14" s="13"/>
      <c r="E14" s="24">
        <f t="shared" si="1"/>
        <v>0</v>
      </c>
      <c r="G14" s="32" t="s">
        <v>26</v>
      </c>
      <c r="H14" s="93"/>
      <c r="I14" s="91">
        <f>IF(H14=0,0,H14/H$47*100)</f>
        <v>0</v>
      </c>
      <c r="J14" s="93">
        <v>0</v>
      </c>
      <c r="K14" s="98">
        <f>IF(J14=0,0,J14/J$47*100)</f>
        <v>0</v>
      </c>
      <c r="M14" s="32" t="s">
        <v>27</v>
      </c>
      <c r="N14" s="93"/>
      <c r="O14" s="91">
        <f>IF(N14=0,0,N14/N$47*100)</f>
        <v>0</v>
      </c>
      <c r="P14" s="93"/>
      <c r="Q14" s="98">
        <f>IF(P14=0,0,P14/P$47*100)</f>
        <v>0</v>
      </c>
    </row>
    <row r="15" spans="1:28" x14ac:dyDescent="0.2">
      <c r="A15" s="23" t="s">
        <v>28</v>
      </c>
      <c r="B15" s="9"/>
      <c r="C15" s="11">
        <f t="shared" si="0"/>
        <v>0</v>
      </c>
      <c r="D15" s="13"/>
      <c r="E15" s="24">
        <f t="shared" si="1"/>
        <v>0</v>
      </c>
      <c r="G15" s="26" t="s">
        <v>29</v>
      </c>
      <c r="H15" s="94"/>
      <c r="I15" s="92"/>
      <c r="J15" s="94"/>
      <c r="K15" s="99"/>
      <c r="M15" s="26" t="s">
        <v>19</v>
      </c>
      <c r="N15" s="94"/>
      <c r="O15" s="92"/>
      <c r="P15" s="94"/>
      <c r="Q15" s="99"/>
    </row>
    <row r="16" spans="1:28" x14ac:dyDescent="0.2">
      <c r="A16" s="23" t="s">
        <v>30</v>
      </c>
      <c r="B16" s="9"/>
      <c r="C16" s="11">
        <f t="shared" si="0"/>
        <v>0</v>
      </c>
      <c r="D16" s="13"/>
      <c r="E16" s="24">
        <f t="shared" si="1"/>
        <v>0</v>
      </c>
      <c r="G16" s="32" t="s">
        <v>31</v>
      </c>
      <c r="H16" s="93"/>
      <c r="I16" s="91">
        <f>IF(H16=0,0,H16/H$47*100)</f>
        <v>0</v>
      </c>
      <c r="J16" s="93">
        <v>0</v>
      </c>
      <c r="K16" s="98">
        <f>IF(J16=0,0,J16/J$47*100)</f>
        <v>0</v>
      </c>
      <c r="M16" s="32" t="s">
        <v>32</v>
      </c>
      <c r="N16" s="93"/>
      <c r="O16" s="91">
        <f>IF(N16=0,0,N16/N$47*100)</f>
        <v>0</v>
      </c>
      <c r="P16" s="93"/>
      <c r="Q16" s="98">
        <f>IF(P16=0,0,P16/P$47*100)</f>
        <v>0</v>
      </c>
    </row>
    <row r="17" spans="1:17" x14ac:dyDescent="0.2">
      <c r="A17" s="23" t="s">
        <v>33</v>
      </c>
      <c r="B17" s="9"/>
      <c r="C17" s="11">
        <f t="shared" si="0"/>
        <v>0</v>
      </c>
      <c r="D17" s="13"/>
      <c r="E17" s="24">
        <f t="shared" si="1"/>
        <v>0</v>
      </c>
      <c r="G17" s="26" t="s">
        <v>34</v>
      </c>
      <c r="H17" s="94"/>
      <c r="I17" s="92"/>
      <c r="J17" s="94"/>
      <c r="K17" s="99"/>
      <c r="M17" s="26" t="s">
        <v>19</v>
      </c>
      <c r="N17" s="94"/>
      <c r="O17" s="92"/>
      <c r="P17" s="94"/>
      <c r="Q17" s="99"/>
    </row>
    <row r="18" spans="1:17" x14ac:dyDescent="0.2">
      <c r="A18" s="23" t="s">
        <v>35</v>
      </c>
      <c r="B18" s="9"/>
      <c r="C18" s="11">
        <f t="shared" si="0"/>
        <v>0</v>
      </c>
      <c r="D18" s="13"/>
      <c r="E18" s="24">
        <f t="shared" si="1"/>
        <v>0</v>
      </c>
      <c r="G18" s="23" t="s">
        <v>36</v>
      </c>
      <c r="H18" s="82"/>
      <c r="I18" s="80">
        <f>IF(H18=0,0,H18/H$47*100)</f>
        <v>0</v>
      </c>
      <c r="J18" s="83">
        <v>0</v>
      </c>
      <c r="K18" s="81">
        <f>IF(J18=0,0,J18/J$47*100)</f>
        <v>0</v>
      </c>
      <c r="M18" s="23" t="s">
        <v>37</v>
      </c>
      <c r="N18" s="79"/>
      <c r="O18" s="80">
        <f t="shared" ref="O18:O24" si="2">IF(N18=0,0,N18/N$47*100)</f>
        <v>0</v>
      </c>
      <c r="P18" s="86"/>
      <c r="Q18" s="81">
        <f t="shared" ref="Q18:Q24" si="3">IF(P18=0,0,P18/P$47*100)</f>
        <v>0</v>
      </c>
    </row>
    <row r="19" spans="1:17" x14ac:dyDescent="0.2">
      <c r="A19" s="23" t="s">
        <v>38</v>
      </c>
      <c r="B19" s="9"/>
      <c r="C19" s="11">
        <f t="shared" si="0"/>
        <v>0</v>
      </c>
      <c r="D19" s="13"/>
      <c r="E19" s="24">
        <f t="shared" si="1"/>
        <v>0</v>
      </c>
      <c r="G19" s="32" t="s">
        <v>39</v>
      </c>
      <c r="H19" s="93"/>
      <c r="I19" s="91">
        <f>IF(H19=0,0,H19/H$47*100)</f>
        <v>0</v>
      </c>
      <c r="J19" s="93">
        <v>0</v>
      </c>
      <c r="K19" s="98">
        <f>IF(J19=0,0,J19/J$47*100)</f>
        <v>0</v>
      </c>
      <c r="M19" s="23" t="s">
        <v>40</v>
      </c>
      <c r="N19" s="79"/>
      <c r="O19" s="87">
        <f t="shared" si="2"/>
        <v>0</v>
      </c>
      <c r="P19" s="86"/>
      <c r="Q19" s="88">
        <f t="shared" si="3"/>
        <v>0</v>
      </c>
    </row>
    <row r="20" spans="1:17" x14ac:dyDescent="0.2">
      <c r="A20" s="23" t="s">
        <v>41</v>
      </c>
      <c r="B20" s="9"/>
      <c r="C20" s="11">
        <f t="shared" si="0"/>
        <v>0</v>
      </c>
      <c r="D20" s="13"/>
      <c r="E20" s="24">
        <f t="shared" si="1"/>
        <v>0</v>
      </c>
      <c r="G20" s="26" t="s">
        <v>42</v>
      </c>
      <c r="H20" s="94"/>
      <c r="I20" s="92"/>
      <c r="J20" s="94"/>
      <c r="K20" s="99"/>
      <c r="M20" s="23" t="s">
        <v>43</v>
      </c>
      <c r="N20" s="79"/>
      <c r="O20" s="80">
        <f t="shared" si="2"/>
        <v>0</v>
      </c>
      <c r="P20" s="86"/>
      <c r="Q20" s="81">
        <f t="shared" si="3"/>
        <v>0</v>
      </c>
    </row>
    <row r="21" spans="1:17" x14ac:dyDescent="0.2">
      <c r="A21" s="23" t="s">
        <v>44</v>
      </c>
      <c r="B21" s="9"/>
      <c r="C21" s="11">
        <f t="shared" si="0"/>
        <v>0</v>
      </c>
      <c r="D21" s="13"/>
      <c r="E21" s="24">
        <f t="shared" si="1"/>
        <v>0</v>
      </c>
      <c r="G21" s="32" t="s">
        <v>45</v>
      </c>
      <c r="H21" s="93"/>
      <c r="I21" s="91">
        <f>IF(H21=0,0,H21/H$47*100)</f>
        <v>0</v>
      </c>
      <c r="J21" s="93">
        <v>0</v>
      </c>
      <c r="K21" s="98">
        <f>IF(J21=0,0,J21/J$47*100)</f>
        <v>0</v>
      </c>
      <c r="M21" s="23" t="s">
        <v>46</v>
      </c>
      <c r="N21" s="79"/>
      <c r="O21" s="80">
        <f t="shared" si="2"/>
        <v>0</v>
      </c>
      <c r="P21" s="86"/>
      <c r="Q21" s="81">
        <f t="shared" si="3"/>
        <v>0</v>
      </c>
    </row>
    <row r="22" spans="1:17" x14ac:dyDescent="0.2">
      <c r="A22" s="23" t="s">
        <v>47</v>
      </c>
      <c r="B22" s="9"/>
      <c r="C22" s="11">
        <f t="shared" si="0"/>
        <v>0</v>
      </c>
      <c r="D22" s="13"/>
      <c r="E22" s="24">
        <f t="shared" si="1"/>
        <v>0</v>
      </c>
      <c r="G22" s="26" t="s">
        <v>48</v>
      </c>
      <c r="H22" s="94"/>
      <c r="I22" s="92"/>
      <c r="J22" s="94"/>
      <c r="K22" s="99"/>
      <c r="M22" s="23" t="s">
        <v>49</v>
      </c>
      <c r="N22" s="79"/>
      <c r="O22" s="80">
        <f t="shared" si="2"/>
        <v>0</v>
      </c>
      <c r="P22" s="86"/>
      <c r="Q22" s="81">
        <f t="shared" si="3"/>
        <v>0</v>
      </c>
    </row>
    <row r="23" spans="1:17" x14ac:dyDescent="0.2">
      <c r="A23" s="23" t="s">
        <v>50</v>
      </c>
      <c r="B23" s="9"/>
      <c r="C23" s="11">
        <f t="shared" si="0"/>
        <v>0</v>
      </c>
      <c r="D23" s="13"/>
      <c r="E23" s="24">
        <f t="shared" si="1"/>
        <v>0</v>
      </c>
      <c r="G23" s="32" t="s">
        <v>51</v>
      </c>
      <c r="H23" s="93"/>
      <c r="I23" s="91">
        <f>IF(H23=0,0,H23/H$47*100)</f>
        <v>0</v>
      </c>
      <c r="J23" s="93">
        <v>0</v>
      </c>
      <c r="K23" s="98">
        <f>IF(J23=0,0,J23/J$47*100)</f>
        <v>0</v>
      </c>
      <c r="M23" s="23" t="s">
        <v>52</v>
      </c>
      <c r="N23" s="79"/>
      <c r="O23" s="80">
        <f t="shared" si="2"/>
        <v>0</v>
      </c>
      <c r="P23" s="86"/>
      <c r="Q23" s="81">
        <f t="shared" si="3"/>
        <v>0</v>
      </c>
    </row>
    <row r="24" spans="1:17" x14ac:dyDescent="0.2">
      <c r="A24" s="23" t="s">
        <v>53</v>
      </c>
      <c r="B24" s="9"/>
      <c r="C24" s="11">
        <f t="shared" si="0"/>
        <v>0</v>
      </c>
      <c r="D24" s="13"/>
      <c r="E24" s="24">
        <f t="shared" si="1"/>
        <v>0</v>
      </c>
      <c r="G24" s="26" t="s">
        <v>54</v>
      </c>
      <c r="H24" s="94"/>
      <c r="I24" s="92"/>
      <c r="J24" s="94"/>
      <c r="K24" s="99"/>
      <c r="M24" s="48" t="s">
        <v>55</v>
      </c>
      <c r="N24" s="100">
        <f>SUM(N26:N39)</f>
        <v>0</v>
      </c>
      <c r="O24" s="102">
        <f t="shared" si="2"/>
        <v>0</v>
      </c>
      <c r="P24" s="100">
        <f>SUM(P26:P36)</f>
        <v>0</v>
      </c>
      <c r="Q24" s="104">
        <f t="shared" si="3"/>
        <v>0</v>
      </c>
    </row>
    <row r="25" spans="1:17" x14ac:dyDescent="0.2">
      <c r="A25" s="23" t="s">
        <v>56</v>
      </c>
      <c r="B25" s="9"/>
      <c r="C25" s="11">
        <f t="shared" si="0"/>
        <v>0</v>
      </c>
      <c r="D25" s="13"/>
      <c r="E25" s="24">
        <f t="shared" si="1"/>
        <v>0</v>
      </c>
      <c r="G25" s="32" t="s">
        <v>57</v>
      </c>
      <c r="H25" s="93"/>
      <c r="I25" s="91">
        <f>IF(H25=0,0,H25/H$47*100)</f>
        <v>0</v>
      </c>
      <c r="J25" s="93">
        <v>0</v>
      </c>
      <c r="K25" s="98">
        <f>IF(J25=0,0,J25/J$47*100)</f>
        <v>0</v>
      </c>
      <c r="M25" s="49" t="s">
        <v>58</v>
      </c>
      <c r="N25" s="101"/>
      <c r="O25" s="103"/>
      <c r="P25" s="101"/>
      <c r="Q25" s="105"/>
    </row>
    <row r="26" spans="1:17" x14ac:dyDescent="0.2">
      <c r="A26" s="23" t="s">
        <v>59</v>
      </c>
      <c r="B26" s="10"/>
      <c r="C26" s="11">
        <f t="shared" si="0"/>
        <v>0</v>
      </c>
      <c r="D26" s="12"/>
      <c r="E26" s="24">
        <f t="shared" si="1"/>
        <v>0</v>
      </c>
      <c r="G26" s="26" t="s">
        <v>60</v>
      </c>
      <c r="H26" s="94"/>
      <c r="I26" s="92"/>
      <c r="J26" s="94"/>
      <c r="K26" s="99"/>
      <c r="M26" s="32" t="s">
        <v>61</v>
      </c>
      <c r="N26" s="93"/>
      <c r="O26" s="91">
        <f>IF(N26=0,0,N26/N$47*100)</f>
        <v>0</v>
      </c>
      <c r="P26" s="93"/>
      <c r="Q26" s="98">
        <f>IF(P26=0,0,P26/P$47*100)</f>
        <v>0</v>
      </c>
    </row>
    <row r="27" spans="1:17" x14ac:dyDescent="0.2">
      <c r="A27" s="23" t="s">
        <v>62</v>
      </c>
      <c r="B27" s="9"/>
      <c r="C27" s="11">
        <f t="shared" si="0"/>
        <v>0</v>
      </c>
      <c r="D27" s="13"/>
      <c r="E27" s="24">
        <f t="shared" si="1"/>
        <v>0</v>
      </c>
      <c r="G27" s="32" t="s">
        <v>63</v>
      </c>
      <c r="H27" s="93"/>
      <c r="I27" s="91">
        <f>IF(H27=0,0,H27/H$47*100)</f>
        <v>0</v>
      </c>
      <c r="J27" s="93">
        <v>0</v>
      </c>
      <c r="K27" s="98">
        <f>IF(J27=0,0,J27/J$47*100)</f>
        <v>0</v>
      </c>
      <c r="M27" s="26" t="s">
        <v>19</v>
      </c>
      <c r="N27" s="94"/>
      <c r="O27" s="92"/>
      <c r="P27" s="94"/>
      <c r="Q27" s="99"/>
    </row>
    <row r="28" spans="1:17" x14ac:dyDescent="0.2">
      <c r="A28" s="23" t="s">
        <v>64</v>
      </c>
      <c r="B28" s="9"/>
      <c r="C28" s="11">
        <f t="shared" si="0"/>
        <v>0</v>
      </c>
      <c r="D28" s="13"/>
      <c r="E28" s="24">
        <f t="shared" si="1"/>
        <v>0</v>
      </c>
      <c r="G28" s="26" t="s">
        <v>65</v>
      </c>
      <c r="H28" s="94"/>
      <c r="I28" s="92"/>
      <c r="J28" s="94"/>
      <c r="K28" s="99"/>
      <c r="M28" s="23" t="s">
        <v>66</v>
      </c>
      <c r="N28" s="79"/>
      <c r="O28" s="80">
        <f>IF(N28=0,0,N28/N$47*100)</f>
        <v>0</v>
      </c>
      <c r="P28" s="86"/>
      <c r="Q28" s="81">
        <f>IF(P28=0,0,P28/P$47*100)</f>
        <v>0</v>
      </c>
    </row>
    <row r="29" spans="1:17" x14ac:dyDescent="0.2">
      <c r="A29" s="23"/>
      <c r="B29" s="9"/>
      <c r="C29" s="11">
        <f t="shared" si="0"/>
        <v>0</v>
      </c>
      <c r="D29" s="13"/>
      <c r="E29" s="24">
        <f t="shared" si="1"/>
        <v>0</v>
      </c>
      <c r="G29" s="32" t="s">
        <v>67</v>
      </c>
      <c r="H29" s="93"/>
      <c r="I29" s="91">
        <f>IF(H29=0,0,H29/H$47*100)</f>
        <v>0</v>
      </c>
      <c r="J29" s="93">
        <v>0</v>
      </c>
      <c r="K29" s="98">
        <f>IF(J29=0,0,J29/J$47*100)</f>
        <v>0</v>
      </c>
      <c r="M29" s="23" t="s">
        <v>68</v>
      </c>
      <c r="N29" s="79"/>
      <c r="O29" s="80">
        <f>IF(N29=0,0,N29/N$47*100)</f>
        <v>0</v>
      </c>
      <c r="P29" s="86"/>
      <c r="Q29" s="81">
        <f>IF(P29=0,0,P29/P$47*100)</f>
        <v>0</v>
      </c>
    </row>
    <row r="30" spans="1:17" x14ac:dyDescent="0.2">
      <c r="A30" s="90" t="s">
        <v>170</v>
      </c>
      <c r="B30" s="9"/>
      <c r="C30" s="11">
        <f t="shared" si="0"/>
        <v>0</v>
      </c>
      <c r="D30" s="13"/>
      <c r="E30" s="24">
        <f t="shared" si="1"/>
        <v>0</v>
      </c>
      <c r="G30" s="26" t="s">
        <v>69</v>
      </c>
      <c r="H30" s="94"/>
      <c r="I30" s="92"/>
      <c r="J30" s="94"/>
      <c r="K30" s="99"/>
      <c r="M30" s="23" t="s">
        <v>70</v>
      </c>
      <c r="N30" s="79"/>
      <c r="O30" s="80">
        <f>IF(N30=0,0,N30/N$47*100)</f>
        <v>0</v>
      </c>
      <c r="P30" s="86"/>
      <c r="Q30" s="81">
        <f>IF(P30=0,0,P30/P$47*100)</f>
        <v>0</v>
      </c>
    </row>
    <row r="31" spans="1:17" x14ac:dyDescent="0.2">
      <c r="A31" s="23"/>
      <c r="B31" s="9"/>
      <c r="C31" s="11">
        <f t="shared" si="0"/>
        <v>0</v>
      </c>
      <c r="D31" s="13"/>
      <c r="E31" s="24">
        <f t="shared" si="1"/>
        <v>0</v>
      </c>
      <c r="G31" s="23" t="s">
        <v>71</v>
      </c>
      <c r="H31" s="84"/>
      <c r="I31" s="85">
        <f>IF(H31=0,0,H31/H$47*100)</f>
        <v>0</v>
      </c>
      <c r="J31" s="83">
        <v>0</v>
      </c>
      <c r="K31" s="81">
        <f>IF(J31=0,0,J31/J$47*100)</f>
        <v>0</v>
      </c>
      <c r="M31" s="32" t="s">
        <v>72</v>
      </c>
      <c r="N31" s="93"/>
      <c r="O31" s="91">
        <f>IF(N31=0,0,N31/N$47*100)</f>
        <v>0</v>
      </c>
      <c r="P31" s="93"/>
      <c r="Q31" s="98">
        <f>IF(P31=0,0,P31/P$47*100)</f>
        <v>0</v>
      </c>
    </row>
    <row r="32" spans="1:17" x14ac:dyDescent="0.2">
      <c r="A32" s="23"/>
      <c r="B32" s="9"/>
      <c r="C32" s="11">
        <f t="shared" si="0"/>
        <v>0</v>
      </c>
      <c r="D32" s="13"/>
      <c r="E32" s="24">
        <f t="shared" si="1"/>
        <v>0</v>
      </c>
      <c r="G32" s="48" t="s">
        <v>73</v>
      </c>
      <c r="H32" s="100">
        <f>SUM(H34+H35+H36+H37+H39+H41+H43+H44+H45)</f>
        <v>0</v>
      </c>
      <c r="I32" s="102">
        <f>IF(H32=0,0,H32/H$47*100)</f>
        <v>0</v>
      </c>
      <c r="J32" s="100">
        <f>SUM(J34+J35+J36+J37+J39+J41+J43+J44+J45)</f>
        <v>0</v>
      </c>
      <c r="K32" s="104">
        <f>IF(J32=0,0,J32/J$47*100)</f>
        <v>0</v>
      </c>
      <c r="M32" s="26" t="s">
        <v>74</v>
      </c>
      <c r="N32" s="94"/>
      <c r="O32" s="92"/>
      <c r="P32" s="94"/>
      <c r="Q32" s="99"/>
    </row>
    <row r="33" spans="1:17" x14ac:dyDescent="0.2">
      <c r="A33" s="23"/>
      <c r="B33" s="9"/>
      <c r="C33" s="11">
        <f t="shared" si="0"/>
        <v>0</v>
      </c>
      <c r="D33" s="13"/>
      <c r="E33" s="24">
        <f t="shared" si="1"/>
        <v>0</v>
      </c>
      <c r="G33" s="49" t="s">
        <v>75</v>
      </c>
      <c r="H33" s="101"/>
      <c r="I33" s="103"/>
      <c r="J33" s="101"/>
      <c r="K33" s="105"/>
      <c r="M33" s="32" t="s">
        <v>76</v>
      </c>
      <c r="N33" s="93"/>
      <c r="O33" s="91">
        <f>IF(N33=0,0,N33/N$47*100)</f>
        <v>0</v>
      </c>
      <c r="P33" s="93"/>
      <c r="Q33" s="98">
        <f>IF(P33=0,0,P33/P$47*100)</f>
        <v>0</v>
      </c>
    </row>
    <row r="34" spans="1:17" x14ac:dyDescent="0.2">
      <c r="A34" s="23"/>
      <c r="B34" s="9"/>
      <c r="C34" s="11">
        <f t="shared" si="0"/>
        <v>0</v>
      </c>
      <c r="D34" s="13"/>
      <c r="E34" s="24">
        <f t="shared" si="1"/>
        <v>0</v>
      </c>
      <c r="G34" s="23" t="s">
        <v>77</v>
      </c>
      <c r="H34" s="82"/>
      <c r="I34" s="80">
        <f>IF(H34=0,0,H34/H$47*100)</f>
        <v>0</v>
      </c>
      <c r="J34" s="83">
        <v>0</v>
      </c>
      <c r="K34" s="81">
        <f>IF(J34=0,0,J34/J$47*100)</f>
        <v>0</v>
      </c>
      <c r="M34" s="26" t="s">
        <v>78</v>
      </c>
      <c r="N34" s="94"/>
      <c r="O34" s="92"/>
      <c r="P34" s="94"/>
      <c r="Q34" s="99"/>
    </row>
    <row r="35" spans="1:17" x14ac:dyDescent="0.2">
      <c r="A35" s="23"/>
      <c r="B35" s="9"/>
      <c r="C35" s="11">
        <f t="shared" si="0"/>
        <v>0</v>
      </c>
      <c r="D35" s="13"/>
      <c r="E35" s="24">
        <f t="shared" si="1"/>
        <v>0</v>
      </c>
      <c r="G35" s="23" t="s">
        <v>79</v>
      </c>
      <c r="H35" s="82"/>
      <c r="I35" s="80">
        <f>IF(H35=0,0,H35/H$47*100)</f>
        <v>0</v>
      </c>
      <c r="J35" s="83">
        <v>0</v>
      </c>
      <c r="K35" s="81">
        <f>IF(J35=0,0,J35/J$47*100)</f>
        <v>0</v>
      </c>
      <c r="M35" s="23" t="s">
        <v>80</v>
      </c>
      <c r="N35" s="79"/>
      <c r="O35" s="80">
        <f>IF(N35=0,0,N35/N$47*100)</f>
        <v>0</v>
      </c>
      <c r="P35" s="86"/>
      <c r="Q35" s="81">
        <f>IF(P35=0,0,P35/P$47*100)</f>
        <v>0</v>
      </c>
    </row>
    <row r="36" spans="1:17" x14ac:dyDescent="0.2">
      <c r="A36" s="23"/>
      <c r="B36" s="9"/>
      <c r="C36" s="11">
        <f t="shared" si="0"/>
        <v>0</v>
      </c>
      <c r="D36" s="13"/>
      <c r="E36" s="24">
        <f t="shared" si="1"/>
        <v>0</v>
      </c>
      <c r="G36" s="23" t="s">
        <v>81</v>
      </c>
      <c r="H36" s="82"/>
      <c r="I36" s="80">
        <f>IF(H36=0,0,H36/H$47*100)</f>
        <v>0</v>
      </c>
      <c r="J36" s="83">
        <v>0</v>
      </c>
      <c r="K36" s="81">
        <f>IF(J36=0,0,J36/J$47*100)</f>
        <v>0</v>
      </c>
      <c r="M36" s="23" t="s">
        <v>82</v>
      </c>
      <c r="N36" s="79"/>
      <c r="O36" s="80">
        <f>IF(N36=0,0,N36/N$47*100)</f>
        <v>0</v>
      </c>
      <c r="P36" s="86"/>
      <c r="Q36" s="81">
        <f>IF(P36=0,0,P36/P$47*100)</f>
        <v>0</v>
      </c>
    </row>
    <row r="37" spans="1:17" x14ac:dyDescent="0.2">
      <c r="A37" s="23"/>
      <c r="B37" s="9"/>
      <c r="C37" s="11">
        <f t="shared" si="0"/>
        <v>0</v>
      </c>
      <c r="D37" s="13"/>
      <c r="E37" s="24">
        <f t="shared" si="1"/>
        <v>0</v>
      </c>
      <c r="G37" s="32" t="s">
        <v>83</v>
      </c>
      <c r="H37" s="93"/>
      <c r="I37" s="91">
        <f>IF(H37=0,0,H37/H$47*100)</f>
        <v>0</v>
      </c>
      <c r="J37" s="93">
        <v>0</v>
      </c>
      <c r="K37" s="98">
        <f>IF(J37=0,0,J37/J$47*100)</f>
        <v>0</v>
      </c>
      <c r="M37" s="28"/>
      <c r="N37" s="9"/>
      <c r="O37" s="14"/>
      <c r="P37" s="13"/>
      <c r="Q37" s="34"/>
    </row>
    <row r="38" spans="1:17" x14ac:dyDescent="0.2">
      <c r="A38" s="23"/>
      <c r="B38" s="9"/>
      <c r="C38" s="11">
        <f t="shared" si="0"/>
        <v>0</v>
      </c>
      <c r="D38" s="13"/>
      <c r="E38" s="24">
        <f t="shared" si="1"/>
        <v>0</v>
      </c>
      <c r="G38" s="26" t="s">
        <v>84</v>
      </c>
      <c r="H38" s="94"/>
      <c r="I38" s="92"/>
      <c r="J38" s="94"/>
      <c r="K38" s="99"/>
      <c r="M38" s="28"/>
      <c r="N38" s="10"/>
      <c r="O38" s="8"/>
      <c r="P38" s="12"/>
      <c r="Q38" s="35"/>
    </row>
    <row r="39" spans="1:17" x14ac:dyDescent="0.2">
      <c r="A39" s="23"/>
      <c r="B39" s="9"/>
      <c r="C39" s="11">
        <f t="shared" si="0"/>
        <v>0</v>
      </c>
      <c r="D39" s="13"/>
      <c r="E39" s="24">
        <f t="shared" si="1"/>
        <v>0</v>
      </c>
      <c r="G39" s="32" t="s">
        <v>85</v>
      </c>
      <c r="H39" s="93"/>
      <c r="I39" s="91">
        <f>IF(H39=0,0,H39/H$47*100)</f>
        <v>0</v>
      </c>
      <c r="J39" s="93">
        <v>0</v>
      </c>
      <c r="K39" s="98">
        <f>IF(J39=0,0,J39/J$47*100)</f>
        <v>0</v>
      </c>
      <c r="M39" s="28"/>
      <c r="N39" s="9"/>
      <c r="O39" s="14"/>
      <c r="P39" s="13"/>
      <c r="Q39" s="34"/>
    </row>
    <row r="40" spans="1:17" x14ac:dyDescent="0.2">
      <c r="A40" s="33"/>
      <c r="B40" s="93"/>
      <c r="C40" s="91">
        <f t="shared" si="0"/>
        <v>0</v>
      </c>
      <c r="D40" s="93"/>
      <c r="E40" s="98">
        <f t="shared" si="1"/>
        <v>0</v>
      </c>
      <c r="G40" s="26" t="s">
        <v>86</v>
      </c>
      <c r="H40" s="94"/>
      <c r="I40" s="92"/>
      <c r="J40" s="94"/>
      <c r="K40" s="99"/>
      <c r="M40" s="28"/>
      <c r="N40" s="9"/>
      <c r="O40" s="14"/>
      <c r="P40" s="13"/>
      <c r="Q40" s="34"/>
    </row>
    <row r="41" spans="1:17" x14ac:dyDescent="0.2">
      <c r="A41" s="26"/>
      <c r="B41" s="94"/>
      <c r="C41" s="92"/>
      <c r="D41" s="94"/>
      <c r="E41" s="99"/>
      <c r="F41" s="27"/>
      <c r="G41" s="32" t="s">
        <v>87</v>
      </c>
      <c r="H41" s="93"/>
      <c r="I41" s="91">
        <f>IF(H41=0,0,H41/H$47*100)</f>
        <v>0</v>
      </c>
      <c r="J41" s="93">
        <v>0</v>
      </c>
      <c r="K41" s="98">
        <f>IF(J41=0,0,J41/J$47*100)</f>
        <v>0</v>
      </c>
      <c r="M41" s="28"/>
      <c r="N41" s="9"/>
      <c r="O41" s="14"/>
      <c r="P41" s="13"/>
      <c r="Q41" s="34"/>
    </row>
    <row r="42" spans="1:17" x14ac:dyDescent="0.2">
      <c r="A42" s="23"/>
      <c r="B42" s="9"/>
      <c r="C42" s="11">
        <f t="shared" ref="C42:C47" si="4">IF(B42=0,0,B42/B$47*100)</f>
        <v>0</v>
      </c>
      <c r="D42" s="13"/>
      <c r="E42" s="24">
        <f t="shared" ref="E42:E47" si="5">IF(D42=0,0,D42/D$47*100)</f>
        <v>0</v>
      </c>
      <c r="G42" s="26" t="s">
        <v>88</v>
      </c>
      <c r="H42" s="94"/>
      <c r="I42" s="92"/>
      <c r="J42" s="94"/>
      <c r="K42" s="99"/>
      <c r="M42" s="28"/>
      <c r="N42" s="9"/>
      <c r="O42" s="14"/>
      <c r="P42" s="13"/>
      <c r="Q42" s="34"/>
    </row>
    <row r="43" spans="1:17" x14ac:dyDescent="0.2">
      <c r="A43" s="23"/>
      <c r="B43" s="9"/>
      <c r="C43" s="11">
        <f t="shared" si="4"/>
        <v>0</v>
      </c>
      <c r="D43" s="13"/>
      <c r="E43" s="24">
        <f t="shared" si="5"/>
        <v>0</v>
      </c>
      <c r="G43" s="23" t="s">
        <v>89</v>
      </c>
      <c r="H43" s="82"/>
      <c r="I43" s="80">
        <f>IF(H43=0,0,H43/H$47*100)</f>
        <v>0</v>
      </c>
      <c r="J43" s="83">
        <v>0</v>
      </c>
      <c r="K43" s="81">
        <f>IF(J43=0,0,J43/J$47*100)</f>
        <v>0</v>
      </c>
      <c r="M43" s="28"/>
      <c r="N43" s="9"/>
      <c r="O43" s="14"/>
      <c r="P43" s="13"/>
      <c r="Q43" s="34"/>
    </row>
    <row r="44" spans="1:17" x14ac:dyDescent="0.2">
      <c r="A44" s="23"/>
      <c r="B44" s="9"/>
      <c r="C44" s="11">
        <f t="shared" si="4"/>
        <v>0</v>
      </c>
      <c r="D44" s="13"/>
      <c r="E44" s="24">
        <f t="shared" si="5"/>
        <v>0</v>
      </c>
      <c r="G44" s="23" t="s">
        <v>90</v>
      </c>
      <c r="H44" s="82"/>
      <c r="I44" s="80">
        <f>IF(H44=0,0,H44/H$47*100)</f>
        <v>0</v>
      </c>
      <c r="J44" s="83">
        <v>0</v>
      </c>
      <c r="K44" s="81">
        <f>IF(J44=0,0,J44/J$47*100)</f>
        <v>0</v>
      </c>
      <c r="M44" s="28"/>
      <c r="N44" s="9"/>
      <c r="O44" s="14"/>
      <c r="P44" s="13"/>
      <c r="Q44" s="34"/>
    </row>
    <row r="45" spans="1:17" x14ac:dyDescent="0.2">
      <c r="A45" s="23"/>
      <c r="B45" s="9"/>
      <c r="C45" s="11">
        <f t="shared" si="4"/>
        <v>0</v>
      </c>
      <c r="D45" s="13"/>
      <c r="E45" s="24">
        <f t="shared" si="5"/>
        <v>0</v>
      </c>
      <c r="G45" s="32" t="s">
        <v>91</v>
      </c>
      <c r="H45" s="93"/>
      <c r="I45" s="91">
        <f>IF(H45=0,0,H45/H$47*100)</f>
        <v>0</v>
      </c>
      <c r="J45" s="93">
        <v>0</v>
      </c>
      <c r="K45" s="98">
        <f>IF(J45=0,0,J45/J$47*100)</f>
        <v>0</v>
      </c>
      <c r="M45" s="28"/>
      <c r="N45" s="9"/>
      <c r="O45" s="14"/>
      <c r="P45" s="13"/>
      <c r="Q45" s="34"/>
    </row>
    <row r="46" spans="1:17" x14ac:dyDescent="0.2">
      <c r="A46" s="23"/>
      <c r="B46" s="9"/>
      <c r="C46" s="11">
        <f t="shared" si="4"/>
        <v>0</v>
      </c>
      <c r="D46" s="13"/>
      <c r="E46" s="24">
        <f t="shared" si="5"/>
        <v>0</v>
      </c>
      <c r="G46" s="26" t="s">
        <v>92</v>
      </c>
      <c r="H46" s="94"/>
      <c r="I46" s="92"/>
      <c r="J46" s="94"/>
      <c r="K46" s="99"/>
      <c r="M46" s="28"/>
      <c r="N46" s="9"/>
      <c r="O46" s="14"/>
      <c r="P46" s="13"/>
      <c r="Q46" s="34"/>
    </row>
    <row r="47" spans="1:17" ht="13.5" thickBot="1" x14ac:dyDescent="0.25">
      <c r="A47" s="55" t="s">
        <v>93</v>
      </c>
      <c r="B47" s="51">
        <f>SUM(B9:B46)</f>
        <v>0</v>
      </c>
      <c r="C47" s="52">
        <f t="shared" si="4"/>
        <v>0</v>
      </c>
      <c r="D47" s="53">
        <f>SUM(D9:D46)</f>
        <v>0</v>
      </c>
      <c r="E47" s="54">
        <f t="shared" si="5"/>
        <v>0</v>
      </c>
      <c r="G47" s="50" t="s">
        <v>94</v>
      </c>
      <c r="H47" s="51">
        <f>H9+H32</f>
        <v>0</v>
      </c>
      <c r="I47" s="52">
        <f>IF(H47=0,0,H47/H$47*100)</f>
        <v>0</v>
      </c>
      <c r="J47" s="51">
        <f>J9+J32</f>
        <v>0</v>
      </c>
      <c r="K47" s="54">
        <f>IF(J47=0,0,J47/J$47*100)</f>
        <v>0</v>
      </c>
      <c r="M47" s="50" t="s">
        <v>94</v>
      </c>
      <c r="N47" s="51">
        <f>N9+N24</f>
        <v>0</v>
      </c>
      <c r="O47" s="52">
        <f>IF(N47=0,0,N47/N$47*100)</f>
        <v>0</v>
      </c>
      <c r="P47" s="53">
        <f>P9+P24</f>
        <v>0</v>
      </c>
      <c r="Q47" s="54">
        <f>IF(P47=0,0,P47/P$47*100)</f>
        <v>0</v>
      </c>
    </row>
    <row r="49" spans="1:17" x14ac:dyDescent="0.2">
      <c r="A49" s="6" t="s">
        <v>95</v>
      </c>
      <c r="B49" s="7"/>
      <c r="C49" s="15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8"/>
    </row>
    <row r="50" spans="1:17" x14ac:dyDescent="0.2">
      <c r="A50" s="16"/>
      <c r="B50" s="17"/>
      <c r="C50" s="1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4"/>
    </row>
    <row r="51" spans="1:17" x14ac:dyDescent="0.2">
      <c r="A51" s="16"/>
      <c r="B51" s="17"/>
      <c r="C51" s="1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4"/>
    </row>
    <row r="52" spans="1:17" x14ac:dyDescent="0.2">
      <c r="A52" s="16"/>
      <c r="B52" s="17"/>
      <c r="C52" s="18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4"/>
    </row>
    <row r="53" spans="1:17" x14ac:dyDescent="0.2">
      <c r="A53" s="27"/>
      <c r="B53" s="27"/>
      <c r="C53" s="7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</row>
    <row r="54" spans="1:17" x14ac:dyDescent="0.2">
      <c r="A54" s="27"/>
      <c r="B54" s="27"/>
      <c r="C54" s="7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</row>
    <row r="55" spans="1:17" x14ac:dyDescent="0.2">
      <c r="A55" s="27"/>
      <c r="B55" s="27"/>
      <c r="C55" s="7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9" spans="1:17" ht="20.25" x14ac:dyDescent="0.3">
      <c r="D59" s="3"/>
      <c r="G59" s="20" t="s">
        <v>0</v>
      </c>
      <c r="H59" s="3"/>
      <c r="I59" s="21"/>
    </row>
    <row r="60" spans="1:17" ht="15.75" x14ac:dyDescent="0.25">
      <c r="A60" s="4"/>
      <c r="D60" s="95" t="s">
        <v>161</v>
      </c>
      <c r="E60" s="95"/>
      <c r="F60" s="95"/>
      <c r="G60" s="97"/>
      <c r="H60" s="97"/>
      <c r="I60" s="97"/>
      <c r="J60" s="97"/>
      <c r="K60" s="97"/>
    </row>
    <row r="61" spans="1:17" ht="15" x14ac:dyDescent="0.25">
      <c r="B61" s="5"/>
      <c r="D61" s="95" t="s">
        <v>160</v>
      </c>
      <c r="E61" s="95"/>
      <c r="F61" s="95"/>
      <c r="G61" s="96" t="s">
        <v>171</v>
      </c>
      <c r="H61" s="97"/>
      <c r="I61" s="97"/>
      <c r="J61" s="97"/>
      <c r="K61" s="97"/>
      <c r="M61" s="5"/>
    </row>
    <row r="62" spans="1:17" ht="13.5" thickBot="1" x14ac:dyDescent="0.25"/>
    <row r="63" spans="1:17" x14ac:dyDescent="0.2">
      <c r="A63" s="41" t="s">
        <v>96</v>
      </c>
      <c r="B63" s="42" t="s">
        <v>2</v>
      </c>
      <c r="C63" s="56"/>
      <c r="D63" s="42" t="s">
        <v>3</v>
      </c>
      <c r="E63" s="44"/>
      <c r="G63" s="41" t="s">
        <v>97</v>
      </c>
      <c r="H63" s="42" t="s">
        <v>2</v>
      </c>
      <c r="I63" s="43"/>
      <c r="J63" s="42" t="s">
        <v>3</v>
      </c>
      <c r="K63" s="44"/>
      <c r="L63" s="21"/>
      <c r="M63" s="41" t="s">
        <v>98</v>
      </c>
      <c r="N63" s="42" t="s">
        <v>2</v>
      </c>
      <c r="O63" s="43"/>
      <c r="P63" s="42" t="s">
        <v>3</v>
      </c>
      <c r="Q63" s="44"/>
    </row>
    <row r="64" spans="1:17" x14ac:dyDescent="0.2">
      <c r="A64" s="58"/>
      <c r="B64" s="46" t="s">
        <v>8</v>
      </c>
      <c r="C64" s="60" t="s">
        <v>9</v>
      </c>
      <c r="D64" s="46" t="s">
        <v>8</v>
      </c>
      <c r="E64" s="47" t="s">
        <v>9</v>
      </c>
      <c r="G64" s="45"/>
      <c r="H64" s="62" t="s">
        <v>8</v>
      </c>
      <c r="I64" s="46" t="s">
        <v>9</v>
      </c>
      <c r="J64" s="62" t="s">
        <v>8</v>
      </c>
      <c r="K64" s="47" t="s">
        <v>9</v>
      </c>
      <c r="L64" s="21"/>
      <c r="M64" s="45"/>
      <c r="N64" s="46" t="s">
        <v>8</v>
      </c>
      <c r="O64" s="46" t="s">
        <v>9</v>
      </c>
      <c r="P64" s="46" t="s">
        <v>8</v>
      </c>
      <c r="Q64" s="47" t="s">
        <v>9</v>
      </c>
    </row>
    <row r="65" spans="1:17" x14ac:dyDescent="0.2">
      <c r="A65" s="23" t="s">
        <v>167</v>
      </c>
      <c r="B65" s="10"/>
      <c r="C65" s="11">
        <f>IF(B65=0,0,B65/B$67*100)</f>
        <v>0</v>
      </c>
      <c r="D65" s="10">
        <v>0</v>
      </c>
      <c r="E65" s="24">
        <f>IF(D65=0,0,D65/D$67*100)</f>
        <v>0</v>
      </c>
      <c r="G65" s="23" t="s">
        <v>99</v>
      </c>
      <c r="H65" s="10"/>
      <c r="I65" s="11">
        <f t="shared" ref="I65:I73" si="6">IF(H65=0,0,H65/H$73*100)</f>
        <v>0</v>
      </c>
      <c r="J65" s="12">
        <v>0</v>
      </c>
      <c r="K65" s="24">
        <f t="shared" ref="K65:K73" si="7">IF(J65=0,0,J65/J$73*100)</f>
        <v>0</v>
      </c>
      <c r="M65" s="89" t="s">
        <v>169</v>
      </c>
      <c r="N65" s="10"/>
      <c r="O65" s="11">
        <f t="shared" ref="O65:O92" si="8">IF(N65=0,0,N65/N$92*100)</f>
        <v>0</v>
      </c>
      <c r="P65" s="10">
        <v>0</v>
      </c>
      <c r="Q65" s="24">
        <f t="shared" ref="Q65:Q92" si="9">IF(P65=0,0,P65/P$92*100)</f>
        <v>0</v>
      </c>
    </row>
    <row r="66" spans="1:17" x14ac:dyDescent="0.2">
      <c r="A66" s="23" t="s">
        <v>100</v>
      </c>
      <c r="B66" s="10"/>
      <c r="C66" s="11">
        <f>IF(B66=0,0,B66/B$67*100)</f>
        <v>0</v>
      </c>
      <c r="D66" s="10">
        <v>0</v>
      </c>
      <c r="E66" s="24">
        <f>IF(D66=0,0,D66/D$67*100)</f>
        <v>0</v>
      </c>
      <c r="G66" s="26" t="s">
        <v>101</v>
      </c>
      <c r="H66" s="9"/>
      <c r="I66" s="11">
        <f t="shared" si="6"/>
        <v>0</v>
      </c>
      <c r="J66" s="13">
        <v>0</v>
      </c>
      <c r="K66" s="24">
        <f t="shared" si="7"/>
        <v>0</v>
      </c>
      <c r="M66" s="30"/>
      <c r="N66" s="9"/>
      <c r="O66" s="11">
        <f t="shared" si="8"/>
        <v>0</v>
      </c>
      <c r="P66" s="9">
        <v>0</v>
      </c>
      <c r="Q66" s="24">
        <f t="shared" si="9"/>
        <v>0</v>
      </c>
    </row>
    <row r="67" spans="1:17" ht="13.5" thickBot="1" x14ac:dyDescent="0.25">
      <c r="A67" s="77" t="s">
        <v>93</v>
      </c>
      <c r="B67" s="65">
        <f>B65+B66</f>
        <v>0</v>
      </c>
      <c r="C67" s="52">
        <f>IF(B67=0,0,B67/B$67*100)</f>
        <v>0</v>
      </c>
      <c r="D67" s="65">
        <f>D65+D66</f>
        <v>0</v>
      </c>
      <c r="E67" s="54">
        <f>IF(D67=0,0,D67/D$67*100)</f>
        <v>0</v>
      </c>
      <c r="G67" s="26" t="s">
        <v>102</v>
      </c>
      <c r="H67" s="9"/>
      <c r="I67" s="11">
        <f t="shared" si="6"/>
        <v>0</v>
      </c>
      <c r="J67" s="13">
        <v>0</v>
      </c>
      <c r="K67" s="24">
        <f t="shared" si="7"/>
        <v>0</v>
      </c>
      <c r="M67" s="30"/>
      <c r="N67" s="9"/>
      <c r="O67" s="11">
        <f t="shared" si="8"/>
        <v>0</v>
      </c>
      <c r="P67" s="9">
        <v>0</v>
      </c>
      <c r="Q67" s="24">
        <f t="shared" si="9"/>
        <v>0</v>
      </c>
    </row>
    <row r="68" spans="1:17" ht="13.5" thickBot="1" x14ac:dyDescent="0.25">
      <c r="G68" s="26" t="s">
        <v>103</v>
      </c>
      <c r="H68" s="9"/>
      <c r="I68" s="11">
        <f t="shared" si="6"/>
        <v>0</v>
      </c>
      <c r="J68" s="13">
        <v>0</v>
      </c>
      <c r="K68" s="24">
        <f t="shared" si="7"/>
        <v>0</v>
      </c>
      <c r="M68" s="30"/>
      <c r="N68" s="9"/>
      <c r="O68" s="11">
        <f t="shared" si="8"/>
        <v>0</v>
      </c>
      <c r="P68" s="9">
        <v>0</v>
      </c>
      <c r="Q68" s="24">
        <f t="shared" si="9"/>
        <v>0</v>
      </c>
    </row>
    <row r="69" spans="1:17" x14ac:dyDescent="0.2">
      <c r="A69" s="71" t="s">
        <v>104</v>
      </c>
      <c r="B69" s="42" t="s">
        <v>2</v>
      </c>
      <c r="C69" s="56"/>
      <c r="D69" s="42" t="s">
        <v>3</v>
      </c>
      <c r="E69" s="72"/>
      <c r="G69" s="26" t="s">
        <v>105</v>
      </c>
      <c r="H69" s="9"/>
      <c r="I69" s="11">
        <f t="shared" si="6"/>
        <v>0</v>
      </c>
      <c r="J69" s="13">
        <v>0</v>
      </c>
      <c r="K69" s="24">
        <f t="shared" si="7"/>
        <v>0</v>
      </c>
      <c r="M69" s="30"/>
      <c r="N69" s="9"/>
      <c r="O69" s="11">
        <f t="shared" si="8"/>
        <v>0</v>
      </c>
      <c r="P69" s="9">
        <v>0</v>
      </c>
      <c r="Q69" s="24">
        <f t="shared" si="9"/>
        <v>0</v>
      </c>
    </row>
    <row r="70" spans="1:17" x14ac:dyDescent="0.2">
      <c r="A70" s="73"/>
      <c r="B70" s="74" t="s">
        <v>8</v>
      </c>
      <c r="C70" s="75" t="s">
        <v>9</v>
      </c>
      <c r="D70" s="74" t="s">
        <v>8</v>
      </c>
      <c r="E70" s="76" t="s">
        <v>9</v>
      </c>
      <c r="G70" s="26" t="s">
        <v>106</v>
      </c>
      <c r="H70" s="9"/>
      <c r="I70" s="11">
        <f t="shared" si="6"/>
        <v>0</v>
      </c>
      <c r="J70" s="13">
        <v>0</v>
      </c>
      <c r="K70" s="24">
        <f t="shared" si="7"/>
        <v>0</v>
      </c>
      <c r="M70" s="30"/>
      <c r="N70" s="9"/>
      <c r="O70" s="11">
        <f t="shared" si="8"/>
        <v>0</v>
      </c>
      <c r="P70" s="9">
        <v>0</v>
      </c>
      <c r="Q70" s="24">
        <f t="shared" si="9"/>
        <v>0</v>
      </c>
    </row>
    <row r="71" spans="1:17" x14ac:dyDescent="0.2">
      <c r="A71" s="25" t="s">
        <v>107</v>
      </c>
      <c r="B71" s="10"/>
      <c r="C71" s="11">
        <f t="shared" ref="C71:C93" si="10">IF(B71=0,0,B71/B$93*100)</f>
        <v>0</v>
      </c>
      <c r="D71" s="10">
        <v>0</v>
      </c>
      <c r="E71" s="24">
        <f t="shared" ref="E71:E93" si="11">IF(D71=0,0,D71/D$93*100)</f>
        <v>0</v>
      </c>
      <c r="G71" s="26" t="s">
        <v>108</v>
      </c>
      <c r="H71" s="9"/>
      <c r="I71" s="11">
        <f t="shared" si="6"/>
        <v>0</v>
      </c>
      <c r="J71" s="13">
        <v>0</v>
      </c>
      <c r="K71" s="24">
        <f t="shared" si="7"/>
        <v>0</v>
      </c>
      <c r="M71" s="30"/>
      <c r="N71" s="9"/>
      <c r="O71" s="11">
        <f t="shared" si="8"/>
        <v>0</v>
      </c>
      <c r="P71" s="9">
        <v>0</v>
      </c>
      <c r="Q71" s="24">
        <f t="shared" si="9"/>
        <v>0</v>
      </c>
    </row>
    <row r="72" spans="1:17" x14ac:dyDescent="0.2">
      <c r="A72" s="25" t="s">
        <v>109</v>
      </c>
      <c r="B72" s="9"/>
      <c r="C72" s="11">
        <f t="shared" si="10"/>
        <v>0</v>
      </c>
      <c r="D72" s="9">
        <v>0</v>
      </c>
      <c r="E72" s="24">
        <f t="shared" si="11"/>
        <v>0</v>
      </c>
      <c r="G72" s="26" t="s">
        <v>110</v>
      </c>
      <c r="H72" s="9"/>
      <c r="I72" s="11">
        <f t="shared" si="6"/>
        <v>0</v>
      </c>
      <c r="J72" s="13">
        <v>0</v>
      </c>
      <c r="K72" s="24">
        <f t="shared" si="7"/>
        <v>0</v>
      </c>
      <c r="M72" s="30"/>
      <c r="N72" s="9"/>
      <c r="O72" s="11">
        <f t="shared" si="8"/>
        <v>0</v>
      </c>
      <c r="P72" s="9">
        <v>0</v>
      </c>
      <c r="Q72" s="24">
        <f t="shared" si="9"/>
        <v>0</v>
      </c>
    </row>
    <row r="73" spans="1:17" ht="13.5" thickBot="1" x14ac:dyDescent="0.25">
      <c r="A73" s="25" t="s">
        <v>111</v>
      </c>
      <c r="B73" s="9"/>
      <c r="C73" s="11">
        <f t="shared" si="10"/>
        <v>0</v>
      </c>
      <c r="D73" s="9">
        <v>0</v>
      </c>
      <c r="E73" s="24">
        <f t="shared" si="11"/>
        <v>0</v>
      </c>
      <c r="G73" s="64" t="s">
        <v>93</v>
      </c>
      <c r="H73" s="51">
        <f>SUM(H65:H72)</f>
        <v>0</v>
      </c>
      <c r="I73" s="52">
        <f t="shared" si="6"/>
        <v>0</v>
      </c>
      <c r="J73" s="53">
        <f>SUM(J65:J72)</f>
        <v>0</v>
      </c>
      <c r="K73" s="54">
        <f t="shared" si="7"/>
        <v>0</v>
      </c>
      <c r="M73" s="30"/>
      <c r="N73" s="9"/>
      <c r="O73" s="11">
        <f t="shared" si="8"/>
        <v>0</v>
      </c>
      <c r="P73" s="9">
        <v>0</v>
      </c>
      <c r="Q73" s="24">
        <f t="shared" si="9"/>
        <v>0</v>
      </c>
    </row>
    <row r="74" spans="1:17" ht="13.5" thickBot="1" x14ac:dyDescent="0.25">
      <c r="A74" s="25" t="s">
        <v>112</v>
      </c>
      <c r="B74" s="9"/>
      <c r="C74" s="11">
        <f t="shared" si="10"/>
        <v>0</v>
      </c>
      <c r="D74" s="9">
        <v>0</v>
      </c>
      <c r="E74" s="24">
        <f t="shared" si="11"/>
        <v>0</v>
      </c>
      <c r="M74" s="30"/>
      <c r="N74" s="9"/>
      <c r="O74" s="11">
        <f t="shared" si="8"/>
        <v>0</v>
      </c>
      <c r="P74" s="9">
        <v>0</v>
      </c>
      <c r="Q74" s="24">
        <f t="shared" si="9"/>
        <v>0</v>
      </c>
    </row>
    <row r="75" spans="1:17" x14ac:dyDescent="0.2">
      <c r="A75" s="25" t="s">
        <v>113</v>
      </c>
      <c r="B75" s="9"/>
      <c r="C75" s="11">
        <f t="shared" si="10"/>
        <v>0</v>
      </c>
      <c r="D75" s="9">
        <v>0</v>
      </c>
      <c r="E75" s="24">
        <f t="shared" si="11"/>
        <v>0</v>
      </c>
      <c r="G75" s="63" t="s">
        <v>114</v>
      </c>
      <c r="H75" s="42" t="s">
        <v>2</v>
      </c>
      <c r="I75" s="43"/>
      <c r="J75" s="42" t="s">
        <v>3</v>
      </c>
      <c r="K75" s="44"/>
      <c r="M75" s="30"/>
      <c r="N75" s="9"/>
      <c r="O75" s="11">
        <f t="shared" si="8"/>
        <v>0</v>
      </c>
      <c r="P75" s="9">
        <v>0</v>
      </c>
      <c r="Q75" s="24">
        <f t="shared" si="9"/>
        <v>0</v>
      </c>
    </row>
    <row r="76" spans="1:17" x14ac:dyDescent="0.2">
      <c r="A76" s="25" t="s">
        <v>115</v>
      </c>
      <c r="B76" s="9"/>
      <c r="C76" s="11">
        <f t="shared" si="10"/>
        <v>0</v>
      </c>
      <c r="D76" s="9">
        <v>0</v>
      </c>
      <c r="E76" s="24">
        <f t="shared" si="11"/>
        <v>0</v>
      </c>
      <c r="G76" s="45"/>
      <c r="H76" s="46" t="s">
        <v>8</v>
      </c>
      <c r="I76" s="46" t="s">
        <v>9</v>
      </c>
      <c r="J76" s="46" t="s">
        <v>8</v>
      </c>
      <c r="K76" s="47" t="s">
        <v>9</v>
      </c>
      <c r="M76" s="30"/>
      <c r="N76" s="9"/>
      <c r="O76" s="11">
        <f t="shared" si="8"/>
        <v>0</v>
      </c>
      <c r="P76" s="9">
        <v>0</v>
      </c>
      <c r="Q76" s="24">
        <f t="shared" si="9"/>
        <v>0</v>
      </c>
    </row>
    <row r="77" spans="1:17" x14ac:dyDescent="0.2">
      <c r="A77" s="25" t="s">
        <v>116</v>
      </c>
      <c r="B77" s="9"/>
      <c r="C77" s="11">
        <f t="shared" si="10"/>
        <v>0</v>
      </c>
      <c r="D77" s="9">
        <v>0</v>
      </c>
      <c r="E77" s="24">
        <f t="shared" si="11"/>
        <v>0</v>
      </c>
      <c r="G77" s="23" t="s">
        <v>99</v>
      </c>
      <c r="H77" s="10"/>
      <c r="I77" s="11">
        <f t="shared" ref="I77:I83" si="12">IF(H77=0,0,H77/H$85*100)</f>
        <v>0</v>
      </c>
      <c r="J77" s="12">
        <v>0</v>
      </c>
      <c r="K77" s="24">
        <f t="shared" ref="K77:K85" si="13">IF(J77=0,0,J77/J$85*100)</f>
        <v>0</v>
      </c>
      <c r="M77" s="30"/>
      <c r="N77" s="9"/>
      <c r="O77" s="11">
        <f t="shared" si="8"/>
        <v>0</v>
      </c>
      <c r="P77" s="9">
        <v>0</v>
      </c>
      <c r="Q77" s="24">
        <f t="shared" si="9"/>
        <v>0</v>
      </c>
    </row>
    <row r="78" spans="1:17" x14ac:dyDescent="0.2">
      <c r="A78" s="25" t="s">
        <v>162</v>
      </c>
      <c r="B78" s="9"/>
      <c r="C78" s="11">
        <f t="shared" si="10"/>
        <v>0</v>
      </c>
      <c r="D78" s="9">
        <v>0</v>
      </c>
      <c r="E78" s="24">
        <f t="shared" si="11"/>
        <v>0</v>
      </c>
      <c r="G78" s="26" t="s">
        <v>101</v>
      </c>
      <c r="H78" s="9"/>
      <c r="I78" s="11">
        <f t="shared" si="12"/>
        <v>0</v>
      </c>
      <c r="J78" s="13">
        <v>0</v>
      </c>
      <c r="K78" s="24">
        <f t="shared" si="13"/>
        <v>0</v>
      </c>
      <c r="M78" s="30"/>
      <c r="N78" s="9"/>
      <c r="O78" s="11">
        <f t="shared" si="8"/>
        <v>0</v>
      </c>
      <c r="P78" s="9">
        <v>0</v>
      </c>
      <c r="Q78" s="24">
        <f t="shared" si="9"/>
        <v>0</v>
      </c>
    </row>
    <row r="79" spans="1:17" x14ac:dyDescent="0.2">
      <c r="A79" s="25" t="s">
        <v>117</v>
      </c>
      <c r="B79" s="9"/>
      <c r="C79" s="11">
        <f t="shared" si="10"/>
        <v>0</v>
      </c>
      <c r="D79" s="9">
        <v>0</v>
      </c>
      <c r="E79" s="24">
        <f t="shared" si="11"/>
        <v>0</v>
      </c>
      <c r="G79" s="26" t="s">
        <v>102</v>
      </c>
      <c r="H79" s="9"/>
      <c r="I79" s="11">
        <f t="shared" si="12"/>
        <v>0</v>
      </c>
      <c r="J79" s="13">
        <v>0</v>
      </c>
      <c r="K79" s="24">
        <f t="shared" si="13"/>
        <v>0</v>
      </c>
      <c r="M79" s="30"/>
      <c r="N79" s="9"/>
      <c r="O79" s="11">
        <f t="shared" si="8"/>
        <v>0</v>
      </c>
      <c r="P79" s="9">
        <v>0</v>
      </c>
      <c r="Q79" s="24">
        <f t="shared" si="9"/>
        <v>0</v>
      </c>
    </row>
    <row r="80" spans="1:17" x14ac:dyDescent="0.2">
      <c r="A80" s="25" t="s">
        <v>118</v>
      </c>
      <c r="B80" s="9"/>
      <c r="C80" s="11">
        <f t="shared" si="10"/>
        <v>0</v>
      </c>
      <c r="D80" s="9">
        <v>0</v>
      </c>
      <c r="E80" s="24">
        <f t="shared" si="11"/>
        <v>0</v>
      </c>
      <c r="G80" s="26" t="s">
        <v>103</v>
      </c>
      <c r="H80" s="9"/>
      <c r="I80" s="11">
        <f t="shared" si="12"/>
        <v>0</v>
      </c>
      <c r="J80" s="13">
        <v>0</v>
      </c>
      <c r="K80" s="24">
        <f t="shared" si="13"/>
        <v>0</v>
      </c>
      <c r="M80" s="30"/>
      <c r="N80" s="9"/>
      <c r="O80" s="11">
        <f t="shared" si="8"/>
        <v>0</v>
      </c>
      <c r="P80" s="9">
        <v>0</v>
      </c>
      <c r="Q80" s="24">
        <f t="shared" si="9"/>
        <v>0</v>
      </c>
    </row>
    <row r="81" spans="1:17" x14ac:dyDescent="0.2">
      <c r="A81" s="25" t="s">
        <v>119</v>
      </c>
      <c r="B81" s="9"/>
      <c r="C81" s="11">
        <f t="shared" si="10"/>
        <v>0</v>
      </c>
      <c r="D81" s="9">
        <v>0</v>
      </c>
      <c r="E81" s="24">
        <f t="shared" si="11"/>
        <v>0</v>
      </c>
      <c r="G81" s="26" t="s">
        <v>105</v>
      </c>
      <c r="H81" s="9"/>
      <c r="I81" s="11">
        <f t="shared" si="12"/>
        <v>0</v>
      </c>
      <c r="J81" s="13">
        <v>0</v>
      </c>
      <c r="K81" s="24">
        <f t="shared" si="13"/>
        <v>0</v>
      </c>
      <c r="M81" s="30"/>
      <c r="N81" s="9"/>
      <c r="O81" s="11">
        <f t="shared" si="8"/>
        <v>0</v>
      </c>
      <c r="P81" s="9">
        <v>0</v>
      </c>
      <c r="Q81" s="24">
        <f t="shared" si="9"/>
        <v>0</v>
      </c>
    </row>
    <row r="82" spans="1:17" x14ac:dyDescent="0.2">
      <c r="A82" s="25" t="s">
        <v>120</v>
      </c>
      <c r="B82" s="9"/>
      <c r="C82" s="11">
        <f t="shared" si="10"/>
        <v>0</v>
      </c>
      <c r="D82" s="9">
        <v>0</v>
      </c>
      <c r="E82" s="24">
        <f t="shared" si="11"/>
        <v>0</v>
      </c>
      <c r="G82" s="26" t="s">
        <v>106</v>
      </c>
      <c r="H82" s="9"/>
      <c r="I82" s="11">
        <f t="shared" si="12"/>
        <v>0</v>
      </c>
      <c r="J82" s="13">
        <v>0</v>
      </c>
      <c r="K82" s="24">
        <f t="shared" si="13"/>
        <v>0</v>
      </c>
      <c r="M82" s="30"/>
      <c r="N82" s="9"/>
      <c r="O82" s="11">
        <f t="shared" si="8"/>
        <v>0</v>
      </c>
      <c r="P82" s="9">
        <v>0</v>
      </c>
      <c r="Q82" s="24">
        <f t="shared" si="9"/>
        <v>0</v>
      </c>
    </row>
    <row r="83" spans="1:17" x14ac:dyDescent="0.2">
      <c r="A83" s="25" t="s">
        <v>121</v>
      </c>
      <c r="B83" s="9"/>
      <c r="C83" s="11">
        <f t="shared" si="10"/>
        <v>0</v>
      </c>
      <c r="D83" s="9">
        <v>0</v>
      </c>
      <c r="E83" s="24">
        <f t="shared" si="11"/>
        <v>0</v>
      </c>
      <c r="G83" s="26" t="s">
        <v>108</v>
      </c>
      <c r="H83" s="9"/>
      <c r="I83" s="11">
        <f t="shared" si="12"/>
        <v>0</v>
      </c>
      <c r="J83" s="13">
        <v>0</v>
      </c>
      <c r="K83" s="24">
        <f t="shared" si="13"/>
        <v>0</v>
      </c>
      <c r="M83" s="30"/>
      <c r="N83" s="9"/>
      <c r="O83" s="11">
        <f t="shared" si="8"/>
        <v>0</v>
      </c>
      <c r="P83" s="9">
        <v>0</v>
      </c>
      <c r="Q83" s="24">
        <f t="shared" si="9"/>
        <v>0</v>
      </c>
    </row>
    <row r="84" spans="1:17" x14ac:dyDescent="0.2">
      <c r="A84" s="25" t="s">
        <v>163</v>
      </c>
      <c r="B84" s="9"/>
      <c r="C84" s="11">
        <f t="shared" si="10"/>
        <v>0</v>
      </c>
      <c r="D84" s="9">
        <v>0</v>
      </c>
      <c r="E84" s="24">
        <f t="shared" si="11"/>
        <v>0</v>
      </c>
      <c r="G84" s="26" t="s">
        <v>110</v>
      </c>
      <c r="H84" s="9"/>
      <c r="I84" s="11">
        <f>IF(H84=0,0,H84/H$73*100)</f>
        <v>0</v>
      </c>
      <c r="J84" s="13">
        <v>0</v>
      </c>
      <c r="K84" s="24">
        <f t="shared" si="13"/>
        <v>0</v>
      </c>
      <c r="M84" s="30"/>
      <c r="N84" s="9"/>
      <c r="O84" s="11">
        <f t="shared" si="8"/>
        <v>0</v>
      </c>
      <c r="P84" s="9">
        <v>0</v>
      </c>
      <c r="Q84" s="24">
        <f t="shared" si="9"/>
        <v>0</v>
      </c>
    </row>
    <row r="85" spans="1:17" ht="13.5" thickBot="1" x14ac:dyDescent="0.25">
      <c r="A85" s="25" t="s">
        <v>164</v>
      </c>
      <c r="B85" s="9"/>
      <c r="C85" s="11">
        <f t="shared" si="10"/>
        <v>0</v>
      </c>
      <c r="D85" s="9">
        <v>0</v>
      </c>
      <c r="E85" s="24">
        <f t="shared" si="11"/>
        <v>0</v>
      </c>
      <c r="G85" s="64" t="s">
        <v>93</v>
      </c>
      <c r="H85" s="51">
        <f>SUM(H77:H84)</f>
        <v>0</v>
      </c>
      <c r="I85" s="52">
        <f>IF(H85=0,0,H85/H$85*100)</f>
        <v>0</v>
      </c>
      <c r="J85" s="53">
        <f>SUM(J77:J84)</f>
        <v>0</v>
      </c>
      <c r="K85" s="54">
        <f t="shared" si="13"/>
        <v>0</v>
      </c>
      <c r="M85" s="30"/>
      <c r="N85" s="9"/>
      <c r="O85" s="11">
        <f t="shared" si="8"/>
        <v>0</v>
      </c>
      <c r="P85" s="9">
        <v>0</v>
      </c>
      <c r="Q85" s="24">
        <f t="shared" si="9"/>
        <v>0</v>
      </c>
    </row>
    <row r="86" spans="1:17" x14ac:dyDescent="0.2">
      <c r="A86" s="25" t="s">
        <v>122</v>
      </c>
      <c r="B86" s="9"/>
      <c r="C86" s="11">
        <f t="shared" si="10"/>
        <v>0</v>
      </c>
      <c r="D86" s="9">
        <v>0</v>
      </c>
      <c r="E86" s="24">
        <f t="shared" si="11"/>
        <v>0</v>
      </c>
      <c r="M86" s="30"/>
      <c r="N86" s="9"/>
      <c r="O86" s="11">
        <f t="shared" si="8"/>
        <v>0</v>
      </c>
      <c r="P86" s="9">
        <v>0</v>
      </c>
      <c r="Q86" s="24">
        <f t="shared" si="9"/>
        <v>0</v>
      </c>
    </row>
    <row r="87" spans="1:17" ht="13.5" thickBot="1" x14ac:dyDescent="0.25">
      <c r="A87" s="25" t="s">
        <v>123</v>
      </c>
      <c r="B87" s="9"/>
      <c r="C87" s="11">
        <f t="shared" si="10"/>
        <v>0</v>
      </c>
      <c r="D87" s="9">
        <v>0</v>
      </c>
      <c r="E87" s="24">
        <f t="shared" si="11"/>
        <v>0</v>
      </c>
      <c r="G87" s="22" t="s">
        <v>126</v>
      </c>
      <c r="H87" s="21"/>
      <c r="I87" s="21"/>
      <c r="J87" s="21"/>
      <c r="K87" s="21"/>
      <c r="M87" s="30"/>
      <c r="N87" s="9"/>
      <c r="O87" s="11">
        <f t="shared" si="8"/>
        <v>0</v>
      </c>
      <c r="P87" s="9">
        <v>0</v>
      </c>
      <c r="Q87" s="24">
        <f t="shared" si="9"/>
        <v>0</v>
      </c>
    </row>
    <row r="88" spans="1:17" x14ac:dyDescent="0.2">
      <c r="A88" s="25" t="s">
        <v>124</v>
      </c>
      <c r="B88" s="9"/>
      <c r="C88" s="11">
        <f t="shared" si="10"/>
        <v>0</v>
      </c>
      <c r="D88" s="9">
        <v>0</v>
      </c>
      <c r="E88" s="24">
        <f t="shared" si="11"/>
        <v>0</v>
      </c>
      <c r="G88" s="41" t="s">
        <v>127</v>
      </c>
      <c r="H88" s="42" t="s">
        <v>2</v>
      </c>
      <c r="I88" s="43"/>
      <c r="J88" s="42" t="s">
        <v>3</v>
      </c>
      <c r="K88" s="44"/>
      <c r="M88" s="30"/>
      <c r="N88" s="10"/>
      <c r="O88" s="11">
        <f t="shared" si="8"/>
        <v>0</v>
      </c>
      <c r="P88" s="12">
        <v>0</v>
      </c>
      <c r="Q88" s="24">
        <f t="shared" si="9"/>
        <v>0</v>
      </c>
    </row>
    <row r="89" spans="1:17" x14ac:dyDescent="0.2">
      <c r="A89" s="25" t="s">
        <v>125</v>
      </c>
      <c r="B89" s="9"/>
      <c r="C89" s="11">
        <f t="shared" si="10"/>
        <v>0</v>
      </c>
      <c r="D89" s="9">
        <v>0</v>
      </c>
      <c r="E89" s="24">
        <f t="shared" si="11"/>
        <v>0</v>
      </c>
      <c r="G89" s="45"/>
      <c r="H89" s="46" t="s">
        <v>8</v>
      </c>
      <c r="I89" s="46" t="s">
        <v>9</v>
      </c>
      <c r="J89" s="46" t="s">
        <v>8</v>
      </c>
      <c r="K89" s="47" t="s">
        <v>9</v>
      </c>
      <c r="M89" s="28"/>
      <c r="N89" s="9"/>
      <c r="O89" s="11">
        <f t="shared" si="8"/>
        <v>0</v>
      </c>
      <c r="P89" s="13">
        <v>0</v>
      </c>
      <c r="Q89" s="24">
        <f t="shared" si="9"/>
        <v>0</v>
      </c>
    </row>
    <row r="90" spans="1:17" x14ac:dyDescent="0.2">
      <c r="A90" s="25" t="s">
        <v>165</v>
      </c>
      <c r="B90" s="9"/>
      <c r="C90" s="11">
        <f t="shared" si="10"/>
        <v>0</v>
      </c>
      <c r="D90" s="9">
        <v>0</v>
      </c>
      <c r="E90" s="24">
        <f t="shared" si="11"/>
        <v>0</v>
      </c>
      <c r="G90" s="23" t="s">
        <v>129</v>
      </c>
      <c r="H90" s="10"/>
      <c r="I90" s="11">
        <f t="shared" ref="I90:I95" si="14">IF(H90=0,0,H90/H$95*100)</f>
        <v>0</v>
      </c>
      <c r="J90" s="12">
        <v>0</v>
      </c>
      <c r="K90" s="24">
        <f t="shared" ref="K90:K95" si="15">IF(J90=0,0,J90/J$95*100)</f>
        <v>0</v>
      </c>
      <c r="M90" s="30"/>
      <c r="N90" s="9"/>
      <c r="O90" s="11">
        <f t="shared" si="8"/>
        <v>0</v>
      </c>
      <c r="P90" s="13">
        <v>0</v>
      </c>
      <c r="Q90" s="24">
        <f t="shared" si="9"/>
        <v>0</v>
      </c>
    </row>
    <row r="91" spans="1:17" x14ac:dyDescent="0.2">
      <c r="A91" s="25" t="s">
        <v>128</v>
      </c>
      <c r="B91" s="9"/>
      <c r="C91" s="11">
        <f t="shared" si="10"/>
        <v>0</v>
      </c>
      <c r="D91" s="9">
        <v>0</v>
      </c>
      <c r="E91" s="24">
        <f t="shared" si="11"/>
        <v>0</v>
      </c>
      <c r="G91" s="23" t="s">
        <v>130</v>
      </c>
      <c r="H91" s="9"/>
      <c r="I91" s="11">
        <f t="shared" si="14"/>
        <v>0</v>
      </c>
      <c r="J91" s="13">
        <v>0</v>
      </c>
      <c r="K91" s="24">
        <f t="shared" si="15"/>
        <v>0</v>
      </c>
      <c r="M91" s="30"/>
      <c r="N91" s="9"/>
      <c r="O91" s="11">
        <f t="shared" si="8"/>
        <v>0</v>
      </c>
      <c r="P91" s="13">
        <v>0</v>
      </c>
      <c r="Q91" s="24">
        <f t="shared" si="9"/>
        <v>0</v>
      </c>
    </row>
    <row r="92" spans="1:17" ht="13.5" thickBot="1" x14ac:dyDescent="0.25">
      <c r="A92" s="25" t="s">
        <v>166</v>
      </c>
      <c r="B92" s="9"/>
      <c r="C92" s="11">
        <f t="shared" si="10"/>
        <v>0</v>
      </c>
      <c r="D92" s="9">
        <v>0</v>
      </c>
      <c r="E92" s="24">
        <f t="shared" si="11"/>
        <v>0</v>
      </c>
      <c r="G92" s="23" t="s">
        <v>131</v>
      </c>
      <c r="H92" s="9"/>
      <c r="I92" s="11">
        <f t="shared" si="14"/>
        <v>0</v>
      </c>
      <c r="J92" s="13">
        <v>0</v>
      </c>
      <c r="K92" s="24">
        <f t="shared" si="15"/>
        <v>0</v>
      </c>
      <c r="M92" s="68" t="s">
        <v>93</v>
      </c>
      <c r="N92" s="51">
        <f>SUM(N65:N91)</f>
        <v>0</v>
      </c>
      <c r="O92" s="52">
        <f t="shared" si="8"/>
        <v>0</v>
      </c>
      <c r="P92" s="53">
        <f>SUM(P65:P91)</f>
        <v>0</v>
      </c>
      <c r="Q92" s="54">
        <f t="shared" si="9"/>
        <v>0</v>
      </c>
    </row>
    <row r="93" spans="1:17" ht="13.5" thickBot="1" x14ac:dyDescent="0.25">
      <c r="A93" s="68" t="s">
        <v>93</v>
      </c>
      <c r="B93" s="51">
        <f>SUM(B71:B92)</f>
        <v>0</v>
      </c>
      <c r="C93" s="52">
        <f t="shared" si="10"/>
        <v>0</v>
      </c>
      <c r="D93" s="51">
        <f>SUM(D71:D92)</f>
        <v>0</v>
      </c>
      <c r="E93" s="54">
        <f t="shared" si="11"/>
        <v>0</v>
      </c>
      <c r="G93" s="23" t="s">
        <v>132</v>
      </c>
      <c r="H93" s="9"/>
      <c r="I93" s="11">
        <f t="shared" si="14"/>
        <v>0</v>
      </c>
      <c r="J93" s="13">
        <v>0</v>
      </c>
      <c r="K93" s="24">
        <f t="shared" si="15"/>
        <v>0</v>
      </c>
    </row>
    <row r="94" spans="1:17" ht="13.5" thickBot="1" x14ac:dyDescent="0.25">
      <c r="A94" s="19"/>
      <c r="G94" s="23" t="s">
        <v>133</v>
      </c>
      <c r="H94" s="9"/>
      <c r="I94" s="11">
        <f t="shared" si="14"/>
        <v>0</v>
      </c>
      <c r="J94" s="13">
        <v>0</v>
      </c>
      <c r="K94" s="24">
        <f t="shared" si="15"/>
        <v>0</v>
      </c>
      <c r="M94" s="67" t="s">
        <v>134</v>
      </c>
      <c r="N94" s="42" t="s">
        <v>2</v>
      </c>
      <c r="O94" s="43"/>
      <c r="P94" s="42" t="s">
        <v>3</v>
      </c>
      <c r="Q94" s="44"/>
    </row>
    <row r="95" spans="1:17" ht="13.5" thickBot="1" x14ac:dyDescent="0.25">
      <c r="A95" s="69" t="s">
        <v>135</v>
      </c>
      <c r="B95" s="42" t="s">
        <v>2</v>
      </c>
      <c r="C95" s="56"/>
      <c r="D95" s="42" t="s">
        <v>3</v>
      </c>
      <c r="E95" s="44"/>
      <c r="G95" s="50" t="s">
        <v>93</v>
      </c>
      <c r="H95" s="65">
        <f>SUM(H90:H94)</f>
        <v>0</v>
      </c>
      <c r="I95" s="52">
        <f t="shared" si="14"/>
        <v>0</v>
      </c>
      <c r="J95" s="66">
        <f>SUM(J90:J94)</f>
        <v>0</v>
      </c>
      <c r="K95" s="54">
        <f t="shared" si="15"/>
        <v>0</v>
      </c>
      <c r="M95" s="45"/>
      <c r="N95" s="46" t="s">
        <v>8</v>
      </c>
      <c r="O95" s="46" t="s">
        <v>9</v>
      </c>
      <c r="P95" s="46" t="s">
        <v>8</v>
      </c>
      <c r="Q95" s="47" t="s">
        <v>9</v>
      </c>
    </row>
    <row r="96" spans="1:17" x14ac:dyDescent="0.2">
      <c r="A96" s="70"/>
      <c r="B96" s="46" t="s">
        <v>8</v>
      </c>
      <c r="C96" s="60" t="s">
        <v>9</v>
      </c>
      <c r="D96" s="46" t="s">
        <v>8</v>
      </c>
      <c r="E96" s="47" t="s">
        <v>9</v>
      </c>
      <c r="M96" s="28" t="s">
        <v>136</v>
      </c>
      <c r="N96" s="10"/>
      <c r="O96" s="11">
        <f t="shared" ref="O96:O109" si="16">IF(N96=0,0,N96/N$109*100)</f>
        <v>0</v>
      </c>
      <c r="P96" s="10">
        <v>0</v>
      </c>
      <c r="Q96" s="24">
        <f t="shared" ref="Q96:Q109" si="17">IF(P96=0,0,P96/P$109*100)</f>
        <v>0</v>
      </c>
    </row>
    <row r="97" spans="1:17" x14ac:dyDescent="0.2">
      <c r="A97" s="25" t="s">
        <v>137</v>
      </c>
      <c r="B97" s="10"/>
      <c r="C97" s="11">
        <f t="shared" ref="C97:C104" si="18">IF(B97=0,0,B97/B$104*100)</f>
        <v>0</v>
      </c>
      <c r="D97" s="10">
        <v>0</v>
      </c>
      <c r="E97" s="24">
        <f t="shared" ref="E97:E104" si="19">IF(D97=0,0,D97/D$104*100)</f>
        <v>0</v>
      </c>
      <c r="M97" s="29" t="s">
        <v>138</v>
      </c>
      <c r="N97" s="9"/>
      <c r="O97" s="11">
        <f t="shared" si="16"/>
        <v>0</v>
      </c>
      <c r="P97" s="9">
        <v>0</v>
      </c>
      <c r="Q97" s="24">
        <f t="shared" si="17"/>
        <v>0</v>
      </c>
    </row>
    <row r="98" spans="1:17" ht="13.5" thickBot="1" x14ac:dyDescent="0.25">
      <c r="A98" s="31" t="s">
        <v>139</v>
      </c>
      <c r="B98" s="9"/>
      <c r="C98" s="11">
        <f t="shared" si="18"/>
        <v>0</v>
      </c>
      <c r="D98" s="9">
        <v>0</v>
      </c>
      <c r="E98" s="24">
        <f t="shared" si="19"/>
        <v>0</v>
      </c>
      <c r="M98" s="28" t="s">
        <v>140</v>
      </c>
      <c r="N98" s="9"/>
      <c r="O98" s="11">
        <f t="shared" si="16"/>
        <v>0</v>
      </c>
      <c r="P98" s="9">
        <v>0</v>
      </c>
      <c r="Q98" s="24">
        <f t="shared" si="17"/>
        <v>0</v>
      </c>
    </row>
    <row r="99" spans="1:17" x14ac:dyDescent="0.2">
      <c r="A99" s="25" t="s">
        <v>141</v>
      </c>
      <c r="B99" s="9"/>
      <c r="C99" s="11">
        <f t="shared" si="18"/>
        <v>0</v>
      </c>
      <c r="D99" s="9">
        <v>0</v>
      </c>
      <c r="E99" s="24">
        <f t="shared" si="19"/>
        <v>0</v>
      </c>
      <c r="G99" s="41" t="s">
        <v>142</v>
      </c>
      <c r="H99" s="42" t="s">
        <v>2</v>
      </c>
      <c r="I99" s="43"/>
      <c r="J99" s="42" t="s">
        <v>3</v>
      </c>
      <c r="K99" s="44"/>
      <c r="M99" s="28" t="s">
        <v>143</v>
      </c>
      <c r="N99" s="9"/>
      <c r="O99" s="11">
        <f t="shared" si="16"/>
        <v>0</v>
      </c>
      <c r="P99" s="9">
        <v>0</v>
      </c>
      <c r="Q99" s="24">
        <f t="shared" si="17"/>
        <v>0</v>
      </c>
    </row>
    <row r="100" spans="1:17" x14ac:dyDescent="0.2">
      <c r="A100" s="25" t="s">
        <v>144</v>
      </c>
      <c r="B100" s="9"/>
      <c r="C100" s="11">
        <f t="shared" si="18"/>
        <v>0</v>
      </c>
      <c r="D100" s="9">
        <v>0</v>
      </c>
      <c r="E100" s="24">
        <f t="shared" si="19"/>
        <v>0</v>
      </c>
      <c r="G100" s="45"/>
      <c r="H100" s="46" t="s">
        <v>8</v>
      </c>
      <c r="I100" s="46" t="s">
        <v>9</v>
      </c>
      <c r="J100" s="46" t="s">
        <v>8</v>
      </c>
      <c r="K100" s="47" t="s">
        <v>9</v>
      </c>
      <c r="M100" s="28" t="s">
        <v>145</v>
      </c>
      <c r="N100" s="9"/>
      <c r="O100" s="11">
        <f t="shared" si="16"/>
        <v>0</v>
      </c>
      <c r="P100" s="9">
        <v>0</v>
      </c>
      <c r="Q100" s="24">
        <f t="shared" si="17"/>
        <v>0</v>
      </c>
    </row>
    <row r="101" spans="1:17" x14ac:dyDescent="0.2">
      <c r="A101" s="25" t="s">
        <v>146</v>
      </c>
      <c r="B101" s="9"/>
      <c r="C101" s="11">
        <f t="shared" si="18"/>
        <v>0</v>
      </c>
      <c r="D101" s="9">
        <v>0</v>
      </c>
      <c r="E101" s="24">
        <f t="shared" si="19"/>
        <v>0</v>
      </c>
      <c r="G101" s="23" t="s">
        <v>147</v>
      </c>
      <c r="H101" s="10"/>
      <c r="I101" s="11">
        <f>IF(H101=0,0,H101/H$104*100)</f>
        <v>0</v>
      </c>
      <c r="J101" s="12">
        <v>0</v>
      </c>
      <c r="K101" s="24">
        <f>IF(J101=0,0,J101/J$104*100)</f>
        <v>0</v>
      </c>
      <c r="M101" s="28" t="s">
        <v>148</v>
      </c>
      <c r="N101" s="9"/>
      <c r="O101" s="11">
        <f t="shared" si="16"/>
        <v>0</v>
      </c>
      <c r="P101" s="9">
        <v>0</v>
      </c>
      <c r="Q101" s="24">
        <f t="shared" si="17"/>
        <v>0</v>
      </c>
    </row>
    <row r="102" spans="1:17" x14ac:dyDescent="0.2">
      <c r="A102" s="25" t="s">
        <v>149</v>
      </c>
      <c r="B102" s="9"/>
      <c r="C102" s="11">
        <f t="shared" si="18"/>
        <v>0</v>
      </c>
      <c r="D102" s="9">
        <v>0</v>
      </c>
      <c r="E102" s="24">
        <f t="shared" si="19"/>
        <v>0</v>
      </c>
      <c r="G102" s="23" t="s">
        <v>150</v>
      </c>
      <c r="H102" s="9"/>
      <c r="I102" s="11">
        <f>IF(H102=0,0,H102/H$104*100)</f>
        <v>0</v>
      </c>
      <c r="J102" s="13">
        <v>0</v>
      </c>
      <c r="K102" s="24">
        <f>IF(J102=0,0,J102/J$104*100)</f>
        <v>0</v>
      </c>
      <c r="M102" s="28" t="s">
        <v>151</v>
      </c>
      <c r="N102" s="9"/>
      <c r="O102" s="11">
        <f t="shared" si="16"/>
        <v>0</v>
      </c>
      <c r="P102" s="9">
        <v>0</v>
      </c>
      <c r="Q102" s="24">
        <f t="shared" si="17"/>
        <v>0</v>
      </c>
    </row>
    <row r="103" spans="1:17" x14ac:dyDescent="0.2">
      <c r="A103" s="25" t="s">
        <v>152</v>
      </c>
      <c r="B103" s="9"/>
      <c r="C103" s="11">
        <f t="shared" si="18"/>
        <v>0</v>
      </c>
      <c r="D103" s="9">
        <v>0</v>
      </c>
      <c r="E103" s="24">
        <f t="shared" si="19"/>
        <v>0</v>
      </c>
      <c r="G103" s="23" t="s">
        <v>153</v>
      </c>
      <c r="H103" s="9"/>
      <c r="I103" s="11">
        <f>IF(H103=0,0,H103/H$104*100)</f>
        <v>0</v>
      </c>
      <c r="J103" s="13">
        <v>0</v>
      </c>
      <c r="K103" s="24">
        <f>IF(J103=0,0,J103/J$104*100)</f>
        <v>0</v>
      </c>
      <c r="M103" s="28" t="s">
        <v>154</v>
      </c>
      <c r="N103" s="9"/>
      <c r="O103" s="11">
        <f t="shared" si="16"/>
        <v>0</v>
      </c>
      <c r="P103" s="9">
        <v>0</v>
      </c>
      <c r="Q103" s="24">
        <f t="shared" si="17"/>
        <v>0</v>
      </c>
    </row>
    <row r="104" spans="1:17" ht="13.5" thickBot="1" x14ac:dyDescent="0.25">
      <c r="A104" s="68" t="s">
        <v>93</v>
      </c>
      <c r="B104" s="51">
        <f>SUM(B97:B103)</f>
        <v>0</v>
      </c>
      <c r="C104" s="52">
        <f t="shared" si="18"/>
        <v>0</v>
      </c>
      <c r="D104" s="51">
        <f>SUM(D97:D103)</f>
        <v>0</v>
      </c>
      <c r="E104" s="54">
        <f t="shared" si="19"/>
        <v>0</v>
      </c>
      <c r="G104" s="50" t="s">
        <v>93</v>
      </c>
      <c r="H104" s="51">
        <f>SUM(H101:H103)</f>
        <v>0</v>
      </c>
      <c r="I104" s="52">
        <f>IF(H104=0,0,H104/H$104*100)</f>
        <v>0</v>
      </c>
      <c r="J104" s="53">
        <f>SUM(J101:J103)</f>
        <v>0</v>
      </c>
      <c r="K104" s="54">
        <f>IF(J104=0,0,J104/J$104*100)</f>
        <v>0</v>
      </c>
      <c r="M104" s="28" t="s">
        <v>155</v>
      </c>
      <c r="N104" s="9"/>
      <c r="O104" s="11">
        <f t="shared" si="16"/>
        <v>0</v>
      </c>
      <c r="P104" s="9">
        <v>0</v>
      </c>
      <c r="Q104" s="24">
        <f t="shared" si="17"/>
        <v>0</v>
      </c>
    </row>
    <row r="105" spans="1:17" x14ac:dyDescent="0.2">
      <c r="M105" s="28" t="s">
        <v>156</v>
      </c>
      <c r="N105" s="9"/>
      <c r="O105" s="11">
        <f t="shared" si="16"/>
        <v>0</v>
      </c>
      <c r="P105" s="9">
        <v>0</v>
      </c>
      <c r="Q105" s="24">
        <f t="shared" si="17"/>
        <v>0</v>
      </c>
    </row>
    <row r="106" spans="1:17" x14ac:dyDescent="0.2">
      <c r="M106" s="28" t="s">
        <v>157</v>
      </c>
      <c r="N106" s="9"/>
      <c r="O106" s="11">
        <f t="shared" si="16"/>
        <v>0</v>
      </c>
      <c r="P106" s="9">
        <v>0</v>
      </c>
      <c r="Q106" s="24">
        <f t="shared" si="17"/>
        <v>0</v>
      </c>
    </row>
    <row r="107" spans="1:17" x14ac:dyDescent="0.2">
      <c r="M107" s="28" t="s">
        <v>158</v>
      </c>
      <c r="N107" s="9"/>
      <c r="O107" s="11">
        <f t="shared" si="16"/>
        <v>0</v>
      </c>
      <c r="P107" s="9">
        <v>0</v>
      </c>
      <c r="Q107" s="24">
        <f t="shared" si="17"/>
        <v>0</v>
      </c>
    </row>
    <row r="108" spans="1:17" x14ac:dyDescent="0.2">
      <c r="M108" s="28" t="s">
        <v>159</v>
      </c>
      <c r="N108" s="9"/>
      <c r="O108" s="11">
        <f t="shared" si="16"/>
        <v>0</v>
      </c>
      <c r="P108" s="9">
        <v>0</v>
      </c>
      <c r="Q108" s="24">
        <f t="shared" si="17"/>
        <v>0</v>
      </c>
    </row>
    <row r="109" spans="1:17" ht="14.25" customHeight="1" thickBot="1" x14ac:dyDescent="0.25">
      <c r="A109" s="19"/>
      <c r="M109" s="50" t="s">
        <v>93</v>
      </c>
      <c r="N109" s="51">
        <f>SUM(N96:N108)</f>
        <v>0</v>
      </c>
      <c r="O109" s="52">
        <f t="shared" si="16"/>
        <v>0</v>
      </c>
      <c r="P109" s="51">
        <f>SUM(P96:P108)</f>
        <v>0</v>
      </c>
      <c r="Q109" s="54">
        <f t="shared" si="17"/>
        <v>0</v>
      </c>
    </row>
    <row r="110" spans="1:17" hidden="1" x14ac:dyDescent="0.2">
      <c r="A110" s="19"/>
    </row>
    <row r="111" spans="1:17" hidden="1" x14ac:dyDescent="0.2"/>
    <row r="112" spans="1:17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</sheetData>
  <mergeCells count="108">
    <mergeCell ref="P33:P34"/>
    <mergeCell ref="Q33:Q34"/>
    <mergeCell ref="N31:N32"/>
    <mergeCell ref="O31:O32"/>
    <mergeCell ref="P31:P32"/>
    <mergeCell ref="Q31:Q32"/>
    <mergeCell ref="N26:N27"/>
    <mergeCell ref="O26:O27"/>
    <mergeCell ref="P26:P27"/>
    <mergeCell ref="Q26:Q27"/>
    <mergeCell ref="N12:N13"/>
    <mergeCell ref="O12:O13"/>
    <mergeCell ref="P12:P13"/>
    <mergeCell ref="Q12:Q13"/>
    <mergeCell ref="N10:N11"/>
    <mergeCell ref="O10:O11"/>
    <mergeCell ref="P10:P11"/>
    <mergeCell ref="Q10:Q11"/>
    <mergeCell ref="J41:J42"/>
    <mergeCell ref="K41:K42"/>
    <mergeCell ref="N24:N25"/>
    <mergeCell ref="O24:O25"/>
    <mergeCell ref="P24:P25"/>
    <mergeCell ref="Q24:Q25"/>
    <mergeCell ref="N16:N17"/>
    <mergeCell ref="O16:O17"/>
    <mergeCell ref="P16:P17"/>
    <mergeCell ref="Q16:Q17"/>
    <mergeCell ref="N14:N15"/>
    <mergeCell ref="O14:O15"/>
    <mergeCell ref="P14:P15"/>
    <mergeCell ref="Q14:Q15"/>
    <mergeCell ref="N33:N34"/>
    <mergeCell ref="O33:O34"/>
    <mergeCell ref="J45:J46"/>
    <mergeCell ref="K45:K46"/>
    <mergeCell ref="J37:J38"/>
    <mergeCell ref="K37:K38"/>
    <mergeCell ref="J39:J40"/>
    <mergeCell ref="K39:K40"/>
    <mergeCell ref="H32:H33"/>
    <mergeCell ref="I32:I33"/>
    <mergeCell ref="J32:J33"/>
    <mergeCell ref="K32:K33"/>
    <mergeCell ref="H39:H40"/>
    <mergeCell ref="I39:I40"/>
    <mergeCell ref="J19:J20"/>
    <mergeCell ref="K19:K20"/>
    <mergeCell ref="H29:H30"/>
    <mergeCell ref="I29:I30"/>
    <mergeCell ref="J29:J30"/>
    <mergeCell ref="K29:K30"/>
    <mergeCell ref="H27:H28"/>
    <mergeCell ref="I27:I28"/>
    <mergeCell ref="J27:J28"/>
    <mergeCell ref="K27:K28"/>
    <mergeCell ref="H25:H26"/>
    <mergeCell ref="I25:I26"/>
    <mergeCell ref="J25:J26"/>
    <mergeCell ref="K25:K26"/>
    <mergeCell ref="H19:H20"/>
    <mergeCell ref="I19:I20"/>
    <mergeCell ref="D4:F4"/>
    <mergeCell ref="G4:K4"/>
    <mergeCell ref="D60:F60"/>
    <mergeCell ref="G60:K60"/>
    <mergeCell ref="H10:H11"/>
    <mergeCell ref="I10:I11"/>
    <mergeCell ref="J10:J11"/>
    <mergeCell ref="K10:K11"/>
    <mergeCell ref="D11:D12"/>
    <mergeCell ref="E11:E12"/>
    <mergeCell ref="H37:H38"/>
    <mergeCell ref="I37:I38"/>
    <mergeCell ref="H16:H17"/>
    <mergeCell ref="I16:I17"/>
    <mergeCell ref="J16:J17"/>
    <mergeCell ref="K16:K17"/>
    <mergeCell ref="H14:H15"/>
    <mergeCell ref="I14:I15"/>
    <mergeCell ref="J14:J15"/>
    <mergeCell ref="K14:K15"/>
    <mergeCell ref="H12:H13"/>
    <mergeCell ref="I12:I13"/>
    <mergeCell ref="C40:C41"/>
    <mergeCell ref="B40:B41"/>
    <mergeCell ref="C11:C12"/>
    <mergeCell ref="B11:B12"/>
    <mergeCell ref="D61:F61"/>
    <mergeCell ref="G61:K61"/>
    <mergeCell ref="D5:F5"/>
    <mergeCell ref="G5:K5"/>
    <mergeCell ref="H45:H46"/>
    <mergeCell ref="I45:I46"/>
    <mergeCell ref="D40:D41"/>
    <mergeCell ref="E40:E41"/>
    <mergeCell ref="H41:H42"/>
    <mergeCell ref="I41:I42"/>
    <mergeCell ref="J12:J13"/>
    <mergeCell ref="K12:K13"/>
    <mergeCell ref="H23:H24"/>
    <mergeCell ref="I23:I24"/>
    <mergeCell ref="J23:J24"/>
    <mergeCell ref="K23:K24"/>
    <mergeCell ref="H21:H22"/>
    <mergeCell ref="I21:I22"/>
    <mergeCell ref="J21:J22"/>
    <mergeCell ref="K21:K22"/>
  </mergeCells>
  <phoneticPr fontId="0" type="noConversion"/>
  <pageMargins left="0.19685039370078741" right="0.19685039370078741" top="0.19685039370078741" bottom="0.19685039370078741" header="0" footer="0"/>
  <pageSetup paperSize="9" scale="8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Radiografia de acidentes</vt:lpstr>
    </vt:vector>
  </TitlesOfParts>
  <Company>Coinbra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Coinbra</dc:creator>
  <cp:lastModifiedBy>José Leal</cp:lastModifiedBy>
  <cp:lastPrinted>2013-02-04T13:46:53Z</cp:lastPrinted>
  <dcterms:created xsi:type="dcterms:W3CDTF">2003-03-13T17:22:09Z</dcterms:created>
  <dcterms:modified xsi:type="dcterms:W3CDTF">2018-06-29T02:53:20Z</dcterms:modified>
</cp:coreProperties>
</file>